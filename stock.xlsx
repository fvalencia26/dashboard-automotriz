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esktop\Proyecto_automotriz\"/>
    </mc:Choice>
  </mc:AlternateContent>
  <xr:revisionPtr revIDLastSave="0" documentId="13_ncr:1_{B03EF7C5-FC9A-4ADB-BF42-3D4B0A55E967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BBDD2" sheetId="1" r:id="rId1"/>
    <sheet name="PRECIO TOMA HISTORICO " sheetId="2" r:id="rId2"/>
    <sheet name="PRECIO MERCADO" sheetId="3" r:id="rId3"/>
    <sheet name="INFORME VENTAS" sheetId="4" state="hidden" r:id="rId4"/>
    <sheet name="Hoja1" sheetId="6" r:id="rId5"/>
    <sheet name="BBDD" sheetId="5" r:id="rId6"/>
  </sheets>
  <definedNames>
    <definedName name="_xlnm._FilterDatabase" localSheetId="5" hidden="1">BBDD!$A$1:$AU$226</definedName>
    <definedName name="_xlnm._FilterDatabase" localSheetId="2" hidden="1">'PRECIO MERCADO'!$A$1:$F$1</definedName>
  </definedNames>
  <calcPr calcId="191029"/>
  <pivotCaches>
    <pivotCache cacheId="0" r:id="rId7"/>
    <pivotCache cacheId="4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8" i="1" l="1"/>
  <c r="L238" i="1"/>
  <c r="N238" i="1"/>
  <c r="O238" i="1"/>
  <c r="P238" i="1"/>
  <c r="Q238" i="1"/>
  <c r="R238" i="1"/>
  <c r="J239" i="1"/>
  <c r="L239" i="1"/>
  <c r="N239" i="1"/>
  <c r="O239" i="1"/>
  <c r="P239" i="1"/>
  <c r="Q239" i="1"/>
  <c r="R239" i="1"/>
  <c r="J240" i="1"/>
  <c r="L240" i="1"/>
  <c r="N240" i="1"/>
  <c r="O240" i="1"/>
  <c r="P240" i="1"/>
  <c r="Q240" i="1"/>
  <c r="R240" i="1"/>
  <c r="J241" i="1"/>
  <c r="L241" i="1"/>
  <c r="N241" i="1"/>
  <c r="O241" i="1"/>
  <c r="P241" i="1"/>
  <c r="Q241" i="1"/>
  <c r="R241" i="1"/>
  <c r="J242" i="1"/>
  <c r="L242" i="1"/>
  <c r="N242" i="1"/>
  <c r="O242" i="1"/>
  <c r="P242" i="1"/>
  <c r="Q242" i="1"/>
  <c r="R242" i="1"/>
  <c r="J243" i="1"/>
  <c r="L243" i="1"/>
  <c r="N243" i="1"/>
  <c r="O243" i="1"/>
  <c r="P243" i="1"/>
  <c r="Q243" i="1"/>
  <c r="R243" i="1"/>
  <c r="J244" i="1"/>
  <c r="L244" i="1"/>
  <c r="N244" i="1"/>
  <c r="O244" i="1"/>
  <c r="P244" i="1"/>
  <c r="Q244" i="1"/>
  <c r="R244" i="1"/>
  <c r="J245" i="1"/>
  <c r="L245" i="1"/>
  <c r="N245" i="1"/>
  <c r="O245" i="1"/>
  <c r="P245" i="1"/>
  <c r="Q245" i="1"/>
  <c r="R245" i="1"/>
  <c r="J246" i="1"/>
  <c r="L246" i="1"/>
  <c r="N246" i="1"/>
  <c r="O246" i="1"/>
  <c r="P246" i="1"/>
  <c r="Q246" i="1"/>
  <c r="R246" i="1"/>
  <c r="J247" i="1"/>
  <c r="L247" i="1"/>
  <c r="N247" i="1"/>
  <c r="O247" i="1"/>
  <c r="P247" i="1"/>
  <c r="Q247" i="1"/>
  <c r="R247" i="1"/>
  <c r="J248" i="1"/>
  <c r="L248" i="1"/>
  <c r="N248" i="1"/>
  <c r="O248" i="1"/>
  <c r="P248" i="1"/>
  <c r="Q248" i="1"/>
  <c r="R248" i="1"/>
  <c r="J249" i="1"/>
  <c r="L249" i="1"/>
  <c r="N249" i="1"/>
  <c r="O249" i="1"/>
  <c r="P249" i="1"/>
  <c r="Q249" i="1"/>
  <c r="R249" i="1"/>
  <c r="J250" i="1"/>
  <c r="L250" i="1"/>
  <c r="N250" i="1"/>
  <c r="O250" i="1"/>
  <c r="P250" i="1"/>
  <c r="Q250" i="1"/>
  <c r="R250" i="1"/>
  <c r="J251" i="1"/>
  <c r="L251" i="1"/>
  <c r="N251" i="1"/>
  <c r="O251" i="1"/>
  <c r="P251" i="1"/>
  <c r="Q251" i="1"/>
  <c r="R251" i="1"/>
  <c r="J252" i="1"/>
  <c r="L252" i="1"/>
  <c r="N252" i="1"/>
  <c r="O252" i="1"/>
  <c r="P252" i="1"/>
  <c r="Q252" i="1"/>
  <c r="R252" i="1"/>
  <c r="J253" i="1"/>
  <c r="L253" i="1"/>
  <c r="N253" i="1"/>
  <c r="O253" i="1"/>
  <c r="P253" i="1"/>
  <c r="Q253" i="1"/>
  <c r="R253" i="1"/>
  <c r="J254" i="1"/>
  <c r="L254" i="1"/>
  <c r="N254" i="1"/>
  <c r="O254" i="1"/>
  <c r="P254" i="1"/>
  <c r="Q254" i="1"/>
  <c r="R254" i="1"/>
  <c r="J255" i="1"/>
  <c r="L255" i="1"/>
  <c r="N255" i="1"/>
  <c r="O255" i="1"/>
  <c r="P255" i="1"/>
  <c r="Q255" i="1"/>
  <c r="R255" i="1"/>
  <c r="J256" i="1"/>
  <c r="L256" i="1"/>
  <c r="N256" i="1"/>
  <c r="O256" i="1"/>
  <c r="P256" i="1"/>
  <c r="Q256" i="1"/>
  <c r="R256" i="1"/>
  <c r="J257" i="1"/>
  <c r="L257" i="1"/>
  <c r="N257" i="1"/>
  <c r="O257" i="1"/>
  <c r="P257" i="1"/>
  <c r="Q257" i="1"/>
  <c r="R257" i="1"/>
  <c r="J258" i="1"/>
  <c r="L258" i="1"/>
  <c r="N258" i="1"/>
  <c r="O258" i="1"/>
  <c r="P258" i="1"/>
  <c r="Q258" i="1"/>
  <c r="R258" i="1"/>
  <c r="J259" i="1"/>
  <c r="L259" i="1"/>
  <c r="N259" i="1"/>
  <c r="O259" i="1"/>
  <c r="P259" i="1"/>
  <c r="Q259" i="1"/>
  <c r="R259" i="1"/>
  <c r="J260" i="1"/>
  <c r="L260" i="1"/>
  <c r="N260" i="1"/>
  <c r="O260" i="1"/>
  <c r="P260" i="1"/>
  <c r="Q260" i="1"/>
  <c r="R260" i="1"/>
  <c r="J261" i="1"/>
  <c r="L261" i="1"/>
  <c r="N261" i="1"/>
  <c r="O261" i="1"/>
  <c r="P261" i="1"/>
  <c r="Q261" i="1"/>
  <c r="R261" i="1"/>
  <c r="J262" i="1"/>
  <c r="L262" i="1"/>
  <c r="N262" i="1"/>
  <c r="O262" i="1"/>
  <c r="P262" i="1"/>
  <c r="Q262" i="1"/>
  <c r="R262" i="1"/>
  <c r="J263" i="1"/>
  <c r="L263" i="1"/>
  <c r="N263" i="1"/>
  <c r="O263" i="1"/>
  <c r="P263" i="1"/>
  <c r="Q263" i="1"/>
  <c r="R263" i="1"/>
  <c r="J264" i="1"/>
  <c r="L264" i="1"/>
  <c r="N264" i="1"/>
  <c r="O264" i="1"/>
  <c r="P264" i="1"/>
  <c r="Q264" i="1"/>
  <c r="R264" i="1"/>
  <c r="J265" i="1"/>
  <c r="L265" i="1"/>
  <c r="N265" i="1"/>
  <c r="O265" i="1"/>
  <c r="P265" i="1"/>
  <c r="Q265" i="1"/>
  <c r="R265" i="1"/>
  <c r="J266" i="1"/>
  <c r="L266" i="1"/>
  <c r="N266" i="1"/>
  <c r="O266" i="1"/>
  <c r="P266" i="1"/>
  <c r="Q266" i="1"/>
  <c r="R266" i="1"/>
  <c r="J267" i="1"/>
  <c r="L267" i="1"/>
  <c r="N267" i="1"/>
  <c r="O267" i="1"/>
  <c r="P267" i="1"/>
  <c r="Q267" i="1"/>
  <c r="R267" i="1"/>
  <c r="J268" i="1"/>
  <c r="L268" i="1"/>
  <c r="N268" i="1"/>
  <c r="O268" i="1"/>
  <c r="P268" i="1"/>
  <c r="Q268" i="1"/>
  <c r="R268" i="1"/>
  <c r="J269" i="1"/>
  <c r="L269" i="1"/>
  <c r="N269" i="1"/>
  <c r="O269" i="1"/>
  <c r="P269" i="1"/>
  <c r="Q269" i="1"/>
  <c r="R269" i="1"/>
  <c r="J270" i="1"/>
  <c r="L270" i="1"/>
  <c r="N270" i="1"/>
  <c r="O270" i="1"/>
  <c r="P270" i="1"/>
  <c r="Q270" i="1"/>
  <c r="R270" i="1"/>
  <c r="J271" i="1"/>
  <c r="L271" i="1"/>
  <c r="N271" i="1"/>
  <c r="O271" i="1"/>
  <c r="P271" i="1"/>
  <c r="Q271" i="1"/>
  <c r="R271" i="1"/>
  <c r="J225" i="1"/>
  <c r="L225" i="1"/>
  <c r="N225" i="1"/>
  <c r="O225" i="1"/>
  <c r="P225" i="1"/>
  <c r="Q225" i="1"/>
  <c r="R225" i="1"/>
  <c r="J226" i="1"/>
  <c r="L226" i="1"/>
  <c r="N226" i="1"/>
  <c r="O226" i="1"/>
  <c r="P226" i="1"/>
  <c r="Q226" i="1"/>
  <c r="R226" i="1"/>
  <c r="J227" i="1"/>
  <c r="L227" i="1"/>
  <c r="N227" i="1"/>
  <c r="O227" i="1"/>
  <c r="P227" i="1"/>
  <c r="Q227" i="1"/>
  <c r="R227" i="1"/>
  <c r="J228" i="1"/>
  <c r="L228" i="1"/>
  <c r="N228" i="1"/>
  <c r="O228" i="1"/>
  <c r="P228" i="1"/>
  <c r="Q228" i="1"/>
  <c r="R228" i="1"/>
  <c r="J229" i="1"/>
  <c r="L229" i="1"/>
  <c r="N229" i="1"/>
  <c r="O229" i="1"/>
  <c r="P229" i="1"/>
  <c r="Q229" i="1"/>
  <c r="R229" i="1"/>
  <c r="J230" i="1"/>
  <c r="L230" i="1"/>
  <c r="N230" i="1"/>
  <c r="O230" i="1"/>
  <c r="P230" i="1"/>
  <c r="Q230" i="1"/>
  <c r="R230" i="1"/>
  <c r="J231" i="1"/>
  <c r="L231" i="1"/>
  <c r="N231" i="1"/>
  <c r="O231" i="1"/>
  <c r="P231" i="1"/>
  <c r="Q231" i="1"/>
  <c r="R231" i="1"/>
  <c r="J232" i="1"/>
  <c r="L232" i="1"/>
  <c r="N232" i="1"/>
  <c r="O232" i="1"/>
  <c r="P232" i="1"/>
  <c r="Q232" i="1"/>
  <c r="R232" i="1"/>
  <c r="J233" i="1"/>
  <c r="L233" i="1"/>
  <c r="N233" i="1"/>
  <c r="O233" i="1"/>
  <c r="P233" i="1"/>
  <c r="Q233" i="1"/>
  <c r="R233" i="1"/>
  <c r="J234" i="1"/>
  <c r="L234" i="1"/>
  <c r="N234" i="1"/>
  <c r="O234" i="1"/>
  <c r="P234" i="1"/>
  <c r="Q234" i="1"/>
  <c r="R234" i="1"/>
  <c r="J235" i="1"/>
  <c r="L235" i="1"/>
  <c r="N235" i="1"/>
  <c r="O235" i="1"/>
  <c r="P235" i="1"/>
  <c r="Q235" i="1"/>
  <c r="R235" i="1"/>
  <c r="J236" i="1"/>
  <c r="L236" i="1"/>
  <c r="N236" i="1"/>
  <c r="O236" i="1"/>
  <c r="P236" i="1"/>
  <c r="Q236" i="1"/>
  <c r="R236" i="1"/>
  <c r="J237" i="1"/>
  <c r="L237" i="1"/>
  <c r="N237" i="1"/>
  <c r="O237" i="1"/>
  <c r="P237" i="1"/>
  <c r="Q237" i="1"/>
  <c r="R237" i="1"/>
  <c r="J221" i="1"/>
  <c r="L221" i="1"/>
  <c r="N221" i="1"/>
  <c r="O221" i="1"/>
  <c r="P221" i="1"/>
  <c r="Q221" i="1"/>
  <c r="R221" i="1"/>
  <c r="J222" i="1"/>
  <c r="L222" i="1"/>
  <c r="N222" i="1"/>
  <c r="O222" i="1"/>
  <c r="P222" i="1"/>
  <c r="Q222" i="1"/>
  <c r="R222" i="1"/>
  <c r="J223" i="1"/>
  <c r="L223" i="1"/>
  <c r="N223" i="1"/>
  <c r="O223" i="1"/>
  <c r="P223" i="1"/>
  <c r="Q223" i="1"/>
  <c r="R223" i="1"/>
  <c r="J224" i="1"/>
  <c r="L224" i="1"/>
  <c r="N224" i="1"/>
  <c r="O224" i="1"/>
  <c r="P224" i="1"/>
  <c r="Q224" i="1"/>
  <c r="R22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" i="1"/>
  <c r="J218" i="1" l="1"/>
  <c r="N218" i="1"/>
  <c r="O218" i="1"/>
  <c r="P218" i="1"/>
  <c r="Q218" i="1"/>
  <c r="J219" i="1"/>
  <c r="N219" i="1"/>
  <c r="O219" i="1"/>
  <c r="P219" i="1"/>
  <c r="Q219" i="1"/>
  <c r="J220" i="1"/>
  <c r="N220" i="1"/>
  <c r="O220" i="1"/>
  <c r="P220" i="1"/>
  <c r="Q220" i="1"/>
  <c r="J206" i="1" l="1"/>
  <c r="N206" i="1"/>
  <c r="O206" i="1"/>
  <c r="P206" i="1"/>
  <c r="Q206" i="1"/>
  <c r="J207" i="1"/>
  <c r="N207" i="1"/>
  <c r="O207" i="1"/>
  <c r="P207" i="1"/>
  <c r="Q207" i="1"/>
  <c r="J208" i="1"/>
  <c r="N208" i="1"/>
  <c r="O208" i="1"/>
  <c r="P208" i="1"/>
  <c r="Q208" i="1"/>
  <c r="J209" i="1"/>
  <c r="N209" i="1"/>
  <c r="O209" i="1"/>
  <c r="P209" i="1"/>
  <c r="Q209" i="1"/>
  <c r="J210" i="1"/>
  <c r="N210" i="1"/>
  <c r="O210" i="1"/>
  <c r="P210" i="1"/>
  <c r="Q210" i="1"/>
  <c r="J211" i="1"/>
  <c r="N211" i="1"/>
  <c r="O211" i="1"/>
  <c r="P211" i="1"/>
  <c r="Q211" i="1"/>
  <c r="J212" i="1"/>
  <c r="N212" i="1"/>
  <c r="O212" i="1"/>
  <c r="P212" i="1"/>
  <c r="Q212" i="1"/>
  <c r="J213" i="1"/>
  <c r="N213" i="1"/>
  <c r="O213" i="1"/>
  <c r="P213" i="1"/>
  <c r="Q213" i="1"/>
  <c r="J214" i="1"/>
  <c r="N214" i="1"/>
  <c r="O214" i="1"/>
  <c r="P214" i="1"/>
  <c r="Q214" i="1"/>
  <c r="J215" i="1"/>
  <c r="N215" i="1"/>
  <c r="O215" i="1"/>
  <c r="P215" i="1"/>
  <c r="Q215" i="1"/>
  <c r="J216" i="1"/>
  <c r="N216" i="1"/>
  <c r="O216" i="1"/>
  <c r="P216" i="1"/>
  <c r="Q216" i="1"/>
  <c r="J217" i="1"/>
  <c r="N217" i="1"/>
  <c r="O217" i="1"/>
  <c r="P217" i="1"/>
  <c r="Q217" i="1"/>
  <c r="J128" i="1"/>
  <c r="N128" i="1"/>
  <c r="O128" i="1"/>
  <c r="P128" i="1"/>
  <c r="Q128" i="1"/>
  <c r="J129" i="1"/>
  <c r="N129" i="1"/>
  <c r="O129" i="1"/>
  <c r="P129" i="1"/>
  <c r="Q129" i="1"/>
  <c r="J130" i="1"/>
  <c r="N130" i="1"/>
  <c r="O130" i="1"/>
  <c r="P130" i="1"/>
  <c r="Q130" i="1"/>
  <c r="J131" i="1"/>
  <c r="N131" i="1"/>
  <c r="O131" i="1"/>
  <c r="P131" i="1"/>
  <c r="Q131" i="1"/>
  <c r="J132" i="1"/>
  <c r="N132" i="1"/>
  <c r="O132" i="1"/>
  <c r="P132" i="1"/>
  <c r="Q132" i="1"/>
  <c r="J133" i="1"/>
  <c r="N133" i="1"/>
  <c r="O133" i="1"/>
  <c r="P133" i="1"/>
  <c r="Q133" i="1"/>
  <c r="J134" i="1"/>
  <c r="N134" i="1"/>
  <c r="O134" i="1"/>
  <c r="P134" i="1"/>
  <c r="Q134" i="1"/>
  <c r="J135" i="1"/>
  <c r="N135" i="1"/>
  <c r="O135" i="1"/>
  <c r="P135" i="1"/>
  <c r="Q135" i="1"/>
  <c r="J136" i="1"/>
  <c r="N136" i="1"/>
  <c r="O136" i="1"/>
  <c r="P136" i="1"/>
  <c r="Q136" i="1"/>
  <c r="J137" i="1"/>
  <c r="N137" i="1"/>
  <c r="O137" i="1"/>
  <c r="P137" i="1"/>
  <c r="Q137" i="1"/>
  <c r="J138" i="1"/>
  <c r="N138" i="1"/>
  <c r="O138" i="1"/>
  <c r="P138" i="1"/>
  <c r="Q138" i="1"/>
  <c r="J139" i="1"/>
  <c r="N139" i="1"/>
  <c r="O139" i="1"/>
  <c r="P139" i="1"/>
  <c r="Q139" i="1"/>
  <c r="J140" i="1"/>
  <c r="N140" i="1"/>
  <c r="O140" i="1"/>
  <c r="P140" i="1"/>
  <c r="Q140" i="1"/>
  <c r="J141" i="1"/>
  <c r="N141" i="1"/>
  <c r="O141" i="1"/>
  <c r="P141" i="1"/>
  <c r="Q141" i="1"/>
  <c r="J142" i="1"/>
  <c r="N142" i="1"/>
  <c r="O142" i="1"/>
  <c r="P142" i="1"/>
  <c r="Q142" i="1"/>
  <c r="J143" i="1"/>
  <c r="N143" i="1"/>
  <c r="O143" i="1"/>
  <c r="P143" i="1"/>
  <c r="Q143" i="1"/>
  <c r="J144" i="1"/>
  <c r="N144" i="1"/>
  <c r="O144" i="1"/>
  <c r="P144" i="1"/>
  <c r="Q144" i="1"/>
  <c r="J145" i="1"/>
  <c r="N145" i="1"/>
  <c r="O145" i="1"/>
  <c r="P145" i="1"/>
  <c r="Q145" i="1"/>
  <c r="J146" i="1"/>
  <c r="N146" i="1"/>
  <c r="O146" i="1"/>
  <c r="P146" i="1"/>
  <c r="Q146" i="1"/>
  <c r="J147" i="1"/>
  <c r="N147" i="1"/>
  <c r="O147" i="1"/>
  <c r="P147" i="1"/>
  <c r="Q147" i="1"/>
  <c r="J148" i="1"/>
  <c r="N148" i="1"/>
  <c r="O148" i="1"/>
  <c r="P148" i="1"/>
  <c r="Q148" i="1"/>
  <c r="J149" i="1"/>
  <c r="N149" i="1"/>
  <c r="O149" i="1"/>
  <c r="P149" i="1"/>
  <c r="Q149" i="1"/>
  <c r="J150" i="1"/>
  <c r="N150" i="1"/>
  <c r="O150" i="1"/>
  <c r="P150" i="1"/>
  <c r="Q150" i="1"/>
  <c r="J151" i="1"/>
  <c r="N151" i="1"/>
  <c r="O151" i="1"/>
  <c r="P151" i="1"/>
  <c r="Q151" i="1"/>
  <c r="J152" i="1"/>
  <c r="N152" i="1"/>
  <c r="O152" i="1"/>
  <c r="P152" i="1"/>
  <c r="Q152" i="1"/>
  <c r="J153" i="1"/>
  <c r="N153" i="1"/>
  <c r="O153" i="1"/>
  <c r="P153" i="1"/>
  <c r="Q153" i="1"/>
  <c r="J154" i="1"/>
  <c r="N154" i="1"/>
  <c r="O154" i="1"/>
  <c r="P154" i="1"/>
  <c r="Q154" i="1"/>
  <c r="J155" i="1"/>
  <c r="N155" i="1"/>
  <c r="O155" i="1"/>
  <c r="P155" i="1"/>
  <c r="Q155" i="1"/>
  <c r="J156" i="1"/>
  <c r="N156" i="1"/>
  <c r="O156" i="1"/>
  <c r="P156" i="1"/>
  <c r="Q156" i="1"/>
  <c r="J157" i="1"/>
  <c r="N157" i="1"/>
  <c r="O157" i="1"/>
  <c r="P157" i="1"/>
  <c r="Q157" i="1"/>
  <c r="J158" i="1"/>
  <c r="N158" i="1"/>
  <c r="O158" i="1"/>
  <c r="P158" i="1"/>
  <c r="Q158" i="1"/>
  <c r="J159" i="1"/>
  <c r="N159" i="1"/>
  <c r="O159" i="1"/>
  <c r="P159" i="1"/>
  <c r="Q159" i="1"/>
  <c r="J160" i="1"/>
  <c r="N160" i="1"/>
  <c r="O160" i="1"/>
  <c r="P160" i="1"/>
  <c r="Q160" i="1"/>
  <c r="J161" i="1"/>
  <c r="N161" i="1"/>
  <c r="O161" i="1"/>
  <c r="P161" i="1"/>
  <c r="Q161" i="1"/>
  <c r="J162" i="1"/>
  <c r="N162" i="1"/>
  <c r="O162" i="1"/>
  <c r="P162" i="1"/>
  <c r="Q162" i="1"/>
  <c r="J163" i="1"/>
  <c r="N163" i="1"/>
  <c r="O163" i="1"/>
  <c r="P163" i="1"/>
  <c r="Q163" i="1"/>
  <c r="J164" i="1"/>
  <c r="N164" i="1"/>
  <c r="O164" i="1"/>
  <c r="P164" i="1"/>
  <c r="Q164" i="1"/>
  <c r="J165" i="1"/>
  <c r="N165" i="1"/>
  <c r="O165" i="1"/>
  <c r="P165" i="1"/>
  <c r="Q165" i="1"/>
  <c r="J166" i="1"/>
  <c r="N166" i="1"/>
  <c r="O166" i="1"/>
  <c r="P166" i="1"/>
  <c r="Q166" i="1"/>
  <c r="J167" i="1"/>
  <c r="N167" i="1"/>
  <c r="O167" i="1"/>
  <c r="P167" i="1"/>
  <c r="Q167" i="1"/>
  <c r="J168" i="1"/>
  <c r="N168" i="1"/>
  <c r="O168" i="1"/>
  <c r="P168" i="1"/>
  <c r="Q168" i="1"/>
  <c r="J169" i="1"/>
  <c r="N169" i="1"/>
  <c r="O169" i="1"/>
  <c r="P169" i="1"/>
  <c r="Q169" i="1"/>
  <c r="J170" i="1"/>
  <c r="N170" i="1"/>
  <c r="O170" i="1"/>
  <c r="P170" i="1"/>
  <c r="Q170" i="1"/>
  <c r="J171" i="1"/>
  <c r="N171" i="1"/>
  <c r="O171" i="1"/>
  <c r="P171" i="1"/>
  <c r="Q171" i="1"/>
  <c r="J172" i="1"/>
  <c r="N172" i="1"/>
  <c r="O172" i="1"/>
  <c r="P172" i="1"/>
  <c r="Q172" i="1"/>
  <c r="J173" i="1"/>
  <c r="N173" i="1"/>
  <c r="O173" i="1"/>
  <c r="P173" i="1"/>
  <c r="Q173" i="1"/>
  <c r="J174" i="1"/>
  <c r="N174" i="1"/>
  <c r="O174" i="1"/>
  <c r="P174" i="1"/>
  <c r="Q174" i="1"/>
  <c r="J175" i="1"/>
  <c r="N175" i="1"/>
  <c r="O175" i="1"/>
  <c r="P175" i="1"/>
  <c r="Q175" i="1"/>
  <c r="J176" i="1"/>
  <c r="N176" i="1"/>
  <c r="O176" i="1"/>
  <c r="P176" i="1"/>
  <c r="Q176" i="1"/>
  <c r="J177" i="1"/>
  <c r="N177" i="1"/>
  <c r="O177" i="1"/>
  <c r="P177" i="1"/>
  <c r="Q177" i="1"/>
  <c r="J178" i="1"/>
  <c r="N178" i="1"/>
  <c r="O178" i="1"/>
  <c r="P178" i="1"/>
  <c r="Q178" i="1"/>
  <c r="J179" i="1"/>
  <c r="N179" i="1"/>
  <c r="O179" i="1"/>
  <c r="P179" i="1"/>
  <c r="Q179" i="1"/>
  <c r="J180" i="1"/>
  <c r="N180" i="1"/>
  <c r="O180" i="1"/>
  <c r="P180" i="1"/>
  <c r="Q180" i="1"/>
  <c r="J181" i="1"/>
  <c r="N181" i="1"/>
  <c r="O181" i="1"/>
  <c r="P181" i="1"/>
  <c r="Q181" i="1"/>
  <c r="J182" i="1"/>
  <c r="N182" i="1"/>
  <c r="O182" i="1"/>
  <c r="P182" i="1"/>
  <c r="Q182" i="1"/>
  <c r="J183" i="1"/>
  <c r="N183" i="1"/>
  <c r="O183" i="1"/>
  <c r="P183" i="1"/>
  <c r="Q183" i="1"/>
  <c r="J184" i="1"/>
  <c r="N184" i="1"/>
  <c r="O184" i="1"/>
  <c r="P184" i="1"/>
  <c r="Q184" i="1"/>
  <c r="J185" i="1"/>
  <c r="N185" i="1"/>
  <c r="O185" i="1"/>
  <c r="P185" i="1"/>
  <c r="Q185" i="1"/>
  <c r="J186" i="1"/>
  <c r="N186" i="1"/>
  <c r="O186" i="1"/>
  <c r="P186" i="1"/>
  <c r="Q186" i="1"/>
  <c r="J187" i="1"/>
  <c r="N187" i="1"/>
  <c r="O187" i="1"/>
  <c r="P187" i="1"/>
  <c r="Q187" i="1"/>
  <c r="J188" i="1"/>
  <c r="N188" i="1"/>
  <c r="O188" i="1"/>
  <c r="P188" i="1"/>
  <c r="Q188" i="1"/>
  <c r="J189" i="1"/>
  <c r="N189" i="1"/>
  <c r="O189" i="1"/>
  <c r="P189" i="1"/>
  <c r="Q189" i="1"/>
  <c r="J190" i="1"/>
  <c r="N190" i="1"/>
  <c r="O190" i="1"/>
  <c r="P190" i="1"/>
  <c r="Q190" i="1"/>
  <c r="J191" i="1"/>
  <c r="N191" i="1"/>
  <c r="O191" i="1"/>
  <c r="P191" i="1"/>
  <c r="Q191" i="1"/>
  <c r="J192" i="1"/>
  <c r="N192" i="1"/>
  <c r="O192" i="1"/>
  <c r="P192" i="1"/>
  <c r="Q192" i="1"/>
  <c r="J193" i="1"/>
  <c r="N193" i="1"/>
  <c r="O193" i="1"/>
  <c r="P193" i="1"/>
  <c r="Q193" i="1"/>
  <c r="J194" i="1"/>
  <c r="N194" i="1"/>
  <c r="O194" i="1"/>
  <c r="P194" i="1"/>
  <c r="Q194" i="1"/>
  <c r="J195" i="1"/>
  <c r="N195" i="1"/>
  <c r="O195" i="1"/>
  <c r="P195" i="1"/>
  <c r="Q195" i="1"/>
  <c r="J196" i="1"/>
  <c r="N196" i="1"/>
  <c r="O196" i="1"/>
  <c r="P196" i="1"/>
  <c r="Q196" i="1"/>
  <c r="J197" i="1"/>
  <c r="N197" i="1"/>
  <c r="O197" i="1"/>
  <c r="P197" i="1"/>
  <c r="Q197" i="1"/>
  <c r="J198" i="1"/>
  <c r="N198" i="1"/>
  <c r="O198" i="1"/>
  <c r="P198" i="1"/>
  <c r="Q198" i="1"/>
  <c r="J199" i="1"/>
  <c r="N199" i="1"/>
  <c r="O199" i="1"/>
  <c r="P199" i="1"/>
  <c r="Q199" i="1"/>
  <c r="J200" i="1"/>
  <c r="N200" i="1"/>
  <c r="O200" i="1"/>
  <c r="P200" i="1"/>
  <c r="Q200" i="1"/>
  <c r="J201" i="1"/>
  <c r="N201" i="1"/>
  <c r="O201" i="1"/>
  <c r="P201" i="1"/>
  <c r="Q201" i="1"/>
  <c r="J202" i="1"/>
  <c r="N202" i="1"/>
  <c r="O202" i="1"/>
  <c r="P202" i="1"/>
  <c r="Q202" i="1"/>
  <c r="J203" i="1"/>
  <c r="N203" i="1"/>
  <c r="O203" i="1"/>
  <c r="P203" i="1"/>
  <c r="Q203" i="1"/>
  <c r="J204" i="1"/>
  <c r="N204" i="1"/>
  <c r="O204" i="1"/>
  <c r="P204" i="1"/>
  <c r="Q204" i="1"/>
  <c r="J205" i="1"/>
  <c r="N205" i="1"/>
  <c r="O205" i="1"/>
  <c r="P205" i="1"/>
  <c r="Q205" i="1"/>
  <c r="J127" i="1"/>
  <c r="N127" i="1"/>
  <c r="O127" i="1"/>
  <c r="P127" i="1"/>
  <c r="Q127" i="1"/>
  <c r="J117" i="1"/>
  <c r="N117" i="1"/>
  <c r="O117" i="1"/>
  <c r="P117" i="1"/>
  <c r="Q117" i="1"/>
  <c r="J118" i="1"/>
  <c r="N118" i="1"/>
  <c r="O118" i="1"/>
  <c r="P118" i="1"/>
  <c r="Q118" i="1"/>
  <c r="J119" i="1"/>
  <c r="N119" i="1"/>
  <c r="O119" i="1"/>
  <c r="P119" i="1"/>
  <c r="Q119" i="1"/>
  <c r="J120" i="1"/>
  <c r="N120" i="1"/>
  <c r="O120" i="1"/>
  <c r="P120" i="1"/>
  <c r="Q120" i="1"/>
  <c r="J121" i="1"/>
  <c r="N121" i="1"/>
  <c r="O121" i="1"/>
  <c r="P121" i="1"/>
  <c r="Q121" i="1"/>
  <c r="J122" i="1"/>
  <c r="N122" i="1"/>
  <c r="O122" i="1"/>
  <c r="P122" i="1"/>
  <c r="Q122" i="1"/>
  <c r="J123" i="1"/>
  <c r="N123" i="1"/>
  <c r="O123" i="1"/>
  <c r="P123" i="1"/>
  <c r="Q123" i="1"/>
  <c r="J124" i="1"/>
  <c r="N124" i="1"/>
  <c r="O124" i="1"/>
  <c r="P124" i="1"/>
  <c r="Q124" i="1"/>
  <c r="J125" i="1"/>
  <c r="N125" i="1"/>
  <c r="O125" i="1"/>
  <c r="P125" i="1"/>
  <c r="Q125" i="1"/>
  <c r="J126" i="1"/>
  <c r="N126" i="1"/>
  <c r="O126" i="1"/>
  <c r="P126" i="1"/>
  <c r="Q126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O4" i="1"/>
  <c r="Q116" i="1"/>
  <c r="P116" i="1"/>
  <c r="Q115" i="1"/>
  <c r="P115" i="1"/>
  <c r="Q114" i="1"/>
  <c r="P114" i="1"/>
  <c r="Q113" i="1"/>
  <c r="P113" i="1"/>
  <c r="Q112" i="1"/>
  <c r="P112" i="1"/>
  <c r="Q111" i="1"/>
  <c r="P111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9" i="1"/>
  <c r="P99" i="1"/>
  <c r="Q98" i="1"/>
  <c r="P98" i="1"/>
  <c r="Q97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Q90" i="1"/>
  <c r="P90" i="1"/>
  <c r="Q89" i="1"/>
  <c r="P89" i="1"/>
  <c r="Q88" i="1"/>
  <c r="P88" i="1"/>
  <c r="Q87" i="1"/>
  <c r="P87" i="1"/>
  <c r="Q86" i="1"/>
  <c r="P86" i="1"/>
  <c r="Q85" i="1"/>
  <c r="P85" i="1"/>
  <c r="Q84" i="1"/>
  <c r="P84" i="1"/>
  <c r="Q83" i="1"/>
  <c r="P83" i="1"/>
  <c r="Q82" i="1"/>
  <c r="P82" i="1"/>
  <c r="Q81" i="1"/>
  <c r="P81" i="1"/>
  <c r="Q80" i="1"/>
  <c r="P80" i="1"/>
  <c r="Q79" i="1"/>
  <c r="P79" i="1"/>
  <c r="Q78" i="1"/>
  <c r="P78" i="1"/>
  <c r="Q77" i="1"/>
  <c r="P77" i="1"/>
  <c r="Q76" i="1"/>
  <c r="P76" i="1"/>
  <c r="Q75" i="1"/>
  <c r="P75" i="1"/>
  <c r="Q74" i="1"/>
  <c r="P74" i="1"/>
  <c r="Q73" i="1"/>
  <c r="P73" i="1"/>
  <c r="Q72" i="1"/>
  <c r="P72" i="1"/>
  <c r="Q71" i="1"/>
  <c r="P71" i="1"/>
  <c r="Q70" i="1"/>
  <c r="P70" i="1"/>
  <c r="Q69" i="1"/>
  <c r="P69" i="1"/>
  <c r="Q68" i="1"/>
  <c r="P68" i="1"/>
  <c r="Q67" i="1"/>
  <c r="P67" i="1"/>
  <c r="Q66" i="1"/>
  <c r="P66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Q53" i="1"/>
  <c r="P53" i="1"/>
  <c r="Q52" i="1"/>
  <c r="P52" i="1"/>
  <c r="Q51" i="1"/>
  <c r="P51" i="1"/>
  <c r="Q50" i="1"/>
  <c r="P50" i="1"/>
  <c r="Q49" i="1"/>
  <c r="P49" i="1"/>
  <c r="Q48" i="1"/>
  <c r="P48" i="1"/>
  <c r="Q47" i="1"/>
  <c r="P47" i="1"/>
  <c r="Q46" i="1"/>
  <c r="P46" i="1"/>
  <c r="Q45" i="1"/>
  <c r="P45" i="1"/>
  <c r="Q44" i="1"/>
  <c r="P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  <c r="N2" i="1"/>
  <c r="O2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3" i="1"/>
</calcChain>
</file>

<file path=xl/sharedStrings.xml><?xml version="1.0" encoding="utf-8"?>
<sst xmlns="http://schemas.openxmlformats.org/spreadsheetml/2006/main" count="37752" uniqueCount="13206">
  <si>
    <t>Marca</t>
  </si>
  <si>
    <t>Modelo</t>
  </si>
  <si>
    <t>Versión</t>
  </si>
  <si>
    <t>Estado Dealer</t>
  </si>
  <si>
    <t>Año</t>
  </si>
  <si>
    <t>Placa Patente</t>
  </si>
  <si>
    <t>Modelo-versión-año</t>
  </si>
  <si>
    <t xml:space="preserve">Precio toma historico </t>
  </si>
  <si>
    <t>Precio toma historico autored</t>
  </si>
  <si>
    <t>Precio unidad venta</t>
  </si>
  <si>
    <t>Precio Lista informe stock</t>
  </si>
  <si>
    <t>Precio Mercado</t>
  </si>
  <si>
    <t>Precio Compra Neto Informe Stock</t>
  </si>
  <si>
    <t>Total Costo Informe Stock</t>
  </si>
  <si>
    <t>BAIC</t>
  </si>
  <si>
    <t>X35</t>
  </si>
  <si>
    <t>EN PREPARACION</t>
  </si>
  <si>
    <t>RTTZ73</t>
  </si>
  <si>
    <t>BYD</t>
  </si>
  <si>
    <t>SHARK DMO</t>
  </si>
  <si>
    <t>CON PRENDA</t>
  </si>
  <si>
    <t>TGVD10</t>
  </si>
  <si>
    <t>TGVF52</t>
  </si>
  <si>
    <t>TGVF53</t>
  </si>
  <si>
    <t>SONG PLUS DM-i</t>
  </si>
  <si>
    <t>SONG PLUS 4X2 1.5 AUT</t>
  </si>
  <si>
    <t>DISPONIBLE</t>
  </si>
  <si>
    <t>TJDC55</t>
  </si>
  <si>
    <t>CHERY</t>
  </si>
  <si>
    <t>ARRIZO 3</t>
  </si>
  <si>
    <t>PKHC89</t>
  </si>
  <si>
    <t>TIGGO 3</t>
  </si>
  <si>
    <t>TIGGO 3 1.5</t>
  </si>
  <si>
    <t>EN RESCILIACION</t>
  </si>
  <si>
    <t>RBZD91</t>
  </si>
  <si>
    <t>TIGGO 3 PRO</t>
  </si>
  <si>
    <t>TIGGO 3 PRO GLS 1.5 AUT</t>
  </si>
  <si>
    <t>VKCY97</t>
  </si>
  <si>
    <t>TIGGO 7 PRO</t>
  </si>
  <si>
    <t>TIGGO 7 GLX CVT PRO 1.5 AUT</t>
  </si>
  <si>
    <t>EN TALLER</t>
  </si>
  <si>
    <t>RVRD47</t>
  </si>
  <si>
    <t>TIGGO 8</t>
  </si>
  <si>
    <t>TIGGO 8 1.5</t>
  </si>
  <si>
    <t>RSJD48</t>
  </si>
  <si>
    <t>CHEVROLET</t>
  </si>
  <si>
    <t>CAPTIVA</t>
  </si>
  <si>
    <t>CAPTIVA LS 2.4 AT</t>
  </si>
  <si>
    <t>JHSK67</t>
  </si>
  <si>
    <t>SILVERADO</t>
  </si>
  <si>
    <t>SILVERADO CC LTZ 4X4 3.0 AUT</t>
  </si>
  <si>
    <t>SJDW14</t>
  </si>
  <si>
    <t>SPIN</t>
  </si>
  <si>
    <t>SPIN 1.8</t>
  </si>
  <si>
    <t>PKZB80</t>
  </si>
  <si>
    <t>TAHOE</t>
  </si>
  <si>
    <t>PDBT76</t>
  </si>
  <si>
    <t>TRACKER</t>
  </si>
  <si>
    <t>TRACKER 1.2T</t>
  </si>
  <si>
    <t>SBWS64</t>
  </si>
  <si>
    <t>CITROEN</t>
  </si>
  <si>
    <t>C3</t>
  </si>
  <si>
    <t>C3 AIRCROSS 1.2 AUT</t>
  </si>
  <si>
    <t>NO DISPONIBLE</t>
  </si>
  <si>
    <t>LPXJ44</t>
  </si>
  <si>
    <t>C5</t>
  </si>
  <si>
    <t>C5 AIRCROSS 1.5 AUT</t>
  </si>
  <si>
    <t>LVWV64</t>
  </si>
  <si>
    <t>DFSK</t>
  </si>
  <si>
    <t>SUV 560 1.8</t>
  </si>
  <si>
    <t>RCBJ98</t>
  </si>
  <si>
    <t>SUV 560 4X2 1.8</t>
  </si>
  <si>
    <t>STBT82</t>
  </si>
  <si>
    <t>SUV 560 OTTO 1.8</t>
  </si>
  <si>
    <t>SSTB40</t>
  </si>
  <si>
    <t>SUV GLORY 580 1.8</t>
  </si>
  <si>
    <t>SLYZ44</t>
  </si>
  <si>
    <t>SJJH94</t>
  </si>
  <si>
    <t>CARGO BOX XL 1.3</t>
  </si>
  <si>
    <t>PICK UP D1</t>
  </si>
  <si>
    <t>D1 LUXURY 4X4 2.3</t>
  </si>
  <si>
    <t>TTVT92</t>
  </si>
  <si>
    <t>EXEED BORN FOR MORE</t>
  </si>
  <si>
    <t>LX</t>
  </si>
  <si>
    <t>LX ADVANCED 1.5 AUT</t>
  </si>
  <si>
    <t>SZTL17</t>
  </si>
  <si>
    <t>FORD</t>
  </si>
  <si>
    <t>BRONCO</t>
  </si>
  <si>
    <t>BRONCO SPORT WILDTRAK 4X4 2.0 AUT</t>
  </si>
  <si>
    <t>TYWS69</t>
  </si>
  <si>
    <t>ECOSPORT</t>
  </si>
  <si>
    <t>ECOSPORT FREESTYLE 1.5</t>
  </si>
  <si>
    <t>LHSD99</t>
  </si>
  <si>
    <t>EDGE</t>
  </si>
  <si>
    <t>EDGE AWD 2.0 CVT</t>
  </si>
  <si>
    <t>TFFD89</t>
  </si>
  <si>
    <t>EDGE SEL 4X4 2.0 AUT</t>
  </si>
  <si>
    <t>PCDV84</t>
  </si>
  <si>
    <t>ESCAPE</t>
  </si>
  <si>
    <t>ESCAPE FHEV 2.5 AUT</t>
  </si>
  <si>
    <t>SBLD74</t>
  </si>
  <si>
    <t>SKSZ29</t>
  </si>
  <si>
    <t>TJSK11</t>
  </si>
  <si>
    <t>EXPEDITION</t>
  </si>
  <si>
    <t>EXPEDITION XLT 3.5 AUT</t>
  </si>
  <si>
    <t>JGFD64</t>
  </si>
  <si>
    <t>EXPLORER</t>
  </si>
  <si>
    <t>EXPLORER 4X2 2.3 AUT</t>
  </si>
  <si>
    <t>SXHV61</t>
  </si>
  <si>
    <t>EXPLORER LTD 4X4 2.3 AUT</t>
  </si>
  <si>
    <t>LSZV62</t>
  </si>
  <si>
    <t>F-150</t>
  </si>
  <si>
    <t>PKTZ57</t>
  </si>
  <si>
    <t>F150 LARIAT LUXURY 4X4 5.0L AUT</t>
  </si>
  <si>
    <t>PSTV42</t>
  </si>
  <si>
    <t>LYPC19</t>
  </si>
  <si>
    <t>EN TALLER EXTERNO</t>
  </si>
  <si>
    <t>LVWS91</t>
  </si>
  <si>
    <t>F150 XLT 4X4 5.0</t>
  </si>
  <si>
    <t>KCBZ84</t>
  </si>
  <si>
    <t>F150 XLT 4X4 5.0L AUT</t>
  </si>
  <si>
    <t>TKHS25</t>
  </si>
  <si>
    <t>RANGER</t>
  </si>
  <si>
    <t>RANGER LTD 4X4 3.0 AUT</t>
  </si>
  <si>
    <t>TJSK30</t>
  </si>
  <si>
    <t>RANGER RAPTOR 4X4 2.0 AUT</t>
  </si>
  <si>
    <t>SFTZ65</t>
  </si>
  <si>
    <t>RANGER RAPTOR 4X4 3.0 AT</t>
  </si>
  <si>
    <t>TFDC75</t>
  </si>
  <si>
    <t>TFGL70</t>
  </si>
  <si>
    <t>RANGER XLS 2.0</t>
  </si>
  <si>
    <t>SYPL90</t>
  </si>
  <si>
    <t>RANGER XLT 2.5</t>
  </si>
  <si>
    <t>RVKK81</t>
  </si>
  <si>
    <t>TERRITORY</t>
  </si>
  <si>
    <t>TERRITORY 1.5 AUT</t>
  </si>
  <si>
    <t>PJDC98</t>
  </si>
  <si>
    <t>RRWP38</t>
  </si>
  <si>
    <t>TERRITORY TITANIUM 4X2 1.5 AUT</t>
  </si>
  <si>
    <t>VFTG40</t>
  </si>
  <si>
    <t>GAC</t>
  </si>
  <si>
    <t>TWSB37</t>
  </si>
  <si>
    <t>GREAT WALL</t>
  </si>
  <si>
    <t>POER MT 4X4 2.0</t>
  </si>
  <si>
    <t>TKHL10</t>
  </si>
  <si>
    <t>POER</t>
  </si>
  <si>
    <t>TPJF75</t>
  </si>
  <si>
    <t>HAVAL</t>
  </si>
  <si>
    <t>H2</t>
  </si>
  <si>
    <t>LHCV19</t>
  </si>
  <si>
    <t>H6</t>
  </si>
  <si>
    <t>H6 GT DCT 4X4 2.0 AUT</t>
  </si>
  <si>
    <t>THCY28</t>
  </si>
  <si>
    <t>JOLION</t>
  </si>
  <si>
    <t>JOLION TURBO DCT 1.5 AUT</t>
  </si>
  <si>
    <t>RSTC22</t>
  </si>
  <si>
    <t>HYUNDAI</t>
  </si>
  <si>
    <t>TTXB96</t>
  </si>
  <si>
    <t>SLDR66</t>
  </si>
  <si>
    <t>SANTA FE MX5 GDI 2.5 AUT</t>
  </si>
  <si>
    <t>THXK86</t>
  </si>
  <si>
    <t>SANTA FE MX5 GDI 4X4 2.5 AUT</t>
  </si>
  <si>
    <t>TTVD23</t>
  </si>
  <si>
    <t>TUCSON NX4 2.0 AUT</t>
  </si>
  <si>
    <t>SZTF51</t>
  </si>
  <si>
    <t>STARIA</t>
  </si>
  <si>
    <t>RXXW40</t>
  </si>
  <si>
    <t>JAC</t>
  </si>
  <si>
    <t>JS4</t>
  </si>
  <si>
    <t>TDKL17</t>
  </si>
  <si>
    <t>T8</t>
  </si>
  <si>
    <t>T8 PRO TM 4X4 2.0</t>
  </si>
  <si>
    <t>SSVL57</t>
  </si>
  <si>
    <t>JAECOO</t>
  </si>
  <si>
    <t>7 DCT 1.6 AUT</t>
  </si>
  <si>
    <t>VGPT64</t>
  </si>
  <si>
    <t>7 DCT FWD 1.6 AUT</t>
  </si>
  <si>
    <t>VDWK12</t>
  </si>
  <si>
    <t>VJTS35</t>
  </si>
  <si>
    <t>TYFD45</t>
  </si>
  <si>
    <t>JEEP</t>
  </si>
  <si>
    <t>COMPASS</t>
  </si>
  <si>
    <t>TSYZ42</t>
  </si>
  <si>
    <t>GRAND CHEROKEE</t>
  </si>
  <si>
    <t>GRAND CHEROKEE LAREDO 4X4 3.0 AUT</t>
  </si>
  <si>
    <t>FHRL53</t>
  </si>
  <si>
    <t>KIA MOTORS</t>
  </si>
  <si>
    <t>FRONTIER</t>
  </si>
  <si>
    <t>MORNING</t>
  </si>
  <si>
    <t>MORNING LX 1.0</t>
  </si>
  <si>
    <t>NIRO</t>
  </si>
  <si>
    <t>NIRO HEV DCT GDI 1.6 AUT</t>
  </si>
  <si>
    <t>THXP99</t>
  </si>
  <si>
    <t>SELTOS</t>
  </si>
  <si>
    <t>SELTOS EX 1.6 AUT</t>
  </si>
  <si>
    <t>SBLD56</t>
  </si>
  <si>
    <t>SORENTO</t>
  </si>
  <si>
    <t>SORENTO 8DCT 4WD 2.2 AUT</t>
  </si>
  <si>
    <t>TRBJ23</t>
  </si>
  <si>
    <t>SPORTAGE</t>
  </si>
  <si>
    <t>SPORTAGE EX 2.0 AUT</t>
  </si>
  <si>
    <t>SDKG61</t>
  </si>
  <si>
    <t>SPORTAGE EX 2.0L</t>
  </si>
  <si>
    <t>SGDP76</t>
  </si>
  <si>
    <t>MAHINDRA</t>
  </si>
  <si>
    <t>KUV 100 HATCH BACK 1.2</t>
  </si>
  <si>
    <t>RGLK10</t>
  </si>
  <si>
    <t>MAZDA</t>
  </si>
  <si>
    <t>CX-30</t>
  </si>
  <si>
    <t>CX30 4X2 2.0 AUT</t>
  </si>
  <si>
    <t>VBWR52</t>
  </si>
  <si>
    <t>CX-60</t>
  </si>
  <si>
    <t>CX60 PREMIUM SPORT 4X4 3.3 AUT</t>
  </si>
  <si>
    <t>TSPX19</t>
  </si>
  <si>
    <t>MITSUBISHI</t>
  </si>
  <si>
    <t>OUTLANDER</t>
  </si>
  <si>
    <t>OUTLANDER GL 2.5 AUT</t>
  </si>
  <si>
    <t>SLWH28</t>
  </si>
  <si>
    <t>OUTLANDER GLS 4X4 2.5 AT</t>
  </si>
  <si>
    <t>VDFP78</t>
  </si>
  <si>
    <t>NISSAN</t>
  </si>
  <si>
    <t>JUKE</t>
  </si>
  <si>
    <t>HHYB74</t>
  </si>
  <si>
    <t>QASHQAI</t>
  </si>
  <si>
    <t>QASHQAI TURBO 1.3</t>
  </si>
  <si>
    <t>THCY22</t>
  </si>
  <si>
    <t>SFLX53</t>
  </si>
  <si>
    <t>SXTX58</t>
  </si>
  <si>
    <t>SENTRA</t>
  </si>
  <si>
    <t>SENTRA 1.8 AT</t>
  </si>
  <si>
    <t>PDBJ62</t>
  </si>
  <si>
    <t>VERSA</t>
  </si>
  <si>
    <t>VERSA CVT 1.6 AUT</t>
  </si>
  <si>
    <t>RBJH77</t>
  </si>
  <si>
    <t>XTRAIL</t>
  </si>
  <si>
    <t>X TRAIL 4X2 7P CVT 2.5</t>
  </si>
  <si>
    <t>SXHW25</t>
  </si>
  <si>
    <t>OMODA</t>
  </si>
  <si>
    <t>C5 1.5 AUT</t>
  </si>
  <si>
    <t>TSSG86</t>
  </si>
  <si>
    <t>VPGG34</t>
  </si>
  <si>
    <t>PEUGEOT</t>
  </si>
  <si>
    <t>PCDZ57</t>
  </si>
  <si>
    <t>2008 PURETECH 130 1.2</t>
  </si>
  <si>
    <t>PKJP44</t>
  </si>
  <si>
    <t>3008 ACTIVE 1.6</t>
  </si>
  <si>
    <t>JYBF33</t>
  </si>
  <si>
    <t>3008 ALLURE 1.2 AUT</t>
  </si>
  <si>
    <t>TZTC96</t>
  </si>
  <si>
    <t>JXGC32</t>
  </si>
  <si>
    <t>3008 BLUE HDI 130 1.5</t>
  </si>
  <si>
    <t>PYLP70</t>
  </si>
  <si>
    <t>3008 BLUE HDI HP 1.5 AUT</t>
  </si>
  <si>
    <t>LVCS57</t>
  </si>
  <si>
    <t>3008 PURETECH 1.2L</t>
  </si>
  <si>
    <t>SDPF24</t>
  </si>
  <si>
    <t>TBDD19</t>
  </si>
  <si>
    <t>SVGL34</t>
  </si>
  <si>
    <t>3008 THP 165HP 1.6 AUT</t>
  </si>
  <si>
    <t>SPZB83</t>
  </si>
  <si>
    <t>PRVP72</t>
  </si>
  <si>
    <t>SWBW23</t>
  </si>
  <si>
    <t>5008 BLUEHDI 130 1.5 AUT</t>
  </si>
  <si>
    <t>PZTS12</t>
  </si>
  <si>
    <t>SFLW13</t>
  </si>
  <si>
    <t>TSZC89</t>
  </si>
  <si>
    <t>5008 PURETECH 180 EAT8 1.6 AUT</t>
  </si>
  <si>
    <t>SJKL16</t>
  </si>
  <si>
    <t>SRWC14</t>
  </si>
  <si>
    <t>LANDTREK</t>
  </si>
  <si>
    <t>LANDTREK 1.9</t>
  </si>
  <si>
    <t>SHDG76</t>
  </si>
  <si>
    <t>LANDTREK BLUEHDI 4X4 2.2 AUT</t>
  </si>
  <si>
    <t>TFGP78</t>
  </si>
  <si>
    <t>TSSB38</t>
  </si>
  <si>
    <t>TBJJ46</t>
  </si>
  <si>
    <t>PARTNER</t>
  </si>
  <si>
    <t>VDBP55</t>
  </si>
  <si>
    <t>RAM</t>
  </si>
  <si>
    <t>RAM 1500</t>
  </si>
  <si>
    <t>SHLW33</t>
  </si>
  <si>
    <t>1500 REBEL CREW DCAB 4X4 5.7 AUT</t>
  </si>
  <si>
    <t>RXYT46</t>
  </si>
  <si>
    <t>RAMPAGE DS LARAMIE 4X4 2.0 AUT</t>
  </si>
  <si>
    <t>VFSF65</t>
  </si>
  <si>
    <t>RAMPAGE</t>
  </si>
  <si>
    <t>RAMPAGE DS BIGHORN 4X4 2.0 AUT</t>
  </si>
  <si>
    <t>TZHS55</t>
  </si>
  <si>
    <t>RENAULT</t>
  </si>
  <si>
    <t>DUSTER ZEN 1.6</t>
  </si>
  <si>
    <t>LPXF73</t>
  </si>
  <si>
    <t>SSANGYONG</t>
  </si>
  <si>
    <t>KORANDO</t>
  </si>
  <si>
    <t>NEW KORANDO 1.6</t>
  </si>
  <si>
    <t>PKBJ31</t>
  </si>
  <si>
    <t>REXTON</t>
  </si>
  <si>
    <t>GLRH21</t>
  </si>
  <si>
    <t>TORRES</t>
  </si>
  <si>
    <t>TORRES 4X2 1.5</t>
  </si>
  <si>
    <t>TLRS70</t>
  </si>
  <si>
    <t>SUZUKI</t>
  </si>
  <si>
    <t>GRAND NOMADE</t>
  </si>
  <si>
    <t>LBVT54</t>
  </si>
  <si>
    <t>JIMNY</t>
  </si>
  <si>
    <t>JIMNY 4X4 OTTO 1.5</t>
  </si>
  <si>
    <t>PPJR63</t>
  </si>
  <si>
    <t>TOYOTA</t>
  </si>
  <si>
    <t>C-HR</t>
  </si>
  <si>
    <t>PXVL80</t>
  </si>
  <si>
    <t>HILUX</t>
  </si>
  <si>
    <t>TFGR40</t>
  </si>
  <si>
    <t>VOLKSWAGEN</t>
  </si>
  <si>
    <t>AMAROK</t>
  </si>
  <si>
    <t>AMAROK DCAB TDI DOHC 4X4 2.0 AUT</t>
  </si>
  <si>
    <t>SRHZ99</t>
  </si>
  <si>
    <t>SAVEIRO</t>
  </si>
  <si>
    <t>TFGS79</t>
  </si>
  <si>
    <t>ZX AUTO</t>
  </si>
  <si>
    <t>TERRALORD</t>
  </si>
  <si>
    <t>RSWX56</t>
  </si>
  <si>
    <t>RDWB83</t>
  </si>
  <si>
    <t>Patente</t>
  </si>
  <si>
    <t>Precio toma autored</t>
  </si>
  <si>
    <t>SWBW81</t>
  </si>
  <si>
    <t>TCTX97</t>
  </si>
  <si>
    <t>VFTG62</t>
  </si>
  <si>
    <t>JZGC66</t>
  </si>
  <si>
    <t>TSYY69</t>
  </si>
  <si>
    <t>SSST63</t>
  </si>
  <si>
    <t>RJDX62</t>
  </si>
  <si>
    <t>JZGK83</t>
  </si>
  <si>
    <t>TGVK79</t>
  </si>
  <si>
    <t>TJDC59</t>
  </si>
  <si>
    <t>RTVT40</t>
  </si>
  <si>
    <t>SDGC21</t>
  </si>
  <si>
    <t>PYDG61</t>
  </si>
  <si>
    <t>TCTX98</t>
  </si>
  <si>
    <t>KRWJ90</t>
  </si>
  <si>
    <t>TCTB86</t>
  </si>
  <si>
    <t>RBXW58</t>
  </si>
  <si>
    <t>SBWL78</t>
  </si>
  <si>
    <t>JXGF88</t>
  </si>
  <si>
    <t>SVGP41</t>
  </si>
  <si>
    <t>VTRD64</t>
  </si>
  <si>
    <t>LLBS95</t>
  </si>
  <si>
    <t>TDXD50</t>
  </si>
  <si>
    <t>PFRT42</t>
  </si>
  <si>
    <t>PLCG23</t>
  </si>
  <si>
    <t>VSWV91</t>
  </si>
  <si>
    <t>STPT35</t>
  </si>
  <si>
    <t>VBRT23</t>
  </si>
  <si>
    <t>TFRD99</t>
  </si>
  <si>
    <t>TRBK39</t>
  </si>
  <si>
    <t>SWBS67</t>
  </si>
  <si>
    <t>SFLX72</t>
  </si>
  <si>
    <t>VJTT72</t>
  </si>
  <si>
    <t>PYVK20</t>
  </si>
  <si>
    <t>VKBH32</t>
  </si>
  <si>
    <t>SRJB16</t>
  </si>
  <si>
    <t>PZJR26</t>
  </si>
  <si>
    <t>TKHR22</t>
  </si>
  <si>
    <t>SBWL25</t>
  </si>
  <si>
    <t>VKDC48</t>
  </si>
  <si>
    <t>SPZC95</t>
  </si>
  <si>
    <t>VPDX23</t>
  </si>
  <si>
    <t>PJTG17</t>
  </si>
  <si>
    <t>LWPY48</t>
  </si>
  <si>
    <t>SHBY19</t>
  </si>
  <si>
    <t>KWYC76</t>
  </si>
  <si>
    <t>SPZC15</t>
  </si>
  <si>
    <t>PBXX58</t>
  </si>
  <si>
    <t>TJLC31</t>
  </si>
  <si>
    <t>PSTV85</t>
  </si>
  <si>
    <t>KSRP53</t>
  </si>
  <si>
    <t>LVWS97</t>
  </si>
  <si>
    <t>TBJC56</t>
  </si>
  <si>
    <t>RPFK37</t>
  </si>
  <si>
    <t>VPGJ85</t>
  </si>
  <si>
    <t>PLTG12</t>
  </si>
  <si>
    <t>RYDL92</t>
  </si>
  <si>
    <t>SSSC41</t>
  </si>
  <si>
    <t>RZCJ93</t>
  </si>
  <si>
    <t>TBCP64</t>
  </si>
  <si>
    <t>PSHX15</t>
  </si>
  <si>
    <t>SPZB62</t>
  </si>
  <si>
    <t>LSYC14</t>
  </si>
  <si>
    <t>LLBX18</t>
  </si>
  <si>
    <t>TJSH54</t>
  </si>
  <si>
    <t>RJBV91</t>
  </si>
  <si>
    <t>SCWV43</t>
  </si>
  <si>
    <t>PFGH38</t>
  </si>
  <si>
    <t>RRJP20</t>
  </si>
  <si>
    <t>THXR88</t>
  </si>
  <si>
    <t>PHKK11</t>
  </si>
  <si>
    <t>SYXT21</t>
  </si>
  <si>
    <t>SLLW50</t>
  </si>
  <si>
    <t>PBGX86</t>
  </si>
  <si>
    <t>TDWY79</t>
  </si>
  <si>
    <t>PJLP25</t>
  </si>
  <si>
    <t>TSSC10</t>
  </si>
  <si>
    <t>SJJJ22</t>
  </si>
  <si>
    <t>THRJ79</t>
  </si>
  <si>
    <t>VHGF48</t>
  </si>
  <si>
    <t>LHCR66</t>
  </si>
  <si>
    <t>KRWG31</t>
  </si>
  <si>
    <t>LSXV68</t>
  </si>
  <si>
    <t>TXZB72</t>
  </si>
  <si>
    <t>VKBG21</t>
  </si>
  <si>
    <t>SVRL90</t>
  </si>
  <si>
    <t>VDBK98</t>
  </si>
  <si>
    <t>SSSF46</t>
  </si>
  <si>
    <t>RWWG58</t>
  </si>
  <si>
    <t>STFZ67</t>
  </si>
  <si>
    <t>SHCG10</t>
  </si>
  <si>
    <t>SCDL97</t>
  </si>
  <si>
    <t>RDBC10</t>
  </si>
  <si>
    <t>VKCZ36</t>
  </si>
  <si>
    <t>TJDD82</t>
  </si>
  <si>
    <t>TKWH74</t>
  </si>
  <si>
    <t>RLBZ23</t>
  </si>
  <si>
    <t>SKSZ24</t>
  </si>
  <si>
    <t>LDVW68</t>
  </si>
  <si>
    <t>PGGS30</t>
  </si>
  <si>
    <t>SYXT32</t>
  </si>
  <si>
    <t>SVWP73</t>
  </si>
  <si>
    <t>RBXV78</t>
  </si>
  <si>
    <t>TRHY51</t>
  </si>
  <si>
    <t>TYWT40</t>
  </si>
  <si>
    <t>SPJD14</t>
  </si>
  <si>
    <t>SPTB48</t>
  </si>
  <si>
    <t>KLBS58</t>
  </si>
  <si>
    <t>SHBW78</t>
  </si>
  <si>
    <t>HXRJ76</t>
  </si>
  <si>
    <t>PSJH87</t>
  </si>
  <si>
    <t>RRYD89</t>
  </si>
  <si>
    <t>SPSY92</t>
  </si>
  <si>
    <t>LSVF37</t>
  </si>
  <si>
    <t>RWWB11</t>
  </si>
  <si>
    <t>TBZL70</t>
  </si>
  <si>
    <t>RPLJ40</t>
  </si>
  <si>
    <t>PPRR99</t>
  </si>
  <si>
    <t>PKBH93</t>
  </si>
  <si>
    <t>SPFZ72</t>
  </si>
  <si>
    <t>TXYY55</t>
  </si>
  <si>
    <t>LZPC22</t>
  </si>
  <si>
    <t>KGLK41</t>
  </si>
  <si>
    <t>RGZW28</t>
  </si>
  <si>
    <t>LDBK99</t>
  </si>
  <si>
    <t>VFTD74</t>
  </si>
  <si>
    <t>RSCZ75</t>
  </si>
  <si>
    <t>TSGC76</t>
  </si>
  <si>
    <t>SSTS61</t>
  </si>
  <si>
    <t>TDXD57</t>
  </si>
  <si>
    <t>VJBY81</t>
  </si>
  <si>
    <t>RSJF68</t>
  </si>
  <si>
    <t>TVXC76</t>
  </si>
  <si>
    <t>RZJJ27</t>
  </si>
  <si>
    <t>PRZZ35</t>
  </si>
  <si>
    <t>SRJB35</t>
  </si>
  <si>
    <t>PSPD35</t>
  </si>
  <si>
    <t>PKVX70</t>
  </si>
  <si>
    <t>KLPX58</t>
  </si>
  <si>
    <t>TCTB95</t>
  </si>
  <si>
    <t>TZSZ13</t>
  </si>
  <si>
    <t>SYPS56</t>
  </si>
  <si>
    <t>TCTX83</t>
  </si>
  <si>
    <t>JZGH39</t>
  </si>
  <si>
    <t>RFBV50</t>
  </si>
  <si>
    <t>PKBF15</t>
  </si>
  <si>
    <t>TRTW63</t>
  </si>
  <si>
    <t>SBWS12</t>
  </si>
  <si>
    <t>TPCP16</t>
  </si>
  <si>
    <t>PXXV95</t>
  </si>
  <si>
    <t>SPPY18</t>
  </si>
  <si>
    <t>TCTV39</t>
  </si>
  <si>
    <t>RJPL29</t>
  </si>
  <si>
    <t>SPSZ16</t>
  </si>
  <si>
    <t>RVKL20</t>
  </si>
  <si>
    <t>SJDV48</t>
  </si>
  <si>
    <t>TSSB95</t>
  </si>
  <si>
    <t>RFYC31</t>
  </si>
  <si>
    <t>SZTK19</t>
  </si>
  <si>
    <t>TCTS12</t>
  </si>
  <si>
    <t>KGLK71</t>
  </si>
  <si>
    <t>PPGH28</t>
  </si>
  <si>
    <t>TCHW91</t>
  </si>
  <si>
    <t>LBVX49</t>
  </si>
  <si>
    <t>PSTV15</t>
  </si>
  <si>
    <t>TLRT68</t>
  </si>
  <si>
    <t>TGVG86</t>
  </si>
  <si>
    <t>SJHZ88</t>
  </si>
  <si>
    <t>RDJS62</t>
  </si>
  <si>
    <t>KTCV74</t>
  </si>
  <si>
    <t>TRJC45</t>
  </si>
  <si>
    <t>PSGB54</t>
  </si>
  <si>
    <t>SHDG89</t>
  </si>
  <si>
    <t>SLKK91</t>
  </si>
  <si>
    <t>RJCW76</t>
  </si>
  <si>
    <t>SVRR32</t>
  </si>
  <si>
    <t>SHZR71</t>
  </si>
  <si>
    <t>TJDF16</t>
  </si>
  <si>
    <t>SLZG20</t>
  </si>
  <si>
    <t>JZGD12</t>
  </si>
  <si>
    <t>SPSY59</t>
  </si>
  <si>
    <t>TXYY85</t>
  </si>
  <si>
    <t>RYRL42</t>
  </si>
  <si>
    <t>VJBV20</t>
  </si>
  <si>
    <t>RLSG36</t>
  </si>
  <si>
    <t>SKSZ63</t>
  </si>
  <si>
    <t>TSRG98</t>
  </si>
  <si>
    <t>TFRF61</t>
  </si>
  <si>
    <t>KTDB92</t>
  </si>
  <si>
    <t>JPZZ41</t>
  </si>
  <si>
    <t>RZJH61</t>
  </si>
  <si>
    <t>LYLY95</t>
  </si>
  <si>
    <t>VBWW84</t>
  </si>
  <si>
    <t>KWXK74</t>
  </si>
  <si>
    <t>LLBS77</t>
  </si>
  <si>
    <t>LVXF58</t>
  </si>
  <si>
    <t>KWXG99</t>
  </si>
  <si>
    <t>SSRS44</t>
  </si>
  <si>
    <t>PPLZ59</t>
  </si>
  <si>
    <t>LBGV62</t>
  </si>
  <si>
    <t>PYDG41</t>
  </si>
  <si>
    <t>SCZP82</t>
  </si>
  <si>
    <t>SHDC12</t>
  </si>
  <si>
    <t>RHBX45</t>
  </si>
  <si>
    <t>SDPD22</t>
  </si>
  <si>
    <t>SLRL57</t>
  </si>
  <si>
    <t>TJSJ11</t>
  </si>
  <si>
    <t>TFRD83</t>
  </si>
  <si>
    <t>KWXG70</t>
  </si>
  <si>
    <t>TGVK67</t>
  </si>
  <si>
    <t>TBJF15</t>
  </si>
  <si>
    <t>SWTR81</t>
  </si>
  <si>
    <t>TJDC33</t>
  </si>
  <si>
    <t>PTDJ84</t>
  </si>
  <si>
    <t>SCZP26</t>
  </si>
  <si>
    <t>TGVH61</t>
  </si>
  <si>
    <t>TDYJ19</t>
  </si>
  <si>
    <t>TTYT86</t>
  </si>
  <si>
    <t>SFLX16</t>
  </si>
  <si>
    <t>KZWB40</t>
  </si>
  <si>
    <t>RVDC71</t>
  </si>
  <si>
    <t>TKHR29</t>
  </si>
  <si>
    <t>JPLW44</t>
  </si>
  <si>
    <t>RZJJ64</t>
  </si>
  <si>
    <t>THXP42</t>
  </si>
  <si>
    <t>SLWF47</t>
  </si>
  <si>
    <t>THXP76</t>
  </si>
  <si>
    <t>PYXJ35</t>
  </si>
  <si>
    <t>SYXT50</t>
  </si>
  <si>
    <t>TXYW70</t>
  </si>
  <si>
    <t>TCHZ48</t>
  </si>
  <si>
    <t>VKJJ92</t>
  </si>
  <si>
    <t>TXYW48</t>
  </si>
  <si>
    <t>RZFB31</t>
  </si>
  <si>
    <t>LTFL71</t>
  </si>
  <si>
    <t>TRJC60</t>
  </si>
  <si>
    <t>VGPR72</t>
  </si>
  <si>
    <t>VHGB68</t>
  </si>
  <si>
    <t>PCFF55</t>
  </si>
  <si>
    <t>JKYJ63</t>
  </si>
  <si>
    <t>VJTR54</t>
  </si>
  <si>
    <t>PDGT60</t>
  </si>
  <si>
    <t>TPJF96</t>
  </si>
  <si>
    <t>THRJ85</t>
  </si>
  <si>
    <t>TJGZ85</t>
  </si>
  <si>
    <t>PSKZ84</t>
  </si>
  <si>
    <t>TJDC25</t>
  </si>
  <si>
    <t>TKTZ26</t>
  </si>
  <si>
    <t>TDYP51</t>
  </si>
  <si>
    <t>LVWW94</t>
  </si>
  <si>
    <t>KZHF61</t>
  </si>
  <si>
    <t>JWCK98</t>
  </si>
  <si>
    <t>JTLX81</t>
  </si>
  <si>
    <t>RVVS37</t>
  </si>
  <si>
    <t>RRTD33</t>
  </si>
  <si>
    <t>SBJF64</t>
  </si>
  <si>
    <t>SHBY83</t>
  </si>
  <si>
    <t>RDLV94</t>
  </si>
  <si>
    <t>LHCK78</t>
  </si>
  <si>
    <t>JPLS76</t>
  </si>
  <si>
    <t>SGDR42</t>
  </si>
  <si>
    <t>RTWK61</t>
  </si>
  <si>
    <t>PRVR24</t>
  </si>
  <si>
    <t>SHLV34</t>
  </si>
  <si>
    <t>SBLD96</t>
  </si>
  <si>
    <t>RZSR12</t>
  </si>
  <si>
    <t>RKPR21</t>
  </si>
  <si>
    <t>STBT10</t>
  </si>
  <si>
    <t>PPGH46</t>
  </si>
  <si>
    <t>SFTY58</t>
  </si>
  <si>
    <t>TKHR98</t>
  </si>
  <si>
    <t>SPZC61</t>
  </si>
  <si>
    <t>TRTB48</t>
  </si>
  <si>
    <t>PCRH17</t>
  </si>
  <si>
    <t>SYDL18</t>
  </si>
  <si>
    <t>RTLL28</t>
  </si>
  <si>
    <t>TBLV88</t>
  </si>
  <si>
    <t>PCFJ52</t>
  </si>
  <si>
    <t>LRWD97</t>
  </si>
  <si>
    <t>PYRY44</t>
  </si>
  <si>
    <t>LLBT62</t>
  </si>
  <si>
    <t>SDGD25</t>
  </si>
  <si>
    <t>RKWF38</t>
  </si>
  <si>
    <t>SKCG91</t>
  </si>
  <si>
    <t>STJW41</t>
  </si>
  <si>
    <t>SHBX95</t>
  </si>
  <si>
    <t>PDWX41</t>
  </si>
  <si>
    <t>TJYL89</t>
  </si>
  <si>
    <t>TKHT78</t>
  </si>
  <si>
    <t>PPGG84</t>
  </si>
  <si>
    <t>TRBC30</t>
  </si>
  <si>
    <t>TBJD78</t>
  </si>
  <si>
    <t>PHGC28</t>
  </si>
  <si>
    <t>SFDY98</t>
  </si>
  <si>
    <t>TSSG95</t>
  </si>
  <si>
    <t>SWBX38</t>
  </si>
  <si>
    <t>SDGD26</t>
  </si>
  <si>
    <t>PFRL56</t>
  </si>
  <si>
    <t>KCBJ41</t>
  </si>
  <si>
    <t>RXCG22</t>
  </si>
  <si>
    <t>SHZR14</t>
  </si>
  <si>
    <t>TJSH14</t>
  </si>
  <si>
    <t>RBBB38</t>
  </si>
  <si>
    <t>LJYL42</t>
  </si>
  <si>
    <t>RKPP73</t>
  </si>
  <si>
    <t>SKZD48</t>
  </si>
  <si>
    <t>VJBV25</t>
  </si>
  <si>
    <t>SJJG29</t>
  </si>
  <si>
    <t>KJWV14</t>
  </si>
  <si>
    <t>LYPB73</t>
  </si>
  <si>
    <t>PLHH76</t>
  </si>
  <si>
    <t>PHKL89</t>
  </si>
  <si>
    <t>PZJR43</t>
  </si>
  <si>
    <t>TLRS85</t>
  </si>
  <si>
    <t>SZTL52</t>
  </si>
  <si>
    <t>RCBJ25</t>
  </si>
  <si>
    <t>VGWR46</t>
  </si>
  <si>
    <t>PDHG15</t>
  </si>
  <si>
    <t>KDLW21</t>
  </si>
  <si>
    <t>RTLK38</t>
  </si>
  <si>
    <t>PTFD53</t>
  </si>
  <si>
    <t>TJLF39</t>
  </si>
  <si>
    <t>HRTJ95</t>
  </si>
  <si>
    <t>KWXY28</t>
  </si>
  <si>
    <t>SPZC38</t>
  </si>
  <si>
    <t>SVRS63</t>
  </si>
  <si>
    <t>SCZP83</t>
  </si>
  <si>
    <t>RKFZ25</t>
  </si>
  <si>
    <t>JZGC74</t>
  </si>
  <si>
    <t>SHBW30</t>
  </si>
  <si>
    <t>RBZF87</t>
  </si>
  <si>
    <t>KJDS48</t>
  </si>
  <si>
    <t>SDPD50</t>
  </si>
  <si>
    <t>RYDP97</t>
  </si>
  <si>
    <t>TDYJ39</t>
  </si>
  <si>
    <t>PSJH75</t>
  </si>
  <si>
    <t>TCHV13</t>
  </si>
  <si>
    <t>JXWF79</t>
  </si>
  <si>
    <t>PFRW21</t>
  </si>
  <si>
    <t>PYDD79</t>
  </si>
  <si>
    <t>RJCT73</t>
  </si>
  <si>
    <t>PYDD81</t>
  </si>
  <si>
    <t>JDKV81</t>
  </si>
  <si>
    <t>TGVG41</t>
  </si>
  <si>
    <t>VCRP11</t>
  </si>
  <si>
    <t>TKHS76</t>
  </si>
  <si>
    <t>RLJR92</t>
  </si>
  <si>
    <t>SWTL55</t>
  </si>
  <si>
    <t>VDBK40</t>
  </si>
  <si>
    <t>PSPH58</t>
  </si>
  <si>
    <t>THHK19</t>
  </si>
  <si>
    <t>RLSG74</t>
  </si>
  <si>
    <t>RSHS21</t>
  </si>
  <si>
    <t>TJDB78</t>
  </si>
  <si>
    <t>PHGF32</t>
  </si>
  <si>
    <t>KRWD20</t>
  </si>
  <si>
    <t>THFK65</t>
  </si>
  <si>
    <t>LTST98</t>
  </si>
  <si>
    <t>TXZB38</t>
  </si>
  <si>
    <t>RGZC53</t>
  </si>
  <si>
    <t>THCX41</t>
  </si>
  <si>
    <t>RPGT95</t>
  </si>
  <si>
    <t>TBJD17</t>
  </si>
  <si>
    <t>RPRT50</t>
  </si>
  <si>
    <t>TBJD70</t>
  </si>
  <si>
    <t>PPGD27</t>
  </si>
  <si>
    <t>TPTX50</t>
  </si>
  <si>
    <t>STYH71</t>
  </si>
  <si>
    <t>RPJC38</t>
  </si>
  <si>
    <t>PYDH81</t>
  </si>
  <si>
    <t>VBBD68</t>
  </si>
  <si>
    <t>SJJH59</t>
  </si>
  <si>
    <t>KGXP27</t>
  </si>
  <si>
    <t>PRVL73</t>
  </si>
  <si>
    <t>SPFY64</t>
  </si>
  <si>
    <t>SRZJ85</t>
  </si>
  <si>
    <t>SBWK37</t>
  </si>
  <si>
    <t>LTWS93</t>
  </si>
  <si>
    <t>TJSK21</t>
  </si>
  <si>
    <t>RSTC60</t>
  </si>
  <si>
    <t>SSTS80</t>
  </si>
  <si>
    <t>LCWF57</t>
  </si>
  <si>
    <t>SBJH28</t>
  </si>
  <si>
    <t>PZLY32</t>
  </si>
  <si>
    <t>TCTW86</t>
  </si>
  <si>
    <t>PCFL20</t>
  </si>
  <si>
    <t>SBWS56</t>
  </si>
  <si>
    <t>JGCC57</t>
  </si>
  <si>
    <t>TPJG31</t>
  </si>
  <si>
    <t>PLRW95</t>
  </si>
  <si>
    <t>RSJD45</t>
  </si>
  <si>
    <t>TKHP45</t>
  </si>
  <si>
    <t>LSZV79</t>
  </si>
  <si>
    <t>SYFS81</t>
  </si>
  <si>
    <t>LZLW77</t>
  </si>
  <si>
    <t>SSWC61</t>
  </si>
  <si>
    <t>SXBS89</t>
  </si>
  <si>
    <t>KFVX29</t>
  </si>
  <si>
    <t>TRJG85</t>
  </si>
  <si>
    <t>RLJS15</t>
  </si>
  <si>
    <t>RSJL43</t>
  </si>
  <si>
    <t>TBCS34</t>
  </si>
  <si>
    <t>JHSC16</t>
  </si>
  <si>
    <t>SBJF67</t>
  </si>
  <si>
    <t>SYXS55</t>
  </si>
  <si>
    <t>RFKV28</t>
  </si>
  <si>
    <t>SVGL43</t>
  </si>
  <si>
    <t>TFRD18</t>
  </si>
  <si>
    <t>SDPD80</t>
  </si>
  <si>
    <t>TJLB74</t>
  </si>
  <si>
    <t>LKYB82</t>
  </si>
  <si>
    <t>RYBR28</t>
  </si>
  <si>
    <t>SVGL31</t>
  </si>
  <si>
    <t>SCWX27</t>
  </si>
  <si>
    <t>PPLZ61</t>
  </si>
  <si>
    <t>SLWF83</t>
  </si>
  <si>
    <t>TTXB59</t>
  </si>
  <si>
    <t>SFDX62</t>
  </si>
  <si>
    <t>SLJL53</t>
  </si>
  <si>
    <t>TRJG95</t>
  </si>
  <si>
    <t>RVPZ87</t>
  </si>
  <si>
    <t>SBLF15</t>
  </si>
  <si>
    <t>SRHZ95</t>
  </si>
  <si>
    <t>PLTL65</t>
  </si>
  <si>
    <t>TRTB20</t>
  </si>
  <si>
    <t>RFBV42</t>
  </si>
  <si>
    <t>RZFB93</t>
  </si>
  <si>
    <t>PXTG46</t>
  </si>
  <si>
    <t>RSTB39</t>
  </si>
  <si>
    <t>SYDS43</t>
  </si>
  <si>
    <t>SYXR85</t>
  </si>
  <si>
    <t>RSJF82</t>
  </si>
  <si>
    <t>RPFK54</t>
  </si>
  <si>
    <t>SFTZ15</t>
  </si>
  <si>
    <t>KWTL91</t>
  </si>
  <si>
    <t>TVXH55</t>
  </si>
  <si>
    <t>PKBF64</t>
  </si>
  <si>
    <t>SPPD67</t>
  </si>
  <si>
    <t>RDKY56</t>
  </si>
  <si>
    <t>TDXB64</t>
  </si>
  <si>
    <t>TJDC65</t>
  </si>
  <si>
    <t>PHGF67</t>
  </si>
  <si>
    <t>TBZP39</t>
  </si>
  <si>
    <t>RPFJ79</t>
  </si>
  <si>
    <t>TLRR98</t>
  </si>
  <si>
    <t>VDBP35</t>
  </si>
  <si>
    <t>SVGK89</t>
  </si>
  <si>
    <t>VBBC94</t>
  </si>
  <si>
    <t>PYCS74</t>
  </si>
  <si>
    <t>SJVP42</t>
  </si>
  <si>
    <t>SGDR50</t>
  </si>
  <si>
    <t>LPXL97</t>
  </si>
  <si>
    <t>SRST44</t>
  </si>
  <si>
    <t>SVGL86</t>
  </si>
  <si>
    <t>RRZF82</t>
  </si>
  <si>
    <t>TKHL27</t>
  </si>
  <si>
    <t>SDPC89</t>
  </si>
  <si>
    <t>RTVV89</t>
  </si>
  <si>
    <t>RRWP23</t>
  </si>
  <si>
    <t>TBZH60</t>
  </si>
  <si>
    <t>SPZB63</t>
  </si>
  <si>
    <t>TKTZ70</t>
  </si>
  <si>
    <t>KWXL38</t>
  </si>
  <si>
    <t>PFRW22</t>
  </si>
  <si>
    <t>RFKS53</t>
  </si>
  <si>
    <t>JZJK35</t>
  </si>
  <si>
    <t>VBHL43</t>
  </si>
  <si>
    <t>LLBX91</t>
  </si>
  <si>
    <t>KWKB81</t>
  </si>
  <si>
    <t>RVVS12</t>
  </si>
  <si>
    <t>TDYK32</t>
  </si>
  <si>
    <t>RVRF18</t>
  </si>
  <si>
    <t>SVRL30</t>
  </si>
  <si>
    <t>SJJH10</t>
  </si>
  <si>
    <t>RHRV23</t>
  </si>
  <si>
    <t>LLBY83</t>
  </si>
  <si>
    <t>RVVS48</t>
  </si>
  <si>
    <t>SYDR34</t>
  </si>
  <si>
    <t>LCWF33</t>
  </si>
  <si>
    <t>SXHW82</t>
  </si>
  <si>
    <t>SGDV89</t>
  </si>
  <si>
    <t>RTVT88</t>
  </si>
  <si>
    <t>RKGV59</t>
  </si>
  <si>
    <t>RFVF76</t>
  </si>
  <si>
    <t>PDJY43</t>
  </si>
  <si>
    <t>RTLX12</t>
  </si>
  <si>
    <t>SCWX23</t>
  </si>
  <si>
    <t>SHLV24</t>
  </si>
  <si>
    <t>THCY29</t>
  </si>
  <si>
    <t>TCTV70</t>
  </si>
  <si>
    <t>LYPF52</t>
  </si>
  <si>
    <t>SHBZ36</t>
  </si>
  <si>
    <t>SBWS32</t>
  </si>
  <si>
    <t>LYLW83</t>
  </si>
  <si>
    <t>SYDL24</t>
  </si>
  <si>
    <t>KZWB39</t>
  </si>
  <si>
    <t>TSYX66</t>
  </si>
  <si>
    <t>TFFC11</t>
  </si>
  <si>
    <t>JHRX18</t>
  </si>
  <si>
    <t>PCFL41</t>
  </si>
  <si>
    <t>SSZC77</t>
  </si>
  <si>
    <t>SCGT53</t>
  </si>
  <si>
    <t>SPTB55</t>
  </si>
  <si>
    <t>RYYB19</t>
  </si>
  <si>
    <t>LJYL94</t>
  </si>
  <si>
    <t>TXYZ57</t>
  </si>
  <si>
    <t>SKSY29</t>
  </si>
  <si>
    <t>SCWX83</t>
  </si>
  <si>
    <t>LLBX47</t>
  </si>
  <si>
    <t>PYDH33</t>
  </si>
  <si>
    <t>RBCZ55</t>
  </si>
  <si>
    <t>RZJJ73</t>
  </si>
  <si>
    <t>SBWT80</t>
  </si>
  <si>
    <t>HVVG32</t>
  </si>
  <si>
    <t>SPZC73</t>
  </si>
  <si>
    <t>SCWX99</t>
  </si>
  <si>
    <t>LBGW23</t>
  </si>
  <si>
    <t>SYXS65</t>
  </si>
  <si>
    <t>PBRR71</t>
  </si>
  <si>
    <t>TSSB14</t>
  </si>
  <si>
    <t>THRL78</t>
  </si>
  <si>
    <t>RRZK40</t>
  </si>
  <si>
    <t>RVVP71</t>
  </si>
  <si>
    <t>TVXP97</t>
  </si>
  <si>
    <t>RWYC74</t>
  </si>
  <si>
    <t>THZD30</t>
  </si>
  <si>
    <t>PHFW25</t>
  </si>
  <si>
    <t>KWYH45</t>
  </si>
  <si>
    <t>PYCW26</t>
  </si>
  <si>
    <t>SWWP61</t>
  </si>
  <si>
    <t>SJXW91</t>
  </si>
  <si>
    <t>TJCZ88</t>
  </si>
  <si>
    <t>JPZH85</t>
  </si>
  <si>
    <t>LVDF41</t>
  </si>
  <si>
    <t>RVPZ81</t>
  </si>
  <si>
    <t>SDGC77</t>
  </si>
  <si>
    <t>RLDW68</t>
  </si>
  <si>
    <t>VDBR10</t>
  </si>
  <si>
    <t>SFLW23</t>
  </si>
  <si>
    <t>PTRP28</t>
  </si>
  <si>
    <t>JTCS41</t>
  </si>
  <si>
    <t>KZWD66</t>
  </si>
  <si>
    <t>SJJH26</t>
  </si>
  <si>
    <t>TSSB75</t>
  </si>
  <si>
    <t>SFDX91</t>
  </si>
  <si>
    <t>TDYJ14</t>
  </si>
  <si>
    <t>JDKZ87</t>
  </si>
  <si>
    <t>TKHL11</t>
  </si>
  <si>
    <t>PTWZ24</t>
  </si>
  <si>
    <t>JZLC49</t>
  </si>
  <si>
    <t>SPZD41</t>
  </si>
  <si>
    <t>PHGC74</t>
  </si>
  <si>
    <t>RXRV59</t>
  </si>
  <si>
    <t>KJYS76</t>
  </si>
  <si>
    <t>RWJK28</t>
  </si>
  <si>
    <t>TTYT60</t>
  </si>
  <si>
    <t>LGTP91</t>
  </si>
  <si>
    <t>SFTZ36</t>
  </si>
  <si>
    <t>LFXP56</t>
  </si>
  <si>
    <t>TKHL71</t>
  </si>
  <si>
    <t>TKHL70</t>
  </si>
  <si>
    <t>TKHL12</t>
  </si>
  <si>
    <t>LVKK35</t>
  </si>
  <si>
    <t>RPTC12</t>
  </si>
  <si>
    <t>SJRW76</t>
  </si>
  <si>
    <t>TRFK22</t>
  </si>
  <si>
    <t>TJYP28</t>
  </si>
  <si>
    <t>SHBX81</t>
  </si>
  <si>
    <t>PZZG37</t>
  </si>
  <si>
    <t>RSJF58</t>
  </si>
  <si>
    <t>SVRL54</t>
  </si>
  <si>
    <t>RFVG37</t>
  </si>
  <si>
    <t>PPHY84</t>
  </si>
  <si>
    <t>PYSB78</t>
  </si>
  <si>
    <t>SHBW50</t>
  </si>
  <si>
    <t>TJFT89</t>
  </si>
  <si>
    <t>JZGL35</t>
  </si>
  <si>
    <t>RFKS64</t>
  </si>
  <si>
    <t>SYDS83</t>
  </si>
  <si>
    <t>TFCP63</t>
  </si>
  <si>
    <t>KKPY77</t>
  </si>
  <si>
    <t>RWYB24</t>
  </si>
  <si>
    <t>SYXR94</t>
  </si>
  <si>
    <t>RSJC75</t>
  </si>
  <si>
    <t>LVWS64</t>
  </si>
  <si>
    <t>RPFL95</t>
  </si>
  <si>
    <t>SVJB13</t>
  </si>
  <si>
    <t>TYWV72</t>
  </si>
  <si>
    <t>PZJD70</t>
  </si>
  <si>
    <t>RFFT62</t>
  </si>
  <si>
    <t>PCDX50</t>
  </si>
  <si>
    <t>LZLX28</t>
  </si>
  <si>
    <t>SWBX72</t>
  </si>
  <si>
    <t>TZHV19</t>
  </si>
  <si>
    <t>SVJW28</t>
  </si>
  <si>
    <t>RHBV36</t>
  </si>
  <si>
    <t>SGTJ51</t>
  </si>
  <si>
    <t>PHZW59</t>
  </si>
  <si>
    <t>RYDL93</t>
  </si>
  <si>
    <t>JGYJ99</t>
  </si>
  <si>
    <t>TPZY57</t>
  </si>
  <si>
    <t>PPZJ93</t>
  </si>
  <si>
    <t>RDLK67</t>
  </si>
  <si>
    <t>KZVW61</t>
  </si>
  <si>
    <t>PHFV49</t>
  </si>
  <si>
    <t>RZJV27</t>
  </si>
  <si>
    <t>THHJ17</t>
  </si>
  <si>
    <t>TKHS40</t>
  </si>
  <si>
    <t>PCFC78</t>
  </si>
  <si>
    <t>RLJS74</t>
  </si>
  <si>
    <t>TKTY27</t>
  </si>
  <si>
    <t>SSTS34</t>
  </si>
  <si>
    <t>TRBD13</t>
  </si>
  <si>
    <t>LSXY79</t>
  </si>
  <si>
    <t>PYRY81</t>
  </si>
  <si>
    <t>RCBK18</t>
  </si>
  <si>
    <t>LVXS77</t>
  </si>
  <si>
    <t>TPTZ17</t>
  </si>
  <si>
    <t>TFGP61</t>
  </si>
  <si>
    <t>JCPW47</t>
  </si>
  <si>
    <t>TTYS29</t>
  </si>
  <si>
    <t>VBRX43</t>
  </si>
  <si>
    <t>JGZH38</t>
  </si>
  <si>
    <t>PXWC71</t>
  </si>
  <si>
    <t>PZJP45</t>
  </si>
  <si>
    <t>TRBC97</t>
  </si>
  <si>
    <t>PTRT58</t>
  </si>
  <si>
    <t>SXHX90</t>
  </si>
  <si>
    <t>TCSZ15</t>
  </si>
  <si>
    <t>LBVT23</t>
  </si>
  <si>
    <t>JZSD58</t>
  </si>
  <si>
    <t>SXLB67</t>
  </si>
  <si>
    <t>PYDG48</t>
  </si>
  <si>
    <t>SLZB73</t>
  </si>
  <si>
    <t>PBJK58</t>
  </si>
  <si>
    <t>SXLC63</t>
  </si>
  <si>
    <t>SYDS69</t>
  </si>
  <si>
    <t>LWKR17</t>
  </si>
  <si>
    <t>PKTZ92</t>
  </si>
  <si>
    <t>SPZD44</t>
  </si>
  <si>
    <t>SKTT94</t>
  </si>
  <si>
    <t>SGDS35</t>
  </si>
  <si>
    <t>PYRY48</t>
  </si>
  <si>
    <t>KWTR39</t>
  </si>
  <si>
    <t>PFRT20</t>
  </si>
  <si>
    <t>TRWV41</t>
  </si>
  <si>
    <t>PSDG30</t>
  </si>
  <si>
    <t>TRJC24</t>
  </si>
  <si>
    <t>RTVV27</t>
  </si>
  <si>
    <t>SSKR77</t>
  </si>
  <si>
    <t>TCTB41</t>
  </si>
  <si>
    <t>LYSW58</t>
  </si>
  <si>
    <t>PCHR75</t>
  </si>
  <si>
    <t>JXDJ26</t>
  </si>
  <si>
    <t>SFTY99</t>
  </si>
  <si>
    <t>PKSS13</t>
  </si>
  <si>
    <t>SBWR35</t>
  </si>
  <si>
    <t>SDDY78</t>
  </si>
  <si>
    <t>PFSC21</t>
  </si>
  <si>
    <t>SBWK27</t>
  </si>
  <si>
    <t>SCFX42</t>
  </si>
  <si>
    <t>KWYD68</t>
  </si>
  <si>
    <t>LXYB82</t>
  </si>
  <si>
    <t>RJDB66</t>
  </si>
  <si>
    <t>TCHV35</t>
  </si>
  <si>
    <t>TCRR36</t>
  </si>
  <si>
    <t>PCFF13</t>
  </si>
  <si>
    <t>RRJP96</t>
  </si>
  <si>
    <t>SBWP35</t>
  </si>
  <si>
    <t>KDTL69</t>
  </si>
  <si>
    <t>RVVS34</t>
  </si>
  <si>
    <t>RWYC48</t>
  </si>
  <si>
    <t>SFDX47</t>
  </si>
  <si>
    <t>PYDF37</t>
  </si>
  <si>
    <t>SJVS28</t>
  </si>
  <si>
    <t>SJVR30</t>
  </si>
  <si>
    <t>RXRV32</t>
  </si>
  <si>
    <t>PCDC47</t>
  </si>
  <si>
    <t>LHRY82</t>
  </si>
  <si>
    <t>RTFY45</t>
  </si>
  <si>
    <t>SLWH39</t>
  </si>
  <si>
    <t>TCBZ22</t>
  </si>
  <si>
    <t>SZTL25</t>
  </si>
  <si>
    <t>PHFV73</t>
  </si>
  <si>
    <t>TCTV36</t>
  </si>
  <si>
    <t>TFGR11</t>
  </si>
  <si>
    <t>THRJ19</t>
  </si>
  <si>
    <t>SFTF26</t>
  </si>
  <si>
    <t>PBDT73</t>
  </si>
  <si>
    <t>LRVZ99</t>
  </si>
  <si>
    <t>RSCZ63</t>
  </si>
  <si>
    <t>RTLK46</t>
  </si>
  <si>
    <t>JSTX40</t>
  </si>
  <si>
    <t>SDGD31</t>
  </si>
  <si>
    <t>HTCH32</t>
  </si>
  <si>
    <t>RHBW95</t>
  </si>
  <si>
    <t>LSXZ14</t>
  </si>
  <si>
    <t>RRXG21</t>
  </si>
  <si>
    <t>TVXK84</t>
  </si>
  <si>
    <t>KBTT36</t>
  </si>
  <si>
    <t>PRHJ56</t>
  </si>
  <si>
    <t>PFRZ91</t>
  </si>
  <si>
    <t>JZGK45</t>
  </si>
  <si>
    <t>RCVW12</t>
  </si>
  <si>
    <t>TKLC28</t>
  </si>
  <si>
    <t>RWWD75</t>
  </si>
  <si>
    <t>TBJF82</t>
  </si>
  <si>
    <t>TJSH45</t>
  </si>
  <si>
    <t>RGTR43</t>
  </si>
  <si>
    <t>SFGG49</t>
  </si>
  <si>
    <t>PYCS73</t>
  </si>
  <si>
    <t>RVPZ22</t>
  </si>
  <si>
    <t>RPKV42</t>
  </si>
  <si>
    <t>TCTB89</t>
  </si>
  <si>
    <t>SYRB30</t>
  </si>
  <si>
    <t>SKYD23</t>
  </si>
  <si>
    <t>RDYZ63</t>
  </si>
  <si>
    <t>RGTR46</t>
  </si>
  <si>
    <t>KXJC56</t>
  </si>
  <si>
    <t>SHZR55</t>
  </si>
  <si>
    <t>TKHT61</t>
  </si>
  <si>
    <t>TDYG96</t>
  </si>
  <si>
    <t>TPTZ45</t>
  </si>
  <si>
    <t>LRWC30</t>
  </si>
  <si>
    <t>RLJR40</t>
  </si>
  <si>
    <t>RPZK27</t>
  </si>
  <si>
    <t>PRVL65</t>
  </si>
  <si>
    <t>PZJG40</t>
  </si>
  <si>
    <t>TFGR21</t>
  </si>
  <si>
    <t>RXPX40</t>
  </si>
  <si>
    <t>TRJD63</t>
  </si>
  <si>
    <t>RBJH60</t>
  </si>
  <si>
    <t>THRJ12</t>
  </si>
  <si>
    <t>LYPF32</t>
  </si>
  <si>
    <t>TJCZ98</t>
  </si>
  <si>
    <t>TJSJ97</t>
  </si>
  <si>
    <t>TFCC55</t>
  </si>
  <si>
    <t>PLRX44</t>
  </si>
  <si>
    <t>RPSZ67</t>
  </si>
  <si>
    <t>SYDS22</t>
  </si>
  <si>
    <t>RLRJ36</t>
  </si>
  <si>
    <t>SVGK34</t>
  </si>
  <si>
    <t>RXRX36</t>
  </si>
  <si>
    <t>KGPD80</t>
  </si>
  <si>
    <t>SXBS16</t>
  </si>
  <si>
    <t>RZPB55</t>
  </si>
  <si>
    <t>RFVW43</t>
  </si>
  <si>
    <t>RSTB59</t>
  </si>
  <si>
    <t>KXCJ37</t>
  </si>
  <si>
    <t>TRTY54</t>
  </si>
  <si>
    <t>SFZY94</t>
  </si>
  <si>
    <t>LYSS89</t>
  </si>
  <si>
    <t>LDWV16</t>
  </si>
  <si>
    <t>RHFG20</t>
  </si>
  <si>
    <t>TDYP40</t>
  </si>
  <si>
    <t>RVPY55</t>
  </si>
  <si>
    <t>PXXT42</t>
  </si>
  <si>
    <t>RXJP77</t>
  </si>
  <si>
    <t>SYDK14</t>
  </si>
  <si>
    <t>SJKK87</t>
  </si>
  <si>
    <t>SJJH53</t>
  </si>
  <si>
    <t>SHZP89</t>
  </si>
  <si>
    <t>KSRV39</t>
  </si>
  <si>
    <t>TPGH50</t>
  </si>
  <si>
    <t>JGCD39</t>
  </si>
  <si>
    <t>SDPC95</t>
  </si>
  <si>
    <t>PJDF36</t>
  </si>
  <si>
    <t>PKTY46</t>
  </si>
  <si>
    <t>SHYS52</t>
  </si>
  <si>
    <t>RFKV53</t>
  </si>
  <si>
    <t>RHBL81</t>
  </si>
  <si>
    <t>TRBJ47</t>
  </si>
  <si>
    <t>PPPB61</t>
  </si>
  <si>
    <t>LSYB71</t>
  </si>
  <si>
    <t>PSPC17</t>
  </si>
  <si>
    <t>RVGC76</t>
  </si>
  <si>
    <t>RRGR72</t>
  </si>
  <si>
    <t>LVXB50</t>
  </si>
  <si>
    <t>JXYT37</t>
  </si>
  <si>
    <t>SHDF69</t>
  </si>
  <si>
    <t>KRWG17</t>
  </si>
  <si>
    <t>LSXW43</t>
  </si>
  <si>
    <t>RJCT61</t>
  </si>
  <si>
    <t>RTFZ32</t>
  </si>
  <si>
    <t>JXGB32</t>
  </si>
  <si>
    <t>SYXS13</t>
  </si>
  <si>
    <t>JXGD71</t>
  </si>
  <si>
    <t>RSBR69</t>
  </si>
  <si>
    <t>RXFP72</t>
  </si>
  <si>
    <t>SJVR90</t>
  </si>
  <si>
    <t>RVYL42</t>
  </si>
  <si>
    <t>TJLB97</t>
  </si>
  <si>
    <t>KVYF11</t>
  </si>
  <si>
    <t>RDWK79</t>
  </si>
  <si>
    <t>SSSC26</t>
  </si>
  <si>
    <t>JWDF70</t>
  </si>
  <si>
    <t>SBWP43</t>
  </si>
  <si>
    <t>SRZH16</t>
  </si>
  <si>
    <t>TPXH97</t>
  </si>
  <si>
    <t>TBCR19</t>
  </si>
  <si>
    <t>RCHK45</t>
  </si>
  <si>
    <t>RTFD33</t>
  </si>
  <si>
    <t>LXHK39</t>
  </si>
  <si>
    <t>THRH47</t>
  </si>
  <si>
    <t>TJYP50</t>
  </si>
  <si>
    <t>RVVR37</t>
  </si>
  <si>
    <t>KWVR33</t>
  </si>
  <si>
    <t>SDKF81</t>
  </si>
  <si>
    <t>RJPJ69</t>
  </si>
  <si>
    <t>LYSR78</t>
  </si>
  <si>
    <t>SHLK51</t>
  </si>
  <si>
    <t>SHDS36</t>
  </si>
  <si>
    <t>PHGC32</t>
  </si>
  <si>
    <t>RTLW93</t>
  </si>
  <si>
    <t>LZRF73</t>
  </si>
  <si>
    <t>TDYP24</t>
  </si>
  <si>
    <t>KWGG58</t>
  </si>
  <si>
    <t>SYPZ14</t>
  </si>
  <si>
    <t>SFTZ71</t>
  </si>
  <si>
    <t>PSHY43</t>
  </si>
  <si>
    <t>PZJD11</t>
  </si>
  <si>
    <t>RJJR51</t>
  </si>
  <si>
    <t>LVXS43</t>
  </si>
  <si>
    <t>PTRP75</t>
  </si>
  <si>
    <t>JVKT97</t>
  </si>
  <si>
    <t>PRVR51</t>
  </si>
  <si>
    <t>RKRZ80</t>
  </si>
  <si>
    <t>PSHY90</t>
  </si>
  <si>
    <t>TFGL44</t>
  </si>
  <si>
    <t>RPSY13</t>
  </si>
  <si>
    <t>PJVV70</t>
  </si>
  <si>
    <t>SHDG60</t>
  </si>
  <si>
    <t>RYDP36</t>
  </si>
  <si>
    <t>SPPW95</t>
  </si>
  <si>
    <t>SCPS99</t>
  </si>
  <si>
    <t>RCHH99</t>
  </si>
  <si>
    <t>TJYL33</t>
  </si>
  <si>
    <t>SDGD28</t>
  </si>
  <si>
    <t>RLSG76</t>
  </si>
  <si>
    <t>SDGC97</t>
  </si>
  <si>
    <t>SSSC77</t>
  </si>
  <si>
    <t>RZZD39</t>
  </si>
  <si>
    <t>PCFD16</t>
  </si>
  <si>
    <t>LSYD56</t>
  </si>
  <si>
    <t>RJCT55</t>
  </si>
  <si>
    <t>PRBD71</t>
  </si>
  <si>
    <t>SSST47</t>
  </si>
  <si>
    <t>LCZZ24</t>
  </si>
  <si>
    <t>RJPJ76</t>
  </si>
  <si>
    <t>LYHV24</t>
  </si>
  <si>
    <t>RRXH58</t>
  </si>
  <si>
    <t>JRBB90</t>
  </si>
  <si>
    <t>PPSS59</t>
  </si>
  <si>
    <t>THRL87</t>
  </si>
  <si>
    <t>RFVW73</t>
  </si>
  <si>
    <t>SFTY80</t>
  </si>
  <si>
    <t>SBYD17</t>
  </si>
  <si>
    <t>RLJR87</t>
  </si>
  <si>
    <t>RRXG66</t>
  </si>
  <si>
    <t>LHSC84</t>
  </si>
  <si>
    <t>HLPC90</t>
  </si>
  <si>
    <t>SHLX26</t>
  </si>
  <si>
    <t>RHBX39</t>
  </si>
  <si>
    <t>RCRV48</t>
  </si>
  <si>
    <t>RVJX61</t>
  </si>
  <si>
    <t>RVPZ98</t>
  </si>
  <si>
    <t>TCTB60</t>
  </si>
  <si>
    <t>HVXB44</t>
  </si>
  <si>
    <t>RKCB51</t>
  </si>
  <si>
    <t>TBDD31</t>
  </si>
  <si>
    <t>SYPW47</t>
  </si>
  <si>
    <t>TRTY36</t>
  </si>
  <si>
    <t>RZFC24</t>
  </si>
  <si>
    <t>KXLC73</t>
  </si>
  <si>
    <t>PFRX97</t>
  </si>
  <si>
    <t>LDVZ89</t>
  </si>
  <si>
    <t>PCFG80</t>
  </si>
  <si>
    <t>PFRK42</t>
  </si>
  <si>
    <t>SPZF88</t>
  </si>
  <si>
    <t>RXRV14</t>
  </si>
  <si>
    <t>TKTZ50</t>
  </si>
  <si>
    <t>RCHG96</t>
  </si>
  <si>
    <t>SJVS79</t>
  </si>
  <si>
    <t>TJDD89</t>
  </si>
  <si>
    <t>RJCT57</t>
  </si>
  <si>
    <t>LSYK54</t>
  </si>
  <si>
    <t>PZVZ80</t>
  </si>
  <si>
    <t>RCBK14</t>
  </si>
  <si>
    <t>RDVP44</t>
  </si>
  <si>
    <t>KZVX18</t>
  </si>
  <si>
    <t>RBXV96</t>
  </si>
  <si>
    <t>TPCL79</t>
  </si>
  <si>
    <t>RZSH12</t>
  </si>
  <si>
    <t>TBDD13</t>
  </si>
  <si>
    <t>STBR28</t>
  </si>
  <si>
    <t>SLZJ55</t>
  </si>
  <si>
    <t>TKVB34</t>
  </si>
  <si>
    <t>SJVT66</t>
  </si>
  <si>
    <t>KVVC90</t>
  </si>
  <si>
    <t>RRJP17</t>
  </si>
  <si>
    <t>SHBZ31</t>
  </si>
  <si>
    <t>SBWS14</t>
  </si>
  <si>
    <t>SLYZ27</t>
  </si>
  <si>
    <t>PJPH20</t>
  </si>
  <si>
    <t>TDYP42</t>
  </si>
  <si>
    <t>RCXH64</t>
  </si>
  <si>
    <t>SBKS44</t>
  </si>
  <si>
    <t>RDHV54</t>
  </si>
  <si>
    <t>RCFP34</t>
  </si>
  <si>
    <t>SHLX18</t>
  </si>
  <si>
    <t>TSSC48</t>
  </si>
  <si>
    <t>LPKX27</t>
  </si>
  <si>
    <t>SDPB13</t>
  </si>
  <si>
    <t>PZVG79</t>
  </si>
  <si>
    <t>LHRW53</t>
  </si>
  <si>
    <t>RXRF21</t>
  </si>
  <si>
    <t>RZSJ23</t>
  </si>
  <si>
    <t>SLZK87</t>
  </si>
  <si>
    <t>RZFB26</t>
  </si>
  <si>
    <t>KCBW66</t>
  </si>
  <si>
    <t>RWGD97</t>
  </si>
  <si>
    <t>RFHP74</t>
  </si>
  <si>
    <t>SGWB43</t>
  </si>
  <si>
    <t>RDVW30</t>
  </si>
  <si>
    <t>JPPB63</t>
  </si>
  <si>
    <t>PKJP54</t>
  </si>
  <si>
    <t>LHCP40</t>
  </si>
  <si>
    <t>KZKC62</t>
  </si>
  <si>
    <t>RKRX17</t>
  </si>
  <si>
    <t>RTVV40</t>
  </si>
  <si>
    <t>LBGW87</t>
  </si>
  <si>
    <t>KWXK53</t>
  </si>
  <si>
    <t>PKDY86</t>
  </si>
  <si>
    <t>JPZS96</t>
  </si>
  <si>
    <t>RLVR95</t>
  </si>
  <si>
    <t>SHBW55</t>
  </si>
  <si>
    <t>RSTB30</t>
  </si>
  <si>
    <t>SXHW64</t>
  </si>
  <si>
    <t>PHFT47</t>
  </si>
  <si>
    <t>JHSB38</t>
  </si>
  <si>
    <t>RVPZ57</t>
  </si>
  <si>
    <t>RWHL87</t>
  </si>
  <si>
    <t>SHLV26</t>
  </si>
  <si>
    <t>LVXB59</t>
  </si>
  <si>
    <t>PTSD94</t>
  </si>
  <si>
    <t>RFVF55</t>
  </si>
  <si>
    <t>RGZW25</t>
  </si>
  <si>
    <t>HKBG85</t>
  </si>
  <si>
    <t>TBZP45</t>
  </si>
  <si>
    <t>SHBX85</t>
  </si>
  <si>
    <t>LDVZ53</t>
  </si>
  <si>
    <t>KTCP46</t>
  </si>
  <si>
    <t>KGPB92</t>
  </si>
  <si>
    <t>LWKG79</t>
  </si>
  <si>
    <t>RTLW67</t>
  </si>
  <si>
    <t>SJJJ16</t>
  </si>
  <si>
    <t>LWVH76</t>
  </si>
  <si>
    <t>PBKL94</t>
  </si>
  <si>
    <t>RBLD25</t>
  </si>
  <si>
    <t>TPTZ11</t>
  </si>
  <si>
    <t>LBGS99</t>
  </si>
  <si>
    <t>JJJF16</t>
  </si>
  <si>
    <t>PCFB73</t>
  </si>
  <si>
    <t>TFFC23</t>
  </si>
  <si>
    <t>PKBG32</t>
  </si>
  <si>
    <t>PSTT17</t>
  </si>
  <si>
    <t>SYCX96</t>
  </si>
  <si>
    <t>SLJY37</t>
  </si>
  <si>
    <t>SJVT85</t>
  </si>
  <si>
    <t>PSJJ46</t>
  </si>
  <si>
    <t>GPJY90</t>
  </si>
  <si>
    <t>LBGW49</t>
  </si>
  <si>
    <t>PDBS10</t>
  </si>
  <si>
    <t>RGTS65</t>
  </si>
  <si>
    <t>RJCW25</t>
  </si>
  <si>
    <t>LYPC50</t>
  </si>
  <si>
    <t>LHCV91</t>
  </si>
  <si>
    <t>RJCT63</t>
  </si>
  <si>
    <t>LSXY78</t>
  </si>
  <si>
    <t>KVHP81</t>
  </si>
  <si>
    <t>JPLT11</t>
  </si>
  <si>
    <t>HTBJ27</t>
  </si>
  <si>
    <t>PFRR40</t>
  </si>
  <si>
    <t>SZTJ24</t>
  </si>
  <si>
    <t>LHSD78</t>
  </si>
  <si>
    <t>LLVF18</t>
  </si>
  <si>
    <t>PRBD44</t>
  </si>
  <si>
    <t>JZSL15</t>
  </si>
  <si>
    <t>SHLX38</t>
  </si>
  <si>
    <t>PKBL47</t>
  </si>
  <si>
    <t>SDPF76</t>
  </si>
  <si>
    <t>LDLG56</t>
  </si>
  <si>
    <t>LVXS47</t>
  </si>
  <si>
    <t>PSHX11</t>
  </si>
  <si>
    <t>RLSH73</t>
  </si>
  <si>
    <t>STYZ87</t>
  </si>
  <si>
    <t>SLGP85</t>
  </si>
  <si>
    <t>KVDC21</t>
  </si>
  <si>
    <t>RKZG20</t>
  </si>
  <si>
    <t>RGHD32</t>
  </si>
  <si>
    <t>RBXW13</t>
  </si>
  <si>
    <t>KJCD82</t>
  </si>
  <si>
    <t>LKYC95</t>
  </si>
  <si>
    <t>TLRL29</t>
  </si>
  <si>
    <t>SYDP13</t>
  </si>
  <si>
    <t>JJYJ11</t>
  </si>
  <si>
    <t>LDBH20</t>
  </si>
  <si>
    <t>HXZT43</t>
  </si>
  <si>
    <t>LLBF89</t>
  </si>
  <si>
    <t>PLHH48</t>
  </si>
  <si>
    <t>SFDY91</t>
  </si>
  <si>
    <t>RBJG87</t>
  </si>
  <si>
    <t>RZSH95</t>
  </si>
  <si>
    <t>LSYX42</t>
  </si>
  <si>
    <t>SJJG48</t>
  </si>
  <si>
    <t>RXRX12</t>
  </si>
  <si>
    <t>SCFX50</t>
  </si>
  <si>
    <t>SYPS75</t>
  </si>
  <si>
    <t>RJCV47</t>
  </si>
  <si>
    <t>RVZW82</t>
  </si>
  <si>
    <t>RFVG41</t>
  </si>
  <si>
    <t>RKYP99</t>
  </si>
  <si>
    <t>RDVZ93</t>
  </si>
  <si>
    <t>PFGH89</t>
  </si>
  <si>
    <t>GGWC79</t>
  </si>
  <si>
    <t>KZVW86</t>
  </si>
  <si>
    <t>SDPC71</t>
  </si>
  <si>
    <t>LTZH55</t>
  </si>
  <si>
    <t>PSHZ32</t>
  </si>
  <si>
    <t>SSSC67</t>
  </si>
  <si>
    <t>SXYH62</t>
  </si>
  <si>
    <t>LDVY61</t>
  </si>
  <si>
    <t>LZHZ28</t>
  </si>
  <si>
    <t>RTVS26</t>
  </si>
  <si>
    <t>RCVX43</t>
  </si>
  <si>
    <t>RGLK91</t>
  </si>
  <si>
    <t>PCFG40</t>
  </si>
  <si>
    <t>JXYW12</t>
  </si>
  <si>
    <t>RYDL71</t>
  </si>
  <si>
    <t>SDVW29</t>
  </si>
  <si>
    <t>RFVF44</t>
  </si>
  <si>
    <t>PYDH16</t>
  </si>
  <si>
    <t>RVKJ44</t>
  </si>
  <si>
    <t>LVWT43</t>
  </si>
  <si>
    <t>PZZZ23</t>
  </si>
  <si>
    <t>SPZD95</t>
  </si>
  <si>
    <t>JBJJ90</t>
  </si>
  <si>
    <t>PPPB89</t>
  </si>
  <si>
    <t>PTDH29</t>
  </si>
  <si>
    <t>RTLX92</t>
  </si>
  <si>
    <t>SCHT60</t>
  </si>
  <si>
    <t>JZGG91</t>
  </si>
  <si>
    <t>LVWT55</t>
  </si>
  <si>
    <t>KWGK54</t>
  </si>
  <si>
    <t>SLLW76</t>
  </si>
  <si>
    <t>KXLY85</t>
  </si>
  <si>
    <t>TLRP41</t>
  </si>
  <si>
    <t>RKPP18</t>
  </si>
  <si>
    <t>PZVW73</t>
  </si>
  <si>
    <t>LZRH46</t>
  </si>
  <si>
    <t>RCBH56</t>
  </si>
  <si>
    <t>RCBK50</t>
  </si>
  <si>
    <t>JRBD51</t>
  </si>
  <si>
    <t>LYPC28</t>
  </si>
  <si>
    <t>LLBH12</t>
  </si>
  <si>
    <t>PDKV45</t>
  </si>
  <si>
    <t>RBXW67</t>
  </si>
  <si>
    <t>RBJG95</t>
  </si>
  <si>
    <t>RJCV95</t>
  </si>
  <si>
    <t>SHXJ30</t>
  </si>
  <si>
    <t>SDPD28</t>
  </si>
  <si>
    <t>SZTL99</t>
  </si>
  <si>
    <t>SJRV42</t>
  </si>
  <si>
    <t>PBLH53</t>
  </si>
  <si>
    <t>RTLW92</t>
  </si>
  <si>
    <t>RSJF64</t>
  </si>
  <si>
    <t>RGTS27</t>
  </si>
  <si>
    <t>KWTL22</t>
  </si>
  <si>
    <t>RFFT93</t>
  </si>
  <si>
    <t>LWTR56</t>
  </si>
  <si>
    <t>PFSB87</t>
  </si>
  <si>
    <t>SLRJ93</t>
  </si>
  <si>
    <t>PTSF34</t>
  </si>
  <si>
    <t>PFRZ56</t>
  </si>
  <si>
    <t>RXPD64</t>
  </si>
  <si>
    <t>RVCJ59</t>
  </si>
  <si>
    <t>RGLL79</t>
  </si>
  <si>
    <t>SDVP83</t>
  </si>
  <si>
    <t>RKVV78</t>
  </si>
  <si>
    <t>JSWL18</t>
  </si>
  <si>
    <t>SCYR65</t>
  </si>
  <si>
    <t>PRSJ23</t>
  </si>
  <si>
    <t>LVXB14</t>
  </si>
  <si>
    <t>PGSX60</t>
  </si>
  <si>
    <t>PCDW42</t>
  </si>
  <si>
    <t>SRJV89</t>
  </si>
  <si>
    <t>PYDF44</t>
  </si>
  <si>
    <t>SDGG12</t>
  </si>
  <si>
    <t>SLLH67</t>
  </si>
  <si>
    <t>JYPD69</t>
  </si>
  <si>
    <t>PYDD74</t>
  </si>
  <si>
    <t>SBHF77</t>
  </si>
  <si>
    <t>LVXF83</t>
  </si>
  <si>
    <t>LDBL37</t>
  </si>
  <si>
    <t>PGKH59</t>
  </si>
  <si>
    <t>RSTB42</t>
  </si>
  <si>
    <t>JHSD53</t>
  </si>
  <si>
    <t>RGVF95</t>
  </si>
  <si>
    <t>GPBL74</t>
  </si>
  <si>
    <t>HYVT15</t>
  </si>
  <si>
    <t>RDLK76</t>
  </si>
  <si>
    <t>TJSJ81</t>
  </si>
  <si>
    <t>RSCZ20</t>
  </si>
  <si>
    <t>SCZR48</t>
  </si>
  <si>
    <t>JDBB26</t>
  </si>
  <si>
    <t>RVZC66</t>
  </si>
  <si>
    <t>LXRZ33</t>
  </si>
  <si>
    <t>LWKK87</t>
  </si>
  <si>
    <t>PPGH32</t>
  </si>
  <si>
    <t>LHPY35</t>
  </si>
  <si>
    <t>PPVC35</t>
  </si>
  <si>
    <t>LVLR40</t>
  </si>
  <si>
    <t>PPVB57</t>
  </si>
  <si>
    <t>TFGP60</t>
  </si>
  <si>
    <t>KCBV88</t>
  </si>
  <si>
    <t>RSJF84</t>
  </si>
  <si>
    <t>SHZP63</t>
  </si>
  <si>
    <t>PLTJ41</t>
  </si>
  <si>
    <t>PHFV99</t>
  </si>
  <si>
    <t>RCBL67</t>
  </si>
  <si>
    <t>RFKT80</t>
  </si>
  <si>
    <t>PTDH95</t>
  </si>
  <si>
    <t>RJPJ13</t>
  </si>
  <si>
    <t>RRVX69</t>
  </si>
  <si>
    <t>PLHH11</t>
  </si>
  <si>
    <t>LHPY89</t>
  </si>
  <si>
    <t>RGHF20</t>
  </si>
  <si>
    <t>RKFZ22</t>
  </si>
  <si>
    <t>LDVZ43</t>
  </si>
  <si>
    <t>SLWF87</t>
  </si>
  <si>
    <t>TDYK44</t>
  </si>
  <si>
    <t>PHGC27</t>
  </si>
  <si>
    <t>SHBZ35</t>
  </si>
  <si>
    <t>SLZB10</t>
  </si>
  <si>
    <t>PJLL76</t>
  </si>
  <si>
    <t>PYRY62</t>
  </si>
  <si>
    <t>KPLG78</t>
  </si>
  <si>
    <t>PPJR38</t>
  </si>
  <si>
    <t>RGTR35</t>
  </si>
  <si>
    <t>PSTW51</t>
  </si>
  <si>
    <t>PSHX47</t>
  </si>
  <si>
    <t>JPZP65</t>
  </si>
  <si>
    <t>LDVZ40</t>
  </si>
  <si>
    <t>KWVR22</t>
  </si>
  <si>
    <t>RTWY58</t>
  </si>
  <si>
    <t>TCTT94</t>
  </si>
  <si>
    <t>RBCZ50</t>
  </si>
  <si>
    <t>PDBS49</t>
  </si>
  <si>
    <t>RTVS37</t>
  </si>
  <si>
    <t>RVYS61</t>
  </si>
  <si>
    <t>TJYL16</t>
  </si>
  <si>
    <t>RCBH93</t>
  </si>
  <si>
    <t>LHSD34</t>
  </si>
  <si>
    <t>RTFZ39</t>
  </si>
  <si>
    <t>SJKL94</t>
  </si>
  <si>
    <t>RSLG55</t>
  </si>
  <si>
    <t>RBTC96</t>
  </si>
  <si>
    <t>JPCL16</t>
  </si>
  <si>
    <t>RWRD38</t>
  </si>
  <si>
    <t>RFVF41</t>
  </si>
  <si>
    <t>LLBX88</t>
  </si>
  <si>
    <t>LDVT18</t>
  </si>
  <si>
    <t>PSJJ43</t>
  </si>
  <si>
    <t>KWVT56</t>
  </si>
  <si>
    <t>PJYK97</t>
  </si>
  <si>
    <t>RBBB93</t>
  </si>
  <si>
    <t>PLHJ36</t>
  </si>
  <si>
    <t>RWYC55</t>
  </si>
  <si>
    <t>RKRY60</t>
  </si>
  <si>
    <t>KZVZ67</t>
  </si>
  <si>
    <t>PKLD11</t>
  </si>
  <si>
    <t>SLWH98</t>
  </si>
  <si>
    <t>RTFY27</t>
  </si>
  <si>
    <t>KWTP60</t>
  </si>
  <si>
    <t>TBCR58</t>
  </si>
  <si>
    <t>PZZZ46</t>
  </si>
  <si>
    <t>FSRC30</t>
  </si>
  <si>
    <t>RTLW48</t>
  </si>
  <si>
    <t>LJYR15</t>
  </si>
  <si>
    <t>TJSJ99</t>
  </si>
  <si>
    <t>RBBB74</t>
  </si>
  <si>
    <t>RLYR66</t>
  </si>
  <si>
    <t>STBR30</t>
  </si>
  <si>
    <t>JXVH55</t>
  </si>
  <si>
    <t>KCBV59</t>
  </si>
  <si>
    <t>LCWB30</t>
  </si>
  <si>
    <t>LCWC39</t>
  </si>
  <si>
    <t>PRBC56</t>
  </si>
  <si>
    <t>PYRZ19</t>
  </si>
  <si>
    <t>LVWP13</t>
  </si>
  <si>
    <t>RJTK92</t>
  </si>
  <si>
    <t>JZJP78</t>
  </si>
  <si>
    <t>KRWD37</t>
  </si>
  <si>
    <t>KKZL11</t>
  </si>
  <si>
    <t>PXVC34</t>
  </si>
  <si>
    <t>LDWV70</t>
  </si>
  <si>
    <t>HKVY78</t>
  </si>
  <si>
    <t>KFPR29</t>
  </si>
  <si>
    <t>RRSK50</t>
  </si>
  <si>
    <t>PGRF64</t>
  </si>
  <si>
    <t>RZJH76</t>
  </si>
  <si>
    <t>LFXP90</t>
  </si>
  <si>
    <t>RTFY63</t>
  </si>
  <si>
    <t>LBGW29</t>
  </si>
  <si>
    <t>PHGG27</t>
  </si>
  <si>
    <t>RKFS14</t>
  </si>
  <si>
    <t>SCZP44</t>
  </si>
  <si>
    <t>THHK51</t>
  </si>
  <si>
    <t>SWTP31</t>
  </si>
  <si>
    <t>PLTL80</t>
  </si>
  <si>
    <t>RVRD56</t>
  </si>
  <si>
    <t>PPJR57</t>
  </si>
  <si>
    <t>HCVX85</t>
  </si>
  <si>
    <t>SDPF79</t>
  </si>
  <si>
    <t>TJCZ75</t>
  </si>
  <si>
    <t>PHFV30</t>
  </si>
  <si>
    <t>RVFS53</t>
  </si>
  <si>
    <t>PKBK90</t>
  </si>
  <si>
    <t>HKHT20</t>
  </si>
  <si>
    <t>LRWD64</t>
  </si>
  <si>
    <t>RZFD95</t>
  </si>
  <si>
    <t>RDCF36</t>
  </si>
  <si>
    <t>JCCR62</t>
  </si>
  <si>
    <t>JYBF28</t>
  </si>
  <si>
    <t>RGHD22</t>
  </si>
  <si>
    <t>PCFC13</t>
  </si>
  <si>
    <t>RTLW50</t>
  </si>
  <si>
    <t>KWYK31</t>
  </si>
  <si>
    <t>LSYK36</t>
  </si>
  <si>
    <t>JWCJ96</t>
  </si>
  <si>
    <t>KKFZ41</t>
  </si>
  <si>
    <t>PSZT83</t>
  </si>
  <si>
    <t>TJSJ77</t>
  </si>
  <si>
    <t>KHPH19</t>
  </si>
  <si>
    <t>RVRD84</t>
  </si>
  <si>
    <t>PSBB44</t>
  </si>
  <si>
    <t>HXRF54</t>
  </si>
  <si>
    <t>THHK24</t>
  </si>
  <si>
    <t>RJCW68</t>
  </si>
  <si>
    <t>RLJR35</t>
  </si>
  <si>
    <t>LHJJ93</t>
  </si>
  <si>
    <t>LVWR91</t>
  </si>
  <si>
    <t>PTTF96</t>
  </si>
  <si>
    <t>LFXT90</t>
  </si>
  <si>
    <t>THXP80</t>
  </si>
  <si>
    <t>SCGT56</t>
  </si>
  <si>
    <t>PBJJ36</t>
  </si>
  <si>
    <t>TJLF41</t>
  </si>
  <si>
    <t>SYXS58</t>
  </si>
  <si>
    <t>PSHY66</t>
  </si>
  <si>
    <t>LZHZ29</t>
  </si>
  <si>
    <t>RGLK40</t>
  </si>
  <si>
    <t>SKSY37</t>
  </si>
  <si>
    <t>HVXG71</t>
  </si>
  <si>
    <t>TCJB25</t>
  </si>
  <si>
    <t>PFSB73</t>
  </si>
  <si>
    <t>LDCX26</t>
  </si>
  <si>
    <t>LLBT48</t>
  </si>
  <si>
    <t>LRWC74</t>
  </si>
  <si>
    <t>JGBX93</t>
  </si>
  <si>
    <t>KPKV26</t>
  </si>
  <si>
    <t>LCWC37</t>
  </si>
  <si>
    <t>SWFD73</t>
  </si>
  <si>
    <t>PTDJ70</t>
  </si>
  <si>
    <t>RKTR88</t>
  </si>
  <si>
    <t>RGLL99</t>
  </si>
  <si>
    <t>LVWS71</t>
  </si>
  <si>
    <t>SRJB86</t>
  </si>
  <si>
    <t>JXRP80</t>
  </si>
  <si>
    <t>PRDL19</t>
  </si>
  <si>
    <t>RBCZ76</t>
  </si>
  <si>
    <t>LZPC14</t>
  </si>
  <si>
    <t>PTSC88</t>
  </si>
  <si>
    <t>GJJL60</t>
  </si>
  <si>
    <t>KTDB64</t>
  </si>
  <si>
    <t>RDVW14</t>
  </si>
  <si>
    <t>LDVL46</t>
  </si>
  <si>
    <t>LSGV64</t>
  </si>
  <si>
    <t>KHPG69</t>
  </si>
  <si>
    <t>LHRS67</t>
  </si>
  <si>
    <t>PCDZ92</t>
  </si>
  <si>
    <t>SVRP67</t>
  </si>
  <si>
    <t>JWVL81</t>
  </si>
  <si>
    <t>RDLG73</t>
  </si>
  <si>
    <t>LLBK87</t>
  </si>
  <si>
    <t>RJBV84</t>
  </si>
  <si>
    <t>RXSV64</t>
  </si>
  <si>
    <t>PPPB44</t>
  </si>
  <si>
    <t>PCFL37</t>
  </si>
  <si>
    <t>RFVW78</t>
  </si>
  <si>
    <t>SSTS56</t>
  </si>
  <si>
    <t>PCDV60</t>
  </si>
  <si>
    <t>PRHJ14</t>
  </si>
  <si>
    <t>KJZW27</t>
  </si>
  <si>
    <t>PRHK92</t>
  </si>
  <si>
    <t>PRSH11</t>
  </si>
  <si>
    <t>KTCW76</t>
  </si>
  <si>
    <t>PSHY54</t>
  </si>
  <si>
    <t>KWYF24</t>
  </si>
  <si>
    <t>PRHH83</t>
  </si>
  <si>
    <t>PPJL76</t>
  </si>
  <si>
    <t>KFJS32</t>
  </si>
  <si>
    <t>SKSY62</t>
  </si>
  <si>
    <t>SKCF98</t>
  </si>
  <si>
    <t>LSXW44</t>
  </si>
  <si>
    <t>SPZD17</t>
  </si>
  <si>
    <t>LLBC60</t>
  </si>
  <si>
    <t>PKBK49</t>
  </si>
  <si>
    <t>SFLZ50</t>
  </si>
  <si>
    <t>RWWC29</t>
  </si>
  <si>
    <t>RYRL30</t>
  </si>
  <si>
    <t>SFTZ34</t>
  </si>
  <si>
    <t>LDVS88</t>
  </si>
  <si>
    <t>RTSK62</t>
  </si>
  <si>
    <t>PFFF55</t>
  </si>
  <si>
    <t>SPZD56</t>
  </si>
  <si>
    <t>LYPC86</t>
  </si>
  <si>
    <t>RKWR90</t>
  </si>
  <si>
    <t>PYDH24</t>
  </si>
  <si>
    <t>RLSH53</t>
  </si>
  <si>
    <t>KWYD99</t>
  </si>
  <si>
    <t>RZSK33</t>
  </si>
  <si>
    <t>PHGF54</t>
  </si>
  <si>
    <t>PRZZ72</t>
  </si>
  <si>
    <t>RCBL47</t>
  </si>
  <si>
    <t>RHCY20</t>
  </si>
  <si>
    <t>PKTY15</t>
  </si>
  <si>
    <t>PKTZ94</t>
  </si>
  <si>
    <t>PCFF11</t>
  </si>
  <si>
    <t>PFRS16</t>
  </si>
  <si>
    <t>RGTR32</t>
  </si>
  <si>
    <t>PFRW74</t>
  </si>
  <si>
    <t>RYGW72</t>
  </si>
  <si>
    <t>PSHX26</t>
  </si>
  <si>
    <t>PTRT40</t>
  </si>
  <si>
    <t>PRHJ26</t>
  </si>
  <si>
    <t>RRZF71</t>
  </si>
  <si>
    <t>TCHY42</t>
  </si>
  <si>
    <t>LBVT12</t>
  </si>
  <si>
    <t>KWGJ77</t>
  </si>
  <si>
    <t>LSYG23</t>
  </si>
  <si>
    <t>PXXT20</t>
  </si>
  <si>
    <t>TBZK63</t>
  </si>
  <si>
    <t>HRWL16</t>
  </si>
  <si>
    <t>STBR72</t>
  </si>
  <si>
    <t>KPKY11</t>
  </si>
  <si>
    <t>KHPJ47</t>
  </si>
  <si>
    <t>RVVP97</t>
  </si>
  <si>
    <t>STBS77</t>
  </si>
  <si>
    <t>RXSL88</t>
  </si>
  <si>
    <t>SLRL33</t>
  </si>
  <si>
    <t>PYDD50</t>
  </si>
  <si>
    <t>LZPB60</t>
  </si>
  <si>
    <t>PHGD80</t>
  </si>
  <si>
    <t>RBXV70</t>
  </si>
  <si>
    <t>PSHZ54</t>
  </si>
  <si>
    <t>LCWD17</t>
  </si>
  <si>
    <t>PYDD42</t>
  </si>
  <si>
    <t>THHK96</t>
  </si>
  <si>
    <t>RGTR21</t>
  </si>
  <si>
    <t>PHHX96</t>
  </si>
  <si>
    <t>SDVL48</t>
  </si>
  <si>
    <t>SVRP26</t>
  </si>
  <si>
    <t>PKBJ59</t>
  </si>
  <si>
    <t>RPSZ94</t>
  </si>
  <si>
    <t>PPBY60</t>
  </si>
  <si>
    <t>RCBK54</t>
  </si>
  <si>
    <t>TFGR77</t>
  </si>
  <si>
    <t>LCYV72</t>
  </si>
  <si>
    <t>RXRT84</t>
  </si>
  <si>
    <t>KCCB24</t>
  </si>
  <si>
    <t>KJRG24</t>
  </si>
  <si>
    <t>SHDG19</t>
  </si>
  <si>
    <t>RYDL74</t>
  </si>
  <si>
    <t>JSWP63</t>
  </si>
  <si>
    <t>TDYL34</t>
  </si>
  <si>
    <t>RFBG50</t>
  </si>
  <si>
    <t>RSTC14</t>
  </si>
  <si>
    <t>RGTR76</t>
  </si>
  <si>
    <t>RBXV98</t>
  </si>
  <si>
    <t>SLRC28</t>
  </si>
  <si>
    <t>SHKZ85</t>
  </si>
  <si>
    <t>KZVW62</t>
  </si>
  <si>
    <t>RVPY48</t>
  </si>
  <si>
    <t>RYDR31</t>
  </si>
  <si>
    <t>LSVG20</t>
  </si>
  <si>
    <t>SDKF44</t>
  </si>
  <si>
    <t>SJVP33</t>
  </si>
  <si>
    <t>PPBY82</t>
  </si>
  <si>
    <t>KDTY79</t>
  </si>
  <si>
    <t>KGLZ56</t>
  </si>
  <si>
    <t>PRZZ48</t>
  </si>
  <si>
    <t>KSFR39</t>
  </si>
  <si>
    <t>RFVF19</t>
  </si>
  <si>
    <t>PPZJ68</t>
  </si>
  <si>
    <t>SPLP67</t>
  </si>
  <si>
    <t>KDLY51</t>
  </si>
  <si>
    <t>SJVR62</t>
  </si>
  <si>
    <t>PKTZ60</t>
  </si>
  <si>
    <t>LHCL62</t>
  </si>
  <si>
    <t>LBVS78</t>
  </si>
  <si>
    <t>HVWX63</t>
  </si>
  <si>
    <t>PRVP95</t>
  </si>
  <si>
    <t>RLSG73</t>
  </si>
  <si>
    <t>LHCW17</t>
  </si>
  <si>
    <t>TBZL63</t>
  </si>
  <si>
    <t>RDLL62</t>
  </si>
  <si>
    <t>LRWG63</t>
  </si>
  <si>
    <t>LFXL56</t>
  </si>
  <si>
    <t>PPJG76</t>
  </si>
  <si>
    <t>PSJJ26</t>
  </si>
  <si>
    <t>RDLX98</t>
  </si>
  <si>
    <t>LLBW31</t>
  </si>
  <si>
    <t>KGPX11</t>
  </si>
  <si>
    <t>PTLW34</t>
  </si>
  <si>
    <t>HVWW27</t>
  </si>
  <si>
    <t>KWXD95</t>
  </si>
  <si>
    <t>SZTF28</t>
  </si>
  <si>
    <t>KVDD47</t>
  </si>
  <si>
    <t>KZLZ25</t>
  </si>
  <si>
    <t>THCX84</t>
  </si>
  <si>
    <t>PKXD46</t>
  </si>
  <si>
    <t>RGHD46</t>
  </si>
  <si>
    <t>SHDG80</t>
  </si>
  <si>
    <t>SXHV72</t>
  </si>
  <si>
    <t>SGDR94</t>
  </si>
  <si>
    <t>RLSH85</t>
  </si>
  <si>
    <t>SSTS41</t>
  </si>
  <si>
    <t>PPTZ78</t>
  </si>
  <si>
    <t>SPZD69</t>
  </si>
  <si>
    <t>SPZB94</t>
  </si>
  <si>
    <t>PHKL78</t>
  </si>
  <si>
    <t>SFCB76</t>
  </si>
  <si>
    <t>KGLR81</t>
  </si>
  <si>
    <t>PZJL69</t>
  </si>
  <si>
    <t>SYRB32</t>
  </si>
  <si>
    <t>RZVX62</t>
  </si>
  <si>
    <t>PPLZ76</t>
  </si>
  <si>
    <t>PPZJ56</t>
  </si>
  <si>
    <t>HHRY28</t>
  </si>
  <si>
    <t>RXDH47</t>
  </si>
  <si>
    <t>PLCG83</t>
  </si>
  <si>
    <t>RZCH74</t>
  </si>
  <si>
    <t>THCY24</t>
  </si>
  <si>
    <t>KRPX49</t>
  </si>
  <si>
    <t>PPVC43</t>
  </si>
  <si>
    <t>HGTX31</t>
  </si>
  <si>
    <t>LHSD67</t>
  </si>
  <si>
    <t>KSRY52</t>
  </si>
  <si>
    <t>PPJP58</t>
  </si>
  <si>
    <t>RCHH29</t>
  </si>
  <si>
    <t>JLHR52</t>
  </si>
  <si>
    <t>HZCG48</t>
  </si>
  <si>
    <t>PKBJ19</t>
  </si>
  <si>
    <t>LVXL73</t>
  </si>
  <si>
    <t>RDLW63</t>
  </si>
  <si>
    <t>SHLW95</t>
  </si>
  <si>
    <t>TDBP59</t>
  </si>
  <si>
    <t>RVPX45</t>
  </si>
  <si>
    <t>TBJF23</t>
  </si>
  <si>
    <t>SFFG87</t>
  </si>
  <si>
    <t>LFXL70</t>
  </si>
  <si>
    <t>LLBS67</t>
  </si>
  <si>
    <t>PYDF39</t>
  </si>
  <si>
    <t>PYCV64</t>
  </si>
  <si>
    <t>PTDH23</t>
  </si>
  <si>
    <t>SJVR21</t>
  </si>
  <si>
    <t>LTZP19</t>
  </si>
  <si>
    <t>RLJS73</t>
  </si>
  <si>
    <t>PFRT23</t>
  </si>
  <si>
    <t>SHLB97</t>
  </si>
  <si>
    <t>SHLW62</t>
  </si>
  <si>
    <t>RFVF38</t>
  </si>
  <si>
    <t>RZVW18</t>
  </si>
  <si>
    <t>RWYC65</t>
  </si>
  <si>
    <t>RDKR36</t>
  </si>
  <si>
    <t>LJPD29</t>
  </si>
  <si>
    <t>PJLP51</t>
  </si>
  <si>
    <t>PPRS52</t>
  </si>
  <si>
    <t>LZPB36</t>
  </si>
  <si>
    <t>PLHH61</t>
  </si>
  <si>
    <t>SGWD52</t>
  </si>
  <si>
    <t>PPJH12</t>
  </si>
  <si>
    <t>KVWG72</t>
  </si>
  <si>
    <t>JHRW53</t>
  </si>
  <si>
    <t>RJCW15</t>
  </si>
  <si>
    <t>PKBG15</t>
  </si>
  <si>
    <t>JZPV53</t>
  </si>
  <si>
    <t>SLYZ40</t>
  </si>
  <si>
    <t>RWYC45</t>
  </si>
  <si>
    <t>PRVL63</t>
  </si>
  <si>
    <t>SCWW90</t>
  </si>
  <si>
    <t>PKJP79</t>
  </si>
  <si>
    <t>LLBZ24</t>
  </si>
  <si>
    <t>SSSC32</t>
  </si>
  <si>
    <t>SFLX33</t>
  </si>
  <si>
    <t>KWYH56</t>
  </si>
  <si>
    <t>PSHX66</t>
  </si>
  <si>
    <t>SSTS11</t>
  </si>
  <si>
    <t>RJPS51</t>
  </si>
  <si>
    <t>RGTR45</t>
  </si>
  <si>
    <t>SCGT39</t>
  </si>
  <si>
    <t>SBLF97</t>
  </si>
  <si>
    <t>RKPL17</t>
  </si>
  <si>
    <t>KYTH94</t>
  </si>
  <si>
    <t>RHBW21</t>
  </si>
  <si>
    <t>RYDL37</t>
  </si>
  <si>
    <t>PDJZ69</t>
  </si>
  <si>
    <t>JDKB54</t>
  </si>
  <si>
    <t>PCFJ42</t>
  </si>
  <si>
    <t>SDGC22</t>
  </si>
  <si>
    <t>TBZK71</t>
  </si>
  <si>
    <t>KSXR91</t>
  </si>
  <si>
    <t>KJYF27</t>
  </si>
  <si>
    <t>LRWC76</t>
  </si>
  <si>
    <t>RXRB84</t>
  </si>
  <si>
    <t>PRHH54</t>
  </si>
  <si>
    <t>JGBW47</t>
  </si>
  <si>
    <t>RJCW27</t>
  </si>
  <si>
    <t>TCHY13</t>
  </si>
  <si>
    <t>JSWF63</t>
  </si>
  <si>
    <t>SVRP59</t>
  </si>
  <si>
    <t>PSVT43</t>
  </si>
  <si>
    <t>RRXH70</t>
  </si>
  <si>
    <t>LHSJ31</t>
  </si>
  <si>
    <t>SXHW54</t>
  </si>
  <si>
    <t>KVWJ16</t>
  </si>
  <si>
    <t>JDKT68</t>
  </si>
  <si>
    <t>KKHC77</t>
  </si>
  <si>
    <t>LDBB86</t>
  </si>
  <si>
    <t>KRPW91</t>
  </si>
  <si>
    <t>RDHG10</t>
  </si>
  <si>
    <t>LSXY18</t>
  </si>
  <si>
    <t>LYSS33</t>
  </si>
  <si>
    <t>PPPB79</t>
  </si>
  <si>
    <t>JZXG83</t>
  </si>
  <si>
    <t>KDWJ24</t>
  </si>
  <si>
    <t>KTCZ97</t>
  </si>
  <si>
    <t>SPTC10</t>
  </si>
  <si>
    <t>KLSD59</t>
  </si>
  <si>
    <t>FKKK46</t>
  </si>
  <si>
    <t>SWTP25</t>
  </si>
  <si>
    <t>TBCR96</t>
  </si>
  <si>
    <t>PSHZ75</t>
  </si>
  <si>
    <t>RBFP60</t>
  </si>
  <si>
    <t>KTCS59</t>
  </si>
  <si>
    <t>PFRR73</t>
  </si>
  <si>
    <t>SLRL93</t>
  </si>
  <si>
    <t>LYPH29</t>
  </si>
  <si>
    <t>PKTY70</t>
  </si>
  <si>
    <t>JGBS98</t>
  </si>
  <si>
    <t>RZCK51</t>
  </si>
  <si>
    <t>SPJD69</t>
  </si>
  <si>
    <t>SJJH21</t>
  </si>
  <si>
    <t>RVKL41</t>
  </si>
  <si>
    <t>PTRP43</t>
  </si>
  <si>
    <t>JFFW95</t>
  </si>
  <si>
    <t>RBHH31</t>
  </si>
  <si>
    <t>RRCY60</t>
  </si>
  <si>
    <t>RJBX50</t>
  </si>
  <si>
    <t>SCGT24</t>
  </si>
  <si>
    <t>RJPJ39</t>
  </si>
  <si>
    <t>KCBV84</t>
  </si>
  <si>
    <t>GHBF56</t>
  </si>
  <si>
    <t>RBLD45</t>
  </si>
  <si>
    <t>RFFS39</t>
  </si>
  <si>
    <t>PKJP61</t>
  </si>
  <si>
    <t>LHCL79</t>
  </si>
  <si>
    <t>PPVC21</t>
  </si>
  <si>
    <t>SCRK37</t>
  </si>
  <si>
    <t>JLSJ23</t>
  </si>
  <si>
    <t>JSWF31</t>
  </si>
  <si>
    <t>PCDX27</t>
  </si>
  <si>
    <t>KDTL86</t>
  </si>
  <si>
    <t>HTWG37</t>
  </si>
  <si>
    <t>RGLK59</t>
  </si>
  <si>
    <t>HTDL67</t>
  </si>
  <si>
    <t>KJZK18</t>
  </si>
  <si>
    <t>PTLW28</t>
  </si>
  <si>
    <t>PGGS58</t>
  </si>
  <si>
    <t>JPZG35</t>
  </si>
  <si>
    <t>SJVR94</t>
  </si>
  <si>
    <t>HFHY93</t>
  </si>
  <si>
    <t>KJYP17</t>
  </si>
  <si>
    <t>KGLL79</t>
  </si>
  <si>
    <t>PTSC90</t>
  </si>
  <si>
    <t>KWXK50</t>
  </si>
  <si>
    <t>RZPB93</t>
  </si>
  <si>
    <t>PLHJ45</t>
  </si>
  <si>
    <t>HHYF70</t>
  </si>
  <si>
    <t>KGLJ55</t>
  </si>
  <si>
    <t>PZJC95</t>
  </si>
  <si>
    <t>JXGD53</t>
  </si>
  <si>
    <t>SJVS67</t>
  </si>
  <si>
    <t>GKCY72</t>
  </si>
  <si>
    <t>RXRW51</t>
  </si>
  <si>
    <t>RVYV12</t>
  </si>
  <si>
    <t>JGBL85</t>
  </si>
  <si>
    <t>PRRJ11</t>
  </si>
  <si>
    <t>KCBY89</t>
  </si>
  <si>
    <t>LSYF15</t>
  </si>
  <si>
    <t>PPGH30</t>
  </si>
  <si>
    <t>SLRK59</t>
  </si>
  <si>
    <t>LSYF35</t>
  </si>
  <si>
    <t>LRVT30</t>
  </si>
  <si>
    <t>LVXG38</t>
  </si>
  <si>
    <t>RBJH53</t>
  </si>
  <si>
    <t>PBJC25</t>
  </si>
  <si>
    <t>RTVV32</t>
  </si>
  <si>
    <t>RHFG21</t>
  </si>
  <si>
    <t>JDKC19</t>
  </si>
  <si>
    <t>SJJJ34</t>
  </si>
  <si>
    <t>JGCC12</t>
  </si>
  <si>
    <t>JHRT62</t>
  </si>
  <si>
    <t>PLCF29</t>
  </si>
  <si>
    <t>PHFS63</t>
  </si>
  <si>
    <t>PCRG66</t>
  </si>
  <si>
    <t>PHFT45</t>
  </si>
  <si>
    <t>LHCP76</t>
  </si>
  <si>
    <t>SGDR89</t>
  </si>
  <si>
    <t>RYRK33</t>
  </si>
  <si>
    <t>PFCZ71</t>
  </si>
  <si>
    <t>KZRK80</t>
  </si>
  <si>
    <t>PFSJ75</t>
  </si>
  <si>
    <t>PKTY68</t>
  </si>
  <si>
    <t>PTDZ97</t>
  </si>
  <si>
    <t>RHXY94</t>
  </si>
  <si>
    <t>DTBC89</t>
  </si>
  <si>
    <t>LYGR19</t>
  </si>
  <si>
    <t>RVRD49</t>
  </si>
  <si>
    <t>PRHK53</t>
  </si>
  <si>
    <t>PKBH56</t>
  </si>
  <si>
    <t>JPSK79</t>
  </si>
  <si>
    <t>JZJP48</t>
  </si>
  <si>
    <t>JBJL79</t>
  </si>
  <si>
    <t>PRWG26</t>
  </si>
  <si>
    <t>PFRY29</t>
  </si>
  <si>
    <t>SFTZ87</t>
  </si>
  <si>
    <t>HTCF62</t>
  </si>
  <si>
    <t>KZWB38</t>
  </si>
  <si>
    <t>PYDD66</t>
  </si>
  <si>
    <t>HGPC40</t>
  </si>
  <si>
    <t>KCBV81</t>
  </si>
  <si>
    <t>RZHF12</t>
  </si>
  <si>
    <t>LLBS23</t>
  </si>
  <si>
    <t>PDBS65</t>
  </si>
  <si>
    <t>LYPD12</t>
  </si>
  <si>
    <t>LZJB47</t>
  </si>
  <si>
    <t>SJVT43</t>
  </si>
  <si>
    <t>KFJP91</t>
  </si>
  <si>
    <t>JXDK13</t>
  </si>
  <si>
    <t>LYLW59</t>
  </si>
  <si>
    <t>PFRR33</t>
  </si>
  <si>
    <t>GLHV84</t>
  </si>
  <si>
    <t>LLBF88</t>
  </si>
  <si>
    <t>PBFD27</t>
  </si>
  <si>
    <t>SKCG47</t>
  </si>
  <si>
    <t>LHRB41</t>
  </si>
  <si>
    <t>LHRB42</t>
  </si>
  <si>
    <t>PTSF21</t>
  </si>
  <si>
    <t>PHKL92</t>
  </si>
  <si>
    <t>LBGW79</t>
  </si>
  <si>
    <t>PHFT39</t>
  </si>
  <si>
    <t>SBWP28</t>
  </si>
  <si>
    <t>PTSD95</t>
  </si>
  <si>
    <t>PZJP24</t>
  </si>
  <si>
    <t>KZVW63</t>
  </si>
  <si>
    <t>LRCX10</t>
  </si>
  <si>
    <t>RLSH21</t>
  </si>
  <si>
    <t>SBJF87</t>
  </si>
  <si>
    <t>PRPZ55</t>
  </si>
  <si>
    <t>PFPK51</t>
  </si>
  <si>
    <t>RCHF84</t>
  </si>
  <si>
    <t>LHCL63</t>
  </si>
  <si>
    <t>SFHZ48</t>
  </si>
  <si>
    <t>PCFL51</t>
  </si>
  <si>
    <t>KBBT75</t>
  </si>
  <si>
    <t>LHRW37</t>
  </si>
  <si>
    <t>PHJK18</t>
  </si>
  <si>
    <t>KFTZ30</t>
  </si>
  <si>
    <t>LGTL52</t>
  </si>
  <si>
    <t>PFRZ57</t>
  </si>
  <si>
    <t>RGTS62</t>
  </si>
  <si>
    <t>KWTJ84</t>
  </si>
  <si>
    <t>JZSP13</t>
  </si>
  <si>
    <t>RBJH44</t>
  </si>
  <si>
    <t>KWXG60</t>
  </si>
  <si>
    <t>LYPF99</t>
  </si>
  <si>
    <t>PJDF12</t>
  </si>
  <si>
    <t>PYDD65</t>
  </si>
  <si>
    <t>SLRJ98</t>
  </si>
  <si>
    <t>JXGF43</t>
  </si>
  <si>
    <t>LVXC61</t>
  </si>
  <si>
    <t>SJVT46</t>
  </si>
  <si>
    <t>KZWD62</t>
  </si>
  <si>
    <t>SWTP75</t>
  </si>
  <si>
    <t>RZGK29</t>
  </si>
  <si>
    <t>KGPD75</t>
  </si>
  <si>
    <t>KZKD83</t>
  </si>
  <si>
    <t>RFFT13</t>
  </si>
  <si>
    <t>LRSG52</t>
  </si>
  <si>
    <t>PKGP58</t>
  </si>
  <si>
    <t>LRWH61</t>
  </si>
  <si>
    <t>PSTV45</t>
  </si>
  <si>
    <t>KWVR43</t>
  </si>
  <si>
    <t>LDBC86</t>
  </si>
  <si>
    <t>LRWC10</t>
  </si>
  <si>
    <t>LJYH32</t>
  </si>
  <si>
    <t>LCBV67</t>
  </si>
  <si>
    <t>SFLX85</t>
  </si>
  <si>
    <t>PGGS39</t>
  </si>
  <si>
    <t>HXYD45</t>
  </si>
  <si>
    <t>RTFZ60</t>
  </si>
  <si>
    <t>RSJW31</t>
  </si>
  <si>
    <t>LVXB90</t>
  </si>
  <si>
    <t>JZJT30</t>
  </si>
  <si>
    <t>JWCG93</t>
  </si>
  <si>
    <t>KCBV49</t>
  </si>
  <si>
    <t>KVWG25</t>
  </si>
  <si>
    <t>RDLD25</t>
  </si>
  <si>
    <t>PTDJ43</t>
  </si>
  <si>
    <t>PJLL85</t>
  </si>
  <si>
    <t>SHZR70</t>
  </si>
  <si>
    <t>KTZH21</t>
  </si>
  <si>
    <t>KYBY37</t>
  </si>
  <si>
    <t>LLBZ16</t>
  </si>
  <si>
    <t>LRVZ90</t>
  </si>
  <si>
    <t>JZGC39</t>
  </si>
  <si>
    <t>PPJJ71</t>
  </si>
  <si>
    <t>JHRZ41</t>
  </si>
  <si>
    <t>LLBY69</t>
  </si>
  <si>
    <t>KTCZ86</t>
  </si>
  <si>
    <t>SBWR79</t>
  </si>
  <si>
    <t>PKDY68</t>
  </si>
  <si>
    <t>PKBT64</t>
  </si>
  <si>
    <t>RKPR88</t>
  </si>
  <si>
    <t>LSYF34</t>
  </si>
  <si>
    <t>LTHD21</t>
  </si>
  <si>
    <t>LRVV92</t>
  </si>
  <si>
    <t>RFKT99</t>
  </si>
  <si>
    <t>KGLX42</t>
  </si>
  <si>
    <t>RZCJ99</t>
  </si>
  <si>
    <t>LVXB33</t>
  </si>
  <si>
    <t>PKJP78</t>
  </si>
  <si>
    <t>LHRY42</t>
  </si>
  <si>
    <t>LHRY30</t>
  </si>
  <si>
    <t>LVZR50</t>
  </si>
  <si>
    <t>PSJH25</t>
  </si>
  <si>
    <t>RBJJ77</t>
  </si>
  <si>
    <t>PLJW45</t>
  </si>
  <si>
    <t>JHSD41</t>
  </si>
  <si>
    <t>RZSK13</t>
  </si>
  <si>
    <t>PRHH70</t>
  </si>
  <si>
    <t>RVPZ64</t>
  </si>
  <si>
    <t>KHPC70</t>
  </si>
  <si>
    <t>PPJG77</t>
  </si>
  <si>
    <t>JLXP52</t>
  </si>
  <si>
    <t>KPLB63</t>
  </si>
  <si>
    <t>LHRY31</t>
  </si>
  <si>
    <t>KPKP70</t>
  </si>
  <si>
    <t>HLBT63</t>
  </si>
  <si>
    <t>KPKJ71</t>
  </si>
  <si>
    <t>KZWD93</t>
  </si>
  <si>
    <t>LRSX66</t>
  </si>
  <si>
    <t>LBVR67</t>
  </si>
  <si>
    <t>PFRL39</t>
  </si>
  <si>
    <t>KTCR31</t>
  </si>
  <si>
    <t>JXZZ29</t>
  </si>
  <si>
    <t>PFSB77</t>
  </si>
  <si>
    <t>GTLR64</t>
  </si>
  <si>
    <t>RFFS79</t>
  </si>
  <si>
    <t>PFSB71</t>
  </si>
  <si>
    <t>LGRD26</t>
  </si>
  <si>
    <t>PXXT58</t>
  </si>
  <si>
    <t>LWFY68</t>
  </si>
  <si>
    <t>JBJZ91</t>
  </si>
  <si>
    <t>LBSF88</t>
  </si>
  <si>
    <t>PCFH35</t>
  </si>
  <si>
    <t>PFRR41</t>
  </si>
  <si>
    <t>PJYL94</t>
  </si>
  <si>
    <t>KDTX37</t>
  </si>
  <si>
    <t>SBJH33</t>
  </si>
  <si>
    <t>LHRZ82</t>
  </si>
  <si>
    <t>LDBB65</t>
  </si>
  <si>
    <t>SCZR32</t>
  </si>
  <si>
    <t>KPKV44</t>
  </si>
  <si>
    <t>LYLZ61</t>
  </si>
  <si>
    <t>RBBB13</t>
  </si>
  <si>
    <t>FCBT93</t>
  </si>
  <si>
    <t>PKDZ48</t>
  </si>
  <si>
    <t>JPLT99</t>
  </si>
  <si>
    <t>LVWW65</t>
  </si>
  <si>
    <t>KPKV68</t>
  </si>
  <si>
    <t>HRWR26</t>
  </si>
  <si>
    <t>JHSC12</t>
  </si>
  <si>
    <t>KTCR63</t>
  </si>
  <si>
    <t>RJCV30</t>
  </si>
  <si>
    <t>PFRR49</t>
  </si>
  <si>
    <t>RKRY72</t>
  </si>
  <si>
    <t>RZCJ46</t>
  </si>
  <si>
    <t>RVRF21</t>
  </si>
  <si>
    <t>PSTV77</t>
  </si>
  <si>
    <t>LCWF52</t>
  </si>
  <si>
    <t>RDTJ31</t>
  </si>
  <si>
    <t>RTCD59</t>
  </si>
  <si>
    <t>LRVW74</t>
  </si>
  <si>
    <t>LWFV88</t>
  </si>
  <si>
    <t>LDVR55</t>
  </si>
  <si>
    <t>LGKY21</t>
  </si>
  <si>
    <t>PSJJ39</t>
  </si>
  <si>
    <t>RKRY59</t>
  </si>
  <si>
    <t>PDHY65</t>
  </si>
  <si>
    <t>RZFD31</t>
  </si>
  <si>
    <t>KTBV75</t>
  </si>
  <si>
    <t>PHKF31</t>
  </si>
  <si>
    <t>SKCG10</t>
  </si>
  <si>
    <t>PSHX29</t>
  </si>
  <si>
    <t>PFRY34</t>
  </si>
  <si>
    <t>JPZG71</t>
  </si>
  <si>
    <t>PKBS12</t>
  </si>
  <si>
    <t>LBVV58</t>
  </si>
  <si>
    <t>RHBV76</t>
  </si>
  <si>
    <t>LYLV18</t>
  </si>
  <si>
    <t>RZJJ58</t>
  </si>
  <si>
    <t>KLTV88</t>
  </si>
  <si>
    <t>LDBJ11</t>
  </si>
  <si>
    <t>KWTR16</t>
  </si>
  <si>
    <t>LSGT57</t>
  </si>
  <si>
    <t>LHRZ15</t>
  </si>
  <si>
    <t>RSTC90</t>
  </si>
  <si>
    <t>HRWT26</t>
  </si>
  <si>
    <t>PKBT29</t>
  </si>
  <si>
    <t>PFRP57</t>
  </si>
  <si>
    <t>RVPZ16</t>
  </si>
  <si>
    <t>PYFY49</t>
  </si>
  <si>
    <t>LXHV17</t>
  </si>
  <si>
    <t>PFRX86</t>
  </si>
  <si>
    <t>JZGC33</t>
  </si>
  <si>
    <t>LFXV54</t>
  </si>
  <si>
    <t>JXZZ37</t>
  </si>
  <si>
    <t>PCFH57</t>
  </si>
  <si>
    <t>KTCZ34</t>
  </si>
  <si>
    <t>LYPK74</t>
  </si>
  <si>
    <t>LYPC99</t>
  </si>
  <si>
    <t>JWCG87</t>
  </si>
  <si>
    <t>SBJF70</t>
  </si>
  <si>
    <t>PPPB15</t>
  </si>
  <si>
    <t>JBJK33</t>
  </si>
  <si>
    <t>LYLZ79</t>
  </si>
  <si>
    <t>KCBZ60</t>
  </si>
  <si>
    <t>LVXG10</t>
  </si>
  <si>
    <t>KTCL23</t>
  </si>
  <si>
    <t>LPXL46</t>
  </si>
  <si>
    <t>SPZF82</t>
  </si>
  <si>
    <t>PKVB87</t>
  </si>
  <si>
    <t>PFRL86</t>
  </si>
  <si>
    <t>KRWJ79</t>
  </si>
  <si>
    <t>JDKX55</t>
  </si>
  <si>
    <t>KPLB46</t>
  </si>
  <si>
    <t>PSHX59</t>
  </si>
  <si>
    <t>RHBW93</t>
  </si>
  <si>
    <t>RHZV98</t>
  </si>
  <si>
    <t>GSDW61</t>
  </si>
  <si>
    <t>PCDW76</t>
  </si>
  <si>
    <t>PYDD67</t>
  </si>
  <si>
    <t>LCZZ36</t>
  </si>
  <si>
    <t>PTDH93</t>
  </si>
  <si>
    <t>HXRG45</t>
  </si>
  <si>
    <t>PKVB49</t>
  </si>
  <si>
    <t>PHGD93</t>
  </si>
  <si>
    <t>SJJH82</t>
  </si>
  <si>
    <t>LVWV51</t>
  </si>
  <si>
    <t>LZLX90</t>
  </si>
  <si>
    <t>RKPL45</t>
  </si>
  <si>
    <t>PCDZ36</t>
  </si>
  <si>
    <t>JXFZ74</t>
  </si>
  <si>
    <t>PJDD53</t>
  </si>
  <si>
    <t>PRBC55</t>
  </si>
  <si>
    <t>PLTL77</t>
  </si>
  <si>
    <t>JZGK42</t>
  </si>
  <si>
    <t>HVXJ68</t>
  </si>
  <si>
    <t>RVYJ59</t>
  </si>
  <si>
    <t>RDVT37</t>
  </si>
  <si>
    <t>LDVW81</t>
  </si>
  <si>
    <t>PLSP29</t>
  </si>
  <si>
    <t>LWKT25</t>
  </si>
  <si>
    <t>LKZY27</t>
  </si>
  <si>
    <t>KCBS52</t>
  </si>
  <si>
    <t>SBKC22</t>
  </si>
  <si>
    <t>RSHK39</t>
  </si>
  <si>
    <t>PJLL59</t>
  </si>
  <si>
    <t>PYDD72</t>
  </si>
  <si>
    <t>KZLK68</t>
  </si>
  <si>
    <t>PRSH84</t>
  </si>
  <si>
    <t>PKTY31</t>
  </si>
  <si>
    <t>PCDY14</t>
  </si>
  <si>
    <t>PCFJ97</t>
  </si>
  <si>
    <t>LSYF68</t>
  </si>
  <si>
    <t>PRZZ66</t>
  </si>
  <si>
    <t>SPTB77</t>
  </si>
  <si>
    <t>PKLD39</t>
  </si>
  <si>
    <t>LDVT56</t>
  </si>
  <si>
    <t>KSRT24</t>
  </si>
  <si>
    <t>PPJG92</t>
  </si>
  <si>
    <t>RXTC69</t>
  </si>
  <si>
    <t>PPVC78</t>
  </si>
  <si>
    <t>RBJH90</t>
  </si>
  <si>
    <t>PPVC91</t>
  </si>
  <si>
    <t>JSWR34</t>
  </si>
  <si>
    <t>LPXH29</t>
  </si>
  <si>
    <t>LVXD95</t>
  </si>
  <si>
    <t>KWXZ86</t>
  </si>
  <si>
    <t>KRPX64</t>
  </si>
  <si>
    <t>GGJW34</t>
  </si>
  <si>
    <t>PFRY77</t>
  </si>
  <si>
    <t>GRPT13</t>
  </si>
  <si>
    <t>PJDY45</t>
  </si>
  <si>
    <t>RJPJ68</t>
  </si>
  <si>
    <t>PKTZ82</t>
  </si>
  <si>
    <t>PPVC34</t>
  </si>
  <si>
    <t>PCDW70</t>
  </si>
  <si>
    <t>JDKR53</t>
  </si>
  <si>
    <t>HJSY32</t>
  </si>
  <si>
    <t>JVSC31</t>
  </si>
  <si>
    <t>LXPB26</t>
  </si>
  <si>
    <t>LYSR94</t>
  </si>
  <si>
    <t>LVXG96</t>
  </si>
  <si>
    <t>LFXX91</t>
  </si>
  <si>
    <t>LBVW84</t>
  </si>
  <si>
    <t>KWYD58</t>
  </si>
  <si>
    <t>RFKV58</t>
  </si>
  <si>
    <t>LVXC35</t>
  </si>
  <si>
    <t>LVWZ16</t>
  </si>
  <si>
    <t>KVWC95</t>
  </si>
  <si>
    <t>PPVC10</t>
  </si>
  <si>
    <t>KZVZ40</t>
  </si>
  <si>
    <t>LBVV62</t>
  </si>
  <si>
    <t>DYZJ57</t>
  </si>
  <si>
    <t>SCWW80</t>
  </si>
  <si>
    <t>RKRX10</t>
  </si>
  <si>
    <t>LLBJ17</t>
  </si>
  <si>
    <t>LVXS29</t>
  </si>
  <si>
    <t>RCRW11</t>
  </si>
  <si>
    <t>LZPB23</t>
  </si>
  <si>
    <t>JLTJ52</t>
  </si>
  <si>
    <t>RJCT51</t>
  </si>
  <si>
    <t>HDYR77</t>
  </si>
  <si>
    <t>PKLD47</t>
  </si>
  <si>
    <t>JDKR42</t>
  </si>
  <si>
    <t>RZCK36</t>
  </si>
  <si>
    <t>KSRY48</t>
  </si>
  <si>
    <t>KTDB34</t>
  </si>
  <si>
    <t>RFBW23</t>
  </si>
  <si>
    <t>PCDW32</t>
  </si>
  <si>
    <t>JDKC10</t>
  </si>
  <si>
    <t>LJZC63</t>
  </si>
  <si>
    <t>LRCZ77</t>
  </si>
  <si>
    <t>RXCG52</t>
  </si>
  <si>
    <t>JCGD47</t>
  </si>
  <si>
    <t>RVVS29</t>
  </si>
  <si>
    <t>JBJH15</t>
  </si>
  <si>
    <t>KTCS69</t>
  </si>
  <si>
    <t>KTCS55</t>
  </si>
  <si>
    <t>JCDG98</t>
  </si>
  <si>
    <t>HRWS66</t>
  </si>
  <si>
    <t>RTJJ48</t>
  </si>
  <si>
    <t>LBVX44</t>
  </si>
  <si>
    <t>LPXH47</t>
  </si>
  <si>
    <t>JGCG38</t>
  </si>
  <si>
    <t>LVXG30</t>
  </si>
  <si>
    <t>RGLK92</t>
  </si>
  <si>
    <t>JJYG11</t>
  </si>
  <si>
    <t>KZKC93</t>
  </si>
  <si>
    <t>JYFY99</t>
  </si>
  <si>
    <t>JHRZ76</t>
  </si>
  <si>
    <t>KJYP74</t>
  </si>
  <si>
    <t>HJTK99</t>
  </si>
  <si>
    <t>KWTS86</t>
  </si>
  <si>
    <t>RSXZ50</t>
  </si>
  <si>
    <t>LHSW56</t>
  </si>
  <si>
    <t>LPXJ13</t>
  </si>
  <si>
    <t>LJYH15</t>
  </si>
  <si>
    <t>LVXG67</t>
  </si>
  <si>
    <t>RKPL20</t>
  </si>
  <si>
    <t>PRHJ39</t>
  </si>
  <si>
    <t>KWXZ72</t>
  </si>
  <si>
    <t>KGKZ84</t>
  </si>
  <si>
    <t>JSWF29</t>
  </si>
  <si>
    <t>LYLW73</t>
  </si>
  <si>
    <t>RBJH89</t>
  </si>
  <si>
    <t>LYPB29</t>
  </si>
  <si>
    <t>LYSW53</t>
  </si>
  <si>
    <t>KJYF93</t>
  </si>
  <si>
    <t>LVXB47</t>
  </si>
  <si>
    <t>HWKX39</t>
  </si>
  <si>
    <t>PSHY94</t>
  </si>
  <si>
    <t>JPZR22</t>
  </si>
  <si>
    <t>RZCJ77</t>
  </si>
  <si>
    <t>LYPF27</t>
  </si>
  <si>
    <t>JBJW21</t>
  </si>
  <si>
    <t>KBCK12</t>
  </si>
  <si>
    <t>RTLV30</t>
  </si>
  <si>
    <t>RFVX24</t>
  </si>
  <si>
    <t>LDVR65</t>
  </si>
  <si>
    <t>LYPF74</t>
  </si>
  <si>
    <t>LVXR90</t>
  </si>
  <si>
    <t>SCGS82</t>
  </si>
  <si>
    <t>PFSC16</t>
  </si>
  <si>
    <t>KLHJ78</t>
  </si>
  <si>
    <t>HRWV51</t>
  </si>
  <si>
    <t>JZGD93</t>
  </si>
  <si>
    <t>LSYG12</t>
  </si>
  <si>
    <t>PHFZ56</t>
  </si>
  <si>
    <t>JXSZ39</t>
  </si>
  <si>
    <t>LSYB79</t>
  </si>
  <si>
    <t>PPJG82</t>
  </si>
  <si>
    <t>KTCY37</t>
  </si>
  <si>
    <t>PSJJ32</t>
  </si>
  <si>
    <t>RSSY75</t>
  </si>
  <si>
    <t>JBJC25</t>
  </si>
  <si>
    <t>LBGW86</t>
  </si>
  <si>
    <t>PPJK57</t>
  </si>
  <si>
    <t>PLYS88</t>
  </si>
  <si>
    <t>JKYG98</t>
  </si>
  <si>
    <t>PRHH44</t>
  </si>
  <si>
    <t>GYWB22</t>
  </si>
  <si>
    <t>PFRR25</t>
  </si>
  <si>
    <t>KJXH13</t>
  </si>
  <si>
    <t>KTDB46</t>
  </si>
  <si>
    <t>LJCV89</t>
  </si>
  <si>
    <t>PPBY76</t>
  </si>
  <si>
    <t>LVXB51</t>
  </si>
  <si>
    <t>PJLP29</t>
  </si>
  <si>
    <t>LVZP64</t>
  </si>
  <si>
    <t>JSWG61</t>
  </si>
  <si>
    <t>RBXW51</t>
  </si>
  <si>
    <t>RFBW20</t>
  </si>
  <si>
    <t>SCWV88</t>
  </si>
  <si>
    <t>RJPJ56</t>
  </si>
  <si>
    <t>LLBJ37</t>
  </si>
  <si>
    <t>PSJP71</t>
  </si>
  <si>
    <t>RTLW29</t>
  </si>
  <si>
    <t>LDVT25</t>
  </si>
  <si>
    <t>RXRV75</t>
  </si>
  <si>
    <t>RVKD43</t>
  </si>
  <si>
    <t>PFRR32</t>
  </si>
  <si>
    <t>RKPL41</t>
  </si>
  <si>
    <t>PJDD13</t>
  </si>
  <si>
    <t>HLSZ54</t>
  </si>
  <si>
    <t>RGTR63</t>
  </si>
  <si>
    <t>CDXW25</t>
  </si>
  <si>
    <t>LVWY70</t>
  </si>
  <si>
    <t>PCDZ95</t>
  </si>
  <si>
    <t>LHRV17</t>
  </si>
  <si>
    <t>KWVP39</t>
  </si>
  <si>
    <t>PKJP72</t>
  </si>
  <si>
    <t>PPSR57</t>
  </si>
  <si>
    <t>PPBY92</t>
  </si>
  <si>
    <t>PLHG23</t>
  </si>
  <si>
    <t>PLHJ10</t>
  </si>
  <si>
    <t>GYSY38</t>
  </si>
  <si>
    <t>PFTD88</t>
  </si>
  <si>
    <t>HYSL74</t>
  </si>
  <si>
    <t>PRHH68</t>
  </si>
  <si>
    <t>RFBV92</t>
  </si>
  <si>
    <t>PCFK99</t>
  </si>
  <si>
    <t>RZVY13</t>
  </si>
  <si>
    <t>KSRY51</t>
  </si>
  <si>
    <t>PFSC43</t>
  </si>
  <si>
    <t>JBLY67</t>
  </si>
  <si>
    <t>LSYC88</t>
  </si>
  <si>
    <t>KSRV14</t>
  </si>
  <si>
    <t>JGYV63</t>
  </si>
  <si>
    <t>JBJD63</t>
  </si>
  <si>
    <t>LLBY63</t>
  </si>
  <si>
    <t>LSYB57</t>
  </si>
  <si>
    <t>LLBZ39</t>
  </si>
  <si>
    <t>RTLW47</t>
  </si>
  <si>
    <t>RBJH96</t>
  </si>
  <si>
    <t>KPKZ10</t>
  </si>
  <si>
    <t>LDVL79</t>
  </si>
  <si>
    <t>RKRX82</t>
  </si>
  <si>
    <t>HRTD63</t>
  </si>
  <si>
    <t>PRSJ20</t>
  </si>
  <si>
    <t>PFRK65</t>
  </si>
  <si>
    <t>LSYC42</t>
  </si>
  <si>
    <t>JYBB39</t>
  </si>
  <si>
    <t>PCXX19</t>
  </si>
  <si>
    <t>RFVG61</t>
  </si>
  <si>
    <t>KWVJ63</t>
  </si>
  <si>
    <t>LVWT26</t>
  </si>
  <si>
    <t>LPXL47</t>
  </si>
  <si>
    <t>JHSG57</t>
  </si>
  <si>
    <t>LBVV96</t>
  </si>
  <si>
    <t>LLBG29</t>
  </si>
  <si>
    <t>RBCZ59</t>
  </si>
  <si>
    <t>JZGL31</t>
  </si>
  <si>
    <t>LJYF58</t>
  </si>
  <si>
    <t>KRWF89</t>
  </si>
  <si>
    <t>RYDR17</t>
  </si>
  <si>
    <t>PFRP23</t>
  </si>
  <si>
    <t>HXXZ82</t>
  </si>
  <si>
    <t>KWXK69</t>
  </si>
  <si>
    <t>JDKP42</t>
  </si>
  <si>
    <t>LGXV34</t>
  </si>
  <si>
    <t>PKJL67</t>
  </si>
  <si>
    <t>PPGG91</t>
  </si>
  <si>
    <t>JHRZ26</t>
  </si>
  <si>
    <t>JZKT44</t>
  </si>
  <si>
    <t>KTCW99</t>
  </si>
  <si>
    <t>FZPF54</t>
  </si>
  <si>
    <t>JSWT81</t>
  </si>
  <si>
    <t>LDWV81</t>
  </si>
  <si>
    <t>LHCP46</t>
  </si>
  <si>
    <t>LDVZ95</t>
  </si>
  <si>
    <t>PFRT10</t>
  </si>
  <si>
    <t>KCBZ34</t>
  </si>
  <si>
    <t>LRXC95</t>
  </si>
  <si>
    <t>PTDH25</t>
  </si>
  <si>
    <t>JSWF58</t>
  </si>
  <si>
    <t>KWYH94</t>
  </si>
  <si>
    <t>JGBW99</t>
  </si>
  <si>
    <t>LDVT68</t>
  </si>
  <si>
    <t>LYLZ40</t>
  </si>
  <si>
    <t>LCWD88</t>
  </si>
  <si>
    <t>CJZV22</t>
  </si>
  <si>
    <t>LGRP20</t>
  </si>
  <si>
    <t>JDCS69</t>
  </si>
  <si>
    <t>KDTY98</t>
  </si>
  <si>
    <t>KZWD39</t>
  </si>
  <si>
    <t>LYLV90</t>
  </si>
  <si>
    <t>PHFX51</t>
  </si>
  <si>
    <t>LBGP28</t>
  </si>
  <si>
    <t>JXBR60</t>
  </si>
  <si>
    <t>GFFR39</t>
  </si>
  <si>
    <t>LBGT61</t>
  </si>
  <si>
    <t>FECHA CONSULTA</t>
  </si>
  <si>
    <t>MARCA</t>
  </si>
  <si>
    <t>MODELO</t>
  </si>
  <si>
    <t>PATENTE</t>
  </si>
  <si>
    <t>VALOR AUTOPRESS</t>
  </si>
  <si>
    <t>HONDA</t>
  </si>
  <si>
    <t>HR-V</t>
  </si>
  <si>
    <t>F-150 NEW</t>
  </si>
  <si>
    <t>No informado</t>
  </si>
  <si>
    <t>NUEVO 308</t>
  </si>
  <si>
    <t>ACCENT</t>
  </si>
  <si>
    <t>ALL NEW TRACKER</t>
  </si>
  <si>
    <t>MONTERO SPORT NEW</t>
  </si>
  <si>
    <t>THRJ80</t>
  </si>
  <si>
    <t>KWID</t>
  </si>
  <si>
    <t>NUEVO 2008</t>
  </si>
  <si>
    <t>NUEVO 208</t>
  </si>
  <si>
    <t>VBBD69</t>
  </si>
  <si>
    <t>NUEVO 3008</t>
  </si>
  <si>
    <t>NUEVO MUSTANG</t>
  </si>
  <si>
    <t>VDBS14</t>
  </si>
  <si>
    <t>TIGGO 8 PRO</t>
  </si>
  <si>
    <t>COROLLA CROSS</t>
  </si>
  <si>
    <t>NUEVA X-TRAIL</t>
  </si>
  <si>
    <t>EXEED</t>
  </si>
  <si>
    <t>CHANGAN</t>
  </si>
  <si>
    <t>CS15</t>
  </si>
  <si>
    <t>TIGGO 2</t>
  </si>
  <si>
    <t>RYDL24</t>
  </si>
  <si>
    <t>KIA</t>
  </si>
  <si>
    <t>SOLUTO</t>
  </si>
  <si>
    <t>RBXV26</t>
  </si>
  <si>
    <t>NUEVO 5008</t>
  </si>
  <si>
    <t>SKSZ62</t>
  </si>
  <si>
    <t>RSYF47</t>
  </si>
  <si>
    <t>NEW F-150 RAPTOR</t>
  </si>
  <si>
    <t>NEW 3008</t>
  </si>
  <si>
    <t>NUEVA EXPLORER</t>
  </si>
  <si>
    <t>NUEVA RANGER</t>
  </si>
  <si>
    <t>X55</t>
  </si>
  <si>
    <t>NUEVO SENTRA</t>
  </si>
  <si>
    <t>TYWS86</t>
  </si>
  <si>
    <t>DONGFENG</t>
  </si>
  <si>
    <t>T5</t>
  </si>
  <si>
    <t>NEW RIFTER</t>
  </si>
  <si>
    <t>TZHX32</t>
  </si>
  <si>
    <t>LXLT74</t>
  </si>
  <si>
    <t>NEW JOLION</t>
  </si>
  <si>
    <t>BRILLIANCE</t>
  </si>
  <si>
    <t>X30</t>
  </si>
  <si>
    <t>RJRF51</t>
  </si>
  <si>
    <t>C5 AIRCROSS</t>
  </si>
  <si>
    <t>JMC</t>
  </si>
  <si>
    <t>GRAND AVENUE</t>
  </si>
  <si>
    <t>RIO 4</t>
  </si>
  <si>
    <t>TBZP32</t>
  </si>
  <si>
    <t>NEW COLORADO</t>
  </si>
  <si>
    <t>FIAT</t>
  </si>
  <si>
    <t>ARGO</t>
  </si>
  <si>
    <t>H6 GT</t>
  </si>
  <si>
    <t>JS2</t>
  </si>
  <si>
    <t>NEW 1500</t>
  </si>
  <si>
    <t>CX70</t>
  </si>
  <si>
    <t>REFINE</t>
  </si>
  <si>
    <t>MG</t>
  </si>
  <si>
    <t>HS</t>
  </si>
  <si>
    <t>T8 PRO</t>
  </si>
  <si>
    <t>SSBR38</t>
  </si>
  <si>
    <t>NEW KORANDO</t>
  </si>
  <si>
    <t>SPSZ45</t>
  </si>
  <si>
    <t>ALL NEW SANTA FE</t>
  </si>
  <si>
    <t>ONIX</t>
  </si>
  <si>
    <t>NUEVO SWIFT</t>
  </si>
  <si>
    <t>SZHT24</t>
  </si>
  <si>
    <t>VIGUS</t>
  </si>
  <si>
    <t>KUV100</t>
  </si>
  <si>
    <t>SUBARU</t>
  </si>
  <si>
    <t>XV</t>
  </si>
  <si>
    <t>TIGGO 2 PRO MAX</t>
  </si>
  <si>
    <t>TWBK18</t>
  </si>
  <si>
    <t>OPEL</t>
  </si>
  <si>
    <t>NEW GRANDLAND</t>
  </si>
  <si>
    <t>RPSZ19</t>
  </si>
  <si>
    <t>TJDD28</t>
  </si>
  <si>
    <t>SLRJ69</t>
  </si>
  <si>
    <t>SYPP39</t>
  </si>
  <si>
    <t>TRAVERSE</t>
  </si>
  <si>
    <t>EDGE NEW</t>
  </si>
  <si>
    <t>ALL NEW DUSTER</t>
  </si>
  <si>
    <t>RBLB70</t>
  </si>
  <si>
    <t>C3 AIRCROSS NEW</t>
  </si>
  <si>
    <t>NEW OUTLANDER</t>
  </si>
  <si>
    <t>GS</t>
  </si>
  <si>
    <t>JFCL99</t>
  </si>
  <si>
    <t>NUEVO SONET</t>
  </si>
  <si>
    <t>RUSH</t>
  </si>
  <si>
    <t>OROCH</t>
  </si>
  <si>
    <t>LLBK38</t>
  </si>
  <si>
    <t>ECLIPSE CROSS</t>
  </si>
  <si>
    <t>TRUCK</t>
  </si>
  <si>
    <t>KICKS</t>
  </si>
  <si>
    <t>NEW CX-9</t>
  </si>
  <si>
    <t>ZS</t>
  </si>
  <si>
    <t>I20</t>
  </si>
  <si>
    <t>SWTR87</t>
  </si>
  <si>
    <t>TXL</t>
  </si>
  <si>
    <t>TIGGO 2 PRO</t>
  </si>
  <si>
    <t>NAVARA</t>
  </si>
  <si>
    <t>NEW QASHQAI</t>
  </si>
  <si>
    <t>LFRK47</t>
  </si>
  <si>
    <t>HFJC89</t>
  </si>
  <si>
    <t>POLO</t>
  </si>
  <si>
    <t>CAPTIVA 6</t>
  </si>
  <si>
    <t>NEW 3</t>
  </si>
  <si>
    <t>KPWV58</t>
  </si>
  <si>
    <t>NEW 2008</t>
  </si>
  <si>
    <t>TSGB53</t>
  </si>
  <si>
    <t>VKXJ45</t>
  </si>
  <si>
    <t>NUEVO SELTOS</t>
  </si>
  <si>
    <t>TSYX30</t>
  </si>
  <si>
    <t>STBR37</t>
  </si>
  <si>
    <t>VBBD41</t>
  </si>
  <si>
    <t>VGPT26</t>
  </si>
  <si>
    <t>VGPT41</t>
  </si>
  <si>
    <t>NEW PARTNER</t>
  </si>
  <si>
    <t>TSGB49</t>
  </si>
  <si>
    <t>ATOS</t>
  </si>
  <si>
    <t>RAIZE</t>
  </si>
  <si>
    <t>RDVV45</t>
  </si>
  <si>
    <t>THXR90</t>
  </si>
  <si>
    <t>NEW ZX</t>
  </si>
  <si>
    <t>SFLZ19</t>
  </si>
  <si>
    <t>TZTB85</t>
  </si>
  <si>
    <t>HBFG17</t>
  </si>
  <si>
    <t>CX-5</t>
  </si>
  <si>
    <t>PHDP90</t>
  </si>
  <si>
    <t>TSGB36</t>
  </si>
  <si>
    <t>RX5</t>
  </si>
  <si>
    <t>LHRV25</t>
  </si>
  <si>
    <t>AUDI</t>
  </si>
  <si>
    <t>S3</t>
  </si>
  <si>
    <t>TFJJ17</t>
  </si>
  <si>
    <t>RJCV71</t>
  </si>
  <si>
    <t>TJCZ64</t>
  </si>
  <si>
    <t>STBR36</t>
  </si>
  <si>
    <t>VGPT22</t>
  </si>
  <si>
    <t>TSGB48</t>
  </si>
  <si>
    <t>TPCR98</t>
  </si>
  <si>
    <t>TSGB43</t>
  </si>
  <si>
    <t>TBCP56</t>
  </si>
  <si>
    <t>TSGB41</t>
  </si>
  <si>
    <t>TCHV94</t>
  </si>
  <si>
    <t>NEW E-2008</t>
  </si>
  <si>
    <t>TBCP55</t>
  </si>
  <si>
    <t>VGPT28</t>
  </si>
  <si>
    <t>TPCR76</t>
  </si>
  <si>
    <t>TFDY98</t>
  </si>
  <si>
    <t>TBCS76</t>
  </si>
  <si>
    <t>NEW L200</t>
  </si>
  <si>
    <t>VCRP48</t>
  </si>
  <si>
    <t>VGPT20</t>
  </si>
  <si>
    <t>RIFTER</t>
  </si>
  <si>
    <t>TSGC13</t>
  </si>
  <si>
    <t>TJCZ72</t>
  </si>
  <si>
    <t>TFDZ57</t>
  </si>
  <si>
    <t>TSYX74</t>
  </si>
  <si>
    <t>VBBD44</t>
  </si>
  <si>
    <t>TSGB44</t>
  </si>
  <si>
    <t>TSGB38</t>
  </si>
  <si>
    <t>SSSC75</t>
  </si>
  <si>
    <t>VGPT23</t>
  </si>
  <si>
    <t>TTVW30</t>
  </si>
  <si>
    <t>SONG PLUS DM-I</t>
  </si>
  <si>
    <t>TJSJ84</t>
  </si>
  <si>
    <t>SVRR87</t>
  </si>
  <si>
    <t>SUNRAY</t>
  </si>
  <si>
    <t>TGVL67</t>
  </si>
  <si>
    <t>SYPX69</t>
  </si>
  <si>
    <t>TJCZ18</t>
  </si>
  <si>
    <t>TJCZ55</t>
  </si>
  <si>
    <t>TJCZ70</t>
  </si>
  <si>
    <t>TJCZ91</t>
  </si>
  <si>
    <t>OUTBACK</t>
  </si>
  <si>
    <t>SDGD85</t>
  </si>
  <si>
    <t>BALENO</t>
  </si>
  <si>
    <t>LVXS21</t>
  </si>
  <si>
    <t>NEW MOKKA</t>
  </si>
  <si>
    <t>VBRX81</t>
  </si>
  <si>
    <t>RSJD17</t>
  </si>
  <si>
    <t>CRETA GRAND</t>
  </si>
  <si>
    <t>TBJD80</t>
  </si>
  <si>
    <t>PPJG65</t>
  </si>
  <si>
    <t>NUEVO SAIL</t>
  </si>
  <si>
    <t>RENEGADE</t>
  </si>
  <si>
    <t>RIO 5</t>
  </si>
  <si>
    <t>SONET</t>
  </si>
  <si>
    <t>BMW</t>
  </si>
  <si>
    <t>220 D</t>
  </si>
  <si>
    <t>PKVB74</t>
  </si>
  <si>
    <t>KWDR80</t>
  </si>
  <si>
    <t>RRGY14</t>
  </si>
  <si>
    <t>TIGGO 7</t>
  </si>
  <si>
    <t>PFVV65</t>
  </si>
  <si>
    <t>SJVR42</t>
  </si>
  <si>
    <t>AVENGER</t>
  </si>
  <si>
    <t>VDHZ84</t>
  </si>
  <si>
    <t>L200</t>
  </si>
  <si>
    <t>RPSY66</t>
  </si>
  <si>
    <t>SHBW61</t>
  </si>
  <si>
    <t>TKHL18</t>
  </si>
  <si>
    <t>TRTY68</t>
  </si>
  <si>
    <t>THRL24</t>
  </si>
  <si>
    <t>THRL53</t>
  </si>
  <si>
    <t>X-TRAIL</t>
  </si>
  <si>
    <t>RZFD83</t>
  </si>
  <si>
    <t>PJLL48</t>
  </si>
  <si>
    <t>WR-V</t>
  </si>
  <si>
    <t>RSRB53</t>
  </si>
  <si>
    <t>THHH80</t>
  </si>
  <si>
    <t>KONECT</t>
  </si>
  <si>
    <t>PKWR15</t>
  </si>
  <si>
    <t>KWTK16</t>
  </si>
  <si>
    <t>SFXC31</t>
  </si>
  <si>
    <t>VIRTUS</t>
  </si>
  <si>
    <t>KSXR31</t>
  </si>
  <si>
    <t>NEW 6</t>
  </si>
  <si>
    <t>RDHC92</t>
  </si>
  <si>
    <t>RWWB99</t>
  </si>
  <si>
    <t>TBHZ76</t>
  </si>
  <si>
    <t>TBCS80</t>
  </si>
  <si>
    <t>RXRP13</t>
  </si>
  <si>
    <t>TRKT53</t>
  </si>
  <si>
    <t>TJLF40</t>
  </si>
  <si>
    <t>RXFK78</t>
  </si>
  <si>
    <t>SHCZ22</t>
  </si>
  <si>
    <t>NEW TOURING</t>
  </si>
  <si>
    <t>TDXK29</t>
  </si>
  <si>
    <t>LDBP72</t>
  </si>
  <si>
    <t>GRAND I10</t>
  </si>
  <si>
    <t>PHFT24</t>
  </si>
  <si>
    <t>KWGG82</t>
  </si>
  <si>
    <t>PLHG73</t>
  </si>
  <si>
    <t>KTBX64</t>
  </si>
  <si>
    <t>STTD67</t>
  </si>
  <si>
    <t>VERNA</t>
  </si>
  <si>
    <t>PFDT12</t>
  </si>
  <si>
    <t>LBVT55</t>
  </si>
  <si>
    <t>NP300</t>
  </si>
  <si>
    <t>PFZG29</t>
  </si>
  <si>
    <t>PTSC83</t>
  </si>
  <si>
    <t>RSTC57</t>
  </si>
  <si>
    <t>MONTANA</t>
  </si>
  <si>
    <t>SWCC50</t>
  </si>
  <si>
    <t>RJJX95</t>
  </si>
  <si>
    <t>TSGB56</t>
  </si>
  <si>
    <t>VBBB44</t>
  </si>
  <si>
    <t>TSGB69</t>
  </si>
  <si>
    <t>TYWT11</t>
  </si>
  <si>
    <t>LWBD48</t>
  </si>
  <si>
    <t>THRJ63</t>
  </si>
  <si>
    <t>NUEVO VERSA</t>
  </si>
  <si>
    <t>CX-3 ALL NEW</t>
  </si>
  <si>
    <t>LBGP40</t>
  </si>
  <si>
    <t>RVPY96</t>
  </si>
  <si>
    <t>CROSSTREK</t>
  </si>
  <si>
    <t>TCHZ58</t>
  </si>
  <si>
    <t>ALTO</t>
  </si>
  <si>
    <t>RLBY83</t>
  </si>
  <si>
    <t>PHFV52</t>
  </si>
  <si>
    <t>TPTX99</t>
  </si>
  <si>
    <t>TJDC14</t>
  </si>
  <si>
    <t>PRPV62</t>
  </si>
  <si>
    <t>TXYY64</t>
  </si>
  <si>
    <t>KDTY63</t>
  </si>
  <si>
    <t>SLWG75</t>
  </si>
  <si>
    <t>RPSZ84</t>
  </si>
  <si>
    <t>SLZF59</t>
  </si>
  <si>
    <t>SJKL95</t>
  </si>
  <si>
    <t>ESCAPE NEW</t>
  </si>
  <si>
    <t>TZHX69</t>
  </si>
  <si>
    <t>CERATO</t>
  </si>
  <si>
    <t>LTKC15</t>
  </si>
  <si>
    <t>RJCV74</t>
  </si>
  <si>
    <t>SGGL11</t>
  </si>
  <si>
    <t>VLDT34</t>
  </si>
  <si>
    <t>SKCG59</t>
  </si>
  <si>
    <t>PPGH36</t>
  </si>
  <si>
    <t>STBS91</t>
  </si>
  <si>
    <t>TCTT25</t>
  </si>
  <si>
    <t>VGPP98</t>
  </si>
  <si>
    <t>NEW SONG PLUS DM-I</t>
  </si>
  <si>
    <t>SWBW85</t>
  </si>
  <si>
    <t>TWBJ55</t>
  </si>
  <si>
    <t>NEW KICKS</t>
  </si>
  <si>
    <t>TFGP63</t>
  </si>
  <si>
    <t>GROOVE</t>
  </si>
  <si>
    <t>SDGF51</t>
  </si>
  <si>
    <t>DF6</t>
  </si>
  <si>
    <t>RGTS28</t>
  </si>
  <si>
    <t>WINGLE 5</t>
  </si>
  <si>
    <t>VDKW48</t>
  </si>
  <si>
    <t>IMPREZA NEW</t>
  </si>
  <si>
    <t>LDBL29</t>
  </si>
  <si>
    <t>PHGB52</t>
  </si>
  <si>
    <t>PZFP70</t>
  </si>
  <si>
    <t>RPWK10</t>
  </si>
  <si>
    <t>TPTW80</t>
  </si>
  <si>
    <t>PLCF93</t>
  </si>
  <si>
    <t>SFPB53</t>
  </si>
  <si>
    <t>SHDG57</t>
  </si>
  <si>
    <t>UNI-T</t>
  </si>
  <si>
    <t>TCHX81</t>
  </si>
  <si>
    <t>VCRR72</t>
  </si>
  <si>
    <t>SPZC45</t>
  </si>
  <si>
    <t>TRTY12</t>
  </si>
  <si>
    <t>TPGG14</t>
  </si>
  <si>
    <t>SDGD96</t>
  </si>
  <si>
    <t>MURANO</t>
  </si>
  <si>
    <t>YARIS CROSS</t>
  </si>
  <si>
    <t>SYRB26</t>
  </si>
  <si>
    <t>CRETA</t>
  </si>
  <si>
    <t>JDZT75</t>
  </si>
  <si>
    <t>KZWF48</t>
  </si>
  <si>
    <t>PRHK88</t>
  </si>
  <si>
    <t>NUEVA TERRITORY</t>
  </si>
  <si>
    <t>TJLD76</t>
  </si>
  <si>
    <t>PLCH21</t>
  </si>
  <si>
    <t>DS</t>
  </si>
  <si>
    <t>DS4</t>
  </si>
  <si>
    <t>SKRH64</t>
  </si>
  <si>
    <t>SYXT72</t>
  </si>
  <si>
    <t>RJCV82</t>
  </si>
  <si>
    <t>LRWC56</t>
  </si>
  <si>
    <t>STBP77</t>
  </si>
  <si>
    <t>TFGR79</t>
  </si>
  <si>
    <t>MONTERO SPORT</t>
  </si>
  <si>
    <t>RVPX59</t>
  </si>
  <si>
    <t>ALL-NEW CX-30</t>
  </si>
  <si>
    <t>TJSH77</t>
  </si>
  <si>
    <t>ALL NEW IMPREZA</t>
  </si>
  <si>
    <t>TPZZ30</t>
  </si>
  <si>
    <t>SDKF63</t>
  </si>
  <si>
    <t>NEW CS35 PLUS</t>
  </si>
  <si>
    <t>PYRY64</t>
  </si>
  <si>
    <t>VPGH99</t>
  </si>
  <si>
    <t>PTWP35</t>
  </si>
  <si>
    <t>LZJB76</t>
  </si>
  <si>
    <t>JETOUR</t>
  </si>
  <si>
    <t>X70</t>
  </si>
  <si>
    <t>PKBF94</t>
  </si>
  <si>
    <t>RSYF62</t>
  </si>
  <si>
    <t>YUAN PRO</t>
  </si>
  <si>
    <t>VBRZ29</t>
  </si>
  <si>
    <t>SAIL</t>
  </si>
  <si>
    <t>RSSZ86</t>
  </si>
  <si>
    <t>C30</t>
  </si>
  <si>
    <t>SPIN ALL NEW</t>
  </si>
  <si>
    <t>NEW ESCAPE</t>
  </si>
  <si>
    <t>THXL40</t>
  </si>
  <si>
    <t>SHLW51</t>
  </si>
  <si>
    <t>SYDL98</t>
  </si>
  <si>
    <t>K3 CROSS</t>
  </si>
  <si>
    <t>SLRJ96</t>
  </si>
  <si>
    <t>LTWS17</t>
  </si>
  <si>
    <t>NUEVO SORENTO</t>
  </si>
  <si>
    <t>RYRK46</t>
  </si>
  <si>
    <t>CLIO</t>
  </si>
  <si>
    <t>STGY97</t>
  </si>
  <si>
    <t>C-ELYSEE NEW</t>
  </si>
  <si>
    <t>SCWW53</t>
  </si>
  <si>
    <t>RRWP43</t>
  </si>
  <si>
    <t>CX-5 NEW</t>
  </si>
  <si>
    <t>KWTK46</t>
  </si>
  <si>
    <t>VBWW64</t>
  </si>
  <si>
    <t>NEW CX-5</t>
  </si>
  <si>
    <t>TKCK90</t>
  </si>
  <si>
    <t>ALL NEW H6</t>
  </si>
  <si>
    <t>RGZW79</t>
  </si>
  <si>
    <t>DUSTER</t>
  </si>
  <si>
    <t>LJYH57</t>
  </si>
  <si>
    <t>TZHX24</t>
  </si>
  <si>
    <t>RBJH32</t>
  </si>
  <si>
    <t>JBJY58</t>
  </si>
  <si>
    <t>SHDG96</t>
  </si>
  <si>
    <t>TLRS16</t>
  </si>
  <si>
    <t>C4</t>
  </si>
  <si>
    <t>TPCS80</t>
  </si>
  <si>
    <t>FORESTER</t>
  </si>
  <si>
    <t>PRBC26</t>
  </si>
  <si>
    <t>TDYL53</t>
  </si>
  <si>
    <t>BRONCO SPORT</t>
  </si>
  <si>
    <t>SCWK90</t>
  </si>
  <si>
    <t>RKCL17</t>
  </si>
  <si>
    <t>RAV4</t>
  </si>
  <si>
    <t>SBWP31</t>
  </si>
  <si>
    <t>PXTL75</t>
  </si>
  <si>
    <t>SFLY43</t>
  </si>
  <si>
    <t>TFGS10</t>
  </si>
  <si>
    <t>VKBG85</t>
  </si>
  <si>
    <t>NEW ACCENT BN7I</t>
  </si>
  <si>
    <t>THHH59</t>
  </si>
  <si>
    <t>RZDS61</t>
  </si>
  <si>
    <t>PCFC19</t>
  </si>
  <si>
    <t>SJJJ55</t>
  </si>
  <si>
    <t>RKZT64</t>
  </si>
  <si>
    <t>PRISMA NEW</t>
  </si>
  <si>
    <t>LHCR49</t>
  </si>
  <si>
    <t>SHLK87</t>
  </si>
  <si>
    <t>TRJD34</t>
  </si>
  <si>
    <t>RDLJ81</t>
  </si>
  <si>
    <t>PFTG33</t>
  </si>
  <si>
    <t>TDWY73</t>
  </si>
  <si>
    <t>SXRG68</t>
  </si>
  <si>
    <t>ALL NEW EXPLORER</t>
  </si>
  <si>
    <t>RDTH77</t>
  </si>
  <si>
    <t>SPIN II</t>
  </si>
  <si>
    <t>PKJP42</t>
  </si>
  <si>
    <t>TSHF86</t>
  </si>
  <si>
    <t>TPJG25</t>
  </si>
  <si>
    <t>LDVV76</t>
  </si>
  <si>
    <t>SLWH20</t>
  </si>
  <si>
    <t>PFRX55</t>
  </si>
  <si>
    <t>PATHFINDER</t>
  </si>
  <si>
    <t>HLSR80</t>
  </si>
  <si>
    <t>H7</t>
  </si>
  <si>
    <t>LHSG89</t>
  </si>
  <si>
    <t>SYRB80</t>
  </si>
  <si>
    <t>NEW CAPTIVA</t>
  </si>
  <si>
    <t>LPRD27</t>
  </si>
  <si>
    <t>RZFB71</t>
  </si>
  <si>
    <t>ONIX NEW</t>
  </si>
  <si>
    <t>JZJT60</t>
  </si>
  <si>
    <t>PIK UP</t>
  </si>
  <si>
    <t>PHDR53</t>
  </si>
  <si>
    <t>COLORADO</t>
  </si>
  <si>
    <t>PBGF18</t>
  </si>
  <si>
    <t>ONIX SEDAN</t>
  </si>
  <si>
    <t>RVVP36</t>
  </si>
  <si>
    <t>RBCJ64</t>
  </si>
  <si>
    <t>NUEVO BALENO</t>
  </si>
  <si>
    <t>RTTV21</t>
  </si>
  <si>
    <t>NP300 NAVARA</t>
  </si>
  <si>
    <t>PJDY11</t>
  </si>
  <si>
    <t>ELANTRA</t>
  </si>
  <si>
    <t>LCCB22</t>
  </si>
  <si>
    <t>KWGH17</t>
  </si>
  <si>
    <t>SPARK II</t>
  </si>
  <si>
    <t>TPJG21</t>
  </si>
  <si>
    <t>KGPD62</t>
  </si>
  <si>
    <t>RZCJ90</t>
  </si>
  <si>
    <t>SPSZ95</t>
  </si>
  <si>
    <t>ALL NEW CARENS</t>
  </si>
  <si>
    <t>THDF10</t>
  </si>
  <si>
    <t>M4</t>
  </si>
  <si>
    <t>JSJR64</t>
  </si>
  <si>
    <t>TPTX47</t>
  </si>
  <si>
    <t>VITARA ALL NEW</t>
  </si>
  <si>
    <t>TSFY64</t>
  </si>
  <si>
    <t>TFRF27</t>
  </si>
  <si>
    <t>PRWS21</t>
  </si>
  <si>
    <t>TJDB64</t>
  </si>
  <si>
    <t>NEW GRAND VITARA</t>
  </si>
  <si>
    <t>TXZB23</t>
  </si>
  <si>
    <t>TRAILBLAZER</t>
  </si>
  <si>
    <t>SPCP47</t>
  </si>
  <si>
    <t>PHFW33</t>
  </si>
  <si>
    <t>VENUE</t>
  </si>
  <si>
    <t>TTVW54</t>
  </si>
  <si>
    <t>NEW CX-3</t>
  </si>
  <si>
    <t>PLTJ23</t>
  </si>
  <si>
    <t>LWLH37</t>
  </si>
  <si>
    <t>LHRX85</t>
  </si>
  <si>
    <t>RVZV91</t>
  </si>
  <si>
    <t>SPKX50</t>
  </si>
  <si>
    <t>SSSD88</t>
  </si>
  <si>
    <t>PCSG28</t>
  </si>
  <si>
    <t>VLYK65</t>
  </si>
  <si>
    <t>C4 CACTUS</t>
  </si>
  <si>
    <t>JGYF19</t>
  </si>
  <si>
    <t>LSFC62</t>
  </si>
  <si>
    <t>TRPY35</t>
  </si>
  <si>
    <t>GAC MOTOR</t>
  </si>
  <si>
    <t>NEW GS4 POWER</t>
  </si>
  <si>
    <t>RXCG18</t>
  </si>
  <si>
    <t>SXKJ99</t>
  </si>
  <si>
    <t>THRJ93</t>
  </si>
  <si>
    <t>SHINERAY</t>
  </si>
  <si>
    <t>G05</t>
  </si>
  <si>
    <t>TPTX33</t>
  </si>
  <si>
    <t>RPWK37</t>
  </si>
  <si>
    <t>CS55</t>
  </si>
  <si>
    <t>RKZT72</t>
  </si>
  <si>
    <t>THCW10</t>
  </si>
  <si>
    <t>NUEVA F-150</t>
  </si>
  <si>
    <t>JFVW82</t>
  </si>
  <si>
    <t>SFSB83</t>
  </si>
  <si>
    <t>RZFB83</t>
  </si>
  <si>
    <t>GS3</t>
  </si>
  <si>
    <t>TLRS59</t>
  </si>
  <si>
    <t>NEW BORA</t>
  </si>
  <si>
    <t>JRBC33</t>
  </si>
  <si>
    <t>RWWB39</t>
  </si>
  <si>
    <t>RKRZ84</t>
  </si>
  <si>
    <t>PTDH60</t>
  </si>
  <si>
    <t>TBCS20</t>
  </si>
  <si>
    <t>RFBV32</t>
  </si>
  <si>
    <t>SSTS10</t>
  </si>
  <si>
    <t>EDGE ALL NEW</t>
  </si>
  <si>
    <t>KHPG62</t>
  </si>
  <si>
    <t>TJDB33</t>
  </si>
  <si>
    <t>GOLF</t>
  </si>
  <si>
    <t>JDLY83</t>
  </si>
  <si>
    <t>ALL NEW HILUX</t>
  </si>
  <si>
    <t>RLDC63</t>
  </si>
  <si>
    <t>RBBB73</t>
  </si>
  <si>
    <t>SZTL71</t>
  </si>
  <si>
    <t>LLBP69</t>
  </si>
  <si>
    <t>TFRF44</t>
  </si>
  <si>
    <t>NEW CS15</t>
  </si>
  <si>
    <t>SYPP30</t>
  </si>
  <si>
    <t>SFLY51</t>
  </si>
  <si>
    <t>KJYL72</t>
  </si>
  <si>
    <t>TJDC60</t>
  </si>
  <si>
    <t>JIM</t>
  </si>
  <si>
    <t>RE-MAX</t>
  </si>
  <si>
    <t>NEW BRONCO SPORT</t>
  </si>
  <si>
    <t>TRACKER II</t>
  </si>
  <si>
    <t>RCSB28</t>
  </si>
  <si>
    <t>SXVB39</t>
  </si>
  <si>
    <t>SHDG33</t>
  </si>
  <si>
    <t>TYWT10</t>
  </si>
  <si>
    <t>VCTY82</t>
  </si>
  <si>
    <t>KOLEOS</t>
  </si>
  <si>
    <t>JTPB11</t>
  </si>
  <si>
    <t>VDBP66</t>
  </si>
  <si>
    <t>KDSV31</t>
  </si>
  <si>
    <t>RHBJ25</t>
  </si>
  <si>
    <t>NUEVO CELERIO</t>
  </si>
  <si>
    <t>SYDS55</t>
  </si>
  <si>
    <t>SLRJ79</t>
  </si>
  <si>
    <t>PSSP80</t>
  </si>
  <si>
    <t>PGPP16</t>
  </si>
  <si>
    <t>SKCS53</t>
  </si>
  <si>
    <t>SHLW80</t>
  </si>
  <si>
    <t>SVGP46</t>
  </si>
  <si>
    <t>TBSR39</t>
  </si>
  <si>
    <t>PHDR33</t>
  </si>
  <si>
    <t>RGZH88</t>
  </si>
  <si>
    <t>C3 AIRCROSS</t>
  </si>
  <si>
    <t>TGVH50</t>
  </si>
  <si>
    <t>VKDC37</t>
  </si>
  <si>
    <t>TCTT15</t>
  </si>
  <si>
    <t>MERCEDES BENZ</t>
  </si>
  <si>
    <t>GLA200</t>
  </si>
  <si>
    <t>JJYW63</t>
  </si>
  <si>
    <t>SHDF76</t>
  </si>
  <si>
    <t>NEW SANTA FE</t>
  </si>
  <si>
    <t>SBCJ16</t>
  </si>
  <si>
    <t>SYPS57</t>
  </si>
  <si>
    <t>SDGG70</t>
  </si>
  <si>
    <t>SLRJ76</t>
  </si>
  <si>
    <t>VX</t>
  </si>
  <si>
    <t>TSYX31</t>
  </si>
  <si>
    <t>PTSC74</t>
  </si>
  <si>
    <t>KJJL93</t>
  </si>
  <si>
    <t>SYPX68</t>
  </si>
  <si>
    <t>THRL69</t>
  </si>
  <si>
    <t>RDLK32</t>
  </si>
  <si>
    <t>SXYH83</t>
  </si>
  <si>
    <t>KJRJ19</t>
  </si>
  <si>
    <t>LBGS96</t>
  </si>
  <si>
    <t>VDBK20</t>
  </si>
  <si>
    <t>NEW CROSSLAND</t>
  </si>
  <si>
    <t>SYYR94</t>
  </si>
  <si>
    <t>GLA220</t>
  </si>
  <si>
    <t>KPKH15</t>
  </si>
  <si>
    <t>RKPP52</t>
  </si>
  <si>
    <t>RTLL67</t>
  </si>
  <si>
    <t>X1</t>
  </si>
  <si>
    <t>RYDS45</t>
  </si>
  <si>
    <t>RKRY11</t>
  </si>
  <si>
    <t>TYWS82</t>
  </si>
  <si>
    <t>TZHX25</t>
  </si>
  <si>
    <t>NUEVO ATLAS</t>
  </si>
  <si>
    <t>RGLW22</t>
  </si>
  <si>
    <t>JZGH73</t>
  </si>
  <si>
    <t>SYDS20</t>
  </si>
  <si>
    <t>PLTH82</t>
  </si>
  <si>
    <t>SVGP50</t>
  </si>
  <si>
    <t>SLZC82</t>
  </si>
  <si>
    <t>TJCZ90</t>
  </si>
  <si>
    <t>SXBP64</t>
  </si>
  <si>
    <t>PRISMA</t>
  </si>
  <si>
    <t>LRSH58</t>
  </si>
  <si>
    <t>TPJD46</t>
  </si>
  <si>
    <t>SJJG99</t>
  </si>
  <si>
    <t>LHRT11</t>
  </si>
  <si>
    <t>NEW CORSA</t>
  </si>
  <si>
    <t>RJPK87</t>
  </si>
  <si>
    <t>NEW EXPLORER</t>
  </si>
  <si>
    <t>VDBR77</t>
  </si>
  <si>
    <t>SCBX98</t>
  </si>
  <si>
    <t>TYWW58</t>
  </si>
  <si>
    <t>NEW GRAND I10</t>
  </si>
  <si>
    <t>VGPR69</t>
  </si>
  <si>
    <t>KRWG32</t>
  </si>
  <si>
    <t>RXRR75</t>
  </si>
  <si>
    <t>THDD33</t>
  </si>
  <si>
    <t>RZHT82</t>
  </si>
  <si>
    <t>RZJV42</t>
  </si>
  <si>
    <t>VLYK51</t>
  </si>
  <si>
    <t>NEW MUSSO</t>
  </si>
  <si>
    <t>RGDF37</t>
  </si>
  <si>
    <t>RLTC90</t>
  </si>
  <si>
    <t>FULWIN 2</t>
  </si>
  <si>
    <t>LSYG73</t>
  </si>
  <si>
    <t>PTLW50</t>
  </si>
  <si>
    <t>RTVT15</t>
  </si>
  <si>
    <t>SLTG11</t>
  </si>
  <si>
    <t>PKVB36</t>
  </si>
  <si>
    <t>TBCS27</t>
  </si>
  <si>
    <t>SSHY42</t>
  </si>
  <si>
    <t>LJYJ25</t>
  </si>
  <si>
    <t>PYDH71</t>
  </si>
  <si>
    <t>TXZC43</t>
  </si>
  <si>
    <t>SVGP51</t>
  </si>
  <si>
    <t>RZSJ50</t>
  </si>
  <si>
    <t>TUCSON</t>
  </si>
  <si>
    <t>RSCP60</t>
  </si>
  <si>
    <t>THCX42</t>
  </si>
  <si>
    <t>NEW X-TRAIL</t>
  </si>
  <si>
    <t>KLSC22</t>
  </si>
  <si>
    <t>RKGC85</t>
  </si>
  <si>
    <t>PLYT45</t>
  </si>
  <si>
    <t>DASHING</t>
  </si>
  <si>
    <t>TKGD55</t>
  </si>
  <si>
    <t>TIGGO 7 PRO MAX</t>
  </si>
  <si>
    <t>THCY96</t>
  </si>
  <si>
    <t>THRL80</t>
  </si>
  <si>
    <t>JZGL54</t>
  </si>
  <si>
    <t>PZHZ48</t>
  </si>
  <si>
    <t>TZHX13</t>
  </si>
  <si>
    <t>NEW CS55 PLUS</t>
  </si>
  <si>
    <t>TWBH76</t>
  </si>
  <si>
    <t>SJTS52</t>
  </si>
  <si>
    <t>TXZC80</t>
  </si>
  <si>
    <t>STBT49</t>
  </si>
  <si>
    <t>TRGC56</t>
  </si>
  <si>
    <t>NEW CRETA</t>
  </si>
  <si>
    <t>SFVB47</t>
  </si>
  <si>
    <t>VBRV71</t>
  </si>
  <si>
    <t>LJPG30</t>
  </si>
  <si>
    <t>VPPH72</t>
  </si>
  <si>
    <t>VBWY94</t>
  </si>
  <si>
    <t>PGPK20</t>
  </si>
  <si>
    <t>SDRZ63</t>
  </si>
  <si>
    <t>SVGW74</t>
  </si>
  <si>
    <t>THJL71</t>
  </si>
  <si>
    <t>SSSB58</t>
  </si>
  <si>
    <t>DEEPAL</t>
  </si>
  <si>
    <t>S05</t>
  </si>
  <si>
    <t>TRANSIT</t>
  </si>
  <si>
    <t>RPZK29</t>
  </si>
  <si>
    <t>SWIFT</t>
  </si>
  <si>
    <t>LHRX41</t>
  </si>
  <si>
    <t>HXRH48</t>
  </si>
  <si>
    <t>SHYL15</t>
  </si>
  <si>
    <t>K3</t>
  </si>
  <si>
    <t>PYDH22</t>
  </si>
  <si>
    <t>SRDZ65</t>
  </si>
  <si>
    <t>RGLL10</t>
  </si>
  <si>
    <t>SSVF58</t>
  </si>
  <si>
    <t>SXHX97</t>
  </si>
  <si>
    <t>CELERIO</t>
  </si>
  <si>
    <t>PRTJ14</t>
  </si>
  <si>
    <t>TFGS24</t>
  </si>
  <si>
    <t>SWCB50</t>
  </si>
  <si>
    <t>SYPV26</t>
  </si>
  <si>
    <t>RHFD30</t>
  </si>
  <si>
    <t>RWWC80</t>
  </si>
  <si>
    <t>SYDS11</t>
  </si>
  <si>
    <t>C-ELYSEE</t>
  </si>
  <si>
    <t>TRJG97</t>
  </si>
  <si>
    <t>TCSZ30</t>
  </si>
  <si>
    <t>LDGX98</t>
  </si>
  <si>
    <t>UNO</t>
  </si>
  <si>
    <t>JBJX51</t>
  </si>
  <si>
    <t>RPGL61</t>
  </si>
  <si>
    <t>PJRV93</t>
  </si>
  <si>
    <t>NEW SOUL</t>
  </si>
  <si>
    <t>JTHT79</t>
  </si>
  <si>
    <t>THRK12</t>
  </si>
  <si>
    <t>NEW REXTON</t>
  </si>
  <si>
    <t>SLWG40</t>
  </si>
  <si>
    <t>SLYZ83</t>
  </si>
  <si>
    <t>BOXER</t>
  </si>
  <si>
    <t>TRBC50</t>
  </si>
  <si>
    <t>HIMLA</t>
  </si>
  <si>
    <t>RGLL43</t>
  </si>
  <si>
    <t>TKHR38</t>
  </si>
  <si>
    <t>TSZB51</t>
  </si>
  <si>
    <t>C7</t>
  </si>
  <si>
    <t>TGVK92</t>
  </si>
  <si>
    <t>VKDD17</t>
  </si>
  <si>
    <t>VKDD18</t>
  </si>
  <si>
    <t>K60</t>
  </si>
  <si>
    <t>LSYF50</t>
  </si>
  <si>
    <t>BT-50</t>
  </si>
  <si>
    <t>PCDC45</t>
  </si>
  <si>
    <t>JSWH95</t>
  </si>
  <si>
    <t>PJDF35</t>
  </si>
  <si>
    <t>LWKP37</t>
  </si>
  <si>
    <t>RJRF93</t>
  </si>
  <si>
    <t>SJKL36</t>
  </si>
  <si>
    <t>TBCP81</t>
  </si>
  <si>
    <t>VBBB27</t>
  </si>
  <si>
    <t>PRGT75</t>
  </si>
  <si>
    <t>VBWW85</t>
  </si>
  <si>
    <t>KWGJ10</t>
  </si>
  <si>
    <t>KCBZ17</t>
  </si>
  <si>
    <t>SYDS70</t>
  </si>
  <si>
    <t>STWJ82</t>
  </si>
  <si>
    <t>TPTY22</t>
  </si>
  <si>
    <t>JS3</t>
  </si>
  <si>
    <t>SHLL51</t>
  </si>
  <si>
    <t>RRJP47</t>
  </si>
  <si>
    <t>GRAND CARNIVAL</t>
  </si>
  <si>
    <t>LRLX16</t>
  </si>
  <si>
    <t>PYRZ44</t>
  </si>
  <si>
    <t>PKJL49</t>
  </si>
  <si>
    <t>SPJD78</t>
  </si>
  <si>
    <t>NEW C3</t>
  </si>
  <si>
    <t>SPZB18</t>
  </si>
  <si>
    <t>STBS27</t>
  </si>
  <si>
    <t>PTDH94</t>
  </si>
  <si>
    <t>KJYJ46</t>
  </si>
  <si>
    <t>RTLW37</t>
  </si>
  <si>
    <t>RIO 5 NEW</t>
  </si>
  <si>
    <t>PRVL60</t>
  </si>
  <si>
    <t>RYRK11</t>
  </si>
  <si>
    <t>VHLJ32</t>
  </si>
  <si>
    <t>RTFZ14</t>
  </si>
  <si>
    <t>S-PRESSO</t>
  </si>
  <si>
    <t>LSXW99</t>
  </si>
  <si>
    <t>SXBP72</t>
  </si>
  <si>
    <t>SPSY87</t>
  </si>
  <si>
    <t>SJKL63</t>
  </si>
  <si>
    <t>A3</t>
  </si>
  <si>
    <t>LFWL87</t>
  </si>
  <si>
    <t>MAXUS</t>
  </si>
  <si>
    <t>T60</t>
  </si>
  <si>
    <t>RVFB22</t>
  </si>
  <si>
    <t>SPCT20</t>
  </si>
  <si>
    <t>RHBV18</t>
  </si>
  <si>
    <t>ALL NEW ESCAPE</t>
  </si>
  <si>
    <t>SWWV35</t>
  </si>
  <si>
    <t>HXRG88</t>
  </si>
  <si>
    <t>E53</t>
  </si>
  <si>
    <t>SVJD32</t>
  </si>
  <si>
    <t>EXPERT</t>
  </si>
  <si>
    <t>TLRS66</t>
  </si>
  <si>
    <t>THRJ61</t>
  </si>
  <si>
    <t>SKFR53</t>
  </si>
  <si>
    <t>TLWW71</t>
  </si>
  <si>
    <t>LTCP10</t>
  </si>
  <si>
    <t>RCVX18</t>
  </si>
  <si>
    <t>TXYY22</t>
  </si>
  <si>
    <t>SCPV56</t>
  </si>
  <si>
    <t>NEW F-150</t>
  </si>
  <si>
    <t>GDSZ70</t>
  </si>
  <si>
    <t>TBLW43</t>
  </si>
  <si>
    <t>SAIL NEW</t>
  </si>
  <si>
    <t>LKXV44</t>
  </si>
  <si>
    <t>RBFJ81</t>
  </si>
  <si>
    <t>THRH22</t>
  </si>
  <si>
    <t>CS35 PLUS</t>
  </si>
  <si>
    <t>SHBW19</t>
  </si>
  <si>
    <t>KYC</t>
  </si>
  <si>
    <t>GRAN MAMUT T3</t>
  </si>
  <si>
    <t>RPZC72</t>
  </si>
  <si>
    <t>D1</t>
  </si>
  <si>
    <t>PCRD60</t>
  </si>
  <si>
    <t>SYXT83</t>
  </si>
  <si>
    <t>TBCP50</t>
  </si>
  <si>
    <t>PJDY42</t>
  </si>
  <si>
    <t>TRJC54</t>
  </si>
  <si>
    <t>RTLH83</t>
  </si>
  <si>
    <t>JCRS51</t>
  </si>
  <si>
    <t>KTCR76</t>
  </si>
  <si>
    <t>STRADA NEW</t>
  </si>
  <si>
    <t>JZGH54</t>
  </si>
  <si>
    <t>SKCF65</t>
  </si>
  <si>
    <t>CERATO NEW</t>
  </si>
  <si>
    <t>LPXG64</t>
  </si>
  <si>
    <t>PSRL93</t>
  </si>
  <si>
    <t>TYWV85</t>
  </si>
  <si>
    <t>PHJF94</t>
  </si>
  <si>
    <t>RVDT18</t>
  </si>
  <si>
    <t>RCHV72</t>
  </si>
  <si>
    <t>LRSG94</t>
  </si>
  <si>
    <t>TRAVELLER</t>
  </si>
  <si>
    <t>THCX89</t>
  </si>
  <si>
    <t>TCGH73</t>
  </si>
  <si>
    <t>TSZC99</t>
  </si>
  <si>
    <t>VFSG81</t>
  </si>
  <si>
    <t>LRDD22</t>
  </si>
  <si>
    <t>TCHW98</t>
  </si>
  <si>
    <t>TRCP62</t>
  </si>
  <si>
    <t>SHLH59</t>
  </si>
  <si>
    <t>PJYR22</t>
  </si>
  <si>
    <t>SPSG81</t>
  </si>
  <si>
    <t>STJL86</t>
  </si>
  <si>
    <t>LJYH42</t>
  </si>
  <si>
    <t>TDYH97</t>
  </si>
  <si>
    <t>SSHX22</t>
  </si>
  <si>
    <t>RTTL15</t>
  </si>
  <si>
    <t>SLZG66</t>
  </si>
  <si>
    <t>SDKG92</t>
  </si>
  <si>
    <t>SVRP77</t>
  </si>
  <si>
    <t>PYDD41</t>
  </si>
  <si>
    <t>RWHL38</t>
  </si>
  <si>
    <t>NUEVO MORNING</t>
  </si>
  <si>
    <t>VDHX66</t>
  </si>
  <si>
    <t>RKGC26</t>
  </si>
  <si>
    <t>TRJF25</t>
  </si>
  <si>
    <t>RTFX69</t>
  </si>
  <si>
    <t>VCWV68</t>
  </si>
  <si>
    <t>JPPR16</t>
  </si>
  <si>
    <t>GFZH28</t>
  </si>
  <si>
    <t>RKYC75</t>
  </si>
  <si>
    <t>VITARA</t>
  </si>
  <si>
    <t>RTDZ27</t>
  </si>
  <si>
    <t>SFDX30</t>
  </si>
  <si>
    <t>NUEVA MAVERICK</t>
  </si>
  <si>
    <t>X25</t>
  </si>
  <si>
    <t>PRBD69</t>
  </si>
  <si>
    <t>SPARK GT</t>
  </si>
  <si>
    <t>KCLV99</t>
  </si>
  <si>
    <t>SLYZ86</t>
  </si>
  <si>
    <t>SEAT</t>
  </si>
  <si>
    <t>TARRACO</t>
  </si>
  <si>
    <t>PTPG93</t>
  </si>
  <si>
    <t>RVKC14</t>
  </si>
  <si>
    <t>RBCZ58</t>
  </si>
  <si>
    <t>TSZC68</t>
  </si>
  <si>
    <t>SHARK</t>
  </si>
  <si>
    <t>NEW VIGUS</t>
  </si>
  <si>
    <t>VBWV63</t>
  </si>
  <si>
    <t>SKYB85</t>
  </si>
  <si>
    <t>THHK26</t>
  </si>
  <si>
    <t>SHGL56</t>
  </si>
  <si>
    <t>PRZZ64</t>
  </si>
  <si>
    <t>TRJG75</t>
  </si>
  <si>
    <t>VDBS24</t>
  </si>
  <si>
    <t>TFBG23</t>
  </si>
  <si>
    <t>SFLY88</t>
  </si>
  <si>
    <t>TAHOE IV</t>
  </si>
  <si>
    <t>BERLINGO</t>
  </si>
  <si>
    <t>SFTZ13</t>
  </si>
  <si>
    <t>TBCP75</t>
  </si>
  <si>
    <t>PULSE</t>
  </si>
  <si>
    <t>SFTC97</t>
  </si>
  <si>
    <t>SSTR85</t>
  </si>
  <si>
    <t>LVXC80</t>
  </si>
  <si>
    <t>JGBY28</t>
  </si>
  <si>
    <t>SANTA FE</t>
  </si>
  <si>
    <t>SRWC79</t>
  </si>
  <si>
    <t>PHGP65</t>
  </si>
  <si>
    <t>RSJD40</t>
  </si>
  <si>
    <t>THXW66</t>
  </si>
  <si>
    <t>PPVZ83</t>
  </si>
  <si>
    <t>SHDG27</t>
  </si>
  <si>
    <t>PTSF11</t>
  </si>
  <si>
    <t>TDYJ99</t>
  </si>
  <si>
    <t>CARGO BOX</t>
  </si>
  <si>
    <t>RLSJ35</t>
  </si>
  <si>
    <t>VBWV72</t>
  </si>
  <si>
    <t>C200</t>
  </si>
  <si>
    <t>RZXX97</t>
  </si>
  <si>
    <t>RTLL17</t>
  </si>
  <si>
    <t>LDWX31</t>
  </si>
  <si>
    <t>JZJL81</t>
  </si>
  <si>
    <t>THE NEW TUCSON</t>
  </si>
  <si>
    <t>VGPP38</t>
  </si>
  <si>
    <t>PRHJ50</t>
  </si>
  <si>
    <t>TTVT84</t>
  </si>
  <si>
    <t>RKTZ93</t>
  </si>
  <si>
    <t>URVAN NV350</t>
  </si>
  <si>
    <t>STYG35</t>
  </si>
  <si>
    <t>S1</t>
  </si>
  <si>
    <t>LBGP78</t>
  </si>
  <si>
    <t>XPANDER</t>
  </si>
  <si>
    <t>TYWK95</t>
  </si>
  <si>
    <t>KXZG71</t>
  </si>
  <si>
    <t>S4</t>
  </si>
  <si>
    <t>KWXH36</t>
  </si>
  <si>
    <t>RVVS44</t>
  </si>
  <si>
    <t>THHK90</t>
  </si>
  <si>
    <t>JUMPY</t>
  </si>
  <si>
    <t>VCTR75</t>
  </si>
  <si>
    <t>KARRY</t>
  </si>
  <si>
    <t>Q52</t>
  </si>
  <si>
    <t>VLDD68</t>
  </si>
  <si>
    <t>TXYZ85</t>
  </si>
  <si>
    <t>PGYK23</t>
  </si>
  <si>
    <t>A500</t>
  </si>
  <si>
    <t>LLBW17</t>
  </si>
  <si>
    <t>JDKS67</t>
  </si>
  <si>
    <t>LZLX44</t>
  </si>
  <si>
    <t>NEW TIGUAN</t>
  </si>
  <si>
    <t>SPSH95</t>
  </si>
  <si>
    <t>SVRR15</t>
  </si>
  <si>
    <t>SVGL32</t>
  </si>
  <si>
    <t>JPZW89</t>
  </si>
  <si>
    <t>TJSH15</t>
  </si>
  <si>
    <t>PYDD39</t>
  </si>
  <si>
    <t>KRJC78</t>
  </si>
  <si>
    <t>JWCJ13</t>
  </si>
  <si>
    <t>LHRT41</t>
  </si>
  <si>
    <t>PYDG76</t>
  </si>
  <si>
    <t>SWZD53</t>
  </si>
  <si>
    <t>SRWK21</t>
  </si>
  <si>
    <t>VFSD54</t>
  </si>
  <si>
    <t>SLWH77</t>
  </si>
  <si>
    <t>SLWF57</t>
  </si>
  <si>
    <t>PZHZ65</t>
  </si>
  <si>
    <t>S2</t>
  </si>
  <si>
    <t>KZWJ20</t>
  </si>
  <si>
    <t>RPRV86</t>
  </si>
  <si>
    <t>EVOLTIS</t>
  </si>
  <si>
    <t>SVRS49</t>
  </si>
  <si>
    <t>SHLV48</t>
  </si>
  <si>
    <t>RWHK82</t>
  </si>
  <si>
    <t>SXBP61</t>
  </si>
  <si>
    <t>VKCY61</t>
  </si>
  <si>
    <t>TKTY11</t>
  </si>
  <si>
    <t>TYWK99</t>
  </si>
  <si>
    <t>TSHX83</t>
  </si>
  <si>
    <t>TIGGO 4 PRO MAX</t>
  </si>
  <si>
    <t>VLYL65</t>
  </si>
  <si>
    <t>JSWG91</t>
  </si>
  <si>
    <t>TCSZ91</t>
  </si>
  <si>
    <t>LBGW82</t>
  </si>
  <si>
    <t>RGGB50</t>
  </si>
  <si>
    <t>NEW 7</t>
  </si>
  <si>
    <t>LRWV23</t>
  </si>
  <si>
    <t>JXGC98</t>
  </si>
  <si>
    <t>SPZC74</t>
  </si>
  <si>
    <t>TDWZ10</t>
  </si>
  <si>
    <t>VDWJ65</t>
  </si>
  <si>
    <t>COMPASS ALL NEW</t>
  </si>
  <si>
    <t>KSRT45</t>
  </si>
  <si>
    <t>VGPS80</t>
  </si>
  <si>
    <t>Q3</t>
  </si>
  <si>
    <t>KJFK40</t>
  </si>
  <si>
    <t>RFVG69</t>
  </si>
  <si>
    <t>SKKX77</t>
  </si>
  <si>
    <t>KTBZ55</t>
  </si>
  <si>
    <t>GEELY</t>
  </si>
  <si>
    <t>X7 SPORT</t>
  </si>
  <si>
    <t>LJYR22</t>
  </si>
  <si>
    <t>TPZZ65</t>
  </si>
  <si>
    <t>OUTBACK ALL NEW</t>
  </si>
  <si>
    <t>LHSB57</t>
  </si>
  <si>
    <t>TJYP37</t>
  </si>
  <si>
    <t>TPTZ13</t>
  </si>
  <si>
    <t>RJHB61</t>
  </si>
  <si>
    <t>TBZL85</t>
  </si>
  <si>
    <t>LSPW66</t>
  </si>
  <si>
    <t>VOYAGE</t>
  </si>
  <si>
    <t>SDGC62</t>
  </si>
  <si>
    <t>TJSJ59</t>
  </si>
  <si>
    <t>128 TI</t>
  </si>
  <si>
    <t>SJGF96</t>
  </si>
  <si>
    <t>SRHV28</t>
  </si>
  <si>
    <t>VPRV96</t>
  </si>
  <si>
    <t>ALL NEW 3</t>
  </si>
  <si>
    <t>PRKJ51</t>
  </si>
  <si>
    <t>PSJJ44</t>
  </si>
  <si>
    <t>LPXF70</t>
  </si>
  <si>
    <t>PYPH99</t>
  </si>
  <si>
    <t>RGHD79</t>
  </si>
  <si>
    <t>TRTW44</t>
  </si>
  <si>
    <t>RHCL46</t>
  </si>
  <si>
    <t>SYXR96</t>
  </si>
  <si>
    <t>CX-9</t>
  </si>
  <si>
    <t>PXXH98</t>
  </si>
  <si>
    <t>T-CROSS</t>
  </si>
  <si>
    <t>PDYV81</t>
  </si>
  <si>
    <t>LDVX33</t>
  </si>
  <si>
    <t>ATECA</t>
  </si>
  <si>
    <t>VGPP47</t>
  </si>
  <si>
    <t>KWVS75</t>
  </si>
  <si>
    <t>THRH70</t>
  </si>
  <si>
    <t>DUSTER NEW</t>
  </si>
  <si>
    <t>LFXS65</t>
  </si>
  <si>
    <t>BASALT</t>
  </si>
  <si>
    <t>TUCSON NEW</t>
  </si>
  <si>
    <t>LJYR67</t>
  </si>
  <si>
    <t>TFGL15</t>
  </si>
  <si>
    <t>JYBF82</t>
  </si>
  <si>
    <t>RZFB63</t>
  </si>
  <si>
    <t>JVTH46</t>
  </si>
  <si>
    <t>SLWF86</t>
  </si>
  <si>
    <t>RCVV79</t>
  </si>
  <si>
    <t>TRCT82</t>
  </si>
  <si>
    <t>TSKS18</t>
  </si>
  <si>
    <t>VKJC25</t>
  </si>
  <si>
    <t>ALSVIN</t>
  </si>
  <si>
    <t>TDYF77</t>
  </si>
  <si>
    <t>TYWJ47</t>
  </si>
  <si>
    <t>TSZC51</t>
  </si>
  <si>
    <t>PZVV69</t>
  </si>
  <si>
    <t>RTLX80</t>
  </si>
  <si>
    <t>KSKL57</t>
  </si>
  <si>
    <t>RVTC48</t>
  </si>
  <si>
    <t>CORSA</t>
  </si>
  <si>
    <t>F-150 RAPTOR</t>
  </si>
  <si>
    <t>SWTP65</t>
  </si>
  <si>
    <t>RSXZ97</t>
  </si>
  <si>
    <t>KTZH78</t>
  </si>
  <si>
    <t>TDWY69</t>
  </si>
  <si>
    <t>LFHB24</t>
  </si>
  <si>
    <t>VKCY68</t>
  </si>
  <si>
    <t>KLSD97</t>
  </si>
  <si>
    <t>NEW ASX</t>
  </si>
  <si>
    <t>TPBZ28</t>
  </si>
  <si>
    <t>RCPW86</t>
  </si>
  <si>
    <t>NEW HUNTER</t>
  </si>
  <si>
    <t>SSXP58</t>
  </si>
  <si>
    <t>RGCD77</t>
  </si>
  <si>
    <t>RZJK59</t>
  </si>
  <si>
    <t>RWWC21</t>
  </si>
  <si>
    <t>SJVS68</t>
  </si>
  <si>
    <t>VGWR54</t>
  </si>
  <si>
    <t>PTKC17</t>
  </si>
  <si>
    <t>RKFZ12</t>
  </si>
  <si>
    <t>PPJR55</t>
  </si>
  <si>
    <t>THXR45</t>
  </si>
  <si>
    <t>RPTS37</t>
  </si>
  <si>
    <t>TJDB94</t>
  </si>
  <si>
    <t>RRXL13</t>
  </si>
  <si>
    <t>SKCG57</t>
  </si>
  <si>
    <t>LJYR53</t>
  </si>
  <si>
    <t>SFYT93</t>
  </si>
  <si>
    <t>RLJS84</t>
  </si>
  <si>
    <t>PJHZ33</t>
  </si>
  <si>
    <t>VJTS39</t>
  </si>
  <si>
    <t>NEW RAV4</t>
  </si>
  <si>
    <t>RVYS59</t>
  </si>
  <si>
    <t>LWZK33</t>
  </si>
  <si>
    <t>KPGL30</t>
  </si>
  <si>
    <t>SYRD35</t>
  </si>
  <si>
    <t>SVBT45</t>
  </si>
  <si>
    <t>FOCUS</t>
  </si>
  <si>
    <t>JXRV76</t>
  </si>
  <si>
    <t>GT</t>
  </si>
  <si>
    <t>TSHW70</t>
  </si>
  <si>
    <t>THXP15</t>
  </si>
  <si>
    <t>TRJD84</t>
  </si>
  <si>
    <t>TLRK97</t>
  </si>
  <si>
    <t>PDBT14</t>
  </si>
  <si>
    <t>SVGK97</t>
  </si>
  <si>
    <t>E-JS1</t>
  </si>
  <si>
    <t>TLRP12</t>
  </si>
  <si>
    <t>SHBY82</t>
  </si>
  <si>
    <t>KJYK37</t>
  </si>
  <si>
    <t>VLYR99</t>
  </si>
  <si>
    <t>LBVW13</t>
  </si>
  <si>
    <t>RVTP39</t>
  </si>
  <si>
    <t>PRVG99</t>
  </si>
  <si>
    <t>TRJC23</t>
  </si>
  <si>
    <t>TJLF37</t>
  </si>
  <si>
    <t>RXBH25</t>
  </si>
  <si>
    <t>VGWT15</t>
  </si>
  <si>
    <t>EMKOO</t>
  </si>
  <si>
    <t>TSSF23</t>
  </si>
  <si>
    <t>TSPD45</t>
  </si>
  <si>
    <t>TJSJ26</t>
  </si>
  <si>
    <t>HRTJ88</t>
  </si>
  <si>
    <t>VDWK35</t>
  </si>
  <si>
    <t>VDBS30</t>
  </si>
  <si>
    <t>STYY42</t>
  </si>
  <si>
    <t>TFVH90</t>
  </si>
  <si>
    <t>KFWT37</t>
  </si>
  <si>
    <t>RZJJ46</t>
  </si>
  <si>
    <t>TJSH80</t>
  </si>
  <si>
    <t>JPPC50</t>
  </si>
  <si>
    <t>LYTL13</t>
  </si>
  <si>
    <t>SKCG76</t>
  </si>
  <si>
    <t>RSYD91</t>
  </si>
  <si>
    <t>RBCT28</t>
  </si>
  <si>
    <t>SVRS85</t>
  </si>
  <si>
    <t>RYRK31</t>
  </si>
  <si>
    <t>STBT23</t>
  </si>
  <si>
    <t>ARKANA</t>
  </si>
  <si>
    <t>SKLK51</t>
  </si>
  <si>
    <t>RJHD44</t>
  </si>
  <si>
    <t>SBWK38</t>
  </si>
  <si>
    <t>SYXT85</t>
  </si>
  <si>
    <t>TRTY28</t>
  </si>
  <si>
    <t>SRJB73</t>
  </si>
  <si>
    <t>DZIRE</t>
  </si>
  <si>
    <t>SLWF66</t>
  </si>
  <si>
    <t>VDHZ40</t>
  </si>
  <si>
    <t>LPDW72</t>
  </si>
  <si>
    <t>TSHJ91</t>
  </si>
  <si>
    <t>THHJ33</t>
  </si>
  <si>
    <t>RLZH14</t>
  </si>
  <si>
    <t>SSCF73</t>
  </si>
  <si>
    <t>RBSS14</t>
  </si>
  <si>
    <t>TBCV27</t>
  </si>
  <si>
    <t>SZTL44</t>
  </si>
  <si>
    <t>KZLZ61</t>
  </si>
  <si>
    <t>ALL NEW KONA</t>
  </si>
  <si>
    <t>TVPF15</t>
  </si>
  <si>
    <t>TJSH22</t>
  </si>
  <si>
    <t>SSSK55</t>
  </si>
  <si>
    <t>SPSZ86</t>
  </si>
  <si>
    <t>TDYH86</t>
  </si>
  <si>
    <t>PHFZ47</t>
  </si>
  <si>
    <t>SDGG34</t>
  </si>
  <si>
    <t>LZHZ73</t>
  </si>
  <si>
    <t>HKVW26</t>
  </si>
  <si>
    <t>GOL</t>
  </si>
  <si>
    <t>LDBD18</t>
  </si>
  <si>
    <t>LVWT64</t>
  </si>
  <si>
    <t>RZFB92</t>
  </si>
  <si>
    <t>SJJH11</t>
  </si>
  <si>
    <t>TJDF52</t>
  </si>
  <si>
    <t>TAOS</t>
  </si>
  <si>
    <t>TSYY76</t>
  </si>
  <si>
    <t>PLCG49</t>
  </si>
  <si>
    <t>PFCV36</t>
  </si>
  <si>
    <t>PTVL45</t>
  </si>
  <si>
    <t>TTVX64</t>
  </si>
  <si>
    <t>SYDS68</t>
  </si>
  <si>
    <t>FORESTER ALL NEW</t>
  </si>
  <si>
    <t>TBGT12</t>
  </si>
  <si>
    <t>SPTC41</t>
  </si>
  <si>
    <t>LPKG70</t>
  </si>
  <si>
    <t>TRHD83</t>
  </si>
  <si>
    <t>VHGB47</t>
  </si>
  <si>
    <t>JSWD14</t>
  </si>
  <si>
    <t>VKCY35</t>
  </si>
  <si>
    <t>PJRC48</t>
  </si>
  <si>
    <t>SVRR50</t>
  </si>
  <si>
    <t>YARIS ALL NEW</t>
  </si>
  <si>
    <t>KWXL74</t>
  </si>
  <si>
    <t>TZTB34</t>
  </si>
  <si>
    <t>RGLL51</t>
  </si>
  <si>
    <t>ALL NEW RAV4</t>
  </si>
  <si>
    <t>JPZB56</t>
  </si>
  <si>
    <t>VBBD31</t>
  </si>
  <si>
    <t>VHGG51</t>
  </si>
  <si>
    <t>VKCY69</t>
  </si>
  <si>
    <t>ALL NEW FORESTER</t>
  </si>
  <si>
    <t>TGVC32</t>
  </si>
  <si>
    <t>SKSZ53</t>
  </si>
  <si>
    <t>TFRD69</t>
  </si>
  <si>
    <t>LJYS48</t>
  </si>
  <si>
    <t>TXYV73</t>
  </si>
  <si>
    <t>VBBD25</t>
  </si>
  <si>
    <t>VBBD49</t>
  </si>
  <si>
    <t>TJLF16</t>
  </si>
  <si>
    <t>VFTJ38</t>
  </si>
  <si>
    <t>SBWK92</t>
  </si>
  <si>
    <t>COROLLA</t>
  </si>
  <si>
    <t>SKSY42</t>
  </si>
  <si>
    <t>TSGB47</t>
  </si>
  <si>
    <t>VBBD39</t>
  </si>
  <si>
    <t>FVDF38</t>
  </si>
  <si>
    <t>TDXB48</t>
  </si>
  <si>
    <t>JZGH53</t>
  </si>
  <si>
    <t>LDCV49</t>
  </si>
  <si>
    <t>TYWJ45</t>
  </si>
  <si>
    <t>NEW EXPERT</t>
  </si>
  <si>
    <t>VJTV94</t>
  </si>
  <si>
    <t>TPTW71</t>
  </si>
  <si>
    <t>TBCS70</t>
  </si>
  <si>
    <t>TSSB69</t>
  </si>
  <si>
    <t>SHLH64</t>
  </si>
  <si>
    <t>TDRP72</t>
  </si>
  <si>
    <t>THXR67</t>
  </si>
  <si>
    <t>RDVP83</t>
  </si>
  <si>
    <t>VGPL88</t>
  </si>
  <si>
    <t>TJLD73</t>
  </si>
  <si>
    <t>HUNTER</t>
  </si>
  <si>
    <t>LYSS82</t>
  </si>
  <si>
    <t>NUEVA COMBO</t>
  </si>
  <si>
    <t>TZHX27</t>
  </si>
  <si>
    <t>PFRP34</t>
  </si>
  <si>
    <t>RBLD20</t>
  </si>
  <si>
    <t>LYSS10</t>
  </si>
  <si>
    <t>PBPC27</t>
  </si>
  <si>
    <t>LLBT94</t>
  </si>
  <si>
    <t>SSSK58</t>
  </si>
  <si>
    <t>TDXC10</t>
  </si>
  <si>
    <t>VGWP72</t>
  </si>
  <si>
    <t>TVDJ39</t>
  </si>
  <si>
    <t>TBCS29</t>
  </si>
  <si>
    <t>LYPD47</t>
  </si>
  <si>
    <t>VBRX73</t>
  </si>
  <si>
    <t>RWJF61</t>
  </si>
  <si>
    <t>SHLW90</t>
  </si>
  <si>
    <t>JZJS18</t>
  </si>
  <si>
    <t>RKFZ66</t>
  </si>
  <si>
    <t>TVXD60</t>
  </si>
  <si>
    <t>RFVX78</t>
  </si>
  <si>
    <t>PDPZ57</t>
  </si>
  <si>
    <t>VBBD50</t>
  </si>
  <si>
    <t>SLZF65</t>
  </si>
  <si>
    <t>VCRR50</t>
  </si>
  <si>
    <t>PYDF59</t>
  </si>
  <si>
    <t>VKBG48</t>
  </si>
  <si>
    <t>NUEVA EXPEDITION</t>
  </si>
  <si>
    <t>VKCZ35</t>
  </si>
  <si>
    <t>TKTY67</t>
  </si>
  <si>
    <t>KCBP82</t>
  </si>
  <si>
    <t>PRHK23</t>
  </si>
  <si>
    <t>LRWC24</t>
  </si>
  <si>
    <t>RZFB61</t>
  </si>
  <si>
    <t>RTRL12</t>
  </si>
  <si>
    <t>EXPEDITION NEW</t>
  </si>
  <si>
    <t>LHCV29</t>
  </si>
  <si>
    <t>VBBB58</t>
  </si>
  <si>
    <t>TRTX13</t>
  </si>
  <si>
    <t>SSKY46</t>
  </si>
  <si>
    <t>TTCL96</t>
  </si>
  <si>
    <t>RSSY79</t>
  </si>
  <si>
    <t>FRONX</t>
  </si>
  <si>
    <t>SJJJ33</t>
  </si>
  <si>
    <t>RZCH97</t>
  </si>
  <si>
    <t>COOLRAY</t>
  </si>
  <si>
    <t>VJTS53</t>
  </si>
  <si>
    <t>SWZL74</t>
  </si>
  <si>
    <t>VKHG28</t>
  </si>
  <si>
    <t>TBCP54</t>
  </si>
  <si>
    <t>TBDF52</t>
  </si>
  <si>
    <t>TRJD39</t>
  </si>
  <si>
    <t>NUEVA OROCH</t>
  </si>
  <si>
    <t>STBT31</t>
  </si>
  <si>
    <t>RTFC54</t>
  </si>
  <si>
    <t>SSTT15</t>
  </si>
  <si>
    <t>TIGUAN</t>
  </si>
  <si>
    <t>LXDY17</t>
  </si>
  <si>
    <t>VKCY38</t>
  </si>
  <si>
    <t>PGBJ60</t>
  </si>
  <si>
    <t>VKCY44</t>
  </si>
  <si>
    <t>RCBK21</t>
  </si>
  <si>
    <t>SRFF33</t>
  </si>
  <si>
    <t>SKKG52</t>
  </si>
  <si>
    <t>SPGJ86</t>
  </si>
  <si>
    <t>NEW COROLLA CROSS</t>
  </si>
  <si>
    <t>PKVW62</t>
  </si>
  <si>
    <t>RBJH41</t>
  </si>
  <si>
    <t>TKTZ27</t>
  </si>
  <si>
    <t>VDBR24</t>
  </si>
  <si>
    <t>RSKV78</t>
  </si>
  <si>
    <t>SYDK29</t>
  </si>
  <si>
    <t>SBWP15</t>
  </si>
  <si>
    <t>SSVX14</t>
  </si>
  <si>
    <t>NEW T8 PRO</t>
  </si>
  <si>
    <t>TZHS85</t>
  </si>
  <si>
    <t>WRX</t>
  </si>
  <si>
    <t>TRTX91</t>
  </si>
  <si>
    <t>STBS36</t>
  </si>
  <si>
    <t>TJSH21</t>
  </si>
  <si>
    <t>SVRL16</t>
  </si>
  <si>
    <t>TYWT12</t>
  </si>
  <si>
    <t>VBBD47</t>
  </si>
  <si>
    <t>SCHJ82</t>
  </si>
  <si>
    <t>RZJH66</t>
  </si>
  <si>
    <t>VKCY36</t>
  </si>
  <si>
    <t>SXCC90</t>
  </si>
  <si>
    <t>TSZD25</t>
  </si>
  <si>
    <t>RSSY83</t>
  </si>
  <si>
    <t>VBBD27</t>
  </si>
  <si>
    <t>RJXH75</t>
  </si>
  <si>
    <t>TDYJ31</t>
  </si>
  <si>
    <t>KJYF55</t>
  </si>
  <si>
    <t>PHZH10</t>
  </si>
  <si>
    <t>RFKV24</t>
  </si>
  <si>
    <t>VGWR39</t>
  </si>
  <si>
    <t>TGVD36</t>
  </si>
  <si>
    <t>TBDF17</t>
  </si>
  <si>
    <t>TKTZ11</t>
  </si>
  <si>
    <t>TZHX28</t>
  </si>
  <si>
    <t>TYWT20</t>
  </si>
  <si>
    <t>RJZJ57</t>
  </si>
  <si>
    <t>VGWP78</t>
  </si>
  <si>
    <t>TSYY23</t>
  </si>
  <si>
    <t>LYLX11</t>
  </si>
  <si>
    <t>TYWS76</t>
  </si>
  <si>
    <t>SLWF54</t>
  </si>
  <si>
    <t>GLC220</t>
  </si>
  <si>
    <t>TVPF11</t>
  </si>
  <si>
    <t>KWXY97</t>
  </si>
  <si>
    <t>Q22</t>
  </si>
  <si>
    <t>SRZH20</t>
  </si>
  <si>
    <t>KRWK47</t>
  </si>
  <si>
    <t>TPZZ11</t>
  </si>
  <si>
    <t>HILUX ALL NEW</t>
  </si>
  <si>
    <t>KGLS13</t>
  </si>
  <si>
    <t>TLRR66</t>
  </si>
  <si>
    <t>TPJD69</t>
  </si>
  <si>
    <t>SZSC97</t>
  </si>
  <si>
    <t>TRBK26</t>
  </si>
  <si>
    <t>SVGJ66</t>
  </si>
  <si>
    <t>RVKH47</t>
  </si>
  <si>
    <t>LLBT34</t>
  </si>
  <si>
    <t>KFCD56</t>
  </si>
  <si>
    <t>RCBL73</t>
  </si>
  <si>
    <t>RWTF74</t>
  </si>
  <si>
    <t>TJSJ40</t>
  </si>
  <si>
    <t>LKXS93</t>
  </si>
  <si>
    <t>T6</t>
  </si>
  <si>
    <t>RVYL44</t>
  </si>
  <si>
    <t>ASX</t>
  </si>
  <si>
    <t>SDKF42</t>
  </si>
  <si>
    <t>SKCF75</t>
  </si>
  <si>
    <t>HZPF70</t>
  </si>
  <si>
    <t>RSTB84</t>
  </si>
  <si>
    <t>LLBS15</t>
  </si>
  <si>
    <t>SSVZ97</t>
  </si>
  <si>
    <t>SLSR95</t>
  </si>
  <si>
    <t>RPJB39</t>
  </si>
  <si>
    <t>LDBK71</t>
  </si>
  <si>
    <t>PTLW51</t>
  </si>
  <si>
    <t>LVTG59</t>
  </si>
  <si>
    <t>NEW 5</t>
  </si>
  <si>
    <t>RTLH97</t>
  </si>
  <si>
    <t>STBS66</t>
  </si>
  <si>
    <t>VPGG74</t>
  </si>
  <si>
    <t>TDWZ97</t>
  </si>
  <si>
    <t>RXRT90</t>
  </si>
  <si>
    <t>VBWW27</t>
  </si>
  <si>
    <t>TDYJ29</t>
  </si>
  <si>
    <t>SILVERADO NEW</t>
  </si>
  <si>
    <t>LCVY61</t>
  </si>
  <si>
    <t>PKDZ45</t>
  </si>
  <si>
    <t>VBWV94</t>
  </si>
  <si>
    <t>FIESTA</t>
  </si>
  <si>
    <t>JSWP87</t>
  </si>
  <si>
    <t>SRZG84</t>
  </si>
  <si>
    <t>TRTY31</t>
  </si>
  <si>
    <t>TSSC69</t>
  </si>
  <si>
    <t>SPZD28</t>
  </si>
  <si>
    <t>JXCV77</t>
  </si>
  <si>
    <t>TZHT42</t>
  </si>
  <si>
    <t>RPLG85</t>
  </si>
  <si>
    <t>RZCK43</t>
  </si>
  <si>
    <t>SVJR78</t>
  </si>
  <si>
    <t>TDXC58</t>
  </si>
  <si>
    <t>VJTS45</t>
  </si>
  <si>
    <t>RJBY54</t>
  </si>
  <si>
    <t>NEW UNO</t>
  </si>
  <si>
    <t>JDKD28</t>
  </si>
  <si>
    <t>JXDK27</t>
  </si>
  <si>
    <t>SCYT79</t>
  </si>
  <si>
    <t>KVWG55</t>
  </si>
  <si>
    <t>VSWS69</t>
  </si>
  <si>
    <t>RWSD83</t>
  </si>
  <si>
    <t>TTYT95</t>
  </si>
  <si>
    <t>SRHY29</t>
  </si>
  <si>
    <t>WINGLE 7</t>
  </si>
  <si>
    <t>SSGX53</t>
  </si>
  <si>
    <t>TFHR18</t>
  </si>
  <si>
    <t>TVPF40</t>
  </si>
  <si>
    <t>TRWT58</t>
  </si>
  <si>
    <t>TSYX23</t>
  </si>
  <si>
    <t>MAVERICK</t>
  </si>
  <si>
    <t>TTVV23</t>
  </si>
  <si>
    <t>TKHL37</t>
  </si>
  <si>
    <t>TSYZ74</t>
  </si>
  <si>
    <t>MUSSO</t>
  </si>
  <si>
    <t>LVWT58</t>
  </si>
  <si>
    <t>SPSY55</t>
  </si>
  <si>
    <t>TSSB24</t>
  </si>
  <si>
    <t>VKDD71</t>
  </si>
  <si>
    <t>THRJ32</t>
  </si>
  <si>
    <t>FASTBACK</t>
  </si>
  <si>
    <t>TDXD49</t>
  </si>
  <si>
    <t>RVVP60</t>
  </si>
  <si>
    <t>RWJJ98</t>
  </si>
  <si>
    <t>LWKP67</t>
  </si>
  <si>
    <t>TRBD44</t>
  </si>
  <si>
    <t>RFKV76</t>
  </si>
  <si>
    <t>PFRL78</t>
  </si>
  <si>
    <t>SGDR14</t>
  </si>
  <si>
    <t>SSSB96</t>
  </si>
  <si>
    <t>RJXD74</t>
  </si>
  <si>
    <t>RPFJ16</t>
  </si>
  <si>
    <t>SGCX88</t>
  </si>
  <si>
    <t>LSDT58</t>
  </si>
  <si>
    <t>SJPR10</t>
  </si>
  <si>
    <t>NIVUS</t>
  </si>
  <si>
    <t>SXYD94</t>
  </si>
  <si>
    <t>TLRS95</t>
  </si>
  <si>
    <t>TRJC22</t>
  </si>
  <si>
    <t>TKHL96</t>
  </si>
  <si>
    <t>TFFB86</t>
  </si>
  <si>
    <t>PCSY81</t>
  </si>
  <si>
    <t>LDVR13</t>
  </si>
  <si>
    <t>TLWP91</t>
  </si>
  <si>
    <t>SYPV94</t>
  </si>
  <si>
    <t>RFJK83</t>
  </si>
  <si>
    <t>TJSK25</t>
  </si>
  <si>
    <t>RLFY13</t>
  </si>
  <si>
    <t>VDBL62</t>
  </si>
  <si>
    <t>PYFS85</t>
  </si>
  <si>
    <t>TLRD44</t>
  </si>
  <si>
    <t>PTKB74</t>
  </si>
  <si>
    <t>RXPZ81</t>
  </si>
  <si>
    <t>RVYV26</t>
  </si>
  <si>
    <t>SBLF30</t>
  </si>
  <si>
    <t>TFDR53</t>
  </si>
  <si>
    <t>SVRS43</t>
  </si>
  <si>
    <t>SDKF76</t>
  </si>
  <si>
    <t>RZSJ34</t>
  </si>
  <si>
    <t>TKHT46</t>
  </si>
  <si>
    <t>PPCK78</t>
  </si>
  <si>
    <t>VDBL33</t>
  </si>
  <si>
    <t>PHSJ26</t>
  </si>
  <si>
    <t>TBZL22</t>
  </si>
  <si>
    <t>RKPR62</t>
  </si>
  <si>
    <t>TRBC25</t>
  </si>
  <si>
    <t>RPSZ52</t>
  </si>
  <si>
    <t>RHFG34</t>
  </si>
  <si>
    <t>VPDW40</t>
  </si>
  <si>
    <t>NUEVO Q3</t>
  </si>
  <si>
    <t>RXRX10</t>
  </si>
  <si>
    <t>PSHZ57</t>
  </si>
  <si>
    <t>TSSF90</t>
  </si>
  <si>
    <t>RKKP28</t>
  </si>
  <si>
    <t>PZKF31</t>
  </si>
  <si>
    <t>RLCT42</t>
  </si>
  <si>
    <t>VBWV23</t>
  </si>
  <si>
    <t>LCVY97</t>
  </si>
  <si>
    <t>TBCR93</t>
  </si>
  <si>
    <t>PSHZ87</t>
  </si>
  <si>
    <t>TBCS36</t>
  </si>
  <si>
    <t>SYMBOL NEW</t>
  </si>
  <si>
    <t>LHSK95</t>
  </si>
  <si>
    <t>TJSH86</t>
  </si>
  <si>
    <t>TKHP95</t>
  </si>
  <si>
    <t>VKCY57</t>
  </si>
  <si>
    <t>TJYK56</t>
  </si>
  <si>
    <t>TJSG77</t>
  </si>
  <si>
    <t>LRWB98</t>
  </si>
  <si>
    <t>RFKV98</t>
  </si>
  <si>
    <t>TZTC91</t>
  </si>
  <si>
    <t>KTCW94</t>
  </si>
  <si>
    <t>SHZP36</t>
  </si>
  <si>
    <t>RKGC62</t>
  </si>
  <si>
    <t>TTVW58</t>
  </si>
  <si>
    <t>THCY49</t>
  </si>
  <si>
    <t>VLYK19</t>
  </si>
  <si>
    <t>RBVY60</t>
  </si>
  <si>
    <t>TPZZ34</t>
  </si>
  <si>
    <t>CX-3</t>
  </si>
  <si>
    <t>RGHS78</t>
  </si>
  <si>
    <t>TPCR90</t>
  </si>
  <si>
    <t>TJSK45</t>
  </si>
  <si>
    <t>SXDD78</t>
  </si>
  <si>
    <t>JWCL30</t>
  </si>
  <si>
    <t>SCWX22</t>
  </si>
  <si>
    <t>TDYH73</t>
  </si>
  <si>
    <t>TTYT93</t>
  </si>
  <si>
    <t>X5</t>
  </si>
  <si>
    <t>PHVR65</t>
  </si>
  <si>
    <t>PKVP76</t>
  </si>
  <si>
    <t>VCRR67</t>
  </si>
  <si>
    <t>RZJJ37</t>
  </si>
  <si>
    <t>LJYP13</t>
  </si>
  <si>
    <t>VKBX87</t>
  </si>
  <si>
    <t>Modelo-version-año</t>
  </si>
  <si>
    <t>Suma de Unidad Venta</t>
  </si>
  <si>
    <t>Suma de Unidad Costo</t>
  </si>
  <si>
    <t/>
  </si>
  <si>
    <t>A3 HB 1.4 AUT</t>
  </si>
  <si>
    <t>A3 SEDAN 35 TFSI 1.4 AUT</t>
  </si>
  <si>
    <t>Q2</t>
  </si>
  <si>
    <t>Q2 35 TFSI 1.4 AUT</t>
  </si>
  <si>
    <t>Q3 35 TFSI 1.4 AUT</t>
  </si>
  <si>
    <t>Q3 35 TFSI SPORTBACK 1.4 AUT</t>
  </si>
  <si>
    <t>Q5</t>
  </si>
  <si>
    <t>Q5 TDI 2.0</t>
  </si>
  <si>
    <t>DTLC56</t>
  </si>
  <si>
    <t>Q5 TFSI 4X4 2.0 AUT</t>
  </si>
  <si>
    <t>Q7</t>
  </si>
  <si>
    <t>Q7 TDI 4X4 3.0 AUT</t>
  </si>
  <si>
    <t>X35 1.5</t>
  </si>
  <si>
    <t>X55 1.5T</t>
  </si>
  <si>
    <t>X55 ELITE 1.5</t>
  </si>
  <si>
    <t>X55 1.5 AUT</t>
  </si>
  <si>
    <t>X55 TM 1.5</t>
  </si>
  <si>
    <t>118</t>
  </si>
  <si>
    <t>118D HB 2.0 AUT</t>
  </si>
  <si>
    <t>114I BUSINESS 1.6</t>
  </si>
  <si>
    <t>118I HB 1.5 AUT</t>
  </si>
  <si>
    <t>118I MILLENNIAL 1.5 AUT</t>
  </si>
  <si>
    <t>318I LCI 1.5 AUT</t>
  </si>
  <si>
    <t>320 I 2.0 AUT</t>
  </si>
  <si>
    <t>418I GRAN COUPE 1.5 AUT</t>
  </si>
  <si>
    <t>420I GRAN COUPE 2.0 AUT</t>
  </si>
  <si>
    <t>X1 SDRIVE 18D LCI 2.0 AUT</t>
  </si>
  <si>
    <t>X1 SDRIVE18I LCI 1.5 AUT</t>
  </si>
  <si>
    <t>X3 XDRIVE 20D 4X4 2.0 AT</t>
  </si>
  <si>
    <t>X3 XDRIVE20D 2.0 AT</t>
  </si>
  <si>
    <t>X3 XDRIVE30I 4X4 2.0 AUT</t>
  </si>
  <si>
    <t>X4 XDRIVE 20I 4X4 2.0 AT</t>
  </si>
  <si>
    <t>X3</t>
  </si>
  <si>
    <t>X3 2.0 AUT</t>
  </si>
  <si>
    <t>X6</t>
  </si>
  <si>
    <t>X6 XDRIVE 30D 4X4 3.0 AUT</t>
  </si>
  <si>
    <t>ALSVIN 1.5 AT</t>
  </si>
  <si>
    <t>ALSVIN 1.4</t>
  </si>
  <si>
    <t>ALSVIN LUXURY 1.4</t>
  </si>
  <si>
    <t>CS15 1.5</t>
  </si>
  <si>
    <t>CS15 1.5 AUT</t>
  </si>
  <si>
    <t>CS15 HB 1.5</t>
  </si>
  <si>
    <t>KWXH31</t>
  </si>
  <si>
    <t>CS15 LUXURY 1.5</t>
  </si>
  <si>
    <t>CS35 LUXURY 1.6</t>
  </si>
  <si>
    <t>CS35 PLUS TURBO 1.4 AUT</t>
  </si>
  <si>
    <t>CS55 1.5</t>
  </si>
  <si>
    <t>CX70 1.6</t>
  </si>
  <si>
    <t>CX70 ELITE 1.5</t>
  </si>
  <si>
    <t>CX70 ELITE 1.5 AUT</t>
  </si>
  <si>
    <t>CX70 LUXURY 1.6</t>
  </si>
  <si>
    <t>CX70 OTTO 1.6</t>
  </si>
  <si>
    <t>CX70 T 1.5 AUT</t>
  </si>
  <si>
    <t>HUNTER 1.9</t>
  </si>
  <si>
    <t>HUNTER LUXURY 1.9</t>
  </si>
  <si>
    <t>NEW CS15 ELITE 1.5</t>
  </si>
  <si>
    <t>NEW CS15 ELITE HB 1.5</t>
  </si>
  <si>
    <t>NEW CS15 ELITE HB 1.5 AUT</t>
  </si>
  <si>
    <t>NEW CS35 LUX 1.4 AUT</t>
  </si>
  <si>
    <t>UNI T TURBO 1.5 AUT</t>
  </si>
  <si>
    <t>CS15 HB 4X2 1.5</t>
  </si>
  <si>
    <t>NEW CS15 LUXURY 1.5</t>
  </si>
  <si>
    <t>CS35</t>
  </si>
  <si>
    <t>CS35 PLUS 1.4 AUT</t>
  </si>
  <si>
    <t>M201</t>
  </si>
  <si>
    <t>M201 1.2</t>
  </si>
  <si>
    <t>MS201 1.2</t>
  </si>
  <si>
    <t>UNIT LUXURY 1.5 AUT</t>
  </si>
  <si>
    <t>ARRIZO 3 GLS 1.5</t>
  </si>
  <si>
    <t>LCBC86</t>
  </si>
  <si>
    <t>ARRIZO 5</t>
  </si>
  <si>
    <t>ARRIZO 5 1.5</t>
  </si>
  <si>
    <t>ARRIZO 5 GLS 1.5</t>
  </si>
  <si>
    <t>GRAND TIGGO</t>
  </si>
  <si>
    <t>GRAND TIGGO GLS 2.0</t>
  </si>
  <si>
    <t>K60 GLS 1.5</t>
  </si>
  <si>
    <t>TIGGO 2 1.5</t>
  </si>
  <si>
    <t>TIGGO 2 GL 1.5</t>
  </si>
  <si>
    <t>TIGGO 2 GLS 1.5</t>
  </si>
  <si>
    <t>TIGGO 2 GLS 1.5 AUT</t>
  </si>
  <si>
    <t>TIGGO 2 GLS CVT 1.5 AUT</t>
  </si>
  <si>
    <t>TIGGO 2 GLS MT 1.5</t>
  </si>
  <si>
    <t>TIGGO 2 GLX 1.5</t>
  </si>
  <si>
    <t>TIGGO 2 PRO GLS MT 1.5</t>
  </si>
  <si>
    <t>FL GLS 1.5</t>
  </si>
  <si>
    <t>TIGGO 2 GLS CVT PRO 1.5 AUT</t>
  </si>
  <si>
    <t>TIGGO 2 PRO GLX CVT 1.0 AUT</t>
  </si>
  <si>
    <t>TIGGO 3 CVT 1.5L AUT</t>
  </si>
  <si>
    <t>TIGGO 3 GL 1.5</t>
  </si>
  <si>
    <t>TIGGO 3 GLS 1.5</t>
  </si>
  <si>
    <t>TIGGO 3 GLX 1.6</t>
  </si>
  <si>
    <t>TIGGO 3 PRO GLS 1.5</t>
  </si>
  <si>
    <t>SFDX70</t>
  </si>
  <si>
    <t>TIGGO 3 PRO GLX 1.5 AUT</t>
  </si>
  <si>
    <t>TIGGO 4</t>
  </si>
  <si>
    <t>TIGGO 4 GLS 2.0</t>
  </si>
  <si>
    <t>TIGGO 7 GLX 1.5 AUT</t>
  </si>
  <si>
    <t>TIGGO 7 TURBO 1.5</t>
  </si>
  <si>
    <t>TIGGO 7 GLS CVT PRO 1.5 AUT</t>
  </si>
  <si>
    <t>TIGGO 8 1.5 AUT</t>
  </si>
  <si>
    <t>TIGGO 8 GLS 1.5</t>
  </si>
  <si>
    <t>TIGGO 8 PRO GLX DCT 1.6 AUT</t>
  </si>
  <si>
    <t>TIGGO 8 PRO MAX 4X4 2.0 AUT</t>
  </si>
  <si>
    <t>CAPTIVA 1.5</t>
  </si>
  <si>
    <t>CAPTIVA 1.5 AT</t>
  </si>
  <si>
    <t>CAPTIVA 1.5 AUT</t>
  </si>
  <si>
    <t>CAPTIVA LT 1.5 AUT</t>
  </si>
  <si>
    <t>CAPTIVA MT6 1.5</t>
  </si>
  <si>
    <t>CAPTIVA MT6 4X2 1.5</t>
  </si>
  <si>
    <t>CAPTIVA OTTO 1.5</t>
  </si>
  <si>
    <t>CAPTIVA PREMIER 1.5</t>
  </si>
  <si>
    <t>COLORADO 4WD 2.8 AUT</t>
  </si>
  <si>
    <t>COLORADO DCAB 4X4 2.8</t>
  </si>
  <si>
    <t>COLORADO DCAB 4X4 2.8 AT</t>
  </si>
  <si>
    <t>COLORADO II LS 2.8</t>
  </si>
  <si>
    <t>EQUINOX</t>
  </si>
  <si>
    <t>EQUINOX FWD 1.5 AUT</t>
  </si>
  <si>
    <t>GROOVE 1.5</t>
  </si>
  <si>
    <t>GROOVE LTZ 1.5</t>
  </si>
  <si>
    <t>ONIX HB 1.4</t>
  </si>
  <si>
    <t>ONIX HB PREMIER 1.0 AUT</t>
  </si>
  <si>
    <t>ONIX HB RS 1.0T</t>
  </si>
  <si>
    <t>ONIX LTZ 1.4</t>
  </si>
  <si>
    <t>ONIX NB LT 1.0T</t>
  </si>
  <si>
    <t>ONIX NB PREMIER 1.0T AUT</t>
  </si>
  <si>
    <t>ORLANDO</t>
  </si>
  <si>
    <t>ORLANDO LS 2.0</t>
  </si>
  <si>
    <t>GWYL71</t>
  </si>
  <si>
    <t>PRISMA 1.4</t>
  </si>
  <si>
    <t>PRISMA LTZ 1.4</t>
  </si>
  <si>
    <t>SAIL 1.5</t>
  </si>
  <si>
    <t>SAIL HB 1.5 AUT</t>
  </si>
  <si>
    <t>SAIL NB CVT 1.5</t>
  </si>
  <si>
    <t>SILVERADO CC DCAB 4X4 5.3 AUT</t>
  </si>
  <si>
    <t>SILVERADO DCAB LT 4WD 5.3 AUT</t>
  </si>
  <si>
    <t>SILVERADO LT 4X4 5.3 AUT</t>
  </si>
  <si>
    <t>SILVERADO LTZ 4WD 5.3</t>
  </si>
  <si>
    <t>SILVERADO LTZ 5.3</t>
  </si>
  <si>
    <t>SPARK</t>
  </si>
  <si>
    <t>SPARK DOHC 1.2</t>
  </si>
  <si>
    <t>SPARK GT LT 1.2</t>
  </si>
  <si>
    <t>TAHOE LT 4WD 5.3</t>
  </si>
  <si>
    <t>TAHOE LT SU 4WD 5.3 AUT</t>
  </si>
  <si>
    <t>TRACKER 1.2T AUT</t>
  </si>
  <si>
    <t>TRACKER 1.8</t>
  </si>
  <si>
    <t>TRACKER AWD 1.8 AUT</t>
  </si>
  <si>
    <t>TRACKER II FWD 1,8</t>
  </si>
  <si>
    <t>TRACKER II FWD 1.8</t>
  </si>
  <si>
    <t>TRACKER II LS 1.8</t>
  </si>
  <si>
    <t>TRACKER LS 1.8</t>
  </si>
  <si>
    <t>TRACKER LT 1.8</t>
  </si>
  <si>
    <t>TRAILBLAZER 4X4 2.8 AUT</t>
  </si>
  <si>
    <t>TRAILBLAZER LTZ AWD 2.8 AUT</t>
  </si>
  <si>
    <t>NG TRAVERSE AWD 3.6 AUT</t>
  </si>
  <si>
    <t>NG TRAVERSE FWD 3.6 AUT</t>
  </si>
  <si>
    <t>BERLINGO MULTISPACE BLUEHDI XL 1.5</t>
  </si>
  <si>
    <t>C3 1.2</t>
  </si>
  <si>
    <t>C3 AIRCROSS 1.5</t>
  </si>
  <si>
    <t>C3 AIRCROSS HDI HB 1.5</t>
  </si>
  <si>
    <t>C3 HDI 1.5</t>
  </si>
  <si>
    <t>C3 PURETECH 4X2 1.2</t>
  </si>
  <si>
    <t>C4 1.2 AT</t>
  </si>
  <si>
    <t>C4 1.5 AUT</t>
  </si>
  <si>
    <t>C4 1.6</t>
  </si>
  <si>
    <t>C4 CACTUS HDI 1.6</t>
  </si>
  <si>
    <t>C4 HDI 1.6</t>
  </si>
  <si>
    <t>C5 AIRCROSS BHDI 1.5 AUT</t>
  </si>
  <si>
    <t>C5 AIRCROSS BLUEHDI 1.5 AUT</t>
  </si>
  <si>
    <t>C5 AIRCROSS CVA8 STT 1.5 AUT</t>
  </si>
  <si>
    <t>C ELYSEE 1.2</t>
  </si>
  <si>
    <t>C ELYSEE 1.6</t>
  </si>
  <si>
    <t>SPACETOURER</t>
  </si>
  <si>
    <t>BUSINEES HDI 2.0</t>
  </si>
  <si>
    <t>DFLM</t>
  </si>
  <si>
    <t>JOYEAR</t>
  </si>
  <si>
    <t>JOYEAR SX5 1.6</t>
  </si>
  <si>
    <t>DFM</t>
  </si>
  <si>
    <t>AX4</t>
  </si>
  <si>
    <t>AX4 LUXURY 1.6 AUT</t>
  </si>
  <si>
    <t>T5L</t>
  </si>
  <si>
    <t>T5L LUX 1.8</t>
  </si>
  <si>
    <t>500</t>
  </si>
  <si>
    <t>500 1.5 CVT</t>
  </si>
  <si>
    <t>500 4X2 1.5</t>
  </si>
  <si>
    <t>SUV 500 1.5</t>
  </si>
  <si>
    <t>560</t>
  </si>
  <si>
    <t>560 1.8</t>
  </si>
  <si>
    <t>580</t>
  </si>
  <si>
    <t>580 1.5</t>
  </si>
  <si>
    <t>JWCJ51</t>
  </si>
  <si>
    <t>580 1.8</t>
  </si>
  <si>
    <t>580 LUXURY 1.5</t>
  </si>
  <si>
    <t>SUV GLORY 580 1.5</t>
  </si>
  <si>
    <t>CARGO</t>
  </si>
  <si>
    <t>CARGO VAN C25 1.3</t>
  </si>
  <si>
    <t>CARGO VAN C35 1.5</t>
  </si>
  <si>
    <t>SCGS46</t>
  </si>
  <si>
    <t>GBDZ39</t>
  </si>
  <si>
    <t>D1 COMFORT 2.3</t>
  </si>
  <si>
    <t>TRUCK CS C21 1.3</t>
  </si>
  <si>
    <t>TRUCK DC 1.0</t>
  </si>
  <si>
    <t>TRUCK DC 1.3</t>
  </si>
  <si>
    <t>TRUCK SERIE C DCAB 1.5</t>
  </si>
  <si>
    <t>DODGE</t>
  </si>
  <si>
    <t>NEW RAM1500 SLT SPORT 4X4 5.7 AUT</t>
  </si>
  <si>
    <t>RAM1500 LARAMIE 4X4 5.7</t>
  </si>
  <si>
    <t>DURANGO</t>
  </si>
  <si>
    <t>NEW DURANGO CITADEL AWD 5.7</t>
  </si>
  <si>
    <t>DBXP41</t>
  </si>
  <si>
    <t>JOURNEY</t>
  </si>
  <si>
    <t>JOURNEY 2.4 AUT</t>
  </si>
  <si>
    <t>DF6 4WD 2.5</t>
  </si>
  <si>
    <t>DF6 D CAB GL 4X4 2.5</t>
  </si>
  <si>
    <t>DS7</t>
  </si>
  <si>
    <t>DS7 CROSSBACK BLUEHDI 2.0 AUT</t>
  </si>
  <si>
    <t>EXEED VX 2.0T DCT UNLIMITED AWD</t>
  </si>
  <si>
    <t>LX UNLTD 1.5 AUT</t>
  </si>
  <si>
    <t>TXL DCT UNLIMITED 2.0 AUT</t>
  </si>
  <si>
    <t>500X</t>
  </si>
  <si>
    <t>500X CROSS 4X4 1.4 AUT</t>
  </si>
  <si>
    <t>ARGO TREKKING HATCHBACK 1.3</t>
  </si>
  <si>
    <t>CRONOS</t>
  </si>
  <si>
    <t>CRONOS DRIVE 1.3 MT</t>
  </si>
  <si>
    <t>CRONOS DRIVE 1.8 AUT</t>
  </si>
  <si>
    <t>PULSE HB MT 1.3</t>
  </si>
  <si>
    <t>PULSE IMPETUS TF200 1.0 AUT</t>
  </si>
  <si>
    <t>QUBO</t>
  </si>
  <si>
    <t>QUBO DYNAMIC 1.4</t>
  </si>
  <si>
    <t>UNO WAY</t>
  </si>
  <si>
    <t>UNO WAY 1.4</t>
  </si>
  <si>
    <t>UNO WAY EVO 1.3</t>
  </si>
  <si>
    <t>UNO WAY EVO 1.4</t>
  </si>
  <si>
    <t>UNO WAY EVO FL 1.3</t>
  </si>
  <si>
    <t>BRONCO SPORT 4X4 1.5 AUT</t>
  </si>
  <si>
    <t>BRONCO WILDTRAK 4X4 2.7 AUT</t>
  </si>
  <si>
    <t>ECOSPORT 1.5</t>
  </si>
  <si>
    <t>ECOSPORT 1.5 AUT</t>
  </si>
  <si>
    <t>ECOSPORT 1.6</t>
  </si>
  <si>
    <t>ECOSPORT 2.0 AUT</t>
  </si>
  <si>
    <t>ECOSPORT S 1.5</t>
  </si>
  <si>
    <t>ECOSPORT TITANIUM 1.5</t>
  </si>
  <si>
    <t>ECOSPORT TITANIUM 1.6</t>
  </si>
  <si>
    <t>ECOSPORT TITANIUM 2.0 AT</t>
  </si>
  <si>
    <t>GBWR76</t>
  </si>
  <si>
    <t>ECOSPORT TITANIUM 2.0 AUT</t>
  </si>
  <si>
    <t>EDGE 2.0 AUT</t>
  </si>
  <si>
    <t>EDGE 3.5 AUT</t>
  </si>
  <si>
    <t>EDGE 4X4 2.7 AUT</t>
  </si>
  <si>
    <t>PFSB69</t>
  </si>
  <si>
    <t>EDGE AWD 2.0 AT</t>
  </si>
  <si>
    <t>EDGE AWD 2.7 AUT</t>
  </si>
  <si>
    <t>EDGE OTTO 2.0 AUT</t>
  </si>
  <si>
    <t>EDGE SEL 2.0 AUT</t>
  </si>
  <si>
    <t>EDGE SEL 4X4 3.5 AUT</t>
  </si>
  <si>
    <t>ESCAPE 2.0 AUT</t>
  </si>
  <si>
    <t>ESCAPE 2.5 AT</t>
  </si>
  <si>
    <t>ESCAPE 2.5 AUT</t>
  </si>
  <si>
    <t>ESCAPE 4X4 2.0</t>
  </si>
  <si>
    <t>ESCAPE 4X4 2.0 AUT</t>
  </si>
  <si>
    <t>ESCAPE 4X4 2.0L AUT</t>
  </si>
  <si>
    <t>ESCAPE AWD 2.0 AUT</t>
  </si>
  <si>
    <t>ESCAPE TITANIUM 4X4 2.0 AUT</t>
  </si>
  <si>
    <t>EXPEDITION LIMITED 4X4 3.5 AUT</t>
  </si>
  <si>
    <t>EXPEDITION LTD 4X4 3.5 AUT</t>
  </si>
  <si>
    <t>EXPLORER 2.3</t>
  </si>
  <si>
    <t>EXPLORER 2.3 AUT</t>
  </si>
  <si>
    <t>EXPLORER 2WD 2.3 AUT</t>
  </si>
  <si>
    <t>EXPLORER 4WD 2.3 AUT</t>
  </si>
  <si>
    <t>RVVS53</t>
  </si>
  <si>
    <t>EXPLORER 4X4 2.3 AUT</t>
  </si>
  <si>
    <t>EXPLORER 4X4 3.0 AT</t>
  </si>
  <si>
    <t>EXPLORER ECOBOOST 2.3 AUT</t>
  </si>
  <si>
    <t>EXPLORER LTD 3.5 AUT</t>
  </si>
  <si>
    <t>EXPLORER LTD 4X4 2.3 AT</t>
  </si>
  <si>
    <t>EXPLORER LTD 4X4 3.5 AUT</t>
  </si>
  <si>
    <t>EXPLORER PLATINUM 4X4 2.3 AUT</t>
  </si>
  <si>
    <t>EXPLORER XLT 2.3 AUT</t>
  </si>
  <si>
    <t>EXPLORER XLT 3.5 AUT</t>
  </si>
  <si>
    <t>EXPLORER XLT 4X4 3.5 AUT</t>
  </si>
  <si>
    <t>F 150 LARIAT SPORT 4X4 5.0</t>
  </si>
  <si>
    <t>F150 DCAB 3.5 AT</t>
  </si>
  <si>
    <t>F150 DCAB XLT 4X4 5.0 AUT</t>
  </si>
  <si>
    <t>F150 LARIAT 4X4 5.0</t>
  </si>
  <si>
    <t>F150 LARIAT 4X4 5.0 AUT</t>
  </si>
  <si>
    <t>F150 LARIAT LUXURY 4X4 3.0 AUT</t>
  </si>
  <si>
    <t>RGLK93</t>
  </si>
  <si>
    <t>F150 LARIAT SPORT 4X4 5.0 AUT</t>
  </si>
  <si>
    <t>F150 LARIAT SPORT 4X4 5.0L AUT</t>
  </si>
  <si>
    <t>F150 PLATINIUM 4X4 3.5 AT</t>
  </si>
  <si>
    <t>F150 PLATINUM 4X4 3.5 AUT</t>
  </si>
  <si>
    <t>F150 XLT 3.3 AUT</t>
  </si>
  <si>
    <t>F150 XLT 3.5 AUT</t>
  </si>
  <si>
    <t>F150 XLT 3.7</t>
  </si>
  <si>
    <t>DCFR79</t>
  </si>
  <si>
    <t>F150 XLT 4X4 5.0 AUT</t>
  </si>
  <si>
    <t>F150 XLT CC 3.3 AUT</t>
  </si>
  <si>
    <t>F150 XLT DCAB 3.3 AUT</t>
  </si>
  <si>
    <t>F150 XLT PICKUP 4X4 3.3 AUT</t>
  </si>
  <si>
    <t>FIESTA 1.6</t>
  </si>
  <si>
    <t>FOCUS 2.0</t>
  </si>
  <si>
    <t>FOCUS 2.0 AUT</t>
  </si>
  <si>
    <t>LHCL88</t>
  </si>
  <si>
    <t>FUSION</t>
  </si>
  <si>
    <t>FUSION 2.0 AUT</t>
  </si>
  <si>
    <t>MAVERICK LARIAT 4X4 2.0 AUT</t>
  </si>
  <si>
    <t>MUSTANG</t>
  </si>
  <si>
    <t>MUSTANG COUPE 5.0 AUT</t>
  </si>
  <si>
    <t>MUSTANG COUPE GT 5.0 AT</t>
  </si>
  <si>
    <t>NEW RANGER RAPTOR 4X4 2.0 AUT</t>
  </si>
  <si>
    <t>PZJJ11</t>
  </si>
  <si>
    <t>RANGER  XL  2.5</t>
  </si>
  <si>
    <t>RANGER 3.2</t>
  </si>
  <si>
    <t>RANGER 4X2 2.5</t>
  </si>
  <si>
    <t>RANGER DCAB 4X4 3.2 AUT</t>
  </si>
  <si>
    <t>RANGER DCAB XLS 4X4 3.2</t>
  </si>
  <si>
    <t>RANGER DCAB XLT 3.2</t>
  </si>
  <si>
    <t>RANGER DCAB XLT 4X4 3.2</t>
  </si>
  <si>
    <t>RANGER FX4 4X4 3.2 AT</t>
  </si>
  <si>
    <t>RANGER LTD 4X4 3.2</t>
  </si>
  <si>
    <t>RANGER LTD 4X4 3.2 AUT</t>
  </si>
  <si>
    <t>RANGER STORM 4X4 3.2</t>
  </si>
  <si>
    <t>RANGER XL 4X4 2.2</t>
  </si>
  <si>
    <t>RANGER XL M 4X4 2.2</t>
  </si>
  <si>
    <t>RANGER XLS DCAB 4X4 3.2</t>
  </si>
  <si>
    <t>RANGER XLT 2.0 AUT</t>
  </si>
  <si>
    <t>RANGER XLT 3.2</t>
  </si>
  <si>
    <t>RANGER XLT 4X4 2.0</t>
  </si>
  <si>
    <t>RANGER XLT 4X4 2.0 AUT</t>
  </si>
  <si>
    <t>RANGER XLT 4X4 3.2</t>
  </si>
  <si>
    <t>NEW TERRITORY TITANIUM 1.5 AUT</t>
  </si>
  <si>
    <t>NEW TERRITORY TREND 1.5 AUT</t>
  </si>
  <si>
    <t>TERRITORY 4X2 1.5 AUT</t>
  </si>
  <si>
    <t>TERRITORY TITANIUM 1.5 AUT</t>
  </si>
  <si>
    <t>TERRITORY TREND 1.5 AT</t>
  </si>
  <si>
    <t>TERRITORY TREND 1.5 AUT</t>
  </si>
  <si>
    <t>TERRITORY TREND 4X2 1.5 AUT</t>
  </si>
  <si>
    <t>TRANSIT 2.2</t>
  </si>
  <si>
    <t>KJYT41</t>
  </si>
  <si>
    <t>TRANSIT CUSTOM FURGON 2.2</t>
  </si>
  <si>
    <t>FOTON</t>
  </si>
  <si>
    <t>TM3 MAS 1.5</t>
  </si>
  <si>
    <t>G7</t>
  </si>
  <si>
    <t>G7 MT 4X2 2.0</t>
  </si>
  <si>
    <t>EMZOOM 1.5 T</t>
  </si>
  <si>
    <t>EMZOOM 1.5 AUT</t>
  </si>
  <si>
    <t>GS4 POWER 1.5</t>
  </si>
  <si>
    <t>GS4 POWER 1.5 AUT</t>
  </si>
  <si>
    <t>GS3 1.5L</t>
  </si>
  <si>
    <t>GS3 GE 1.3 AUT</t>
  </si>
  <si>
    <t>GS3 MT 1.5</t>
  </si>
  <si>
    <t>GS3 POWER 1.5</t>
  </si>
  <si>
    <t>GS4 POWER 1.5T</t>
  </si>
  <si>
    <t>AZKARRA 1.5 AUT</t>
  </si>
  <si>
    <t>COOLRAY 1.5 AUT</t>
  </si>
  <si>
    <t>3 2.0</t>
  </si>
  <si>
    <t>C30 ELITE 1.5</t>
  </si>
  <si>
    <t>H6 1.5</t>
  </si>
  <si>
    <t>H6 LUXURY 1.5</t>
  </si>
  <si>
    <t>M4 HB 1.5</t>
  </si>
  <si>
    <t>M4 LE 1.5</t>
  </si>
  <si>
    <t>NEW HAVAL H3 LE 2.0</t>
  </si>
  <si>
    <t>POER 4X4 2.0</t>
  </si>
  <si>
    <t>POER DELUXE 2.0</t>
  </si>
  <si>
    <t>POER DELUXE 4X4 2.0</t>
  </si>
  <si>
    <t>POER PLUS 4X4 2.0 AUT</t>
  </si>
  <si>
    <t>WINGLE 4P 2.2</t>
  </si>
  <si>
    <t>WINGLE 5 2.2</t>
  </si>
  <si>
    <t>WINGLE 5 G ELITE 2.2</t>
  </si>
  <si>
    <t>WINGLE 7 2.4</t>
  </si>
  <si>
    <t>WINGLE 7 TM 4X4 2.4</t>
  </si>
  <si>
    <t>WINGLE</t>
  </si>
  <si>
    <t>WINGLE 5 ELITE 2.0</t>
  </si>
  <si>
    <t>DARGO</t>
  </si>
  <si>
    <t>DARGO 4X4 2.0 AUT</t>
  </si>
  <si>
    <t>H6 DELUXE 2.0 AUT</t>
  </si>
  <si>
    <t>H6 ELITE 1.5</t>
  </si>
  <si>
    <t>H6 ELITE 2.0 AUT</t>
  </si>
  <si>
    <t>H6 HEV TURBO 1.5 AUT</t>
  </si>
  <si>
    <t>H6 TURBO DCT 2.0 AUT</t>
  </si>
  <si>
    <t>JOLION 4X2 1.5 AUT</t>
  </si>
  <si>
    <t>JOLION 4X2 1.5 MT</t>
  </si>
  <si>
    <t>JOLION ELITE 1.5</t>
  </si>
  <si>
    <t>JOLION TURBO 1.5</t>
  </si>
  <si>
    <t>CITY</t>
  </si>
  <si>
    <t>CITY LX 1.5 AUT</t>
  </si>
  <si>
    <t>HR V EXL 4X4 1.8 AUT</t>
  </si>
  <si>
    <t>HR V LXS 1.8 AUT</t>
  </si>
  <si>
    <t>HRV 1.8</t>
  </si>
  <si>
    <t>PILOT</t>
  </si>
  <si>
    <t>PILOT TOURING 4X4 3.5 AUT</t>
  </si>
  <si>
    <t>WR</t>
  </si>
  <si>
    <t>WR V EXL 1.5 AUT</t>
  </si>
  <si>
    <t>WR V LX 1.5 AUT</t>
  </si>
  <si>
    <t>ACCENT GL 1.6 AUT</t>
  </si>
  <si>
    <t>ACCENT HCI 1.4</t>
  </si>
  <si>
    <t>ACCENT RB 1.4</t>
  </si>
  <si>
    <t>ACCENT RB GL 1.6</t>
  </si>
  <si>
    <t>ATOS 1.1</t>
  </si>
  <si>
    <t>ATOS AH2 HB 1.1</t>
  </si>
  <si>
    <t>CRETA GLS 1.6</t>
  </si>
  <si>
    <t>CRETA GRAND MPI 2.0</t>
  </si>
  <si>
    <t>CRETA GRAND MPI 2.0 AUT</t>
  </si>
  <si>
    <t>CRETA GS 1.6</t>
  </si>
  <si>
    <t>CRETA GS 1.6 AT</t>
  </si>
  <si>
    <t>CRETA GS PE 1.6</t>
  </si>
  <si>
    <t>CRETA SU2I 1.5</t>
  </si>
  <si>
    <t>CRETA SU2I CVT 1.5 AUT</t>
  </si>
  <si>
    <t>CRETA SU2ID MPI 1.5</t>
  </si>
  <si>
    <t>ELANTRA 1.6</t>
  </si>
  <si>
    <t>ELANTRA AD 1.6 AUT</t>
  </si>
  <si>
    <t>LBGR63</t>
  </si>
  <si>
    <t>ELANTRA CN7 1.6</t>
  </si>
  <si>
    <t>ELANTRA CN7 2.0 AT</t>
  </si>
  <si>
    <t>GRAND I10 1.0</t>
  </si>
  <si>
    <t>GRAND I10 4X2 1.2</t>
  </si>
  <si>
    <t>GRAND I10 AI3 4X2 1.2</t>
  </si>
  <si>
    <t>GRAND I10 AI3 HB MT 1.2</t>
  </si>
  <si>
    <t>GRAND I10 BA GL 1.2</t>
  </si>
  <si>
    <t>GRAND I10 BA GLS 1.2</t>
  </si>
  <si>
    <t>GRAND I10 BA PE HB 1.2</t>
  </si>
  <si>
    <t>GRAND I10 HB 1.2</t>
  </si>
  <si>
    <t>I20 BI3 1.4</t>
  </si>
  <si>
    <t>SANTA FE 2.2 AUT</t>
  </si>
  <si>
    <t>SANTA FE 2.5 AT</t>
  </si>
  <si>
    <t>SANTA FE CRDI 8DCT 2.2 AUT</t>
  </si>
  <si>
    <t>SANTA FE GLS 2.4 AT</t>
  </si>
  <si>
    <t>SANTA FE GLS 4WD 2.4 AT</t>
  </si>
  <si>
    <t>TUCSON 2.0</t>
  </si>
  <si>
    <t>TUCSON 4WD 2.0 AUT</t>
  </si>
  <si>
    <t>TUCSON NX4 1.6 AUT</t>
  </si>
  <si>
    <t>TUCSON NX4 2.0</t>
  </si>
  <si>
    <t>TUCSON NX4 GDI 7DCT 1.6 AUT</t>
  </si>
  <si>
    <t>TUCSON NX4 MPI 2.0</t>
  </si>
  <si>
    <t>TUCSON TL 2.0</t>
  </si>
  <si>
    <t>TUCSON TL 2.0 AT</t>
  </si>
  <si>
    <t>TUCSON TL 2.0 AUT</t>
  </si>
  <si>
    <t>TUCSON TL GL ACTIVE 2.0</t>
  </si>
  <si>
    <t>TUCSON TL GL ADVANCE 2.0</t>
  </si>
  <si>
    <t>VELOSTER GLS 1.6</t>
  </si>
  <si>
    <t>VELOSTER GLS FULL 1.6</t>
  </si>
  <si>
    <t>VELOSTER JS HB 2.0</t>
  </si>
  <si>
    <t>VENUE QX 1.6</t>
  </si>
  <si>
    <t>VERNA 1.4</t>
  </si>
  <si>
    <t>VERNA CB 1.4</t>
  </si>
  <si>
    <t>TODAS</t>
  </si>
  <si>
    <t>TUCSON NX4 CRDI 8AT 2.0 AUT</t>
  </si>
  <si>
    <t>INTERNATIONAL</t>
  </si>
  <si>
    <t>4300</t>
  </si>
  <si>
    <t>YW3244</t>
  </si>
  <si>
    <t>GRAND S3 HB 1.6</t>
  </si>
  <si>
    <t>JS2 HB 1.5</t>
  </si>
  <si>
    <t>JS3 1.6</t>
  </si>
  <si>
    <t>JS3 HB 1.6</t>
  </si>
  <si>
    <t>S1 HB 1.3</t>
  </si>
  <si>
    <t>S2 1.5 AUT</t>
  </si>
  <si>
    <t>S2 CE 1.5</t>
  </si>
  <si>
    <t>S2 CE CVT 1.5</t>
  </si>
  <si>
    <t>S2 CE SPORT 1.5</t>
  </si>
  <si>
    <t>S3 1.6</t>
  </si>
  <si>
    <t>T8 CE 4X4 2.0</t>
  </si>
  <si>
    <t>JS</t>
  </si>
  <si>
    <t>JS2 HATCHBACK 1.5</t>
  </si>
  <si>
    <t>JS2 LUXURY HB 1.5</t>
  </si>
  <si>
    <t>JS2 MPI 1.5</t>
  </si>
  <si>
    <t>JS4 TURBO CVT 1.5 AUT</t>
  </si>
  <si>
    <t>JS8 TURBO DCT 1.5 AUT</t>
  </si>
  <si>
    <t>S2 HB 1.5</t>
  </si>
  <si>
    <t>T8 XE ADVANCE 2.0</t>
  </si>
  <si>
    <t>T8 XE ADVANCE 4X4 2.0</t>
  </si>
  <si>
    <t>TODOS</t>
  </si>
  <si>
    <t>JS2 LUXURY HB 1.5 AUT</t>
  </si>
  <si>
    <t>JS6 TURBO DCT 1.5 AUT</t>
  </si>
  <si>
    <t>JS8 LUXURY 1.5</t>
  </si>
  <si>
    <t>S3 LUXURY HB 1.6</t>
  </si>
  <si>
    <t>7</t>
  </si>
  <si>
    <t>J7 PRIME 1.6 AUT</t>
  </si>
  <si>
    <t>CHEROKEE</t>
  </si>
  <si>
    <t>CHEROKEE LONGITUDE 2.4 AUT</t>
  </si>
  <si>
    <t>COMMANDER</t>
  </si>
  <si>
    <t>COMMANDER OVERLAND 4X4 2.0 AUT</t>
  </si>
  <si>
    <t>SRZH97</t>
  </si>
  <si>
    <t>ALL NEW COMPASS 4X4 2.4 AUT</t>
  </si>
  <si>
    <t>ALL NEW COMPASS LONGITUDE 2.4 AUT</t>
  </si>
  <si>
    <t>ALL NEW COMPASS SPORT 2.4</t>
  </si>
  <si>
    <t>ALL NEW COMPASS SPORT LX 2.4</t>
  </si>
  <si>
    <t>COMPASS LONGITUDE 1.3 AUT</t>
  </si>
  <si>
    <t>COMPASS SPORT 2.4</t>
  </si>
  <si>
    <t>COMPASS SPORT AT6 2.4 AUT</t>
  </si>
  <si>
    <t>GRAND CHEROKEE LAREDO 3.6</t>
  </si>
  <si>
    <t>GRAND CHEROKEE LAREDO 3.6 AUT</t>
  </si>
  <si>
    <t>GRAND CHEROKEE LAREDO 4X4 3.6 AUT</t>
  </si>
  <si>
    <t>GRAND CHEROKEE LAREDO S 3.6 AUT</t>
  </si>
  <si>
    <t>GRAND CHEROKEE LAREDO SPORT 3.6 AUT</t>
  </si>
  <si>
    <t>GRAND CHEROKEE LIMITED 4X4 3.6 AT</t>
  </si>
  <si>
    <t>GRAND CHEROKEE LIMITED 4X4 3.6 AUT</t>
  </si>
  <si>
    <t>NEW GRAND CHEROKEE LTD 4X4 3.6 AUT</t>
  </si>
  <si>
    <t>RENEGADE LX 1.8</t>
  </si>
  <si>
    <t>RENEGADE LX SPORT 1.7</t>
  </si>
  <si>
    <t>RENEGADE SPORT 1.8</t>
  </si>
  <si>
    <t>RENEGADE SPORT 1.8 AUT</t>
  </si>
  <si>
    <t>RENEGADE SPORT LX 1.8</t>
  </si>
  <si>
    <t>RENEGADE SPORT LX 1.8 AUT</t>
  </si>
  <si>
    <t>WRANGLER</t>
  </si>
  <si>
    <t>WRANGLER SAHARA UNLIMITED 3.6 AUT</t>
  </si>
  <si>
    <t>WRANGLER UNLTD SPORT 4X4 3.6 AUT</t>
  </si>
  <si>
    <t>KWYH36</t>
  </si>
  <si>
    <t>DASHING 1.6 AUT</t>
  </si>
  <si>
    <t>X70 1.5</t>
  </si>
  <si>
    <t>GRAND AVENUE 4X2 2.3</t>
  </si>
  <si>
    <t>GRAND AVENUE 4X4 2.3</t>
  </si>
  <si>
    <t>GRAND AVENUE 4X4 2.3 AUT</t>
  </si>
  <si>
    <t>VIGUS 4X4 2.0</t>
  </si>
  <si>
    <t>VIGUS PRO 2.0 AUT</t>
  </si>
  <si>
    <t>VIGUS PICK UP</t>
  </si>
  <si>
    <t>.</t>
  </si>
  <si>
    <t>VIGUS PLUS 2.4</t>
  </si>
  <si>
    <t>VIGUS WORK 2.5</t>
  </si>
  <si>
    <t>VIGUS WORK LX 4X4</t>
  </si>
  <si>
    <t>VIGUS WORK TM 4X4 2.5</t>
  </si>
  <si>
    <t>Q22 4X2 1.3</t>
  </si>
  <si>
    <t>CARENS</t>
  </si>
  <si>
    <t>CARENS EX 1.4 AUT</t>
  </si>
  <si>
    <t>CARENS LX 1.5</t>
  </si>
  <si>
    <t>CARNIVAL</t>
  </si>
  <si>
    <t>GRAND CARNIVAL EX 2.2 AUT</t>
  </si>
  <si>
    <t>GRAND CARNIVAL LX 3.3 AT</t>
  </si>
  <si>
    <t>CERATO EX 1.6</t>
  </si>
  <si>
    <t>CERATO EX 1.6 AUT</t>
  </si>
  <si>
    <t>CERATO EX 4X2 1.6 AUT</t>
  </si>
  <si>
    <t>CERATO SX 1.6</t>
  </si>
  <si>
    <t>FRONTIER D CAB 2.5</t>
  </si>
  <si>
    <t>K3 CROSS EX 1.4</t>
  </si>
  <si>
    <t>K3 SEDAN</t>
  </si>
  <si>
    <t>K3 EX MPI 1.6</t>
  </si>
  <si>
    <t>MORNING 1.2</t>
  </si>
  <si>
    <t>MORNING EX 1.2</t>
  </si>
  <si>
    <t>MORNING EX 1.2 MEC A/C DAB</t>
  </si>
  <si>
    <t>GFZH53</t>
  </si>
  <si>
    <t>MORNING MPI 1.0</t>
  </si>
  <si>
    <t>MORNING MPI 1.2</t>
  </si>
  <si>
    <t>MORNING MPI 1.2 AUT</t>
  </si>
  <si>
    <t>NIRO LX GDI 1.6 AUT</t>
  </si>
  <si>
    <t>RIO</t>
  </si>
  <si>
    <t>RIO 4 6MT 1.4</t>
  </si>
  <si>
    <t>RIO 4 EX 1.2</t>
  </si>
  <si>
    <t>RIO 4 EX 1.4</t>
  </si>
  <si>
    <t>JKGK34</t>
  </si>
  <si>
    <t>RIO 4 LX 1.4</t>
  </si>
  <si>
    <t>RIO 4 SEDAN 1.4</t>
  </si>
  <si>
    <t>RIO 5 1.4L AT</t>
  </si>
  <si>
    <t>RIO 5 6MT 1.4</t>
  </si>
  <si>
    <t>RIO 5 EX 1.4</t>
  </si>
  <si>
    <t>RIO 5 EX SPORT 1.4</t>
  </si>
  <si>
    <t>RIO 5 HATCH BACK 1.4</t>
  </si>
  <si>
    <t>RIO 5 HATCH BACK 1.6</t>
  </si>
  <si>
    <t>SELTOS EX 1.5</t>
  </si>
  <si>
    <t>THHJ27</t>
  </si>
  <si>
    <t>SELTOS EX 1.6</t>
  </si>
  <si>
    <t>SELTOS EX IVT 1.5 AUT</t>
  </si>
  <si>
    <t>SELTOS MPI 1.6 AUT</t>
  </si>
  <si>
    <t>SELTOS MPI 6MT 1.6</t>
  </si>
  <si>
    <t>SOLUTO 1.4</t>
  </si>
  <si>
    <t>SOLUTO LX 1.4</t>
  </si>
  <si>
    <t>LZPC80</t>
  </si>
  <si>
    <t>SOLUTO MPI 1.4</t>
  </si>
  <si>
    <t>SONET EX 1.5</t>
  </si>
  <si>
    <t>SONET EX 4X2 MT 1.5</t>
  </si>
  <si>
    <t>SONET EX IVT 1.5 AUT</t>
  </si>
  <si>
    <t>SORENTO 2.2 AUT</t>
  </si>
  <si>
    <t>SORENTO 2WD 2.5 AUT</t>
  </si>
  <si>
    <t>SORENTO DOHC 2.4</t>
  </si>
  <si>
    <t>SORENTO DOHC 2.4 AT</t>
  </si>
  <si>
    <t>SORENTO EX 2.2</t>
  </si>
  <si>
    <t>SORENTO EX 2.2 AUT</t>
  </si>
  <si>
    <t>SORENTO EX 2.4</t>
  </si>
  <si>
    <t>SORENTO EX 2.4 AT</t>
  </si>
  <si>
    <t>SORENTO EX 2.4 AUT</t>
  </si>
  <si>
    <t>SORENTO EX 2WD 2.2</t>
  </si>
  <si>
    <t>SORENTO EX 4X4 2.2 AUT</t>
  </si>
  <si>
    <t>SOUL</t>
  </si>
  <si>
    <t>SOUL EX 1.6</t>
  </si>
  <si>
    <t>SOUL EX 1.6 AUT</t>
  </si>
  <si>
    <t>SPORTAGE 2.0</t>
  </si>
  <si>
    <t>SPORTAGE 2.0 AUT</t>
  </si>
  <si>
    <t>SPORTAGE EX 2.0</t>
  </si>
  <si>
    <t>SPORTAGE EX DSL 2.0 AUT</t>
  </si>
  <si>
    <t>SHDF37</t>
  </si>
  <si>
    <t>SPORTAGE EX DVGT 4X4 1.6 AUT</t>
  </si>
  <si>
    <t>SPORTAGE LX  2.0</t>
  </si>
  <si>
    <t>SPORTAGE LX 2.0</t>
  </si>
  <si>
    <t>SPORTAGE LX 2.0 AT</t>
  </si>
  <si>
    <t>SPORTAGE LX 4X4 2.0</t>
  </si>
  <si>
    <t>SPORTAGE QL 2.0 AUT</t>
  </si>
  <si>
    <t>SPORTAGE QL MT 2.0</t>
  </si>
  <si>
    <t>LEXUS</t>
  </si>
  <si>
    <t>RX350 4X4 3.5 AT</t>
  </si>
  <si>
    <t>LIFAN</t>
  </si>
  <si>
    <t>LF X7 SX 1.8</t>
  </si>
  <si>
    <t>KUV100 ELITE 1.2</t>
  </si>
  <si>
    <t>XUV 500 2.2 AUT</t>
  </si>
  <si>
    <t>XUV500 FL CRDE 2.2</t>
  </si>
  <si>
    <t>T60 DCAB 2.8</t>
  </si>
  <si>
    <t>T60 DCAB 4X4 2.0 AUT</t>
  </si>
  <si>
    <t>T90 4WD 2.0 AUT</t>
  </si>
  <si>
    <t>T90 4X4 2.0 AUT</t>
  </si>
  <si>
    <t>ALL NEW CX30 GTX 4X4 2.0 AUT</t>
  </si>
  <si>
    <t>3  1.6</t>
  </si>
  <si>
    <t>3 SEDAN 2.0</t>
  </si>
  <si>
    <t>ALL NEW 2 SPORT GT HB 1.5</t>
  </si>
  <si>
    <t>ALL NEW 3 2.0</t>
  </si>
  <si>
    <t>ALL NEW 3 HB 2.0</t>
  </si>
  <si>
    <t>ALL NEW 6 2.0</t>
  </si>
  <si>
    <t>ALL NEW CX 3 R 2.0 AUT</t>
  </si>
  <si>
    <t>ALL NEW CX 5 2.0 AUT</t>
  </si>
  <si>
    <t>ALL NEW CX 5 R 2.0 AUT</t>
  </si>
  <si>
    <t>ALL NEW CX 5 R 4X4 2.0</t>
  </si>
  <si>
    <t>ALL NEW CX 5 R 4X4 2.0 AUT</t>
  </si>
  <si>
    <t>ALL NEW CX30 2.0</t>
  </si>
  <si>
    <t>ALL NEW CX30 2.0 AUT</t>
  </si>
  <si>
    <t>ALL NEW CX30 GTX 2.0 AUT</t>
  </si>
  <si>
    <t>BT 50 4X4 2.2</t>
  </si>
  <si>
    <t>BT 50 4X4 DCAB 3.2 AUT</t>
  </si>
  <si>
    <t>CX 5 GT 4WD 2.0 AUT</t>
  </si>
  <si>
    <t>CX5 OTTO 2.0</t>
  </si>
  <si>
    <t>CX5 OTTO 2.0 AUT</t>
  </si>
  <si>
    <t>NEW 3 1.6</t>
  </si>
  <si>
    <t>NEW 3 1.6 AUT</t>
  </si>
  <si>
    <t>NEW 3 HB 2.0</t>
  </si>
  <si>
    <t>NEW 6 2.0</t>
  </si>
  <si>
    <t>NEW 6 2.5 AUT</t>
  </si>
  <si>
    <t>NEW 6 V 2.0 AUT</t>
  </si>
  <si>
    <t>NEW CX 3 GT 4X4 2.0 AUT</t>
  </si>
  <si>
    <t>NEW CX 3 R 2.0</t>
  </si>
  <si>
    <t>NEW CX 5 R 2.0</t>
  </si>
  <si>
    <t>NEW CX 5 R 2.0 AUT</t>
  </si>
  <si>
    <t>NEW CX 9 GTX 4X4 2.5 AUT</t>
  </si>
  <si>
    <t>NEW CX3 2.0</t>
  </si>
  <si>
    <t>NEW CX5 GT 4X4 2.2 AUT</t>
  </si>
  <si>
    <t>NEW CX 5</t>
  </si>
  <si>
    <t>NEW CX 5 4X4 2.0 AUT</t>
  </si>
  <si>
    <t>NEW CX 5 R 2.0 AT</t>
  </si>
  <si>
    <t>A200 HATCH BACK 1.3 AUT</t>
  </si>
  <si>
    <t>E200 COUPE</t>
  </si>
  <si>
    <t>FFZW59</t>
  </si>
  <si>
    <t>GLC 220D COUPE 4X4 1.9</t>
  </si>
  <si>
    <t>3 1.5</t>
  </si>
  <si>
    <t>350 1.5</t>
  </si>
  <si>
    <t>FTJX39</t>
  </si>
  <si>
    <t>MG3</t>
  </si>
  <si>
    <t>3 1.5 AT</t>
  </si>
  <si>
    <t>3 1.5 AUT</t>
  </si>
  <si>
    <t>3 HATCH BACK 1.5</t>
  </si>
  <si>
    <t>3 HATCH BACK 1.5 AUT</t>
  </si>
  <si>
    <t>NEW 3 1.5</t>
  </si>
  <si>
    <t>NEW 3 1.5 AUT</t>
  </si>
  <si>
    <t>MGGT</t>
  </si>
  <si>
    <t>GT 1.5</t>
  </si>
  <si>
    <t>GT SEDAN 1.5</t>
  </si>
  <si>
    <t>MGHS</t>
  </si>
  <si>
    <t>HS 2.0T DCT TROPHY AWD</t>
  </si>
  <si>
    <t>HS DCT 4X4 2.0 AUT</t>
  </si>
  <si>
    <t>MGRX5</t>
  </si>
  <si>
    <t>RX5 1.5</t>
  </si>
  <si>
    <t>RX5 1.5 AT</t>
  </si>
  <si>
    <t>MGZS</t>
  </si>
  <si>
    <t>ZS 1.5</t>
  </si>
  <si>
    <t>ZS 1.5 AT</t>
  </si>
  <si>
    <t>ZS 1.5 AUT</t>
  </si>
  <si>
    <t>ZS 5P 1.5</t>
  </si>
  <si>
    <t>KZWF50</t>
  </si>
  <si>
    <t>MGZX</t>
  </si>
  <si>
    <t>ZX 1.5</t>
  </si>
  <si>
    <t>ZX CVT 1.5 AUT</t>
  </si>
  <si>
    <t>ASK 1.6</t>
  </si>
  <si>
    <t>ASX 1.6</t>
  </si>
  <si>
    <t>ASX 4X2 2.0 AUT</t>
  </si>
  <si>
    <t>ASX GL 4X2 1.6</t>
  </si>
  <si>
    <t>ECLIPSE CROSS EURO 6C</t>
  </si>
  <si>
    <t>ECLIPSE CROSS RS 1.5 AUT</t>
  </si>
  <si>
    <t>ECLIPSE CROSS RX 1.5 AUT</t>
  </si>
  <si>
    <t>L200 DAKAR HP 4X4 2.4</t>
  </si>
  <si>
    <t>L200 DAKAR HP DCAB 4X4 2.4 AUT</t>
  </si>
  <si>
    <t>L200 KATANA CRT 4X4 2.4</t>
  </si>
  <si>
    <t>L200 KATANA XRT 4X4 2.4</t>
  </si>
  <si>
    <t>L200 WORK 2.4</t>
  </si>
  <si>
    <t>L200 WORK CR WF 2.4</t>
  </si>
  <si>
    <t>L-200</t>
  </si>
  <si>
    <t>L200 DAKAR XR 4X4 2.4 AUT</t>
  </si>
  <si>
    <t>NEW L200 KATANA CR 2.4</t>
  </si>
  <si>
    <t>LANCER</t>
  </si>
  <si>
    <t>LANCER 1.6</t>
  </si>
  <si>
    <t>MONTERO</t>
  </si>
  <si>
    <t>MONTERO SPORT 2.4</t>
  </si>
  <si>
    <t>MONTERO SPORT 2.4 AUT</t>
  </si>
  <si>
    <t>MONTERO SPORT 3.0 AUT</t>
  </si>
  <si>
    <t>MONTERO SPORT 4X4 2.4</t>
  </si>
  <si>
    <t>MONTERO SPORT 4X4 2.4 AUT</t>
  </si>
  <si>
    <t>MONTERO SPORT 4X4 3.0 AUT</t>
  </si>
  <si>
    <t>MONTERO SPORT LTD 4X4 3.0 AUT</t>
  </si>
  <si>
    <t>NEW OUTLANDER 2.0</t>
  </si>
  <si>
    <t>OUTLANDER 2.0</t>
  </si>
  <si>
    <t>OUTLANDER 2.0 AUT</t>
  </si>
  <si>
    <t>OUTLANDER 4X4 2.4 AUT</t>
  </si>
  <si>
    <t>OUTLANDER CVT 2.0 AUT</t>
  </si>
  <si>
    <t>OUTLANDER GLX 2.5 AUT</t>
  </si>
  <si>
    <t>OUTLANDER GLX 4X4 2.4</t>
  </si>
  <si>
    <t>OUTLANDER GLX 4X4 2.4 AUT</t>
  </si>
  <si>
    <t>XPANDER 1.5 AUT</t>
  </si>
  <si>
    <t>XPANDER CROSS 1.5 AUT</t>
  </si>
  <si>
    <t>XPANDER GLX 1.5</t>
  </si>
  <si>
    <t>MARCH</t>
  </si>
  <si>
    <t>MARCH 1.6</t>
  </si>
  <si>
    <t>MARCH SPORT DRIVE 1.6</t>
  </si>
  <si>
    <t>JUKE SENSE 1.6 AUT</t>
  </si>
  <si>
    <t>KICKS 1.6</t>
  </si>
  <si>
    <t>KICKS 1.6 AT</t>
  </si>
  <si>
    <t>KICKS 1.6 AUT</t>
  </si>
  <si>
    <t>KICKS 4X2 1.6 AUT</t>
  </si>
  <si>
    <t>KICKS ADVANCE 1.6</t>
  </si>
  <si>
    <t>KICKS ADVANCE 1.6 AUT</t>
  </si>
  <si>
    <t>KICKS CVT 1.6 AUT</t>
  </si>
  <si>
    <t>KICKS MT 1.6</t>
  </si>
  <si>
    <t>SRHY86</t>
  </si>
  <si>
    <t>KICKS SENSE 1.6</t>
  </si>
  <si>
    <t>KICKS SENSE 2.0</t>
  </si>
  <si>
    <t>MURANO Z52 4X4 3.5 AUT</t>
  </si>
  <si>
    <t>NEW MURANO 4X4 3.5 AUT</t>
  </si>
  <si>
    <t>NAVARA D CAB 2.3</t>
  </si>
  <si>
    <t>NAVARA D CAB 4X4 2.3 AT</t>
  </si>
  <si>
    <t>NAVARA D CAB MT 4X4 2.3</t>
  </si>
  <si>
    <t>NAVARA DCAB SE 4X4 2.5</t>
  </si>
  <si>
    <t>NP300 NAVARA DCAB 2.3</t>
  </si>
  <si>
    <t>NP300 2.3</t>
  </si>
  <si>
    <t>NP300 DCAB 2.3</t>
  </si>
  <si>
    <t>NP300 DCAB LE 4X4 2.3</t>
  </si>
  <si>
    <t>NP300 DCAB LE 4X4 2.3 AUT</t>
  </si>
  <si>
    <t>NP300 NAVARA DCAB 4X4 2.3</t>
  </si>
  <si>
    <t>NP300 NAVARA DCAB XE 2.3</t>
  </si>
  <si>
    <t>PATHFINDER 3.5 AUT</t>
  </si>
  <si>
    <t>PATHFINDER 4X4 3.5 AUT</t>
  </si>
  <si>
    <t>PATHFINDER R53 3.5 AUT</t>
  </si>
  <si>
    <t>PATHFINDER SENSE 3.5 AUT</t>
  </si>
  <si>
    <t>NEW QASHQAI ADVANCE 2.0</t>
  </si>
  <si>
    <t>QASHQAI 1.3 AUT</t>
  </si>
  <si>
    <t>QASHQAI 4WD 2.0 AUT</t>
  </si>
  <si>
    <t>QASHQAI 4X4 2.0 AUT</t>
  </si>
  <si>
    <t>QASHQAI ADVANCE 2.0</t>
  </si>
  <si>
    <t>QASHQAI ADVANCE 2.0 AUT</t>
  </si>
  <si>
    <t>QASHQAI CVT 2.0 AUT</t>
  </si>
  <si>
    <t>QASHQAI J11 2.0</t>
  </si>
  <si>
    <t>QASHQAI SENSE 2.0</t>
  </si>
  <si>
    <t>QASHQAI TURBO 4X4 1.3 AUT</t>
  </si>
  <si>
    <t>SENTRA 2.0</t>
  </si>
  <si>
    <t>SENTRA B17 1.8</t>
  </si>
  <si>
    <t>SENTRA B18 CVT 2.0 AUT</t>
  </si>
  <si>
    <t>SENTRA MT 2.0</t>
  </si>
  <si>
    <t>SENTRA SENSE 1.8</t>
  </si>
  <si>
    <t>URVAN</t>
  </si>
  <si>
    <t>URVAN 4X2 2.5</t>
  </si>
  <si>
    <t>V DRIVE N17 1.6</t>
  </si>
  <si>
    <t>SCWX34</t>
  </si>
  <si>
    <t>VERSA DRIVE 1.6</t>
  </si>
  <si>
    <t>VERSA MT 1.6</t>
  </si>
  <si>
    <t>SBWT14</t>
  </si>
  <si>
    <t>VERSA MT 4X2 1.6</t>
  </si>
  <si>
    <t>VERSA SEDAN 1.6</t>
  </si>
  <si>
    <t>VERSA SENCE 1.6</t>
  </si>
  <si>
    <t>LDVR12</t>
  </si>
  <si>
    <t>VERSA SENSE  1.6</t>
  </si>
  <si>
    <t>VERSA V-DRIVE</t>
  </si>
  <si>
    <t>X TRAIL 2.5 AUT</t>
  </si>
  <si>
    <t>X TRAIL 4X4 7P CVT 2.5</t>
  </si>
  <si>
    <t>X TRAIL 7P 4X4 2.5 AUT</t>
  </si>
  <si>
    <t>X TRAIL ADVANCE 2.5 AUT</t>
  </si>
  <si>
    <t>X TRAIL CVT 2.5</t>
  </si>
  <si>
    <t>FTDZ66</t>
  </si>
  <si>
    <t>X TRAIL CVT 2.5 AT</t>
  </si>
  <si>
    <t>X TRAIL CVT 4X4 2.5 AT</t>
  </si>
  <si>
    <t>X TRAIL SENSE 2.5 AUT</t>
  </si>
  <si>
    <t>JXKR56</t>
  </si>
  <si>
    <t>X TRAIL SENSE 4WD 2.5 AUT</t>
  </si>
  <si>
    <t>X TRAIL T32 CVT 2.5 AUT</t>
  </si>
  <si>
    <t>XTRAIL 1.5 4X4 AUT</t>
  </si>
  <si>
    <t>SRZJ29</t>
  </si>
  <si>
    <t>XTRAIL 2.5 AT</t>
  </si>
  <si>
    <t>XTRAIL 4X4 2.5 AUT</t>
  </si>
  <si>
    <t>XTRAIL SENSE 2.5 AT</t>
  </si>
  <si>
    <t>1.5L CVT URBAN</t>
  </si>
  <si>
    <t>TZHV34</t>
  </si>
  <si>
    <t>C5 1.6 AUT</t>
  </si>
  <si>
    <t>CORSA 100 1.2 AUT</t>
  </si>
  <si>
    <t>CORSA BLUE HDI 100 1.5</t>
  </si>
  <si>
    <t>CORSA HB 1.2 AUT</t>
  </si>
  <si>
    <t>CORSA HB5 1.4</t>
  </si>
  <si>
    <t>CORSA TD 100 1.5</t>
  </si>
  <si>
    <t>CROSSLAND</t>
  </si>
  <si>
    <t>CROSSLAND MT6 1.2T</t>
  </si>
  <si>
    <t>CROSSLAND TD MT6 1.5</t>
  </si>
  <si>
    <t>GRANDLAND</t>
  </si>
  <si>
    <t>GRANDLAND 1.6 AUT</t>
  </si>
  <si>
    <t>GRANDLAND 130 1.2T AUT</t>
  </si>
  <si>
    <t>MOKKA</t>
  </si>
  <si>
    <t>MOKKA 1.2T</t>
  </si>
  <si>
    <t>MOKKA 1.2T AUT</t>
  </si>
  <si>
    <t>MOKKA 1.4 AUT</t>
  </si>
  <si>
    <t>MOKKA 1.5 TD</t>
  </si>
  <si>
    <t>4008 FELINE 4WD 2.0 AUT</t>
  </si>
  <si>
    <t>2008</t>
  </si>
  <si>
    <t>2008 ACTIVE 1.2</t>
  </si>
  <si>
    <t>2008 ACTIVE 130 1.2</t>
  </si>
  <si>
    <t>2008 ACTIVE BLUEHDI 1.5</t>
  </si>
  <si>
    <t>2008 ACTIVE BLUEHDI 1.6</t>
  </si>
  <si>
    <t>2008 ALLURE 130 1.2</t>
  </si>
  <si>
    <t>2008 ALLURE BLUEHDI 1.5 AUT</t>
  </si>
  <si>
    <t>2008 ALLURE BLUEHDI 1.6</t>
  </si>
  <si>
    <t>2008 BLUE HDI 1.5</t>
  </si>
  <si>
    <t>2008 BLUE HDI 100 4X2 1.5</t>
  </si>
  <si>
    <t>2008 BLUE HDI 100 TM 1.5</t>
  </si>
  <si>
    <t>2008 BLUE HDI 130 1.5 AUT</t>
  </si>
  <si>
    <t>PJPH58</t>
  </si>
  <si>
    <t>PJPJ81</t>
  </si>
  <si>
    <t>PPGG86</t>
  </si>
  <si>
    <t>2008 BLUE HDI 130 EAT8 1.5 AUT</t>
  </si>
  <si>
    <t>SPZB66</t>
  </si>
  <si>
    <t>2008 PREMIERE BLUEHDI 1.5 AUT</t>
  </si>
  <si>
    <t>2008 PURETECH 130 4X2 1.2</t>
  </si>
  <si>
    <t>2008 PURETECH 130 EAT8 1.2 AUT</t>
  </si>
  <si>
    <t>E 2008 ELECTRIC AUT</t>
  </si>
  <si>
    <t>208</t>
  </si>
  <si>
    <t>208 ACTIVE 1.2</t>
  </si>
  <si>
    <t>208 ALLURE HDI 1.4</t>
  </si>
  <si>
    <t>208 ALLURE VTI 1.6</t>
  </si>
  <si>
    <t>208 BLUE HDI 100 4X2 1.5</t>
  </si>
  <si>
    <t>208 BLUE HDI HB 1.5</t>
  </si>
  <si>
    <t>208 PURE TECH HB 1.2</t>
  </si>
  <si>
    <t>208 PURETECH 130 EAT8 1.2 AUT</t>
  </si>
  <si>
    <t>208 PURETECH 4X2 1.2</t>
  </si>
  <si>
    <t>208 PURETECH 75 1.2</t>
  </si>
  <si>
    <t>208 PURETECH 75 MT 1.2</t>
  </si>
  <si>
    <t>208 SIGNATURE 1.2</t>
  </si>
  <si>
    <t>208 SIGNATURE BLUEHDI 1.5</t>
  </si>
  <si>
    <t>208 STYLE PURETECH 75 1.2</t>
  </si>
  <si>
    <t>3008</t>
  </si>
  <si>
    <t>3008 ACTIVE 1.2</t>
  </si>
  <si>
    <t>3008 ACTIVE 1.6 AUT</t>
  </si>
  <si>
    <t>3008 ACTIVE BLUEHDI 1.5</t>
  </si>
  <si>
    <t>3008 ACTIVE BLUEHDI 1.5 AT</t>
  </si>
  <si>
    <t>LHRT16</t>
  </si>
  <si>
    <t>3008 ACTIVE BLUEHDI 1.6</t>
  </si>
  <si>
    <t>3008 ALLURE 1.6</t>
  </si>
  <si>
    <t>3008 ALLURE 1.6 AUT</t>
  </si>
  <si>
    <t>3008 ALLURE BLUEHDI 1.5 AT</t>
  </si>
  <si>
    <t>3008 ALLURE BLUEHDI 1.5 AUT</t>
  </si>
  <si>
    <t>3008 ALLURE E HDI 1.6</t>
  </si>
  <si>
    <t>3008 BLUE HDI 1.6 AUT</t>
  </si>
  <si>
    <t>3008 BLUE HDI 130 EAT8 1.5 AUT</t>
  </si>
  <si>
    <t>SHLV14</t>
  </si>
  <si>
    <t>3008 BLUEHDI</t>
  </si>
  <si>
    <t>3008 GT 1.2 AUT</t>
  </si>
  <si>
    <t>3008 GT BLUEHDI 2.0 AUT</t>
  </si>
  <si>
    <t>3008 GT LINE 1.6</t>
  </si>
  <si>
    <t>3008 GT LINE 1.6 AT</t>
  </si>
  <si>
    <t>3008 GT LINE BLUEHDI 1.5 AUT</t>
  </si>
  <si>
    <t>3008 PURETECH 180 EAT8 1.6 AUT</t>
  </si>
  <si>
    <t>301</t>
  </si>
  <si>
    <t>301 HDI 92HP 1.6</t>
  </si>
  <si>
    <t>308</t>
  </si>
  <si>
    <t>308 ALLURE 1.2 AT</t>
  </si>
  <si>
    <t>308 ALLURE 1.6</t>
  </si>
  <si>
    <t>308 ALLURE BLUE HDI 1.6</t>
  </si>
  <si>
    <t>308 BLUE HDI 130 1.5</t>
  </si>
  <si>
    <t>308 BLUEHDI 1.5 AUT</t>
  </si>
  <si>
    <t>308 FELINE BLUE HDI 1.6</t>
  </si>
  <si>
    <t>308 FELINE BLUEHDI 1.5 AUT</t>
  </si>
  <si>
    <t>308 PURETECH 1.2 AUT</t>
  </si>
  <si>
    <t>308 PURETECH HB OTTO 1.2</t>
  </si>
  <si>
    <t>4008</t>
  </si>
  <si>
    <t>4008 FELINE 4WD 2.0 AT</t>
  </si>
  <si>
    <t>5008</t>
  </si>
  <si>
    <t>5008 ACTIVE BLUEHDI 1.5 AUT</t>
  </si>
  <si>
    <t>5008 ALLURE 1.6</t>
  </si>
  <si>
    <t>5008 ALLURE 1.6 AUT</t>
  </si>
  <si>
    <t>5008 ALLURE BLUEHDI 1.5 AUT</t>
  </si>
  <si>
    <t>5008 ALLURE BLUEHDI 2.0</t>
  </si>
  <si>
    <t>5008 BLUE HDI 1.5 AT</t>
  </si>
  <si>
    <t>5008 GT BLUEHDI 1.5 AUT</t>
  </si>
  <si>
    <t>5008 GT BLUEHDI 2.0 AUT</t>
  </si>
  <si>
    <t>5008 GT LINE BLUEHDI 1.5 AUT</t>
  </si>
  <si>
    <t>5008 THP 165 1.6 AUT</t>
  </si>
  <si>
    <t>BOXER BLUEHDI 2.0</t>
  </si>
  <si>
    <t>LANDTREK 4X4 1.9</t>
  </si>
  <si>
    <t>LANDTREK 4X4 2.4 AUT</t>
  </si>
  <si>
    <t>LANDTREK BLUE HDI 180 4X4 2.2</t>
  </si>
  <si>
    <t>LANDTREK HDI 1.9</t>
  </si>
  <si>
    <t>PARTNER HDI 92 L2 1.6</t>
  </si>
  <si>
    <t>PARTNER L2 BLUE HDI 100 1.5</t>
  </si>
  <si>
    <t>RIFTER ALLURE BLUEHDI 1.5 AUT</t>
  </si>
  <si>
    <t>RIFTER ALLURE BLUEHDI 1.6</t>
  </si>
  <si>
    <t>RIFTER BLUE HDI 100 1.6</t>
  </si>
  <si>
    <t>RIFTER PURETECH 130 1.2 AUT</t>
  </si>
  <si>
    <t>RITTER ALLURE 1.5</t>
  </si>
  <si>
    <t>TRAVELLER L3 BLUE HDI 150 2.0</t>
  </si>
  <si>
    <t>TRAVELLER L3 BLUE HDI 180 2.0</t>
  </si>
  <si>
    <t>PORSCHE</t>
  </si>
  <si>
    <t>CAYENE 3.0</t>
  </si>
  <si>
    <t>RAM 1000</t>
  </si>
  <si>
    <t>1000 BIG HORN 1.8 AUT</t>
  </si>
  <si>
    <t>1000 BIG HORN DCAB 1.8 AUT</t>
  </si>
  <si>
    <t>1000 DCAB 1.8 AUT</t>
  </si>
  <si>
    <t>1500 BIG HORN 4X4 3.6 AT</t>
  </si>
  <si>
    <t>1500 BIG HORN CREW CAB 4X4 3.6 AUT</t>
  </si>
  <si>
    <t>1500 CREW CAB LARAMIE 4X4 3.0 AUT</t>
  </si>
  <si>
    <t>1500 LARAMIE 4X4 3.0 AUT</t>
  </si>
  <si>
    <t>1500 LARAMIE CREW CAB 4X4 5.7 AUT</t>
  </si>
  <si>
    <t>1500 QUAD CAB SLT DCAB 4X4 3.6 AUT</t>
  </si>
  <si>
    <t>NEW RAM 1500 4X4 5.7 AUT</t>
  </si>
  <si>
    <t>NEW RAM1500 DCAB SLT 4X4 3.6 AUT</t>
  </si>
  <si>
    <t>RAM1500 4X4 3.6 AUT</t>
  </si>
  <si>
    <t>RAM 700</t>
  </si>
  <si>
    <t>700 ADVENTURE DCAB 1.6</t>
  </si>
  <si>
    <t>700 BIGHORN CD 1.4</t>
  </si>
  <si>
    <t>700 BIGHORN D CAB 4X2 1.4</t>
  </si>
  <si>
    <t>700 EXPRESS 1.4</t>
  </si>
  <si>
    <t>700 EXPRESS CS 1.4</t>
  </si>
  <si>
    <t>700 LARAMIE 4X2 1.3</t>
  </si>
  <si>
    <t>700 LARAMIE CD 1.3</t>
  </si>
  <si>
    <t>700 SLT DCAB 1.4</t>
  </si>
  <si>
    <t>RAM V700</t>
  </si>
  <si>
    <t>VAN 700 RAPID 1.4</t>
  </si>
  <si>
    <t>CAPTUR SOHC 1.5</t>
  </si>
  <si>
    <t>CLIO HB EXPRESSION 1.2</t>
  </si>
  <si>
    <t>CLIO IV HB 1.2</t>
  </si>
  <si>
    <t>DUSTER 1.6</t>
  </si>
  <si>
    <t>DUSTER DYNAMIQUE 1.6</t>
  </si>
  <si>
    <t>DUSTER LIFE 1.6</t>
  </si>
  <si>
    <t>DUSTER ZEN 2.0</t>
  </si>
  <si>
    <t>KWID HB 1.0</t>
  </si>
  <si>
    <t>OROCH 2.0</t>
  </si>
  <si>
    <t>OROCH ZEN 1.6</t>
  </si>
  <si>
    <t>SYMBOL 1.6</t>
  </si>
  <si>
    <t>DUSTER 4X2 1.6</t>
  </si>
  <si>
    <t>KOLEOS 2.5 AUT</t>
  </si>
  <si>
    <t>KOLEOS 4X4 2.5 AUT</t>
  </si>
  <si>
    <t>SYMBOL SOHC 1.6</t>
  </si>
  <si>
    <t>ATECA 4X4 1.4 AUT</t>
  </si>
  <si>
    <t>ACTYON</t>
  </si>
  <si>
    <t>ACTYON SPORT 2.2</t>
  </si>
  <si>
    <t>KORANDO 1.5</t>
  </si>
  <si>
    <t>KORANDO 2.2</t>
  </si>
  <si>
    <t>KORANDO 2.2 AUT</t>
  </si>
  <si>
    <t>NEW KORANDO GLX 1.5</t>
  </si>
  <si>
    <t>NEW KORANDO GLX 1.5 AUT</t>
  </si>
  <si>
    <t>NEW KORANDO GLX FULL 1.6 AUT</t>
  </si>
  <si>
    <t>NEW KORANDO LIMITED 1.5 AUT</t>
  </si>
  <si>
    <t>MUSSO GRAND EURO 6B</t>
  </si>
  <si>
    <t>MUSSO DCAB 4X4 2.2 AUT</t>
  </si>
  <si>
    <t>MUSSO GRAND 2.2</t>
  </si>
  <si>
    <t>MUSSO GRAND 4X4 2.2</t>
  </si>
  <si>
    <t>NEW MUSSO E6</t>
  </si>
  <si>
    <t>GRAND MUSSO 4X4 2.2</t>
  </si>
  <si>
    <t>MUSSO DCAB 4X4 2.2</t>
  </si>
  <si>
    <t>NEW REXTON 2.0 AT</t>
  </si>
  <si>
    <t>NEW REXTON LX 4X4 2.0 AUT</t>
  </si>
  <si>
    <t>NEW REXTON E6 SA</t>
  </si>
  <si>
    <t>REXTON 2.2 AUT</t>
  </si>
  <si>
    <t>NEW REXTON 2.0</t>
  </si>
  <si>
    <t>NEW REXTON 2.0 AUT</t>
  </si>
  <si>
    <t>NEW REXTON 2.2</t>
  </si>
  <si>
    <t>NEW REXTON 2.2 AUT</t>
  </si>
  <si>
    <t>NEW REXTON 4X4 2.2 AUT</t>
  </si>
  <si>
    <t>NEW REXTON GLX TD 2.2 AUT</t>
  </si>
  <si>
    <t>NEW REXTON OTTO 2.0</t>
  </si>
  <si>
    <t>TIVOLI</t>
  </si>
  <si>
    <t>TIVOLI  1.6</t>
  </si>
  <si>
    <t>TIVOLI 1.6 AUT</t>
  </si>
  <si>
    <t>TIVOLI GLX 1.6</t>
  </si>
  <si>
    <t>TORRES GLX 1.5 AUT</t>
  </si>
  <si>
    <t>TORRES GLX 4X4 1.5 AUT</t>
  </si>
  <si>
    <t>EVOLTIS LIMITED 4X4 2.4 AUT</t>
  </si>
  <si>
    <t>EVOLTIS TOURING 4X4 2.4 AUT</t>
  </si>
  <si>
    <t>ALL NEW FORESTER XS AWD CVT 2.0I</t>
  </si>
  <si>
    <t>FORESTER 4X4 2.0 AT</t>
  </si>
  <si>
    <t>RVYJ30</t>
  </si>
  <si>
    <t>FORESTER 4X4 2.0I AUT</t>
  </si>
  <si>
    <t>FORESTER AWD 2.0</t>
  </si>
  <si>
    <t>FORESTER AWD 2.0 AUT</t>
  </si>
  <si>
    <t>FORESTER AWD 2.0I</t>
  </si>
  <si>
    <t>FORESTER CVT 4X4 2.0 AUT</t>
  </si>
  <si>
    <t>FORESTER CVT 4X4 2.5 AUT</t>
  </si>
  <si>
    <t>FORESTER XS 2.0 AUT</t>
  </si>
  <si>
    <t>FORESTER XS 4X4 2.0I AUT</t>
  </si>
  <si>
    <t>NEW FORESTER AWD CVT 2.0I</t>
  </si>
  <si>
    <t>IMPREZA</t>
  </si>
  <si>
    <t>IMPREZA 4X4 CVT 2.0 AT</t>
  </si>
  <si>
    <t>NEW IMPREZA 4X4 1.6 AUT</t>
  </si>
  <si>
    <t>NEW IMPREZA SPORT 4X4 1.6 AUT</t>
  </si>
  <si>
    <t>LYLX18</t>
  </si>
  <si>
    <t>ALL NEW OUTBACK 4X4 2.5I AUT</t>
  </si>
  <si>
    <t>ALL NEW OUTBACK LTD 4X4 2.5I AUT</t>
  </si>
  <si>
    <t>NEW OUTBACK 3.6R AWD AUT</t>
  </si>
  <si>
    <t>OUTBACK 4X4 2.5 AT</t>
  </si>
  <si>
    <t>OUTBACK 4X4 CVT 2.5 AT</t>
  </si>
  <si>
    <t>OUTBACK (exclusivo servicio)</t>
  </si>
  <si>
    <t>OUTBACK AWD 2.5I AUT</t>
  </si>
  <si>
    <t>NEW XV 4X4 1.6I AUT</t>
  </si>
  <si>
    <t>NEW XV 4x4 2.0I</t>
  </si>
  <si>
    <t>NEW XV 4X4 2.0I AUT</t>
  </si>
  <si>
    <t>NEW XV AWD 1.6I AUT</t>
  </si>
  <si>
    <t>NEW XV AWD 2.0I AUT</t>
  </si>
  <si>
    <t>NEW XV AWD CVT 2.0I</t>
  </si>
  <si>
    <t>XV AWD 1.6I</t>
  </si>
  <si>
    <t>XV AWD CVT 2.0</t>
  </si>
  <si>
    <t>XV CVT 2.0 AUT</t>
  </si>
  <si>
    <t>XV DYNAMIC AWD 2.0I AUT</t>
  </si>
  <si>
    <t>JBVC35</t>
  </si>
  <si>
    <t>ALTO 4X2 1.0</t>
  </si>
  <si>
    <t>ALTO 800</t>
  </si>
  <si>
    <t>ALTO DLX HB 800CC</t>
  </si>
  <si>
    <t>ALTO GL 800 CC</t>
  </si>
  <si>
    <t>ALTO GL HB 800CC</t>
  </si>
  <si>
    <t>ALTO GLX HB 800 CC</t>
  </si>
  <si>
    <t>BALENO 4X2 1.5 AUT</t>
  </si>
  <si>
    <t>BALENO GLS 1.4 AUT</t>
  </si>
  <si>
    <t>BALENO GLS HB 1.4</t>
  </si>
  <si>
    <t>BALENO GLS HB 1.4 AUT</t>
  </si>
  <si>
    <t>BALENO GLX HB 1.4</t>
  </si>
  <si>
    <t>BALENO HB 1.4</t>
  </si>
  <si>
    <t>NEW BALENO GLX 1.5</t>
  </si>
  <si>
    <t>NEW BALENO GLX HB 1.5</t>
  </si>
  <si>
    <t>CELERIO GA HB 1.0</t>
  </si>
  <si>
    <t>CELERIO GLX HB 1.0</t>
  </si>
  <si>
    <t>CELERIO HB MT 1.0</t>
  </si>
  <si>
    <t>DZIRE GL 1.2</t>
  </si>
  <si>
    <t>DZIRE SEDAN 1.2</t>
  </si>
  <si>
    <t>ERTIGA</t>
  </si>
  <si>
    <t>ERTIGA GLS 1.4</t>
  </si>
  <si>
    <t>GRAND NOMADE GLX  2.4</t>
  </si>
  <si>
    <t>GRAND NOMADE GLX 4X4 2.4</t>
  </si>
  <si>
    <t>IGNIS</t>
  </si>
  <si>
    <t>IGNIS GL HB 1.2</t>
  </si>
  <si>
    <t>JIMNY GLX 4X4 1.5</t>
  </si>
  <si>
    <t>S CROSS</t>
  </si>
  <si>
    <t>S CROSS GL 1.6</t>
  </si>
  <si>
    <t>S CROSS GLX 1.4 AUT</t>
  </si>
  <si>
    <t>SPRESSO</t>
  </si>
  <si>
    <t>S PRESSO HB 1.0</t>
  </si>
  <si>
    <t>SPRESSO 1.0</t>
  </si>
  <si>
    <t>SPRESSO GLX 1.0</t>
  </si>
  <si>
    <t>SWIFT 2WD 1.2 AUT</t>
  </si>
  <si>
    <t>SWIFT 4X2 1.2</t>
  </si>
  <si>
    <t>SWIFT GA 1.2</t>
  </si>
  <si>
    <t>SWIFT GL 1.2</t>
  </si>
  <si>
    <t>SWIFT GL SPORT 1.2</t>
  </si>
  <si>
    <t>SWIFT GLA SPORT 1.2</t>
  </si>
  <si>
    <t>SWIFT HB 1.2 AT</t>
  </si>
  <si>
    <t>SX4</t>
  </si>
  <si>
    <t>SX4 S CROSS 4X4 1.6</t>
  </si>
  <si>
    <t>GRAND VITARA 1.6</t>
  </si>
  <si>
    <t>GRAND VITARA 2WD 1.5 AT</t>
  </si>
  <si>
    <t>GRAND VITARA GLX 4X4 1.6</t>
  </si>
  <si>
    <t>VITARA GLS 1.6</t>
  </si>
  <si>
    <t>VITARA GLX 4X4 1.4</t>
  </si>
  <si>
    <t>VITARA II GLX 1.6</t>
  </si>
  <si>
    <t>VITARA OTTO 1.6</t>
  </si>
  <si>
    <t>SWM</t>
  </si>
  <si>
    <t>G03F</t>
  </si>
  <si>
    <t>G03F 1.5</t>
  </si>
  <si>
    <t>4 RUNNER</t>
  </si>
  <si>
    <t>4 RUNNER 4.0  AUT</t>
  </si>
  <si>
    <t>4RUNNER SR5 4.0 AUT</t>
  </si>
  <si>
    <t>AURIS</t>
  </si>
  <si>
    <t>AURIS LEI 1.6 AUT</t>
  </si>
  <si>
    <t>COROLLA CROSS 2.0</t>
  </si>
  <si>
    <t>COROLLA CROSS CVT 1.8</t>
  </si>
  <si>
    <t>COROLLA CROSS CVT 2.0 AUT</t>
  </si>
  <si>
    <t>COROLLA CROSS CVT HEV 1.8 AUT</t>
  </si>
  <si>
    <t>NEW COROLLA XLI 1.6</t>
  </si>
  <si>
    <t>FORTUNER</t>
  </si>
  <si>
    <t>FORTUNER 2.7</t>
  </si>
  <si>
    <t>FORTUNER 2.7 AUT</t>
  </si>
  <si>
    <t>FORTUNER 4X2 2.7 AUT</t>
  </si>
  <si>
    <t>FORTUNER 4X4 2.8 AUT</t>
  </si>
  <si>
    <t>FORTUNER 4X4 AUT 2.8</t>
  </si>
  <si>
    <t>HI LUX 2.4</t>
  </si>
  <si>
    <t>HI LUX D CAB 2.4</t>
  </si>
  <si>
    <t>HI LUX DX 2.4</t>
  </si>
  <si>
    <t>HILUX 2.7</t>
  </si>
  <si>
    <t>HILUX PICKUP 4P 4X4 2.4</t>
  </si>
  <si>
    <t>HILUX SR 4X4 2.4</t>
  </si>
  <si>
    <t>RAIZE 1.2</t>
  </si>
  <si>
    <t>RAV</t>
  </si>
  <si>
    <t>NEW RAV4 CVT 2.0</t>
  </si>
  <si>
    <t>RAV 4 2.0</t>
  </si>
  <si>
    <t>RAV 4 2.0 AUT</t>
  </si>
  <si>
    <t>RAV 4 LE 2.0</t>
  </si>
  <si>
    <t>RAV 4 LE 2.0 AUT</t>
  </si>
  <si>
    <t>RAV4 2.5 AUT</t>
  </si>
  <si>
    <t>RAV4 4X4 2.5 AUT</t>
  </si>
  <si>
    <t>RAV4 HYBRID CVT 2.5 AUT</t>
  </si>
  <si>
    <t>RAV4 OTTO 2.0 AUT</t>
  </si>
  <si>
    <t>RUSH 1.5</t>
  </si>
  <si>
    <t>RUSH 1.5 MT</t>
  </si>
  <si>
    <t>RUSH 4X4 1.5</t>
  </si>
  <si>
    <t>RUSH XLI 1.5</t>
  </si>
  <si>
    <t>RUSH XLI 1.5 AUT</t>
  </si>
  <si>
    <t>AYGO HB 1.0</t>
  </si>
  <si>
    <t>YARIS</t>
  </si>
  <si>
    <t>YARIS 1.5</t>
  </si>
  <si>
    <t>YARIS GLI 1.5</t>
  </si>
  <si>
    <t>YARIS HB OTTO 1.5</t>
  </si>
  <si>
    <t>YARIS SD 1.5</t>
  </si>
  <si>
    <t>YARIS SPORT HB 1.5</t>
  </si>
  <si>
    <t>UAZ</t>
  </si>
  <si>
    <t>HUNTER SPORT 4X4 2.7</t>
  </si>
  <si>
    <t>AMAROK COMFORT 2.0</t>
  </si>
  <si>
    <t>AMAROK COMFORTLINE 2.0</t>
  </si>
  <si>
    <t>AMAROK HIGHLINE 4X4 2.0 AT</t>
  </si>
  <si>
    <t>BEETLE</t>
  </si>
  <si>
    <t>BEETLE DESIGN 1.4</t>
  </si>
  <si>
    <t>CROSS</t>
  </si>
  <si>
    <t>T CROSS 1.6</t>
  </si>
  <si>
    <t>T CROSS 4X2 1.6 AUT</t>
  </si>
  <si>
    <t>T CROSS TRENDLINE 1.6</t>
  </si>
  <si>
    <t>T ROSS 1.6</t>
  </si>
  <si>
    <t>GOL HB 1.6</t>
  </si>
  <si>
    <t>GOL HIGHLINE 1.6</t>
  </si>
  <si>
    <t>GOL TRENDLINE 1.6</t>
  </si>
  <si>
    <t>GOLF HATCHBACK 1.6</t>
  </si>
  <si>
    <t>NIVUS TSI 1.0</t>
  </si>
  <si>
    <t>NIVUS TSI 1.0 AUT</t>
  </si>
  <si>
    <t>NIVUS TSI HIGHLINE 1.0 AUT</t>
  </si>
  <si>
    <t>POLO 1.6</t>
  </si>
  <si>
    <t>POLO HIGHLINE 1.6</t>
  </si>
  <si>
    <t>SAVEIRO CD 1.6</t>
  </si>
  <si>
    <t>SAVEIRO D CAB 1.6</t>
  </si>
  <si>
    <t>T CROSS</t>
  </si>
  <si>
    <t>T CROSS TSI 1.0</t>
  </si>
  <si>
    <t>TAOS TSI 1.4 AT</t>
  </si>
  <si>
    <t>TIGUAN 1.4</t>
  </si>
  <si>
    <t>TIGUAN OTTO 1.4 AUT</t>
  </si>
  <si>
    <t>TIGUAN TSI 1.4 AUT</t>
  </si>
  <si>
    <t>TIGUAN TSI 4X2 1.4 AUT</t>
  </si>
  <si>
    <t>VIRTUS TRENDLINE 1.6</t>
  </si>
  <si>
    <t>VOYAGE 1.6</t>
  </si>
  <si>
    <t>VOYAGE TRENDLINE 1.6</t>
  </si>
  <si>
    <t>VOLVO</t>
  </si>
  <si>
    <t>V40 D2 MOMENTUM 2.0</t>
  </si>
  <si>
    <t>V60CC T5 4X4 2.0 AUT</t>
  </si>
  <si>
    <t>XC40</t>
  </si>
  <si>
    <t>XC40 B4 ULTIMATE 2.0 AUT</t>
  </si>
  <si>
    <t>ZX</t>
  </si>
  <si>
    <t>TERRALORD D CAB LUX 2.5</t>
  </si>
  <si>
    <t>Empresa</t>
  </si>
  <si>
    <t>Sucursal</t>
  </si>
  <si>
    <t>Folio Venta</t>
  </si>
  <si>
    <t>Venta</t>
  </si>
  <si>
    <t>Estado Venta</t>
  </si>
  <si>
    <t>Fecha Venta</t>
  </si>
  <si>
    <t>Tipo Documento (Folio)</t>
  </si>
  <si>
    <t>Vendedor</t>
  </si>
  <si>
    <t>Fecha Ingreso</t>
  </si>
  <si>
    <t>Fecha Facturación</t>
  </si>
  <si>
    <t>Numero VIN</t>
  </si>
  <si>
    <t>Código Versión</t>
  </si>
  <si>
    <t>Kilometraje</t>
  </si>
  <si>
    <t>Código Interno</t>
  </si>
  <si>
    <t>Condición Vehículo</t>
  </si>
  <si>
    <t>Color Exterior</t>
  </si>
  <si>
    <t>Color Interior</t>
  </si>
  <si>
    <t>Precio Venta Total</t>
  </si>
  <si>
    <t>Estado AutoPro</t>
  </si>
  <si>
    <t>Días Stock</t>
  </si>
  <si>
    <t>Bodega</t>
  </si>
  <si>
    <t>Equipamiento</t>
  </si>
  <si>
    <t>Numero Motor</t>
  </si>
  <si>
    <t>Numero Chasis</t>
  </si>
  <si>
    <t>Proveedor</t>
  </si>
  <si>
    <t>Fecha Disponibilidad</t>
  </si>
  <si>
    <t>Factura Compra</t>
  </si>
  <si>
    <t>Vencimiento Documento</t>
  </si>
  <si>
    <t>Fecha Compra</t>
  </si>
  <si>
    <t>Fecha Vencto. Revisión Técnica</t>
  </si>
  <si>
    <t>N° Propietarios</t>
  </si>
  <si>
    <t>Folio Retoma</t>
  </si>
  <si>
    <t>Fecha Retoma</t>
  </si>
  <si>
    <t>Días Reservado</t>
  </si>
  <si>
    <t>Precio Compra Neto</t>
  </si>
  <si>
    <t>Gasto</t>
  </si>
  <si>
    <t>Accesorios</t>
  </si>
  <si>
    <t>Total Costo</t>
  </si>
  <si>
    <t>Precio Lista</t>
  </si>
  <si>
    <t>Margen</t>
  </si>
  <si>
    <t>Margen %</t>
  </si>
  <si>
    <t>IMPORTADORA TRENTO LTDA</t>
  </si>
  <si>
    <t>LOCAL PREMIUM CAR SALES</t>
  </si>
  <si>
    <t>3P1L</t>
  </si>
  <si>
    <t>USADO</t>
  </si>
  <si>
    <t>GRIS ARTENSE</t>
  </si>
  <si>
    <t>POR DEFINIR</t>
  </si>
  <si>
    <t>Disponible</t>
  </si>
  <si>
    <t>PREMIUM CAR SALES</t>
  </si>
  <si>
    <t>AE,CC,EE,AAC,ABS,LL,VC,AISO,AAUTO,CRE,MAV,ACD,SR,U</t>
  </si>
  <si>
    <t>GRIS METALICO</t>
  </si>
  <si>
    <t>AE,CC,EE,AAC,ABS,LL,TC,VC,AISO,AAUTO,CRE,MAV,ACD,S</t>
  </si>
  <si>
    <t>RAUL EDUARDO HUERTA DIAZ</t>
  </si>
  <si>
    <t>VF3MCYHZUSL001353</t>
  </si>
  <si>
    <t>5008BH130</t>
  </si>
  <si>
    <t>TPESTWU000451</t>
  </si>
  <si>
    <t>BLANCO NACARADO</t>
  </si>
  <si>
    <t>AE,CC,EE,AAC,ABS,LL,VC,AISO,ACP,AAUTO,CRE,MAV,ACD,</t>
  </si>
  <si>
    <t>10Q3EJ1989595</t>
  </si>
  <si>
    <t>CAMILA MONSERRAT COLLAO CASTILLO</t>
  </si>
  <si>
    <t>MEGACENTRO OVALLE</t>
  </si>
  <si>
    <t>VF3M45GZWJS004343</t>
  </si>
  <si>
    <t>P7R9</t>
  </si>
  <si>
    <t>TPESTWU000443</t>
  </si>
  <si>
    <t>ROJO ULTIMATE</t>
  </si>
  <si>
    <t>BODEGA OVALLEveih</t>
  </si>
  <si>
    <t>AE,CC,EE,ABS,LL,VC,AC,AISO,AAUTO,CRE,MAV,ACD,SR,UD</t>
  </si>
  <si>
    <t>10FJCC2344377</t>
  </si>
  <si>
    <t>mario lagunas</t>
  </si>
  <si>
    <t>LOCAL USADOS COPIAPO</t>
  </si>
  <si>
    <t>KPTE0A1YS PP010412</t>
  </si>
  <si>
    <t>SSTO4X215MT</t>
  </si>
  <si>
    <t>TSYSTWU000339</t>
  </si>
  <si>
    <t>AZUL METALICO</t>
  </si>
  <si>
    <t>BODEGA LOS CARRERA COPIAPO</t>
  </si>
  <si>
    <t>AE,CC,EE,NB,AAC,ABS,LL,VC,AISO,AAUTO,CRE,MAV,ACD,S</t>
  </si>
  <si>
    <t>GONZALO ANTONIO DELGADO COFRÉ</t>
  </si>
  <si>
    <t>AE,CC,EE,NB,ABS,LL,AC,AISO,AAUTO,CRE,ACD,SR,DLL,6A</t>
  </si>
  <si>
    <t>BLANCO</t>
  </si>
  <si>
    <t>LOCAL USADOS</t>
  </si>
  <si>
    <t>BODEGA VEHICULOS</t>
  </si>
  <si>
    <t>VR3KAHPY6 SS009601</t>
  </si>
  <si>
    <t>3008ALLUSA</t>
  </si>
  <si>
    <t>TPESTWU000425</t>
  </si>
  <si>
    <t>AE,CC,EE,AAC,ABS,LL,AISO,AAUTO,CRE,MAV,ACD,SR,UD,D</t>
  </si>
  <si>
    <t>10ZA040090603</t>
  </si>
  <si>
    <t>PEDRO ANDRES NARVAEZ FLORES</t>
  </si>
  <si>
    <t>LOCAL SALAMANCA</t>
  </si>
  <si>
    <t>9V8FF4HY1RA800991</t>
  </si>
  <si>
    <t>PELANHDI4X422AT</t>
  </si>
  <si>
    <t>TPECMTU000016</t>
  </si>
  <si>
    <t>GRIS ALUMINIUM</t>
  </si>
  <si>
    <t>10VRAC4002861</t>
  </si>
  <si>
    <t>JONATHAN JAVIER LARA BARRAZA</t>
  </si>
  <si>
    <t>BLANCO INVIERNO</t>
  </si>
  <si>
    <t>BLANCO BANQUISE</t>
  </si>
  <si>
    <t>BLANCO PERLA</t>
  </si>
  <si>
    <t>/////**++**++////</t>
  </si>
  <si>
    <t>MZCX60PR4X433AT</t>
  </si>
  <si>
    <t>TMASTWU000104</t>
  </si>
  <si>
    <t>ROJO CRISTAL</t>
  </si>
  <si>
    <t>AE,EE,AAC,ABS,LL,TC,VC,AISO,ACP,AAUTO,AELE,CRE,MAV</t>
  </si>
  <si>
    <t>H3 10225780</t>
  </si>
  <si>
    <t>JM7KH1HD2R1101438</t>
  </si>
  <si>
    <t>ISABEL SOLEDAD CORTES DURAN</t>
  </si>
  <si>
    <t>////////******++.</t>
  </si>
  <si>
    <t>HYSTF4X425AT</t>
  </si>
  <si>
    <t>THYSTWU000544</t>
  </si>
  <si>
    <t>PLATEADO PLATA</t>
  </si>
  <si>
    <t>AE,CC,EE,ABS,LL,VC,AC,AISO,CRE,MAV,ACD,SR,DLL,6AB,</t>
  </si>
  <si>
    <t>G4KNRA851884</t>
  </si>
  <si>
    <t>KMHP281JD RU030971</t>
  </si>
  <si>
    <t>RODOLFO ANDRES SALGADO MARILEO</t>
  </si>
  <si>
    <t>LVVDB21B8 ND055115</t>
  </si>
  <si>
    <t>T7PRODEV</t>
  </si>
  <si>
    <t>TCYSTWU000340</t>
  </si>
  <si>
    <t>BLANCO METALIZADO</t>
  </si>
  <si>
    <t>AE,CC,EE,AAC,ABS,LL,AISO,AAUTO,CRE,MAV,TELE,ACD,SR</t>
  </si>
  <si>
    <t>SQRE4T15CAPNA00418</t>
  </si>
  <si>
    <t>MARIA ANTONIETA DEL CARMEN WHITTAKER ROA</t>
  </si>
  <si>
    <t>3N1AB7AE8LY202955</t>
  </si>
  <si>
    <t>NISEN18AT</t>
  </si>
  <si>
    <t>TNIAUTU000649</t>
  </si>
  <si>
    <t>AE,CC,EE,NB,ABS,LL,4AB,AC,AISO,AAUTO,ACD,DLL</t>
  </si>
  <si>
    <t>MRA8720448J</t>
  </si>
  <si>
    <t>RUPERTO ALEJANDRO GALLEGOS GUTIERREZ</t>
  </si>
  <si>
    <t>RUTH ESTER OSSANDON NARBONA</t>
  </si>
  <si>
    <t>LVVDB21B8SD022028</t>
  </si>
  <si>
    <t>OMC515AT</t>
  </si>
  <si>
    <t>TOMOSTWU000003</t>
  </si>
  <si>
    <t>AE,CC,EE,NB,AAC,ABS,LL,AISO,AAUTO,CRE,MAV,ACD,UD,G</t>
  </si>
  <si>
    <t>SQRE4T15CCHRD00089</t>
  </si>
  <si>
    <t>ANDREA ALEJANDRA LIBERON LIBERON</t>
  </si>
  <si>
    <t>/..+/+++///++*...</t>
  </si>
  <si>
    <t>CR566</t>
  </si>
  <si>
    <t>TCIAUTU000131</t>
  </si>
  <si>
    <t>GRIS SATINADO T BLANCO</t>
  </si>
  <si>
    <t>AE,CC,EE,2AB,ABS,LL,AC,AISO,AAUTO,MAV,ACD,DLL</t>
  </si>
  <si>
    <t>10XK132270863</t>
  </si>
  <si>
    <t>VF72RHNZWJ4344809</t>
  </si>
  <si>
    <t>MYRIAM LORENA ALVAREZ DIAZ</t>
  </si>
  <si>
    <t>VF3M45GFUPS010582</t>
  </si>
  <si>
    <t>PE5008PT16AT</t>
  </si>
  <si>
    <t>TPESTWU000446</t>
  </si>
  <si>
    <t>10FKBL3003916</t>
  </si>
  <si>
    <t>JOHNNY SEBASTIAN DIAZ ZAMORANO</t>
  </si>
  <si>
    <t>PLATEADO METALICO</t>
  </si>
  <si>
    <t>98859125B TKS03533</t>
  </si>
  <si>
    <t>RARAMCSLA4X420AT</t>
  </si>
  <si>
    <t>TRACMTU000050</t>
  </si>
  <si>
    <t>PLATEADO PLATA BILLET</t>
  </si>
  <si>
    <t>AE,CC,EE,AAC,ABS,LL,VC,AC,AISO,AAUTO,CRE,MAV,ACD,S</t>
  </si>
  <si>
    <t>BERNARDO MAURICIO CORTES AVALOS</t>
  </si>
  <si>
    <t>NEGRO</t>
  </si>
  <si>
    <t>F150AUT</t>
  </si>
  <si>
    <t>JE7AWD16AT</t>
  </si>
  <si>
    <t>NEGRO PANTERA</t>
  </si>
  <si>
    <t>VF3M45GYWPS011277</t>
  </si>
  <si>
    <t>PE3008AT</t>
  </si>
  <si>
    <t>TPESTWU000452</t>
  </si>
  <si>
    <t>10FJCX3008191</t>
  </si>
  <si>
    <t>MARIO ANDRES TABILO ABARCA</t>
  </si>
  <si>
    <t>9V8FF4HY1 RA800320</t>
  </si>
  <si>
    <t>PELNDDHI4X422AT</t>
  </si>
  <si>
    <t>TPECMTU000018</t>
  </si>
  <si>
    <t>AE,CC,EE,NB,AAC,ABS,LL,VC,AISO,AAUTO,CRE,ACD,SR,UD</t>
  </si>
  <si>
    <t>10VRAC4001968</t>
  </si>
  <si>
    <t>RODRIGO ALEJANDRO FUENTES ARAYA</t>
  </si>
  <si>
    <t>BLANCO OXFORD</t>
  </si>
  <si>
    <t>GRIS GRAFITO</t>
  </si>
  <si>
    <t>FOESFEHV20AT</t>
  </si>
  <si>
    <t>AZUL ATLAS</t>
  </si>
  <si>
    <t>/**//+.+///++*...</t>
  </si>
  <si>
    <t>HYSTFMX525AT</t>
  </si>
  <si>
    <t>THYSTWU000548</t>
  </si>
  <si>
    <t>AE,CC,EE,ABS,LL,TC,VC,AC,AISO,ACP,AAUTO,CRE,MAV,AC</t>
  </si>
  <si>
    <t>G4KNRA734924</t>
  </si>
  <si>
    <t>KMHP281JBRU017462</t>
  </si>
  <si>
    <t>MARIA PAZ GONZALEZ ARAYA</t>
  </si>
  <si>
    <t>LGXC74C40R0005634</t>
  </si>
  <si>
    <t>BYSONP15AT</t>
  </si>
  <si>
    <t>TBYSTWU000006</t>
  </si>
  <si>
    <t>ROJO</t>
  </si>
  <si>
    <t>AE,CC,EE,AAC,ABS,LL,AISO,AAUTO,CRE,MAV,SR,UD,DLL,6</t>
  </si>
  <si>
    <t>BYD472QA S23333377</t>
  </si>
  <si>
    <t>EMILIO ANDRES ORDENES ROJAS</t>
  </si>
  <si>
    <t>//.//+++/+/++*...</t>
  </si>
  <si>
    <t>TJAESTWU000001</t>
  </si>
  <si>
    <t>ROJO NEGRO RUBI</t>
  </si>
  <si>
    <t>SQRF4J16CAMPM02301</t>
  </si>
  <si>
    <t>LVVDB21B5 RC012704</t>
  </si>
  <si>
    <t>LEONARDO JORGE ESTEBAN BOLTON MONTALVA</t>
  </si>
  <si>
    <t>*---****.../*....</t>
  </si>
  <si>
    <t>JAT8PRO4X420MT</t>
  </si>
  <si>
    <t>TJACMTU000006</t>
  </si>
  <si>
    <t>GRIS</t>
  </si>
  <si>
    <t>N4127324</t>
  </si>
  <si>
    <t>LJ11PABD8 PC091786</t>
  </si>
  <si>
    <t>CARLOS GABRIEL ROMERO PINO</t>
  </si>
  <si>
    <t>VF3MCYHZU PS006748</t>
  </si>
  <si>
    <t>TPESTWU000433</t>
  </si>
  <si>
    <t>10Q4EP0125437</t>
  </si>
  <si>
    <t>YOANA ELENA ROJAS HENRIQUEZ</t>
  </si>
  <si>
    <t>2FMPK4J94KBB16022</t>
  </si>
  <si>
    <t>EDD900</t>
  </si>
  <si>
    <t>TFOSTWU001240</t>
  </si>
  <si>
    <t>AE,CC,EE,NB,AAC,ABS,LL,TC,VC,ESP,CT,SS,AISO,ACP,AA</t>
  </si>
  <si>
    <t>KBB16022</t>
  </si>
  <si>
    <t>BARBARA YEIME CEA URRIAGA</t>
  </si>
  <si>
    <t>KPT60A1USMP040811</t>
  </si>
  <si>
    <t>NK80</t>
  </si>
  <si>
    <t>TSYSTWU000337</t>
  </si>
  <si>
    <t>AE,CC,EE,ABS,LL,VC,4AB,AC,AISO,AAUTO,CRE,SR,DLL</t>
  </si>
  <si>
    <t>CAROLINA MARICELA PIZARRO CASTRO</t>
  </si>
  <si>
    <t>2FMPK4J93PBA47752</t>
  </si>
  <si>
    <t>FED001</t>
  </si>
  <si>
    <t>TFOSTWU001301</t>
  </si>
  <si>
    <t>BLANCO METALICO</t>
  </si>
  <si>
    <t>AE,CC,EE,AAC,ABS,LL,TC,VC,ESP,SS,AISO,ACP,AAUTO,AE</t>
  </si>
  <si>
    <t>PBA47752</t>
  </si>
  <si>
    <t>LORETO ROXANA REBOLLEDO RISSETTI</t>
  </si>
  <si>
    <t>1FMCU0BZ6 NUB02251</t>
  </si>
  <si>
    <t>TFOSTWU001399</t>
  </si>
  <si>
    <t>AE,CC,EE,AAC,ABS,LL,VC,ESP,SS,AISO,ACP,AAUTO,CRE,M</t>
  </si>
  <si>
    <t>NUB02251</t>
  </si>
  <si>
    <t>KARLA NIKOL FLORES CASTILLO</t>
  </si>
  <si>
    <t>JMYXTGM4W NZ000993</t>
  </si>
  <si>
    <t>MIOUTGL25AT</t>
  </si>
  <si>
    <t>TMISTWU000370</t>
  </si>
  <si>
    <t>PR25 251342</t>
  </si>
  <si>
    <t>DANIELA ALEJANDRA DONAIRE FREDES</t>
  </si>
  <si>
    <t>LJNTGUC52 RN409084</t>
  </si>
  <si>
    <t>DFD1LUX4X423MT</t>
  </si>
  <si>
    <t>TDFCMTU000013</t>
  </si>
  <si>
    <t>AE,CC,EE,2AB,ABS,LL,VC,AC,AISO,AAUTO,CRE,MAV,ACD,S</t>
  </si>
  <si>
    <t>M9T 60A Q1012197</t>
  </si>
  <si>
    <t>FIDEL ANDRES ROJAS ARAYA</t>
  </si>
  <si>
    <t>AE,CC,EE,AAC,ABS,LL,VC,AISO,AAUTO,CRE,MAV,ACD,SR,D</t>
  </si>
  <si>
    <t>8AFBR00E1RJ404211</t>
  </si>
  <si>
    <t>FORANXLS20MT</t>
  </si>
  <si>
    <t>TFOCMTU001145</t>
  </si>
  <si>
    <t>AE,CC,EE,AAC,ABS,LL,VC,ESP,AISO,AAUTO,CRE,MAV,SR,U</t>
  </si>
  <si>
    <t>P02X RJ404211</t>
  </si>
  <si>
    <t>MATIAS OLAZO SPA</t>
  </si>
  <si>
    <t>KNARH81BHR5259144</t>
  </si>
  <si>
    <t>KISO4WD2.2AT</t>
  </si>
  <si>
    <t>TKISTWU001330</t>
  </si>
  <si>
    <t>GRIS ACERO</t>
  </si>
  <si>
    <t>D4HEPH357028</t>
  </si>
  <si>
    <t>OPERACIONES JORGE ALEJANDRO VARAS VARAS E.I.R.L</t>
  </si>
  <si>
    <t>LVVDB11B7 MD082945</t>
  </si>
  <si>
    <t>T315</t>
  </si>
  <si>
    <t>TCYSTWU000320</t>
  </si>
  <si>
    <t>AZUL METALIZADO</t>
  </si>
  <si>
    <t>AE,CC,EE,ABS,LL,4AB,AC,AISO,AAUTO,CRE,ACD,SR,UD,DL</t>
  </si>
  <si>
    <t>SQRE4G15BATMC00062</t>
  </si>
  <si>
    <t>MILENKA SUSANA NEGRON CABALLERO</t>
  </si>
  <si>
    <t>MPBUR2366NX379509</t>
  </si>
  <si>
    <t>FRR20</t>
  </si>
  <si>
    <t>TFOCMTU001154</t>
  </si>
  <si>
    <t>NEGRO ABSOLUTO</t>
  </si>
  <si>
    <t>YN2SXM379509</t>
  </si>
  <si>
    <t>SOCIEDAD AGRICOLA, GANADERA, FORESTAL Y DE TRANSPORTES SANTO TOMAS LIMITADA</t>
  </si>
  <si>
    <t>/////+*+///++*...</t>
  </si>
  <si>
    <t>SIL4X4</t>
  </si>
  <si>
    <t>TCHCMTU000483</t>
  </si>
  <si>
    <t>LM2 TNG625504</t>
  </si>
  <si>
    <t>3GCUD9ET6 NG625504</t>
  </si>
  <si>
    <t>GRIS MERCURIO</t>
  </si>
  <si>
    <t>3N1CN8AE1NL804585</t>
  </si>
  <si>
    <t>NVC7</t>
  </si>
  <si>
    <t>TNIAUTU000640</t>
  </si>
  <si>
    <t>PLATEADO</t>
  </si>
  <si>
    <t>AE,CC,EE,ABS,LL,AC,AISO,AAUTO,CRE,MAV,ACD,SR,UD,DL</t>
  </si>
  <si>
    <t>HR16-332561V</t>
  </si>
  <si>
    <t>CARLOS ALBERTO DAZA GONZALEZ</t>
  </si>
  <si>
    <t>LJXCU2BB4MTP00962</t>
  </si>
  <si>
    <t>FTU1</t>
  </si>
  <si>
    <t>TFOSTWU001235</t>
  </si>
  <si>
    <t>AE,CC,EE,NB,AAC,ABS,LL,VC,4AB,ESP,AISO,ACP,AAUTO,A</t>
  </si>
  <si>
    <t>L5G014983</t>
  </si>
  <si>
    <t>GLADYS ISABEL CAMPOS LEDEZMA</t>
  </si>
  <si>
    <t>KL1FC1CU8GB533760</t>
  </si>
  <si>
    <t>CHCAPLS24AT</t>
  </si>
  <si>
    <t>TCHSTWU000305</t>
  </si>
  <si>
    <t>LE9161750229</t>
  </si>
  <si>
    <t>CRISTIAN OMAR MALUENDA LEON</t>
  </si>
  <si>
    <t>1FMCU0BZ6NUB03562</t>
  </si>
  <si>
    <t>TFOSTWU001396</t>
  </si>
  <si>
    <t>NUB03562</t>
  </si>
  <si>
    <t>SOCIEDAD COMERCIAL HERMANOS GODOY ARAYA SPA</t>
  </si>
  <si>
    <t>1FM5K8FH7KGA98168</t>
  </si>
  <si>
    <t>EXPUS1</t>
  </si>
  <si>
    <t>TFOSTWU001401</t>
  </si>
  <si>
    <t>BLANCO METAL</t>
  </si>
  <si>
    <t>KGA98168</t>
  </si>
  <si>
    <t>CLAUDIO VALENZUELA CELIS</t>
  </si>
  <si>
    <t>LVVDD21B9RC025336</t>
  </si>
  <si>
    <t>JA716ATSUMMIT</t>
  </si>
  <si>
    <t>TJAESTWU000006</t>
  </si>
  <si>
    <t>BLANCO AURA</t>
  </si>
  <si>
    <t>SQRF4J16CAMRA00471</t>
  </si>
  <si>
    <t>TRANSPORTE DOBLE C SPA</t>
  </si>
  <si>
    <t>VR3FDAHDE P3009377</t>
  </si>
  <si>
    <t>L666MT</t>
  </si>
  <si>
    <t>TPECMTU000014</t>
  </si>
  <si>
    <t>AE,CC,EE,ABS,VC,AC,AISO,AAUTO,CRE,MAV,ACD,SR,UD,DL</t>
  </si>
  <si>
    <t>A5D22003815</t>
  </si>
  <si>
    <t>DANIEL ALEJANDRO RODRIGUEZ LETELIER</t>
  </si>
  <si>
    <t>SJNTAAJ12 PA121164</t>
  </si>
  <si>
    <t>ASTR77</t>
  </si>
  <si>
    <t>TNISTWU000600</t>
  </si>
  <si>
    <t>HR13460529A</t>
  </si>
  <si>
    <t>PATRICIA JESUS PAYACAN PALACIOS</t>
  </si>
  <si>
    <t>LJXCU2BB5 NTF05473</t>
  </si>
  <si>
    <t>TFOSTWU001363</t>
  </si>
  <si>
    <t>M9G068199</t>
  </si>
  <si>
    <t>JAIME NICOLAS MUÑOZ RODRIGUEZ</t>
  </si>
  <si>
    <t>JM7DM2W7AS0309501</t>
  </si>
  <si>
    <t>MACX3020AT</t>
  </si>
  <si>
    <t>TMASTWU000106</t>
  </si>
  <si>
    <t>AZUL OSCURO METALIZADO</t>
  </si>
  <si>
    <t>PE 22028517</t>
  </si>
  <si>
    <t>COMPAÑÍA DE ASISTENCIA MEDICA DOMICILIARIA A INSTITUCIONES PÚBL</t>
  </si>
  <si>
    <t>BLANCO HIELO</t>
  </si>
  <si>
    <t>GRIS PLATINIUM</t>
  </si>
  <si>
    <t>VF3M45GYW PS010176</t>
  </si>
  <si>
    <t>TPESTWU000438</t>
  </si>
  <si>
    <t>10FJCX3000757</t>
  </si>
  <si>
    <t>MARCELO SEBASTIAN GARRIDO JERALDO</t>
  </si>
  <si>
    <t>VF3MCYHZUNL000473</t>
  </si>
  <si>
    <t>TPESTWU000450</t>
  </si>
  <si>
    <t>10Q3EJ1170226</t>
  </si>
  <si>
    <t>JESSICA ALEJANDRA MELLA TAPIA</t>
  </si>
  <si>
    <t>*/+--....../*....</t>
  </si>
  <si>
    <t>VWA44</t>
  </si>
  <si>
    <t>TVOCMTU000037</t>
  </si>
  <si>
    <t>GRIS INDIO METALIZADO</t>
  </si>
  <si>
    <t>AE,CC,EE,NB,AAC,ABS,LL,TC,VC,ESP,SS,AISO,AAUTO,CRE</t>
  </si>
  <si>
    <t>CSH 255654</t>
  </si>
  <si>
    <t>WV1ZZZ2HZPA010091</t>
  </si>
  <si>
    <t>INMOBILIA ROJAS ALVAREZ LTDA</t>
  </si>
  <si>
    <t>LVVDB21B4 SC023313</t>
  </si>
  <si>
    <t>CHTIG3PRGLS15AT</t>
  </si>
  <si>
    <t>TCYSTWU000352</t>
  </si>
  <si>
    <t>GRIS PLATA</t>
  </si>
  <si>
    <t>SQRE4G15CBDRL00035</t>
  </si>
  <si>
    <t>LGWEE4A59PK600630</t>
  </si>
  <si>
    <t>HAJOL15AT</t>
  </si>
  <si>
    <t>THASTWU000023</t>
  </si>
  <si>
    <t>GW4G15K21499027556</t>
  </si>
  <si>
    <t>MARIA JOSE CASTILLO ARAYA</t>
  </si>
  <si>
    <t>9FBHSRA95LM023521</t>
  </si>
  <si>
    <t>124FG</t>
  </si>
  <si>
    <t>TRESTWU000047</t>
  </si>
  <si>
    <t>GRIS ESTRELLA</t>
  </si>
  <si>
    <t>AE,CC,EE,2AB,NB,ABS,LL,AC,AISO,MAV,SR,UD,DLL</t>
  </si>
  <si>
    <t>K4M2842Q234165</t>
  </si>
  <si>
    <t>MIRIAM ELIANA ROJAS PAEZ</t>
  </si>
  <si>
    <t>VF3MRHNSM PS004241</t>
  </si>
  <si>
    <t>TPESTWU000424</t>
  </si>
  <si>
    <t>AE,CC,EE,AAC,ABS,LL,VC,AISO,AAUTO,CRE,MAV,SR,UD,DL</t>
  </si>
  <si>
    <t>10TMAF0001673</t>
  </si>
  <si>
    <t>CECILIA BEATRIZ TAPIA CASTRO</t>
  </si>
  <si>
    <t>ARRIAGADA DIAZ MANUEL ANTONIO Y PINTO OÑATE MARIA BELEN LTDA</t>
  </si>
  <si>
    <t>VR7ACYHZRLL001059</t>
  </si>
  <si>
    <t>TCISTWU000009</t>
  </si>
  <si>
    <t>10Q3AR0085523</t>
  </si>
  <si>
    <t>LUIS ANTONIO CASTRO BALAIC</t>
  </si>
  <si>
    <t>MA1VE2RJC M6E84266</t>
  </si>
  <si>
    <t>MAKUV100HB12MT</t>
  </si>
  <si>
    <t>TMHAUTU000006</t>
  </si>
  <si>
    <t>AE,CC,AC,AISO,ACD</t>
  </si>
  <si>
    <t>RJMZE50719</t>
  </si>
  <si>
    <t>FRANK EDWARD ECHANDIA HERNÁNDEZ</t>
  </si>
  <si>
    <t>30-04-2026 0:00:00</t>
  </si>
  <si>
    <t>FORANXLT4X420MT</t>
  </si>
  <si>
    <t>28-02-2026 0:00:00</t>
  </si>
  <si>
    <t>06-04-2026 14:59:49</t>
  </si>
  <si>
    <t>06-04-2026 0:00:00</t>
  </si>
  <si>
    <t>06-04-2026 14:59:18</t>
  </si>
  <si>
    <t>30-04-2026 16:15:08</t>
  </si>
  <si>
    <t>30-04-2026 16:09:10</t>
  </si>
  <si>
    <t>18-05-2026 12:54:42</t>
  </si>
  <si>
    <t>LVZZU3P96SCB03062</t>
  </si>
  <si>
    <t>US500</t>
  </si>
  <si>
    <t>TDFAUTU000002</t>
  </si>
  <si>
    <t>SFG15A 24402834</t>
  </si>
  <si>
    <t>JOSE MIGUEL NUÑEZ ALVARADO</t>
  </si>
  <si>
    <t>18-05-2026 0:00:00</t>
  </si>
  <si>
    <t>18-05-2026 12:54:06</t>
  </si>
  <si>
    <t>25-05-2026 10:42:35</t>
  </si>
  <si>
    <t>LVTDD24B3 PD064404</t>
  </si>
  <si>
    <t>VX UNLIMITED 4X4 2.0 AUT</t>
  </si>
  <si>
    <t>EXVXUN4X420AT</t>
  </si>
  <si>
    <t>TEXESTWU000006</t>
  </si>
  <si>
    <t>BLANCO QUARTZ</t>
  </si>
  <si>
    <t>SQRF4J20CADNK03753</t>
  </si>
  <si>
    <t>MICHEL ALEJANDRO PEMJEAN GALLEGUILLOS</t>
  </si>
  <si>
    <t>25-05-2026 0:00:00</t>
  </si>
  <si>
    <t>25-05-2026 10:39:17</t>
  </si>
  <si>
    <t>31-05-2026 0:00:00</t>
  </si>
  <si>
    <t>18-03-2026 11:24:08</t>
  </si>
  <si>
    <t>18-03-2026 0:00:00</t>
  </si>
  <si>
    <t>18-03-2026 11:23:40</t>
  </si>
  <si>
    <t>30-11-2027 0:00:00</t>
  </si>
  <si>
    <t>BLANCO OKENITE</t>
  </si>
  <si>
    <t>10-11-2025 18:59:30</t>
  </si>
  <si>
    <t>10-11-2025 0:00:00</t>
  </si>
  <si>
    <t>10-11-2025 18:58:34</t>
  </si>
  <si>
    <t>02-01-2026 15:09:11</t>
  </si>
  <si>
    <t>02-01-2026 0:00:00</t>
  </si>
  <si>
    <t>10-03-2026 22:23:00</t>
  </si>
  <si>
    <t>30-06-2026 0:00:00</t>
  </si>
  <si>
    <t>12-09-2025 18:26:55</t>
  </si>
  <si>
    <t>12-09-2025 0:00:00</t>
  </si>
  <si>
    <t>12-09-2025 18:26:22</t>
  </si>
  <si>
    <t>30-06-2027 0:00:00</t>
  </si>
  <si>
    <t>22-01-2026 12:55:07</t>
  </si>
  <si>
    <t>22-01-2026 0:00:00</t>
  </si>
  <si>
    <t>22-01-2026 12:54:40</t>
  </si>
  <si>
    <t>01-04-2026 0:00:00</t>
  </si>
  <si>
    <t>18-02-2026 0:00:00</t>
  </si>
  <si>
    <t>18-02-2026 9:30:32</t>
  </si>
  <si>
    <t>18-02-2026 9:30:04</t>
  </si>
  <si>
    <t>SYDR45</t>
  </si>
  <si>
    <t>27-05-2026 0:00:00</t>
  </si>
  <si>
    <t>08-01-2026 15:20:40</t>
  </si>
  <si>
    <t>08-01-2026 0:00:00</t>
  </si>
  <si>
    <t>08-01-2026 15:16:26</t>
  </si>
  <si>
    <t>03-10-2025 18:06:52</t>
  </si>
  <si>
    <t>03-10-2025 0:00:00</t>
  </si>
  <si>
    <t>03-10-2025 18:06:12</t>
  </si>
  <si>
    <t>05-02-2026 13:04:12</t>
  </si>
  <si>
    <t>05-02-2026 0:00:00</t>
  </si>
  <si>
    <t>05-02-2026 13:00:32</t>
  </si>
  <si>
    <t>30-09-2027 0:00:00</t>
  </si>
  <si>
    <t>30-12-2024 11:00:44</t>
  </si>
  <si>
    <t>7912</t>
  </si>
  <si>
    <t>30-12-2024 0:00:00</t>
  </si>
  <si>
    <t>30-12-2024 10:53:26</t>
  </si>
  <si>
    <t>31-07-2025 0:00:00</t>
  </si>
  <si>
    <t>04-03-2025 17:16:08</t>
  </si>
  <si>
    <t>04-03-2025 0:00:00</t>
  </si>
  <si>
    <t>04-03-2025 17:00:37</t>
  </si>
  <si>
    <t>24-04-2026 0:00:00</t>
  </si>
  <si>
    <t>28-04-2026 0:00:00</t>
  </si>
  <si>
    <t>27-01-2023 10:03:02</t>
  </si>
  <si>
    <t>27-01-2023 0:00:00</t>
  </si>
  <si>
    <t>27-01-2023 10:02:29</t>
  </si>
  <si>
    <t>27-05-2026 17:54:58</t>
  </si>
  <si>
    <t>JF1SK7LL5RG259442</t>
  </si>
  <si>
    <t>SF99</t>
  </si>
  <si>
    <t>TSUSTWU000399</t>
  </si>
  <si>
    <t>TPCS18</t>
  </si>
  <si>
    <t>PLATEADO HIELO CLARO</t>
  </si>
  <si>
    <t>YX96759</t>
  </si>
  <si>
    <t>EDUARDO ENRIQUE ANTIQUERA ANTIQUERA</t>
  </si>
  <si>
    <t>27-05-2026 17:50:26</t>
  </si>
  <si>
    <t>29-11-2025 11:09:26</t>
  </si>
  <si>
    <t>29-11-2025 0:00:00</t>
  </si>
  <si>
    <t>08-01-2026 18:02:00</t>
  </si>
  <si>
    <t>29-04-2026 0:00:00</t>
  </si>
  <si>
    <t>23-10-2025 13:59:01</t>
  </si>
  <si>
    <t>23-10-2025 0:00:00</t>
  </si>
  <si>
    <t>20-11-2025 0:00:00</t>
  </si>
  <si>
    <t>20-11-2025 19:37:03</t>
  </si>
  <si>
    <t>23-02-2026 15:52:12</t>
  </si>
  <si>
    <t>23-02-2026 0:00:00</t>
  </si>
  <si>
    <t>29-01-2026 0:00:00</t>
  </si>
  <si>
    <t>18-03-2026 12:59:05</t>
  </si>
  <si>
    <t>27-08-2025 14:34:07</t>
  </si>
  <si>
    <t>27-08-2025 0:00:00</t>
  </si>
  <si>
    <t>04-11-2025 23:53:00</t>
  </si>
  <si>
    <t>31-10-2025 0:00:00</t>
  </si>
  <si>
    <t>TKHL16</t>
  </si>
  <si>
    <t>07-01-2026 16:22:02</t>
  </si>
  <si>
    <t>07-01-2026 0:00:00</t>
  </si>
  <si>
    <t>07-01-2026 16:21:28</t>
  </si>
  <si>
    <t>04-02-2026 12:44:44</t>
  </si>
  <si>
    <t>04-02-2026 0:00:00</t>
  </si>
  <si>
    <t>04-05-2026 17:27:55</t>
  </si>
  <si>
    <t>04-05-2026 0:00:00</t>
  </si>
  <si>
    <t>04-05-2026 17:22:16</t>
  </si>
  <si>
    <t>29-04-2025 19:05:19</t>
  </si>
  <si>
    <t>29-04-2025 0:00:00</t>
  </si>
  <si>
    <t>29-04-2025 18:59:46</t>
  </si>
  <si>
    <t>30-11-2026 0:00:00</t>
  </si>
  <si>
    <t>22-10-2025 9:20:00</t>
  </si>
  <si>
    <t>22-10-2025 0:00:00</t>
  </si>
  <si>
    <t>22-10-2025 9:19:18</t>
  </si>
  <si>
    <t>14-03-2023 10:52:12</t>
  </si>
  <si>
    <t>14-03-2023 0:00:00</t>
  </si>
  <si>
    <t>14-03-2023 10:51:51</t>
  </si>
  <si>
    <t>28-02-2026 11:42:29</t>
  </si>
  <si>
    <t>28-02-2026 11:42:08</t>
  </si>
  <si>
    <t>02-10-2025 16:52:58</t>
  </si>
  <si>
    <t>02-10-2025 0:00:00</t>
  </si>
  <si>
    <t>02-10-2025 16:52:06</t>
  </si>
  <si>
    <t>28-01-2026 17:28:07</t>
  </si>
  <si>
    <t>28-01-2026 0:00:00</t>
  </si>
  <si>
    <t>28-01-2026 17:22:31</t>
  </si>
  <si>
    <t>30-04-2026 16:45:15</t>
  </si>
  <si>
    <t>30-04-2026 16:43:05</t>
  </si>
  <si>
    <t>06-04-2026 13:31:44</t>
  </si>
  <si>
    <t>06-04-2026 13:30:57</t>
  </si>
  <si>
    <t>31-07-2027 0:00:00</t>
  </si>
  <si>
    <t>28-11-2025 12:40:34</t>
  </si>
  <si>
    <t>28-11-2025 0:00:00</t>
  </si>
  <si>
    <t>RHFJ39</t>
  </si>
  <si>
    <t>19-12-2025 10:02:31</t>
  </si>
  <si>
    <t>19-12-2025 0:00:00</t>
  </si>
  <si>
    <t>19-12-2025 9:51:58</t>
  </si>
  <si>
    <t>30-04-2024 14:05:18</t>
  </si>
  <si>
    <t>30-04-2024 0:00:00</t>
  </si>
  <si>
    <t>12-05-2025 17:38:00</t>
  </si>
  <si>
    <t>13-11-2025 16:08:09</t>
  </si>
  <si>
    <t>13-11-2025 0:00:00</t>
  </si>
  <si>
    <t>30-12-2025 10:51:56</t>
  </si>
  <si>
    <t>30-12-2025 0:00:00</t>
  </si>
  <si>
    <t>30-12-2025 10:51:21</t>
  </si>
  <si>
    <t>18-03-2026 17:39:09</t>
  </si>
  <si>
    <t>18-03-2026 17:38:43</t>
  </si>
  <si>
    <t>29-04-2026 14:50:28</t>
  </si>
  <si>
    <t>29-04-2026 14:49:51</t>
  </si>
  <si>
    <t>03-10-2025 17:16:55</t>
  </si>
  <si>
    <t>06-11-2025 11:25:00</t>
  </si>
  <si>
    <t>02-10-2025 17:10:39</t>
  </si>
  <si>
    <t>02-10-2025 17:09:54</t>
  </si>
  <si>
    <t>28-08-2025 17:50:15</t>
  </si>
  <si>
    <t>28-08-2025 0:00:00</t>
  </si>
  <si>
    <t>28-08-2025 17:49:40</t>
  </si>
  <si>
    <t>31-07-2026 0:00:00</t>
  </si>
  <si>
    <t>01-04-2026 18:18:58</t>
  </si>
  <si>
    <t>01-04-2026 18:18:30</t>
  </si>
  <si>
    <t>28-04-2026 13:25:38</t>
  </si>
  <si>
    <t>28-04-2026 13:24:50</t>
  </si>
  <si>
    <t>16-05-2024 13:37:55</t>
  </si>
  <si>
    <t>16-05-2024 0:00:00</t>
  </si>
  <si>
    <t>28-02-2026 15:33:00</t>
  </si>
  <si>
    <t>30-03-2026 13:25:15</t>
  </si>
  <si>
    <t>30-03-2026 0:00:00</t>
  </si>
  <si>
    <t>30-03-2026 13:24:46</t>
  </si>
  <si>
    <t>15-07-2025 13:46:05</t>
  </si>
  <si>
    <t>67391002105133</t>
  </si>
  <si>
    <t>15-07-2025 0:00:00</t>
  </si>
  <si>
    <t>15-07-2025 13:45:17</t>
  </si>
  <si>
    <t>30-04-2026 15:19:16</t>
  </si>
  <si>
    <t>30-04-2026 15:17:56</t>
  </si>
  <si>
    <t>04-02-2026 12:30:05</t>
  </si>
  <si>
    <t>23-05-2026 12:34:00</t>
  </si>
  <si>
    <t>31-10-2026 0:00:00</t>
  </si>
  <si>
    <t>06-02-2026 23:32:37</t>
  </si>
  <si>
    <t>463495081880130</t>
  </si>
  <si>
    <t>06-02-2026 0:00:00</t>
  </si>
  <si>
    <t>06-02-2026 23:31:06</t>
  </si>
  <si>
    <t>25-07-2025 12:11:03</t>
  </si>
  <si>
    <t>25-07-2025 0:00:00</t>
  </si>
  <si>
    <t>25-07-2025 17:36:00</t>
  </si>
  <si>
    <t>30-09-2025 19:19:30</t>
  </si>
  <si>
    <t>30-09-2025 0:00:00</t>
  </si>
  <si>
    <t>06-11-2025 11:46:00</t>
  </si>
  <si>
    <t>02-01-2026 16:34:09</t>
  </si>
  <si>
    <t>17595000015783</t>
  </si>
  <si>
    <t>02-01-2026 16:33:28</t>
  </si>
  <si>
    <t>30-05-2025 0:00:00</t>
  </si>
  <si>
    <t>KPKW32</t>
  </si>
  <si>
    <t>RHBW56</t>
  </si>
  <si>
    <t>RPZK49</t>
  </si>
  <si>
    <t>RWTZ33</t>
  </si>
  <si>
    <t>SDKF65</t>
  </si>
  <si>
    <t>SJVT25</t>
  </si>
  <si>
    <t>TGVH34</t>
  </si>
  <si>
    <t>TRBK23</t>
  </si>
  <si>
    <t>VRHP15</t>
  </si>
  <si>
    <t>2026-01-02 06:04:26</t>
  </si>
  <si>
    <t>2026-01-02 06:24:50</t>
  </si>
  <si>
    <t>2026-01-02 06:39:05</t>
  </si>
  <si>
    <t>2026-01-02 07:29:10</t>
  </si>
  <si>
    <t>2026-01-02 12:57:00</t>
  </si>
  <si>
    <t>2026-01-02 13:06:16</t>
  </si>
  <si>
    <t>2026-01-02 13:11:30</t>
  </si>
  <si>
    <t>2026-01-02 13:15:22</t>
  </si>
  <si>
    <t>2026-01-02 13:19:09</t>
  </si>
  <si>
    <t>2026-01-02 13:40:31</t>
  </si>
  <si>
    <t>2026-01-02 14:33:50</t>
  </si>
  <si>
    <t>2026-01-02 15:17:15</t>
  </si>
  <si>
    <t>2026-01-02 15:21:41</t>
  </si>
  <si>
    <t>2026-01-02 15:40:04</t>
  </si>
  <si>
    <t>2026-01-03 07:58:34</t>
  </si>
  <si>
    <t>2026-01-03 08:10:04</t>
  </si>
  <si>
    <t>2026-01-03 08:27:51</t>
  </si>
  <si>
    <t>2026-01-03 08:46:10</t>
  </si>
  <si>
    <t>2026-01-03 08:53:42</t>
  </si>
  <si>
    <t>2026-01-03 09:14:59</t>
  </si>
  <si>
    <t>2026-01-03 10:11:01</t>
  </si>
  <si>
    <t>2026-01-03 10:18:19</t>
  </si>
  <si>
    <t>2026-01-03 10:28:09</t>
  </si>
  <si>
    <t>2026-01-05 07:19:04</t>
  </si>
  <si>
    <t>2026-01-05 08:28:13</t>
  </si>
  <si>
    <t>2026-01-05 08:37:13</t>
  </si>
  <si>
    <t>2026-01-05 08:41:44</t>
  </si>
  <si>
    <t>2026-01-05 09:24:48</t>
  </si>
  <si>
    <t>2026-01-05 09:31:21</t>
  </si>
  <si>
    <t>2026-01-05 10:20:06</t>
  </si>
  <si>
    <t>2026-01-05 10:23:37</t>
  </si>
  <si>
    <t>2026-01-05 10:48:20</t>
  </si>
  <si>
    <t>2026-01-05 12:14:17</t>
  </si>
  <si>
    <t>2026-01-05 13:19:45</t>
  </si>
  <si>
    <t>2026-01-05 13:31:47</t>
  </si>
  <si>
    <t>2026-01-05 13:59:00</t>
  </si>
  <si>
    <t>2026-01-05 14:12:03</t>
  </si>
  <si>
    <t>2026-01-05 14:33:07</t>
  </si>
  <si>
    <t>2026-01-05 14:43:46</t>
  </si>
  <si>
    <t>2026-01-05 14:59:16</t>
  </si>
  <si>
    <t>2026-01-05 15:05:33</t>
  </si>
  <si>
    <t>2026-01-06 05:50:57</t>
  </si>
  <si>
    <t>2026-01-06 06:07:28</t>
  </si>
  <si>
    <t>2026-01-06 06:26:15</t>
  </si>
  <si>
    <t>2026-01-06 07:25:44</t>
  </si>
  <si>
    <t>2026-01-06 08:25:10</t>
  </si>
  <si>
    <t>2026-01-06 09:01:25</t>
  </si>
  <si>
    <t>2026-01-06 09:23:28</t>
  </si>
  <si>
    <t>2026-01-06 09:33:27</t>
  </si>
  <si>
    <t>2026-01-06 09:41:17</t>
  </si>
  <si>
    <t>2026-01-06 10:11:01</t>
  </si>
  <si>
    <t>2026-01-06 10:15:29</t>
  </si>
  <si>
    <t>2026-01-06 10:25:09</t>
  </si>
  <si>
    <t>2026-01-06 10:48:43</t>
  </si>
  <si>
    <t>2026-01-06 12:34:31</t>
  </si>
  <si>
    <t>2026-01-06 12:40:01</t>
  </si>
  <si>
    <t>2026-01-06 12:53:26</t>
  </si>
  <si>
    <t>2026-01-06 13:54:17</t>
  </si>
  <si>
    <t>2026-01-06 14:18:41</t>
  </si>
  <si>
    <t>2026-01-06 14:51:13</t>
  </si>
  <si>
    <t>2026-01-06 15:49:15</t>
  </si>
  <si>
    <t>2026-01-06 21:26:24</t>
  </si>
  <si>
    <t>2026-01-06 21:30:20</t>
  </si>
  <si>
    <t>2026-01-06 21:40:23</t>
  </si>
  <si>
    <t>2026-01-06 21:46:12</t>
  </si>
  <si>
    <t>2026-01-06 21:47:00</t>
  </si>
  <si>
    <t>2026-01-07 06:14:29</t>
  </si>
  <si>
    <t>2026-01-07 06:21:02</t>
  </si>
  <si>
    <t>2026-01-07 08:42:45</t>
  </si>
  <si>
    <t>2026-01-07 08:57:54</t>
  </si>
  <si>
    <t>2026-01-07 09:11:01</t>
  </si>
  <si>
    <t>2026-01-07 09:34:21</t>
  </si>
  <si>
    <t>2026-01-07 09:50:55</t>
  </si>
  <si>
    <t>2026-01-07 10:18:32</t>
  </si>
  <si>
    <t>2026-01-07 10:40:46</t>
  </si>
  <si>
    <t>2026-01-07 14:50:42</t>
  </si>
  <si>
    <t>2026-01-07 14:56:57</t>
  </si>
  <si>
    <t>2026-01-07 15:42:48</t>
  </si>
  <si>
    <t>2026-01-07 15:51:36</t>
  </si>
  <si>
    <t>2026-01-07 15:56:56</t>
  </si>
  <si>
    <t>2026-01-07 16:00:34</t>
  </si>
  <si>
    <t>2026-01-08 07:02:55</t>
  </si>
  <si>
    <t>2026-01-08 07:19:38</t>
  </si>
  <si>
    <t>2026-01-08 08:04:09</t>
  </si>
  <si>
    <t>2026-01-08 08:55:39</t>
  </si>
  <si>
    <t>2026-01-08 09:10:25</t>
  </si>
  <si>
    <t>2026-01-08 09:52:59</t>
  </si>
  <si>
    <t>2026-01-08 10:17:44</t>
  </si>
  <si>
    <t>2026-01-08 10:27:53</t>
  </si>
  <si>
    <t>2026-01-08 10:41:37</t>
  </si>
  <si>
    <t>2026-01-08 11:49:07</t>
  </si>
  <si>
    <t>2026-01-08 12:02:29</t>
  </si>
  <si>
    <t>2026-01-08 14:18:05</t>
  </si>
  <si>
    <t>2026-01-08 14:22:05</t>
  </si>
  <si>
    <t>2026-01-08 14:26:29</t>
  </si>
  <si>
    <t>2026-01-08 14:36:59</t>
  </si>
  <si>
    <t>2026-01-08 14:46:33</t>
  </si>
  <si>
    <t>2026-01-08 15:23:42</t>
  </si>
  <si>
    <t>2026-01-08 15:54:36</t>
  </si>
  <si>
    <t>2026-01-08 16:10:04</t>
  </si>
  <si>
    <t>2026-01-09 06:46:37</t>
  </si>
  <si>
    <t>2026-01-09 07:36:48</t>
  </si>
  <si>
    <t>2026-01-09 09:21:16</t>
  </si>
  <si>
    <t>2026-01-09 09:25:59</t>
  </si>
  <si>
    <t>2026-01-09 09:41:56</t>
  </si>
  <si>
    <t>2026-01-09 09:55:22</t>
  </si>
  <si>
    <t>2026-01-09 10:08:17</t>
  </si>
  <si>
    <t>2026-01-09 10:30:02</t>
  </si>
  <si>
    <t>2026-01-09 10:39:08</t>
  </si>
  <si>
    <t>2026-01-09 11:05:54</t>
  </si>
  <si>
    <t>2026-01-09 13:01:46</t>
  </si>
  <si>
    <t>2026-01-09 14:00:22</t>
  </si>
  <si>
    <t>2026-01-09 14:09:20</t>
  </si>
  <si>
    <t>2026-01-10 07:26:35</t>
  </si>
  <si>
    <t>2026-01-10 07:43:58</t>
  </si>
  <si>
    <t>2026-01-10 07:58:38</t>
  </si>
  <si>
    <t>2026-01-10 08:20:22</t>
  </si>
  <si>
    <t>2026-01-12 06:28:27</t>
  </si>
  <si>
    <t>2026-01-12 06:30:05</t>
  </si>
  <si>
    <t>2026-01-12 06:31:20</t>
  </si>
  <si>
    <t>2026-01-12 06:32:37</t>
  </si>
  <si>
    <t>2026-01-12 06:34:03</t>
  </si>
  <si>
    <t>2026-01-12 06:35:08</t>
  </si>
  <si>
    <t>2026-01-12 06:36:09</t>
  </si>
  <si>
    <t>2026-01-12 06:37:11</t>
  </si>
  <si>
    <t>2026-01-12 06:37:31</t>
  </si>
  <si>
    <t>2026-01-12 06:39:09</t>
  </si>
  <si>
    <t>2026-01-12 06:41:01</t>
  </si>
  <si>
    <t>2026-01-12 06:42:07</t>
  </si>
  <si>
    <t>2026-01-12 06:43:14</t>
  </si>
  <si>
    <t>2026-01-12 07:04:00</t>
  </si>
  <si>
    <t>2026-01-12 07:28:53</t>
  </si>
  <si>
    <t>2026-01-12 07:30:08</t>
  </si>
  <si>
    <t>2026-01-12 07:40:48</t>
  </si>
  <si>
    <t>2026-01-12 07:41:43</t>
  </si>
  <si>
    <t>2026-01-12 07:43:00</t>
  </si>
  <si>
    <t>2026-01-12 07:43:06</t>
  </si>
  <si>
    <t>2026-01-12 07:45:18</t>
  </si>
  <si>
    <t>2026-01-12 07:53:33</t>
  </si>
  <si>
    <t>2026-01-12 07:58:03</t>
  </si>
  <si>
    <t>2026-01-12 07:59:01</t>
  </si>
  <si>
    <t>2026-01-12 08:01:13</t>
  </si>
  <si>
    <t>2026-01-12 08:39:02</t>
  </si>
  <si>
    <t>2026-01-12 08:46:12</t>
  </si>
  <si>
    <t>2026-01-12 09:00:47</t>
  </si>
  <si>
    <t>2026-01-12 09:46:51</t>
  </si>
  <si>
    <t>2026-01-12 10:08:56</t>
  </si>
  <si>
    <t>2026-01-12 10:19:52</t>
  </si>
  <si>
    <t>2026-01-12 10:27:30</t>
  </si>
  <si>
    <t>2026-01-12 10:38:53</t>
  </si>
  <si>
    <t>2026-01-12 10:44:49</t>
  </si>
  <si>
    <t>2026-01-12 10:47:56</t>
  </si>
  <si>
    <t>2026-01-12 10:57:46</t>
  </si>
  <si>
    <t>2026-01-12 11:06:18</t>
  </si>
  <si>
    <t>2026-01-12 13:53:13</t>
  </si>
  <si>
    <t>2026-01-12 14:02:10</t>
  </si>
  <si>
    <t>2026-01-12 14:06:57</t>
  </si>
  <si>
    <t>2026-01-12 14:10:10</t>
  </si>
  <si>
    <t>2026-01-12 14:13:16</t>
  </si>
  <si>
    <t>2026-01-12 14:26:45</t>
  </si>
  <si>
    <t>2026-01-12 14:33:17</t>
  </si>
  <si>
    <t>2026-01-12 14:45:15</t>
  </si>
  <si>
    <t>2026-01-12 15:25:51</t>
  </si>
  <si>
    <t>2026-01-12 15:34:18</t>
  </si>
  <si>
    <t>2026-01-12 15:53:53</t>
  </si>
  <si>
    <t>2026-01-12 16:02:10</t>
  </si>
  <si>
    <t>2026-01-12 16:18:05</t>
  </si>
  <si>
    <t>2026-01-12 16:23:55</t>
  </si>
  <si>
    <t>2026-01-12 16:28:03</t>
  </si>
  <si>
    <t>2026-01-12 16:35:25</t>
  </si>
  <si>
    <t>2026-01-13 06:22:06</t>
  </si>
  <si>
    <t>2026-01-13 07:19:22</t>
  </si>
  <si>
    <t>2026-01-13 08:07:01</t>
  </si>
  <si>
    <t>2026-01-13 08:09:34</t>
  </si>
  <si>
    <t>2026-01-13 08:15:50</t>
  </si>
  <si>
    <t>2026-01-13 08:20:49</t>
  </si>
  <si>
    <t>2026-01-13 08:27:00</t>
  </si>
  <si>
    <t>2026-01-13 08:47:21</t>
  </si>
  <si>
    <t>2026-01-13 08:55:50</t>
  </si>
  <si>
    <t>2026-01-13 09:22:05</t>
  </si>
  <si>
    <t>2026-01-13 09:45:47</t>
  </si>
  <si>
    <t>2026-01-13 10:48:46</t>
  </si>
  <si>
    <t>2026-01-13 13:03:23</t>
  </si>
  <si>
    <t>2026-01-13 13:27:25</t>
  </si>
  <si>
    <t>2026-01-13 13:54:34</t>
  </si>
  <si>
    <t>2026-01-13 14:30:10</t>
  </si>
  <si>
    <t>2026-01-13 14:38:09</t>
  </si>
  <si>
    <t>2026-01-13 15:04:40</t>
  </si>
  <si>
    <t>2026-01-13 15:47:49</t>
  </si>
  <si>
    <t>2026-01-14 06:34:13</t>
  </si>
  <si>
    <t>2026-01-14 06:49:13</t>
  </si>
  <si>
    <t>2026-01-14 06:58:37</t>
  </si>
  <si>
    <t>2026-01-14 07:17:42</t>
  </si>
  <si>
    <t>2026-01-14 07:42:41</t>
  </si>
  <si>
    <t>2026-01-14 07:52:23</t>
  </si>
  <si>
    <t>2026-01-14 07:59:41</t>
  </si>
  <si>
    <t>2026-01-14 08:29:21</t>
  </si>
  <si>
    <t>2026-01-14 09:00:18</t>
  </si>
  <si>
    <t>2026-01-14 09:23:00</t>
  </si>
  <si>
    <t>2026-01-14 09:30:51</t>
  </si>
  <si>
    <t>2026-01-14 09:41:10</t>
  </si>
  <si>
    <t>2026-01-14 11:00:29</t>
  </si>
  <si>
    <t>2026-01-14 12:27:20</t>
  </si>
  <si>
    <t>2026-01-14 12:28:52</t>
  </si>
  <si>
    <t>2026-01-14 12:31:31</t>
  </si>
  <si>
    <t>2026-01-14 12:32:39</t>
  </si>
  <si>
    <t>2026-01-14 12:33:59</t>
  </si>
  <si>
    <t>2026-01-14 12:34:58</t>
  </si>
  <si>
    <t>2026-01-14 13:06:07</t>
  </si>
  <si>
    <t>2026-01-14 13:34:00</t>
  </si>
  <si>
    <t>2026-01-14 14:18:04</t>
  </si>
  <si>
    <t>2026-01-14 14:39:04</t>
  </si>
  <si>
    <t>2026-01-14 14:40:19</t>
  </si>
  <si>
    <t>2026-01-14 14:41:40</t>
  </si>
  <si>
    <t>2026-01-14 14:43:31</t>
  </si>
  <si>
    <t>2026-01-14 14:44:27</t>
  </si>
  <si>
    <t>2026-01-14 14:46:56</t>
  </si>
  <si>
    <t>2026-01-14 14:48:30</t>
  </si>
  <si>
    <t>2026-01-14 14:48:35</t>
  </si>
  <si>
    <t>2026-01-14 15:22:46</t>
  </si>
  <si>
    <t>2026-01-14 15:27:26</t>
  </si>
  <si>
    <t>2026-01-14 15:51:02</t>
  </si>
  <si>
    <t>2026-01-14 16:25:14</t>
  </si>
  <si>
    <t>2026-01-15 07:05:33</t>
  </si>
  <si>
    <t>2026-01-15 07:17:47</t>
  </si>
  <si>
    <t>2026-01-15 08:51:30</t>
  </si>
  <si>
    <t>2026-01-15 09:01:43</t>
  </si>
  <si>
    <t>2026-01-15 09:21:35</t>
  </si>
  <si>
    <t>2026-01-15 09:30:56</t>
  </si>
  <si>
    <t>2026-01-15 09:35:34</t>
  </si>
  <si>
    <t>2026-01-15 12:38:07</t>
  </si>
  <si>
    <t>2026-01-15 13:15:23</t>
  </si>
  <si>
    <t>2026-01-15 13:48:17</t>
  </si>
  <si>
    <t>2026-01-15 15:06:33</t>
  </si>
  <si>
    <t>2026-01-15 15:18:17</t>
  </si>
  <si>
    <t>2026-01-16 06:07:13</t>
  </si>
  <si>
    <t>2026-01-16 07:04:41</t>
  </si>
  <si>
    <t>2026-01-16 07:55:45</t>
  </si>
  <si>
    <t>2026-01-16 08:08:34</t>
  </si>
  <si>
    <t>2026-01-16 09:04:25</t>
  </si>
  <si>
    <t>2026-01-16 09:17:43</t>
  </si>
  <si>
    <t>2026-01-16 09:22:44</t>
  </si>
  <si>
    <t>2026-01-16 09:35:20</t>
  </si>
  <si>
    <t>2026-01-16 09:40:47</t>
  </si>
  <si>
    <t>2026-01-16 09:46:00</t>
  </si>
  <si>
    <t>2026-01-16 10:14:35</t>
  </si>
  <si>
    <t>2026-01-16 10:20:24</t>
  </si>
  <si>
    <t>2026-01-16 10:37:47</t>
  </si>
  <si>
    <t>2026-01-16 12:58:52</t>
  </si>
  <si>
    <t>2026-01-16 13:54:43</t>
  </si>
  <si>
    <t>2026-01-16 14:06:37</t>
  </si>
  <si>
    <t>2026-01-16 14:23:50</t>
  </si>
  <si>
    <t>2026-01-16 15:24:54</t>
  </si>
  <si>
    <t>2026-01-16 16:47:22</t>
  </si>
  <si>
    <t>2026-01-16 16:48:41</t>
  </si>
  <si>
    <t>2026-01-16 16:50:30</t>
  </si>
  <si>
    <t>2026-01-19 06:20:59</t>
  </si>
  <si>
    <t>2026-01-19 09:08:45</t>
  </si>
  <si>
    <t>2026-01-19 09:52:06</t>
  </si>
  <si>
    <t>2026-01-19 12:50:03</t>
  </si>
  <si>
    <t>2026-01-19 13:11:33</t>
  </si>
  <si>
    <t>2026-01-19 14:02:58</t>
  </si>
  <si>
    <t>2026-01-19 14:42:11</t>
  </si>
  <si>
    <t>2026-01-19 14:51:49</t>
  </si>
  <si>
    <t>2026-01-19 14:54:53</t>
  </si>
  <si>
    <t>2026-01-19 15:02:12</t>
  </si>
  <si>
    <t>2026-01-19 15:17:41</t>
  </si>
  <si>
    <t>2026-01-19 15:25:08</t>
  </si>
  <si>
    <t>2026-01-19 15:35:06</t>
  </si>
  <si>
    <t>2026-01-20 07:11:25</t>
  </si>
  <si>
    <t>2026-01-20 08:03:38</t>
  </si>
  <si>
    <t>2026-01-20 08:28:23</t>
  </si>
  <si>
    <t>2026-01-20 08:52:23</t>
  </si>
  <si>
    <t>2026-01-20 09:33:01</t>
  </si>
  <si>
    <t>2026-01-20 09:39:19</t>
  </si>
  <si>
    <t>2026-01-20 09:46:46</t>
  </si>
  <si>
    <t>2026-01-20 10:10:44</t>
  </si>
  <si>
    <t>2026-01-20 10:16:16</t>
  </si>
  <si>
    <t>2026-01-20 10:27:38</t>
  </si>
  <si>
    <t>2026-01-20 12:21:08</t>
  </si>
  <si>
    <t>2026-01-20 13:17:22</t>
  </si>
  <si>
    <t>2026-01-20 13:25:09</t>
  </si>
  <si>
    <t>2026-01-20 13:33:03</t>
  </si>
  <si>
    <t>2026-01-20 13:36:43</t>
  </si>
  <si>
    <t>2026-01-20 13:39:33</t>
  </si>
  <si>
    <t>2026-01-20 13:51:03</t>
  </si>
  <si>
    <t>2026-01-20 13:57:30</t>
  </si>
  <si>
    <t>2026-01-20 14:24:30</t>
  </si>
  <si>
    <t>2026-01-20 14:41:48</t>
  </si>
  <si>
    <t>2026-01-20 14:53:40</t>
  </si>
  <si>
    <t>2026-01-20 15:12:15</t>
  </si>
  <si>
    <t>2026-01-20 15:26:55</t>
  </si>
  <si>
    <t>2026-01-20 15:53:03</t>
  </si>
  <si>
    <t>2026-01-20 16:16:13</t>
  </si>
  <si>
    <t>2026-01-20 16:17:39</t>
  </si>
  <si>
    <t>2026-01-20 16:18:47</t>
  </si>
  <si>
    <t>2026-01-20 16:20:14</t>
  </si>
  <si>
    <t>2026-01-20 16:21:31</t>
  </si>
  <si>
    <t>2026-01-21 06:09:57</t>
  </si>
  <si>
    <t>2026-01-21 07:58:16</t>
  </si>
  <si>
    <t>2026-01-21 09:08:03</t>
  </si>
  <si>
    <t>2026-01-21 09:52:34</t>
  </si>
  <si>
    <t>2026-01-21 13:10:47</t>
  </si>
  <si>
    <t>2026-01-21 13:15:19</t>
  </si>
  <si>
    <t>2026-01-21 13:18:22</t>
  </si>
  <si>
    <t>2026-01-21 13:20:45</t>
  </si>
  <si>
    <t>2026-01-21 13:44:59</t>
  </si>
  <si>
    <t>2026-01-21 14:01:22</t>
  </si>
  <si>
    <t>2026-01-21 14:11:15</t>
  </si>
  <si>
    <t>2026-01-21 15:21:36</t>
  </si>
  <si>
    <t>2026-01-21 15:52:08</t>
  </si>
  <si>
    <t>2026-01-22 07:15:18</t>
  </si>
  <si>
    <t>2026-01-22 07:30:08</t>
  </si>
  <si>
    <t>2026-01-22 07:33:23</t>
  </si>
  <si>
    <t>2026-01-22 07:42:42</t>
  </si>
  <si>
    <t>2026-01-22 13:14:52</t>
  </si>
  <si>
    <t>2026-01-22 13:34:29</t>
  </si>
  <si>
    <t>2026-01-22 13:52:16</t>
  </si>
  <si>
    <t>2026-01-22 13:59:59</t>
  </si>
  <si>
    <t>2026-01-22 14:09:30</t>
  </si>
  <si>
    <t>2026-01-22 14:33:57</t>
  </si>
  <si>
    <t>2026-01-22 14:48:50</t>
  </si>
  <si>
    <t>2026-01-22 14:56:09</t>
  </si>
  <si>
    <t>2026-01-23 06:21:33</t>
  </si>
  <si>
    <t>2026-01-23 07:19:53</t>
  </si>
  <si>
    <t>2026-01-23 08:13:44</t>
  </si>
  <si>
    <t>2026-01-23 08:21:50</t>
  </si>
  <si>
    <t>2026-01-23 09:05:56</t>
  </si>
  <si>
    <t>2026-01-23 09:37:07</t>
  </si>
  <si>
    <t>2026-01-23 09:43:58</t>
  </si>
  <si>
    <t>2026-01-23 09:56:11</t>
  </si>
  <si>
    <t>2026-01-23 10:26:06</t>
  </si>
  <si>
    <t>2026-01-23 10:37:32</t>
  </si>
  <si>
    <t>2026-01-23 10:54:32</t>
  </si>
  <si>
    <t>2026-01-23 10:57:56</t>
  </si>
  <si>
    <t>2026-01-23 11:01:46</t>
  </si>
  <si>
    <t>2026-01-23 12:34:53</t>
  </si>
  <si>
    <t>2026-01-23 14:03:18</t>
  </si>
  <si>
    <t>2026-01-23 14:11:30</t>
  </si>
  <si>
    <t>2026-01-23 14:14:39</t>
  </si>
  <si>
    <t>2026-01-23 14:20:55</t>
  </si>
  <si>
    <t>2026-01-23 14:24:06</t>
  </si>
  <si>
    <t>2026-01-23 14:26:43</t>
  </si>
  <si>
    <t>2026-01-23 14:30:39</t>
  </si>
  <si>
    <t>2026-01-23 14:32:56</t>
  </si>
  <si>
    <t>2026-01-24 08:32:09</t>
  </si>
  <si>
    <t>2026-01-24 09:18:28</t>
  </si>
  <si>
    <t>2026-01-26 06:21:38</t>
  </si>
  <si>
    <t>2026-01-26 06:53:49</t>
  </si>
  <si>
    <t>2026-01-26 09:19:47</t>
  </si>
  <si>
    <t>2026-01-26 09:24:09</t>
  </si>
  <si>
    <t>2026-01-26 09:30:44</t>
  </si>
  <si>
    <t>2026-01-26 10:33:27</t>
  </si>
  <si>
    <t>2026-01-26 10:38:17</t>
  </si>
  <si>
    <t>2026-01-26 10:42:42</t>
  </si>
  <si>
    <t>2026-01-26 10:52:19</t>
  </si>
  <si>
    <t>2026-01-26 12:28:59</t>
  </si>
  <si>
    <t>2026-01-26 12:30:55</t>
  </si>
  <si>
    <t>2026-01-26 12:32:14</t>
  </si>
  <si>
    <t>2026-01-26 12:33:22</t>
  </si>
  <si>
    <t>2026-01-26 12:34:53</t>
  </si>
  <si>
    <t>2026-01-26 12:36:25</t>
  </si>
  <si>
    <t>2026-01-26 12:37:18</t>
  </si>
  <si>
    <t>2026-01-26 12:38:49</t>
  </si>
  <si>
    <t>2026-01-26 12:40:26</t>
  </si>
  <si>
    <t>2026-01-26 12:41:53</t>
  </si>
  <si>
    <t>2026-01-26 12:42:58</t>
  </si>
  <si>
    <t>2026-01-26 12:43:51</t>
  </si>
  <si>
    <t>2026-01-26 13:32:33</t>
  </si>
  <si>
    <t>2026-01-26 13:34:36</t>
  </si>
  <si>
    <t>2026-01-26 13:36:12</t>
  </si>
  <si>
    <t>2026-01-26 13:37:03</t>
  </si>
  <si>
    <t>2026-01-26 13:38:27</t>
  </si>
  <si>
    <t>2026-01-26 13:39:43</t>
  </si>
  <si>
    <t>2026-01-26 13:40:52</t>
  </si>
  <si>
    <t>2026-01-26 13:42:04</t>
  </si>
  <si>
    <t>2026-01-26 13:45:29</t>
  </si>
  <si>
    <t>2026-01-26 13:48:11</t>
  </si>
  <si>
    <t>2026-01-26 13:49:25</t>
  </si>
  <si>
    <t>2026-01-26 13:50:53</t>
  </si>
  <si>
    <t>2026-01-26 13:53:03</t>
  </si>
  <si>
    <t>2026-01-26 13:54:45</t>
  </si>
  <si>
    <t>2026-01-26 13:55:40</t>
  </si>
  <si>
    <t>2026-01-26 13:57:12</t>
  </si>
  <si>
    <t>2026-01-26 13:58:04</t>
  </si>
  <si>
    <t>2026-01-26 13:59:29</t>
  </si>
  <si>
    <t>2026-01-26 14:00:32</t>
  </si>
  <si>
    <t>2026-01-26 14:01:46</t>
  </si>
  <si>
    <t>2026-01-26 14:02:50</t>
  </si>
  <si>
    <t>2026-01-26 14:58:30</t>
  </si>
  <si>
    <t>2026-01-26 15:25:07</t>
  </si>
  <si>
    <t>2026-01-26 16:28:48</t>
  </si>
  <si>
    <t>2026-01-26 16:30:39</t>
  </si>
  <si>
    <t>2026-01-27 07:11:38</t>
  </si>
  <si>
    <t>2026-01-27 07:35:37</t>
  </si>
  <si>
    <t>2026-01-27 08:15:26</t>
  </si>
  <si>
    <t>2026-01-27 08:28:17</t>
  </si>
  <si>
    <t>2026-01-27 08:38:38</t>
  </si>
  <si>
    <t>2026-01-27 09:19:45</t>
  </si>
  <si>
    <t>2026-01-27 09:49:04</t>
  </si>
  <si>
    <t>2026-01-27 09:54:08</t>
  </si>
  <si>
    <t>2026-01-27 10:00:11</t>
  </si>
  <si>
    <t>2026-01-27 10:41:50</t>
  </si>
  <si>
    <t>2026-01-27 11:42:53</t>
  </si>
  <si>
    <t>2026-01-27 12:26:41</t>
  </si>
  <si>
    <t>2026-01-27 12:28:59</t>
  </si>
  <si>
    <t>2026-01-27 12:29:44</t>
  </si>
  <si>
    <t>2026-01-27 12:31:25</t>
  </si>
  <si>
    <t>2026-01-27 12:32:34</t>
  </si>
  <si>
    <t>2026-01-27 12:34:43</t>
  </si>
  <si>
    <t>2026-01-27 12:36:05</t>
  </si>
  <si>
    <t>2026-01-27 12:37:17</t>
  </si>
  <si>
    <t>2026-01-27 12:38:15</t>
  </si>
  <si>
    <t>2026-01-27 12:39:29</t>
  </si>
  <si>
    <t>2026-01-27 12:40:23</t>
  </si>
  <si>
    <t>2026-01-27 12:41:27</t>
  </si>
  <si>
    <t>2026-01-27 12:42:42</t>
  </si>
  <si>
    <t>2026-01-27 12:43:41</t>
  </si>
  <si>
    <t>2026-01-27 12:44:36</t>
  </si>
  <si>
    <t>2026-01-27 12:45:42</t>
  </si>
  <si>
    <t>2026-01-27 14:38:02</t>
  </si>
  <si>
    <t>2026-01-27 15:01:03</t>
  </si>
  <si>
    <t>2026-01-27 15:19:02</t>
  </si>
  <si>
    <t>2026-01-27 15:37:52</t>
  </si>
  <si>
    <t>2026-01-27 15:42:23</t>
  </si>
  <si>
    <t>2026-01-27 16:18:29</t>
  </si>
  <si>
    <t>2026-01-27 16:27:22</t>
  </si>
  <si>
    <t>2026-01-28 08:04:28</t>
  </si>
  <si>
    <t>2026-01-28 08:08:53</t>
  </si>
  <si>
    <t>2026-01-28 08:08:57</t>
  </si>
  <si>
    <t>2026-01-28 09:21:18</t>
  </si>
  <si>
    <t>2026-01-28 09:29:46</t>
  </si>
  <si>
    <t>2026-01-28 12:41:27</t>
  </si>
  <si>
    <t>2026-01-28 12:49:51</t>
  </si>
  <si>
    <t>2026-01-28 14:33:22</t>
  </si>
  <si>
    <t>2026-01-28 14:38:24</t>
  </si>
  <si>
    <t>2026-01-28 15:18:09</t>
  </si>
  <si>
    <t>2026-01-28 16:07:51</t>
  </si>
  <si>
    <t>2026-01-29 06:29:51</t>
  </si>
  <si>
    <t>2026-01-29 06:44:23</t>
  </si>
  <si>
    <t>2026-01-29 07:25:32</t>
  </si>
  <si>
    <t>2026-01-29 07:36:31</t>
  </si>
  <si>
    <t>2026-01-29 07:47:36</t>
  </si>
  <si>
    <t>2026-01-29 11:34:59</t>
  </si>
  <si>
    <t>2026-01-29 12:02:46</t>
  </si>
  <si>
    <t>2026-01-29 12:12:40</t>
  </si>
  <si>
    <t>2026-01-29 13:44:19</t>
  </si>
  <si>
    <t>2026-01-29 13:51:47</t>
  </si>
  <si>
    <t>2026-01-29 14:07:06</t>
  </si>
  <si>
    <t>2026-01-29 14:31:10</t>
  </si>
  <si>
    <t>2026-01-29 14:48:53</t>
  </si>
  <si>
    <t>2026-01-29 15:18:51</t>
  </si>
  <si>
    <t>2026-01-29 15:44:27</t>
  </si>
  <si>
    <t>2026-01-29 15:51:54</t>
  </si>
  <si>
    <t>2026-01-30 07:32:52</t>
  </si>
  <si>
    <t>2026-01-30 07:53:17</t>
  </si>
  <si>
    <t>2026-01-30 10:09:01</t>
  </si>
  <si>
    <t>2026-01-30 10:12:29</t>
  </si>
  <si>
    <t>2026-01-30 10:29:15</t>
  </si>
  <si>
    <t>2026-01-30 13:00:47</t>
  </si>
  <si>
    <t>2026-01-30 13:25:43</t>
  </si>
  <si>
    <t>2026-01-30 13:30:26</t>
  </si>
  <si>
    <t>2026-01-30 14:35:13</t>
  </si>
  <si>
    <t>2026-01-30 15:03:52</t>
  </si>
  <si>
    <t>2026-01-30 15:10:14</t>
  </si>
  <si>
    <t>2026-01-30 15:14:21</t>
  </si>
  <si>
    <t>2026-01-30 15:21:22</t>
  </si>
  <si>
    <t>2026-01-31 08:10:27</t>
  </si>
  <si>
    <t>2026-02-02 07:59:38</t>
  </si>
  <si>
    <t>2026-02-02 08:10:29</t>
  </si>
  <si>
    <t>2026-02-02 08:29:01</t>
  </si>
  <si>
    <t>2026-02-02 09:04:42</t>
  </si>
  <si>
    <t>2026-02-02 09:33:41</t>
  </si>
  <si>
    <t>2026-02-02 09:52:57</t>
  </si>
  <si>
    <t>2026-02-02 09:57:48</t>
  </si>
  <si>
    <t>2026-02-02 10:40:51</t>
  </si>
  <si>
    <t>2026-02-02 10:54:06</t>
  </si>
  <si>
    <t>2026-02-02 12:41:21</t>
  </si>
  <si>
    <t>2026-02-02 12:55:19</t>
  </si>
  <si>
    <t>2026-02-02 13:38:44</t>
  </si>
  <si>
    <t>2026-02-02 15:14:06</t>
  </si>
  <si>
    <t>2026-02-02 15:40:00</t>
  </si>
  <si>
    <t>2026-02-02 15:46:49</t>
  </si>
  <si>
    <t>2026-02-03 06:55:37</t>
  </si>
  <si>
    <t>2026-02-03 08:15:40</t>
  </si>
  <si>
    <t>2026-02-03 08:46:14</t>
  </si>
  <si>
    <t>2026-02-03 09:48:37</t>
  </si>
  <si>
    <t>2026-02-03 10:00:51</t>
  </si>
  <si>
    <t>2026-02-03 12:26:37</t>
  </si>
  <si>
    <t>2026-02-03 12:37:39</t>
  </si>
  <si>
    <t>2026-02-03 13:01:22</t>
  </si>
  <si>
    <t>2026-02-03 13:11:30</t>
  </si>
  <si>
    <t>2026-02-03 13:26:11</t>
  </si>
  <si>
    <t>2026-02-03 14:50:36</t>
  </si>
  <si>
    <t>2026-02-03 16:06:04</t>
  </si>
  <si>
    <t>2026-02-03 16:09:38</t>
  </si>
  <si>
    <t>2026-02-03 16:12:03</t>
  </si>
  <si>
    <t>2026-02-04 08:39:54</t>
  </si>
  <si>
    <t>2026-02-04 08:49:04</t>
  </si>
  <si>
    <t>2026-02-04 09:54:39</t>
  </si>
  <si>
    <t>2026-02-04 09:57:29</t>
  </si>
  <si>
    <t>2026-02-04 10:34:48</t>
  </si>
  <si>
    <t>2026-02-04 12:25:00</t>
  </si>
  <si>
    <t>2026-02-04 12:36:24</t>
  </si>
  <si>
    <t>2026-02-04 12:41:36</t>
  </si>
  <si>
    <t>2026-02-04 12:45:22</t>
  </si>
  <si>
    <t>2026-02-04 13:04:46</t>
  </si>
  <si>
    <t>2026-02-04 13:16:47</t>
  </si>
  <si>
    <t>2026-02-04 13:19:52</t>
  </si>
  <si>
    <t>2026-02-04 14:29:12</t>
  </si>
  <si>
    <t>2026-02-04 14:35:42</t>
  </si>
  <si>
    <t>2026-02-04 14:43:41</t>
  </si>
  <si>
    <t>2026-02-04 14:56:20</t>
  </si>
  <si>
    <t>2026-02-04 15:08:38</t>
  </si>
  <si>
    <t>2026-02-05 08:45:24</t>
  </si>
  <si>
    <t>2026-02-05 09:01:56</t>
  </si>
  <si>
    <t>2026-02-05 09:19:42</t>
  </si>
  <si>
    <t>2026-02-05 09:23:52</t>
  </si>
  <si>
    <t>2026-02-05 09:27:48</t>
  </si>
  <si>
    <t>2026-02-05 10:26:33</t>
  </si>
  <si>
    <t>2026-02-05 14:29:16</t>
  </si>
  <si>
    <t>2026-02-06 09:27:16</t>
  </si>
  <si>
    <t>2026-02-06 09:31:17</t>
  </si>
  <si>
    <t>2026-02-06 09:50:02</t>
  </si>
  <si>
    <t>2026-02-06 10:20:26</t>
  </si>
  <si>
    <t>2026-02-06 10:56:08</t>
  </si>
  <si>
    <t>2026-02-06 11:39:51</t>
  </si>
  <si>
    <t>2026-02-06 12:41:33</t>
  </si>
  <si>
    <t>2026-02-07 07:57:04</t>
  </si>
  <si>
    <t>2026-02-07 09:05:50</t>
  </si>
  <si>
    <t>2026-02-08 21:55:42</t>
  </si>
  <si>
    <t>2026-02-08 22:02:04</t>
  </si>
  <si>
    <t>2026-02-09 07:38:47</t>
  </si>
  <si>
    <t>2026-02-09 08:50:35</t>
  </si>
  <si>
    <t>2026-02-09 09:54:35</t>
  </si>
  <si>
    <t>2026-02-09 10:27:11</t>
  </si>
  <si>
    <t>2026-02-09 10:40:04</t>
  </si>
  <si>
    <t>2026-02-09 10:52:00</t>
  </si>
  <si>
    <t>2026-02-09 11:03:03</t>
  </si>
  <si>
    <t>2026-02-09 11:27:51</t>
  </si>
  <si>
    <t>2026-02-09 11:36:46</t>
  </si>
  <si>
    <t>2026-02-09 12:24:23</t>
  </si>
  <si>
    <t>2026-02-09 12:36:39</t>
  </si>
  <si>
    <t>2026-02-09 13:13:37</t>
  </si>
  <si>
    <t>2026-02-09 22:05:39</t>
  </si>
  <si>
    <t>2026-02-09 22:07:16</t>
  </si>
  <si>
    <t>2026-02-10 06:45:11</t>
  </si>
  <si>
    <t>2026-02-10 07:03:36</t>
  </si>
  <si>
    <t>2026-02-10 07:24:59</t>
  </si>
  <si>
    <t>2026-02-10 08:13:24</t>
  </si>
  <si>
    <t>2026-02-10 08:39:31</t>
  </si>
  <si>
    <t>2026-02-10 10:32:40</t>
  </si>
  <si>
    <t>2026-02-10 13:22:49</t>
  </si>
  <si>
    <t>2026-02-10 13:27:33</t>
  </si>
  <si>
    <t>2026-02-10 14:39:51</t>
  </si>
  <si>
    <t>2026-02-10 14:48:36</t>
  </si>
  <si>
    <t>2026-02-10 14:52:59</t>
  </si>
  <si>
    <t>2026-02-11 07:15:24</t>
  </si>
  <si>
    <t>2026-02-11 07:32:25</t>
  </si>
  <si>
    <t>2026-02-11 09:24:22</t>
  </si>
  <si>
    <t>2026-02-11 09:36:48</t>
  </si>
  <si>
    <t>2026-02-11 10:32:47</t>
  </si>
  <si>
    <t>2026-02-11 10:41:51</t>
  </si>
  <si>
    <t>2026-02-11 10:51:04</t>
  </si>
  <si>
    <t>2026-02-11 10:52:37</t>
  </si>
  <si>
    <t>2026-02-11 13:13:51</t>
  </si>
  <si>
    <t>2026-02-11 13:18:30</t>
  </si>
  <si>
    <t>2026-02-11 13:55:16</t>
  </si>
  <si>
    <t>2026-02-11 14:25:40</t>
  </si>
  <si>
    <t>2026-02-11 14:58:00</t>
  </si>
  <si>
    <t>2026-02-11 15:31:59</t>
  </si>
  <si>
    <t>2026-02-11 16:22:18</t>
  </si>
  <si>
    <t>2026-02-11 16:32:24</t>
  </si>
  <si>
    <t>2026-02-12 07:40:46</t>
  </si>
  <si>
    <t>2026-02-12 08:05:45</t>
  </si>
  <si>
    <t>2026-02-12 10:52:35</t>
  </si>
  <si>
    <t>2026-02-12 10:59:41</t>
  </si>
  <si>
    <t>2026-02-12 12:06:10</t>
  </si>
  <si>
    <t>2026-02-12 12:14:09</t>
  </si>
  <si>
    <t>2026-02-13 06:13:42</t>
  </si>
  <si>
    <t>2026-02-13 06:18:55</t>
  </si>
  <si>
    <t>2026-02-13 06:32:53</t>
  </si>
  <si>
    <t>2026-02-13 08:19:04</t>
  </si>
  <si>
    <t>2026-02-13 08:25:18</t>
  </si>
  <si>
    <t>2026-02-13 08:28:58</t>
  </si>
  <si>
    <t>2026-02-13 08:58:47</t>
  </si>
  <si>
    <t>2026-02-13 10:24:57</t>
  </si>
  <si>
    <t>2026-02-13 13:40:20</t>
  </si>
  <si>
    <t>2026-02-13 20:58:06</t>
  </si>
  <si>
    <t>2026-02-14 06:33:54</t>
  </si>
  <si>
    <t>2026-02-14 07:41:14</t>
  </si>
  <si>
    <t>2026-02-16 07:35:08</t>
  </si>
  <si>
    <t>2026-02-16 08:38:38</t>
  </si>
  <si>
    <t>2026-02-16 08:42:31</t>
  </si>
  <si>
    <t>2026-02-16 11:09:34</t>
  </si>
  <si>
    <t>2026-02-16 11:15:48</t>
  </si>
  <si>
    <t>2026-02-16 11:19:40</t>
  </si>
  <si>
    <t>2026-02-16 11:31:17</t>
  </si>
  <si>
    <t>2026-02-16 11:47:22</t>
  </si>
  <si>
    <t>2026-02-16 11:53:56</t>
  </si>
  <si>
    <t>2026-02-16 13:19:40</t>
  </si>
  <si>
    <t>2026-02-16 16:25:13</t>
  </si>
  <si>
    <t>2026-02-16 16:39:10</t>
  </si>
  <si>
    <t>2026-02-16 17:02:40</t>
  </si>
  <si>
    <t>2026-02-16 17:08:22</t>
  </si>
  <si>
    <t>2026-02-16 17:16:33</t>
  </si>
  <si>
    <t>2026-02-16 17:23:19</t>
  </si>
  <si>
    <t>2026-02-16 17:26:27</t>
  </si>
  <si>
    <t>2026-02-16 17:30:53</t>
  </si>
  <si>
    <t>2026-02-16 19:37:06</t>
  </si>
  <si>
    <t>2026-02-16 19:45:20</t>
  </si>
  <si>
    <t>2026-02-16 19:48:00</t>
  </si>
  <si>
    <t>2026-02-16 19:51:57</t>
  </si>
  <si>
    <t>2026-02-16 19:55:42</t>
  </si>
  <si>
    <t>2026-02-16 19:58:11</t>
  </si>
  <si>
    <t>2026-02-16 20:02:43</t>
  </si>
  <si>
    <t>2026-02-16 20:08:03</t>
  </si>
  <si>
    <t>2026-02-16 20:17:34</t>
  </si>
  <si>
    <t>2026-02-17 09:08:48</t>
  </si>
  <si>
    <t>2026-02-17 09:31:23</t>
  </si>
  <si>
    <t>2026-02-17 10:39:51</t>
  </si>
  <si>
    <t>2026-02-17 14:11:49</t>
  </si>
  <si>
    <t>2026-02-17 14:15:46</t>
  </si>
  <si>
    <t>2026-02-17 14:25:36</t>
  </si>
  <si>
    <t>2026-02-17 14:28:27</t>
  </si>
  <si>
    <t>2026-02-17 14:30:04</t>
  </si>
  <si>
    <t>2026-02-17 14:30:51</t>
  </si>
  <si>
    <t>2026-02-17 14:33:29</t>
  </si>
  <si>
    <t>2026-02-17 14:36:49</t>
  </si>
  <si>
    <t>2026-02-17 14:39:40</t>
  </si>
  <si>
    <t>2026-02-17 14:47:30</t>
  </si>
  <si>
    <t>2026-02-17 15:25:03</t>
  </si>
  <si>
    <t>2026-02-17 15:28:42</t>
  </si>
  <si>
    <t>2026-02-17 16:37:18</t>
  </si>
  <si>
    <t>2026-02-17 16:39:46</t>
  </si>
  <si>
    <t>2026-02-17 16:42:22</t>
  </si>
  <si>
    <t>2026-02-17 16:45:37</t>
  </si>
  <si>
    <t>2026-02-17 16:49:01</t>
  </si>
  <si>
    <t>2026-02-17 16:52:00</t>
  </si>
  <si>
    <t>2026-02-17 16:54:31</t>
  </si>
  <si>
    <t>2026-02-17 16:57:32</t>
  </si>
  <si>
    <t>2026-02-17 16:59:21</t>
  </si>
  <si>
    <t>2026-02-18 04:33:11</t>
  </si>
  <si>
    <t>2026-02-18 04:36:05</t>
  </si>
  <si>
    <t>2026-02-18 07:56:59</t>
  </si>
  <si>
    <t>2026-02-18 08:01:33</t>
  </si>
  <si>
    <t>2026-02-18 08:05:03</t>
  </si>
  <si>
    <t>2026-02-18 08:05:29</t>
  </si>
  <si>
    <t>2026-02-18 08:11:32</t>
  </si>
  <si>
    <t>2026-02-18 08:15:18</t>
  </si>
  <si>
    <t>2026-02-18 08:18:24</t>
  </si>
  <si>
    <t>2026-02-18 08:22:47</t>
  </si>
  <si>
    <t>2026-02-18 10:48:14</t>
  </si>
  <si>
    <t>2026-02-18 15:26:36</t>
  </si>
  <si>
    <t>2026-02-18 15:28:52</t>
  </si>
  <si>
    <t>2026-02-18 17:46:56</t>
  </si>
  <si>
    <t>2026-02-19 10:46:35</t>
  </si>
  <si>
    <t>2026-02-19 11:47:48</t>
  </si>
  <si>
    <t>2026-02-19 16:34:35</t>
  </si>
  <si>
    <t>2026-02-20 09:28:21</t>
  </si>
  <si>
    <t>2026-02-20 11:55:02</t>
  </si>
  <si>
    <t>2026-02-20 12:27:14</t>
  </si>
  <si>
    <t>2026-02-20 14:08:56</t>
  </si>
  <si>
    <t>2026-02-20 14:42:14</t>
  </si>
  <si>
    <t>2026-02-20 14:49:05</t>
  </si>
  <si>
    <t>2026-02-20 14:58:21</t>
  </si>
  <si>
    <t>2026-02-21 08:42:23</t>
  </si>
  <si>
    <t>2026-02-21 09:52:12</t>
  </si>
  <si>
    <t>2026-02-21 10:31:39</t>
  </si>
  <si>
    <t>2026-02-23 11:11:15</t>
  </si>
  <si>
    <t>2026-02-23 14:18:06</t>
  </si>
  <si>
    <t>2026-02-23 14:47:16</t>
  </si>
  <si>
    <t>2026-02-23 19:53:37</t>
  </si>
  <si>
    <t>2026-02-24 07:22:00</t>
  </si>
  <si>
    <t>2026-02-24 08:52:59</t>
  </si>
  <si>
    <t>2026-02-24 09:20:30</t>
  </si>
  <si>
    <t>2026-02-24 11:14:02</t>
  </si>
  <si>
    <t>2026-02-24 12:08:45</t>
  </si>
  <si>
    <t>2026-02-24 12:49:06</t>
  </si>
  <si>
    <t>2026-02-24 13:17:18</t>
  </si>
  <si>
    <t>2026-02-24 13:43:27</t>
  </si>
  <si>
    <t>2026-02-24 15:05:16</t>
  </si>
  <si>
    <t>2026-02-24 15:08:23</t>
  </si>
  <si>
    <t>2026-02-25 11:43:49</t>
  </si>
  <si>
    <t>2026-02-25 12:39:42</t>
  </si>
  <si>
    <t>2026-02-25 13:11:56</t>
  </si>
  <si>
    <t>2026-02-25 14:18:53</t>
  </si>
  <si>
    <t>2026-02-25 14:31:36</t>
  </si>
  <si>
    <t>2026-02-25 15:27:31</t>
  </si>
  <si>
    <t>2026-02-26 07:58:52</t>
  </si>
  <si>
    <t>2026-02-26 10:51:52</t>
  </si>
  <si>
    <t>2026-02-26 15:11:37</t>
  </si>
  <si>
    <t>2026-02-26 15:54:23</t>
  </si>
  <si>
    <t>2026-02-26 16:41:27</t>
  </si>
  <si>
    <t>2026-02-26 19:08:28</t>
  </si>
  <si>
    <t>2026-02-26 19:31:45</t>
  </si>
  <si>
    <t>2026-02-26 19:36:33</t>
  </si>
  <si>
    <t>2026-02-26 19:55:49</t>
  </si>
  <si>
    <t>2026-02-27 07:13:37</t>
  </si>
  <si>
    <t>2026-02-27 08:27:17</t>
  </si>
  <si>
    <t>2026-02-27 08:39:48</t>
  </si>
  <si>
    <t>2026-02-27 09:21:38</t>
  </si>
  <si>
    <t>2026-02-27 12:23:17</t>
  </si>
  <si>
    <t>2026-02-27 21:35:04</t>
  </si>
  <si>
    <t>2026-02-28 08:09:39</t>
  </si>
  <si>
    <t>2026-02-28 08:36:33</t>
  </si>
  <si>
    <t>2026-03-02 13:04:52</t>
  </si>
  <si>
    <t>2026-03-02 14:12:02</t>
  </si>
  <si>
    <t>2026-03-02 14:15:42</t>
  </si>
  <si>
    <t>2026-03-02 14:18:52</t>
  </si>
  <si>
    <t>2026-03-02 14:20:50</t>
  </si>
  <si>
    <t>2026-03-02 14:27:36</t>
  </si>
  <si>
    <t>2026-03-02 14:29:24</t>
  </si>
  <si>
    <t>2026-03-02 14:34:39</t>
  </si>
  <si>
    <t>2026-03-02 14:36:05</t>
  </si>
  <si>
    <t>2026-03-02 14:37:50</t>
  </si>
  <si>
    <t>2026-03-02 14:39:53</t>
  </si>
  <si>
    <t>2026-03-02 14:41:42</t>
  </si>
  <si>
    <t>2026-03-02 14:43:42</t>
  </si>
  <si>
    <t>2026-03-02 14:47:09</t>
  </si>
  <si>
    <t>2026-03-02 14:48:49</t>
  </si>
  <si>
    <t>2026-03-02 14:50:54</t>
  </si>
  <si>
    <t>2026-03-02 14:52:30</t>
  </si>
  <si>
    <t>2026-03-02 14:54:33</t>
  </si>
  <si>
    <t>2026-03-02 14:56:00</t>
  </si>
  <si>
    <t>2026-03-02 14:59:42</t>
  </si>
  <si>
    <t>2026-03-02 15:02:00</t>
  </si>
  <si>
    <t>2026-03-02 15:18:49</t>
  </si>
  <si>
    <t>2026-03-03 07:41:10</t>
  </si>
  <si>
    <t>2026-03-03 08:58:28</t>
  </si>
  <si>
    <t>2026-03-04 06:53:54</t>
  </si>
  <si>
    <t>2026-03-04 08:33:47</t>
  </si>
  <si>
    <t>2026-03-04 09:03:10</t>
  </si>
  <si>
    <t>2026-03-04 09:27:01</t>
  </si>
  <si>
    <t>2026-03-04 13:51:27</t>
  </si>
  <si>
    <t>2026-03-04 14:52:22</t>
  </si>
  <si>
    <t>2026-03-04 15:57:17</t>
  </si>
  <si>
    <t>2026-03-05 07:40:21</t>
  </si>
  <si>
    <t>2026-03-05 08:26:20</t>
  </si>
  <si>
    <t>2026-03-05 08:50:43</t>
  </si>
  <si>
    <t>2026-03-05 09:08:00</t>
  </si>
  <si>
    <t>2026-03-05 09:42:35</t>
  </si>
  <si>
    <t>2026-03-05 09:48:59</t>
  </si>
  <si>
    <t>2026-03-05 10:12:11</t>
  </si>
  <si>
    <t>2026-03-05 10:28:17</t>
  </si>
  <si>
    <t>2026-03-05 12:44:41</t>
  </si>
  <si>
    <t>2026-03-05 13:47:03</t>
  </si>
  <si>
    <t>2026-03-05 14:02:37</t>
  </si>
  <si>
    <t>2026-03-05 14:13:15</t>
  </si>
  <si>
    <t>2026-03-05 14:28:52</t>
  </si>
  <si>
    <t>2026-03-05 14:31:40</t>
  </si>
  <si>
    <t>2026-03-05 14:51:57</t>
  </si>
  <si>
    <t>2026-03-05 14:59:33</t>
  </si>
  <si>
    <t>2026-03-05 15:16:10</t>
  </si>
  <si>
    <t>2026-03-05 15:27:01</t>
  </si>
  <si>
    <t>2026-03-05 15:32:37</t>
  </si>
  <si>
    <t>2026-03-05 15:47:16</t>
  </si>
  <si>
    <t>2026-03-05 15:55:21</t>
  </si>
  <si>
    <t>2026-03-06 06:08:30</t>
  </si>
  <si>
    <t>2026-03-06 06:52:52</t>
  </si>
  <si>
    <t>2026-03-06 07:24:51</t>
  </si>
  <si>
    <t>2026-03-06 08:33:34</t>
  </si>
  <si>
    <t>2026-03-06 08:41:35</t>
  </si>
  <si>
    <t>2026-03-06 08:59:55</t>
  </si>
  <si>
    <t>2026-03-06 09:54:25</t>
  </si>
  <si>
    <t>2026-03-06 10:23:37</t>
  </si>
  <si>
    <t>2026-03-06 13:09:25</t>
  </si>
  <si>
    <t>2026-03-06 13:29:31</t>
  </si>
  <si>
    <t>2026-03-06 13:37:05</t>
  </si>
  <si>
    <t>2026-03-06 14:11:18</t>
  </si>
  <si>
    <t>2026-03-06 14:45:17</t>
  </si>
  <si>
    <t>2026-03-07 07:32:52</t>
  </si>
  <si>
    <t>2026-03-07 08:35:44</t>
  </si>
  <si>
    <t>2026-03-07 08:40:29</t>
  </si>
  <si>
    <t>2026-03-07 08:57:27</t>
  </si>
  <si>
    <t>2026-03-07 09:03:34</t>
  </si>
  <si>
    <t>2026-03-07 09:24:45</t>
  </si>
  <si>
    <t>2026-03-07 09:41:34</t>
  </si>
  <si>
    <t>2026-03-07 10:13:28</t>
  </si>
  <si>
    <t>2026-03-09 06:19:07</t>
  </si>
  <si>
    <t>2026-03-09 06:58:22</t>
  </si>
  <si>
    <t>2026-03-09 07:00:11</t>
  </si>
  <si>
    <t>2026-03-09 07:07:03</t>
  </si>
  <si>
    <t>2026-03-09 07:11:48</t>
  </si>
  <si>
    <t>2026-03-09 07:31:00</t>
  </si>
  <si>
    <t>2026-03-09 07:37:57</t>
  </si>
  <si>
    <t>2026-03-09 07:42:38</t>
  </si>
  <si>
    <t>2026-03-09 08:16:31</t>
  </si>
  <si>
    <t>2026-03-09 08:29:01</t>
  </si>
  <si>
    <t>2026-03-09 08:38:05</t>
  </si>
  <si>
    <t>2026-03-09 08:50:50</t>
  </si>
  <si>
    <t>2026-03-09 09:12:55</t>
  </si>
  <si>
    <t>2026-03-09 09:19:09</t>
  </si>
  <si>
    <t>2026-03-09 09:21:50</t>
  </si>
  <si>
    <t>2026-03-09 09:24:48</t>
  </si>
  <si>
    <t>2026-03-09 10:07:56</t>
  </si>
  <si>
    <t>2026-03-09 10:09:27</t>
  </si>
  <si>
    <t>2026-03-09 13:29:43</t>
  </si>
  <si>
    <t>2026-03-09 13:42:00</t>
  </si>
  <si>
    <t>2026-03-09 13:45:45</t>
  </si>
  <si>
    <t>2026-03-09 13:55:50</t>
  </si>
  <si>
    <t>2026-03-09 14:11:32</t>
  </si>
  <si>
    <t>2026-03-09 14:22:48</t>
  </si>
  <si>
    <t>2026-03-09 14:32:55</t>
  </si>
  <si>
    <t>2026-03-09 16:04:58</t>
  </si>
  <si>
    <t>2026-03-09 16:10:31</t>
  </si>
  <si>
    <t>2026-03-09 16:16:57</t>
  </si>
  <si>
    <t>2026-03-10 07:37:42</t>
  </si>
  <si>
    <t>2026-03-10 08:27:04</t>
  </si>
  <si>
    <t>2026-03-10 09:16:56</t>
  </si>
  <si>
    <t>2026-03-10 11:32:31</t>
  </si>
  <si>
    <t>2026-03-10 11:38:21</t>
  </si>
  <si>
    <t>2026-03-10 11:42:47</t>
  </si>
  <si>
    <t>2026-03-10 11:47:24</t>
  </si>
  <si>
    <t>2026-03-10 11:53:46</t>
  </si>
  <si>
    <t>2026-03-10 13:34:54</t>
  </si>
  <si>
    <t>2026-03-10 13:48:00</t>
  </si>
  <si>
    <t>2026-03-10 13:51:54</t>
  </si>
  <si>
    <t>2026-03-10 13:57:04</t>
  </si>
  <si>
    <t>2026-03-10 14:21:25</t>
  </si>
  <si>
    <t>2026-03-10 14:30:23</t>
  </si>
  <si>
    <t>2026-03-10 15:34:20</t>
  </si>
  <si>
    <t>2026-03-10 15:42:50</t>
  </si>
  <si>
    <t>2026-03-10 16:01:05</t>
  </si>
  <si>
    <t>2026-03-10 16:18:19</t>
  </si>
  <si>
    <t>2026-03-11 06:09:59</t>
  </si>
  <si>
    <t>2026-03-11 06:54:41</t>
  </si>
  <si>
    <t>2026-03-11 07:06:57</t>
  </si>
  <si>
    <t>2026-03-11 07:44:57</t>
  </si>
  <si>
    <t>2026-03-11 08:27:48</t>
  </si>
  <si>
    <t>2026-03-11 08:32:54</t>
  </si>
  <si>
    <t>2026-03-11 08:36:44</t>
  </si>
  <si>
    <t>2026-03-11 09:52:29</t>
  </si>
  <si>
    <t>2026-03-11 09:55:05</t>
  </si>
  <si>
    <t>2026-03-11 10:00:04</t>
  </si>
  <si>
    <t>2026-03-11 10:11:55</t>
  </si>
  <si>
    <t>2026-03-11 10:19:51</t>
  </si>
  <si>
    <t>2026-03-11 13:07:58</t>
  </si>
  <si>
    <t>2026-03-11 13:33:38</t>
  </si>
  <si>
    <t>2026-03-11 13:47:45</t>
  </si>
  <si>
    <t>2026-03-11 14:37:42</t>
  </si>
  <si>
    <t>2026-03-11 14:40:59</t>
  </si>
  <si>
    <t>2026-03-11 15:31:30</t>
  </si>
  <si>
    <t>2026-03-11 16:13:59</t>
  </si>
  <si>
    <t>2026-03-11 20:04:31</t>
  </si>
  <si>
    <t>2026-03-12 06:44:47</t>
  </si>
  <si>
    <t>2026-03-12 07:33:40</t>
  </si>
  <si>
    <t>2026-03-12 07:53:21</t>
  </si>
  <si>
    <t>2026-03-12 08:18:30</t>
  </si>
  <si>
    <t>2026-03-12 08:53:43</t>
  </si>
  <si>
    <t>2026-03-12 09:45:16</t>
  </si>
  <si>
    <t>2026-03-12 10:06:49</t>
  </si>
  <si>
    <t>2026-03-12 10:11:16</t>
  </si>
  <si>
    <t>2026-03-12 10:14:47</t>
  </si>
  <si>
    <t>2026-03-12 10:28:37</t>
  </si>
  <si>
    <t>2026-03-12 10:44:19</t>
  </si>
  <si>
    <t>2026-03-12 12:38:31</t>
  </si>
  <si>
    <t>2026-03-12 14:18:18</t>
  </si>
  <si>
    <t>2026-03-12 14:20:50</t>
  </si>
  <si>
    <t>2026-03-12 14:23:15</t>
  </si>
  <si>
    <t>2026-03-12 14:27:06</t>
  </si>
  <si>
    <t>2026-03-12 14:31:54</t>
  </si>
  <si>
    <t>2026-03-12 14:38:36</t>
  </si>
  <si>
    <t>2026-03-12 14:44:57</t>
  </si>
  <si>
    <t>2026-03-12 15:06:36</t>
  </si>
  <si>
    <t>2026-03-12 16:01:31</t>
  </si>
  <si>
    <t>2026-03-13 07:35:54</t>
  </si>
  <si>
    <t>2026-03-13 07:59:45</t>
  </si>
  <si>
    <t>2026-03-13 08:04:57</t>
  </si>
  <si>
    <t>2026-03-13 08:54:03</t>
  </si>
  <si>
    <t>2026-03-13 09:11:09</t>
  </si>
  <si>
    <t>2026-03-13 09:19:44</t>
  </si>
  <si>
    <t>2026-03-13 09:32:02</t>
  </si>
  <si>
    <t>2026-03-13 09:52:24</t>
  </si>
  <si>
    <t>2026-03-13 10:11:23</t>
  </si>
  <si>
    <t>2026-03-13 12:36:22</t>
  </si>
  <si>
    <t>2026-03-13 13:05:50</t>
  </si>
  <si>
    <t>2026-03-13 13:29:52</t>
  </si>
  <si>
    <t>2026-03-13 13:43:42</t>
  </si>
  <si>
    <t>2026-03-13 14:04:53</t>
  </si>
  <si>
    <t>2026-03-13 14:53:26</t>
  </si>
  <si>
    <t>2026-03-14 08:19:42</t>
  </si>
  <si>
    <t>2026-03-14 10:01:02</t>
  </si>
  <si>
    <t>2026-03-14 10:24:26</t>
  </si>
  <si>
    <t>2026-03-15 15:20:52</t>
  </si>
  <si>
    <t>2026-03-15 15:24:23</t>
  </si>
  <si>
    <t>2026-03-15 15:27:19</t>
  </si>
  <si>
    <t>2026-03-16 09:19:19</t>
  </si>
  <si>
    <t>2026-03-16 09:24:19</t>
  </si>
  <si>
    <t>2026-03-16 09:28:14</t>
  </si>
  <si>
    <t>2026-03-16 09:33:50</t>
  </si>
  <si>
    <t>2026-03-16 09:36:05</t>
  </si>
  <si>
    <t>2026-03-16 09:38:32</t>
  </si>
  <si>
    <t>2026-03-16 09:41:09</t>
  </si>
  <si>
    <t>2026-03-16 09:43:08</t>
  </si>
  <si>
    <t>2026-03-16 10:00:14</t>
  </si>
  <si>
    <t>2026-03-16 10:06:40</t>
  </si>
  <si>
    <t>2026-03-16 12:50:29</t>
  </si>
  <si>
    <t>2026-03-16 12:57:59</t>
  </si>
  <si>
    <t>2026-03-16 14:22:45</t>
  </si>
  <si>
    <t>2026-03-16 14:33:11</t>
  </si>
  <si>
    <t>2026-03-16 15:02:19</t>
  </si>
  <si>
    <t>2026-03-16 15:20:36</t>
  </si>
  <si>
    <t>2026-03-16 15:29:31</t>
  </si>
  <si>
    <t>2026-03-16 16:04:56</t>
  </si>
  <si>
    <t>2026-03-17 06:32:43</t>
  </si>
  <si>
    <t>2026-03-17 06:37:03</t>
  </si>
  <si>
    <t>2026-03-17 06:43:48</t>
  </si>
  <si>
    <t>2026-03-17 08:13:37</t>
  </si>
  <si>
    <t>2026-03-17 08:17:34</t>
  </si>
  <si>
    <t>2026-03-17 08:40:42</t>
  </si>
  <si>
    <t>2026-03-17 08:44:23</t>
  </si>
  <si>
    <t>2026-03-17 08:52:38</t>
  </si>
  <si>
    <t>2026-03-17 09:04:14</t>
  </si>
  <si>
    <t>2026-03-17 09:10:10</t>
  </si>
  <si>
    <t>2026-03-17 09:27:32</t>
  </si>
  <si>
    <t>2026-03-17 10:27:06</t>
  </si>
  <si>
    <t>2026-03-17 12:43:13</t>
  </si>
  <si>
    <t>2026-03-17 12:48:49</t>
  </si>
  <si>
    <t>2026-03-17 12:57:36</t>
  </si>
  <si>
    <t>2026-03-17 13:00:52</t>
  </si>
  <si>
    <t>2026-03-17 13:22:44</t>
  </si>
  <si>
    <t>2026-03-17 14:01:45</t>
  </si>
  <si>
    <t>2026-03-17 14:17:26</t>
  </si>
  <si>
    <t>2026-03-17 14:26:37</t>
  </si>
  <si>
    <t>2026-03-18 06:54:35</t>
  </si>
  <si>
    <t>2026-03-18 07:23:14</t>
  </si>
  <si>
    <t>2026-03-18 08:45:21</t>
  </si>
  <si>
    <t>2026-03-18 08:55:43</t>
  </si>
  <si>
    <t>2026-03-18 09:02:07</t>
  </si>
  <si>
    <t>2026-03-18 09:09:13</t>
  </si>
  <si>
    <t>2026-03-18 09:14:04</t>
  </si>
  <si>
    <t>2026-03-18 09:41:53</t>
  </si>
  <si>
    <t>2026-03-18 09:48:00</t>
  </si>
  <si>
    <t>2026-03-18 09:50:08</t>
  </si>
  <si>
    <t>2026-03-18 09:53:23</t>
  </si>
  <si>
    <t>2026-03-18 09:58:20</t>
  </si>
  <si>
    <t>2026-03-18 10:08:37</t>
  </si>
  <si>
    <t>2026-03-18 10:29:18</t>
  </si>
  <si>
    <t>2026-03-18 10:46:04</t>
  </si>
  <si>
    <t>2026-03-18 13:16:00</t>
  </si>
  <si>
    <t>2026-03-18 13:20:20</t>
  </si>
  <si>
    <t>2026-03-18 13:38:53</t>
  </si>
  <si>
    <t>2026-03-18 15:00:41</t>
  </si>
  <si>
    <t>2026-03-18 15:23:42</t>
  </si>
  <si>
    <t>2026-03-18 15:29:55</t>
  </si>
  <si>
    <t>2026-03-18 15:31:16</t>
  </si>
  <si>
    <t>2026-03-18 15:35:18</t>
  </si>
  <si>
    <t>2026-03-18 15:59:35</t>
  </si>
  <si>
    <t>2026-03-18 16:02:47</t>
  </si>
  <si>
    <t>2026-03-19 07:12:10</t>
  </si>
  <si>
    <t>2026-03-19 07:42:31</t>
  </si>
  <si>
    <t>2026-03-19 07:57:20</t>
  </si>
  <si>
    <t>2026-03-19 08:22:34</t>
  </si>
  <si>
    <t>2026-03-19 08:25:30</t>
  </si>
  <si>
    <t>2026-03-19 08:36:18</t>
  </si>
  <si>
    <t>2026-03-19 08:49:13</t>
  </si>
  <si>
    <t>2026-03-19 08:55:02</t>
  </si>
  <si>
    <t>2026-03-19 09:02:08</t>
  </si>
  <si>
    <t>2026-03-19 09:08:46</t>
  </si>
  <si>
    <t>2026-03-19 09:19:01</t>
  </si>
  <si>
    <t>2026-03-19 09:35:43</t>
  </si>
  <si>
    <t>2026-03-19 09:57:03</t>
  </si>
  <si>
    <t>2026-03-19 11:22:02</t>
  </si>
  <si>
    <t>2026-03-19 13:02:47</t>
  </si>
  <si>
    <t>2026-03-19 13:19:22</t>
  </si>
  <si>
    <t>2026-03-19 13:24:58</t>
  </si>
  <si>
    <t>2026-03-19 13:33:59</t>
  </si>
  <si>
    <t>2026-03-19 13:42:33</t>
  </si>
  <si>
    <t>2026-03-19 14:41:38</t>
  </si>
  <si>
    <t>2026-03-19 14:56:46</t>
  </si>
  <si>
    <t>2026-03-19 15:13:39</t>
  </si>
  <si>
    <t>2026-03-19 16:09:44</t>
  </si>
  <si>
    <t>2026-03-20 06:21:00</t>
  </si>
  <si>
    <t>2026-03-20 06:40:14</t>
  </si>
  <si>
    <t>2026-03-20 06:58:48</t>
  </si>
  <si>
    <t>2026-03-20 07:57:01</t>
  </si>
  <si>
    <t>2026-03-20 08:29:36</t>
  </si>
  <si>
    <t>2026-03-20 09:09:07</t>
  </si>
  <si>
    <t>2026-03-20 12:39:36</t>
  </si>
  <si>
    <t>2026-03-20 13:01:35</t>
  </si>
  <si>
    <t>2026-03-20 13:06:36</t>
  </si>
  <si>
    <t>2026-03-20 13:22:34</t>
  </si>
  <si>
    <t>2026-03-20 13:25:58</t>
  </si>
  <si>
    <t>2026-03-20 13:35:30</t>
  </si>
  <si>
    <t>2026-03-20 13:41:57</t>
  </si>
  <si>
    <t>2026-03-20 13:53:49</t>
  </si>
  <si>
    <t>2026-03-20 14:21:11</t>
  </si>
  <si>
    <t>2026-03-20 14:52:40</t>
  </si>
  <si>
    <t>2026-03-20 15:12:28</t>
  </si>
  <si>
    <t>2026-03-20 16:08:02</t>
  </si>
  <si>
    <t>2026-03-21 07:20:43</t>
  </si>
  <si>
    <t>2026-03-21 07:34:24</t>
  </si>
  <si>
    <t>2026-03-21 09:02:55</t>
  </si>
  <si>
    <t>2026-03-21 10:14:41</t>
  </si>
  <si>
    <t>2026-03-21 10:19:01</t>
  </si>
  <si>
    <t>2026-03-21 10:24:13</t>
  </si>
  <si>
    <t>2026-03-23 06:02:46</t>
  </si>
  <si>
    <t>2026-03-23 06:48:51</t>
  </si>
  <si>
    <t>2026-03-23 07:14:19</t>
  </si>
  <si>
    <t>2026-03-23 07:42:18</t>
  </si>
  <si>
    <t>2026-03-23 09:09:53</t>
  </si>
  <si>
    <t>2026-03-23 09:42:13</t>
  </si>
  <si>
    <t>2026-03-23 09:44:18</t>
  </si>
  <si>
    <t>2026-03-23 09:51:00</t>
  </si>
  <si>
    <t>2026-03-23 10:01:13</t>
  </si>
  <si>
    <t>2026-03-23 10:25:53</t>
  </si>
  <si>
    <t>2026-03-23 10:29:05</t>
  </si>
  <si>
    <t>2026-03-23 10:35:54</t>
  </si>
  <si>
    <t>2026-03-23 10:44:43</t>
  </si>
  <si>
    <t>2026-03-23 12:35:28</t>
  </si>
  <si>
    <t>2026-03-23 13:27:00</t>
  </si>
  <si>
    <t>2026-03-23 13:32:28</t>
  </si>
  <si>
    <t>2026-03-23 14:31:27</t>
  </si>
  <si>
    <t>2026-03-23 14:54:27</t>
  </si>
  <si>
    <t>2026-03-23 15:02:12</t>
  </si>
  <si>
    <t>2026-03-23 15:06:26</t>
  </si>
  <si>
    <t>2026-03-23 15:08:50</t>
  </si>
  <si>
    <t>2026-03-23 15:18:56</t>
  </si>
  <si>
    <t>2026-03-23 15:50:13</t>
  </si>
  <si>
    <t>2026-03-23 16:04:25</t>
  </si>
  <si>
    <t>2026-03-23 16:21:14</t>
  </si>
  <si>
    <t>2026-03-24 06:07:42</t>
  </si>
  <si>
    <t>2026-03-24 07:41:56</t>
  </si>
  <si>
    <t>2026-03-24 08:09:24</t>
  </si>
  <si>
    <t>2026-03-24 08:26:07</t>
  </si>
  <si>
    <t>2026-03-24 09:03:30</t>
  </si>
  <si>
    <t>2026-03-24 10:32:19</t>
  </si>
  <si>
    <t>2026-03-24 11:40:46</t>
  </si>
  <si>
    <t>2026-03-24 11:47:50</t>
  </si>
  <si>
    <t>2026-03-24 13:07:11</t>
  </si>
  <si>
    <t>2026-03-24 13:17:12</t>
  </si>
  <si>
    <t>2026-03-24 13:21:49</t>
  </si>
  <si>
    <t>2026-03-24 13:35:00</t>
  </si>
  <si>
    <t>2026-03-24 13:42:01</t>
  </si>
  <si>
    <t>2026-03-24 14:45:03</t>
  </si>
  <si>
    <t>2026-03-24 14:47:29</t>
  </si>
  <si>
    <t>2026-03-24 14:51:15</t>
  </si>
  <si>
    <t>2026-03-24 14:56:35</t>
  </si>
  <si>
    <t>2026-03-24 15:01:27</t>
  </si>
  <si>
    <t>2026-03-24 15:13:01</t>
  </si>
  <si>
    <t>2026-03-24 15:41:58</t>
  </si>
  <si>
    <t>2026-03-25 09:07:39</t>
  </si>
  <si>
    <t>2026-03-25 09:21:13</t>
  </si>
  <si>
    <t>2026-03-25 09:21:57</t>
  </si>
  <si>
    <t>2026-03-25 09:27:01</t>
  </si>
  <si>
    <t>2026-03-25 12:00:19</t>
  </si>
  <si>
    <t>2026-03-25 12:03:34</t>
  </si>
  <si>
    <t>2026-03-25 13:31:52</t>
  </si>
  <si>
    <t>2026-03-25 13:47:21</t>
  </si>
  <si>
    <t>2026-03-25 13:50:57</t>
  </si>
  <si>
    <t>2026-03-25 13:55:51</t>
  </si>
  <si>
    <t>2026-03-25 13:59:04</t>
  </si>
  <si>
    <t>2026-03-25 14:11:07</t>
  </si>
  <si>
    <t>2026-03-25 14:29:42</t>
  </si>
  <si>
    <t>2026-03-25 15:34:38</t>
  </si>
  <si>
    <t>2026-03-26 07:19:52</t>
  </si>
  <si>
    <t>2026-03-26 07:23:47</t>
  </si>
  <si>
    <t>2026-03-26 07:26:25</t>
  </si>
  <si>
    <t>2026-03-26 07:34:21</t>
  </si>
  <si>
    <t>2026-03-26 07:42:02</t>
  </si>
  <si>
    <t>2026-03-26 07:46:34</t>
  </si>
  <si>
    <t>2026-03-26 08:05:08</t>
  </si>
  <si>
    <t>2026-03-26 08:38:10</t>
  </si>
  <si>
    <t>2026-03-26 08:42:35</t>
  </si>
  <si>
    <t>2026-03-26 08:43:01</t>
  </si>
  <si>
    <t>2026-03-26 09:40:13</t>
  </si>
  <si>
    <t>2026-03-26 09:45:45</t>
  </si>
  <si>
    <t>2026-03-26 10:01:38</t>
  </si>
  <si>
    <t>2026-03-26 10:05:35</t>
  </si>
  <si>
    <t>2026-03-26 10:23:47</t>
  </si>
  <si>
    <t>2026-03-26 10:30:09</t>
  </si>
  <si>
    <t>2026-03-26 12:16:55</t>
  </si>
  <si>
    <t>2026-03-26 12:41:06</t>
  </si>
  <si>
    <t>2026-03-26 13:40:47</t>
  </si>
  <si>
    <t>2026-03-26 13:46:08</t>
  </si>
  <si>
    <t>2026-03-26 13:52:59</t>
  </si>
  <si>
    <t>2026-03-26 14:25:20</t>
  </si>
  <si>
    <t>2026-03-26 14:40:51</t>
  </si>
  <si>
    <t>2026-03-26 15:01:51</t>
  </si>
  <si>
    <t>2026-03-26 16:48:54</t>
  </si>
  <si>
    <t>2026-03-26 20:53:53</t>
  </si>
  <si>
    <t>2026-03-26 21:09:24</t>
  </si>
  <si>
    <t>2026-03-27 07:16:44</t>
  </si>
  <si>
    <t>2026-03-27 07:58:20</t>
  </si>
  <si>
    <t>2026-03-27 08:20:39</t>
  </si>
  <si>
    <t>2026-03-27 08:38:27</t>
  </si>
  <si>
    <t>2026-03-27 08:56:29</t>
  </si>
  <si>
    <t>2026-03-27 10:12:02</t>
  </si>
  <si>
    <t>2026-03-27 10:20:13</t>
  </si>
  <si>
    <t>2026-03-27 10:31:33</t>
  </si>
  <si>
    <t>2026-03-27 10:40:58</t>
  </si>
  <si>
    <t>2026-03-27 13:21:00</t>
  </si>
  <si>
    <t>2026-03-28 08:19:54</t>
  </si>
  <si>
    <t>2026-03-28 08:27:53</t>
  </si>
  <si>
    <t>2026-03-28 08:49:22</t>
  </si>
  <si>
    <t>2026-03-28 08:58:08</t>
  </si>
  <si>
    <t>2026-03-30 05:49:24</t>
  </si>
  <si>
    <t>2026-03-30 06:25:16</t>
  </si>
  <si>
    <t>2026-03-30 07:19:27</t>
  </si>
  <si>
    <t>2026-03-30 07:26:04</t>
  </si>
  <si>
    <t>2026-03-30 07:30:39</t>
  </si>
  <si>
    <t>2026-03-30 07:51:41</t>
  </si>
  <si>
    <t>2026-03-30 07:58:19</t>
  </si>
  <si>
    <t>2026-03-30 08:14:58</t>
  </si>
  <si>
    <t>2026-03-30 08:18:09</t>
  </si>
  <si>
    <t>2026-03-30 08:49:11</t>
  </si>
  <si>
    <t>2026-03-30 09:02:14</t>
  </si>
  <si>
    <t>2026-03-30 09:35:20</t>
  </si>
  <si>
    <t>2026-03-30 10:47:28</t>
  </si>
  <si>
    <t>2026-03-30 11:41:01</t>
  </si>
  <si>
    <t>2026-03-30 11:44:34</t>
  </si>
  <si>
    <t>2026-03-30 11:49:14</t>
  </si>
  <si>
    <t>2026-03-30 11:56:55</t>
  </si>
  <si>
    <t>2026-03-30 14:16:38</t>
  </si>
  <si>
    <t>2026-03-30 14:20:34</t>
  </si>
  <si>
    <t>2026-03-30 14:23:06</t>
  </si>
  <si>
    <t>2026-03-30 14:39:35</t>
  </si>
  <si>
    <t>2026-03-30 15:57:08</t>
  </si>
  <si>
    <t>2026-03-30 16:01:26</t>
  </si>
  <si>
    <t>2026-03-31 06:54:16</t>
  </si>
  <si>
    <t>2026-03-31 07:01:19</t>
  </si>
  <si>
    <t>2026-03-31 07:11:08</t>
  </si>
  <si>
    <t>2026-03-31 07:54:05</t>
  </si>
  <si>
    <t>2026-03-31 08:19:02</t>
  </si>
  <si>
    <t>2026-03-31 08:28:17</t>
  </si>
  <si>
    <t>2026-03-31 08:57:45</t>
  </si>
  <si>
    <t>2026-03-31 09:27:56</t>
  </si>
  <si>
    <t>2026-03-31 10:08:22</t>
  </si>
  <si>
    <t>2026-03-31 10:52:40</t>
  </si>
  <si>
    <t>2026-03-31 12:47:11</t>
  </si>
  <si>
    <t>2026-03-31 12:53:31</t>
  </si>
  <si>
    <t>2026-03-31 13:19:46</t>
  </si>
  <si>
    <t>2026-03-31 14:12:05</t>
  </si>
  <si>
    <t>2026-03-31 15:11:02</t>
  </si>
  <si>
    <t>2026-04-01 06:19:09</t>
  </si>
  <si>
    <t>2026-04-01 08:47:01</t>
  </si>
  <si>
    <t>2026-04-01 09:07:44</t>
  </si>
  <si>
    <t>2026-04-01 10:21:00</t>
  </si>
  <si>
    <t>2026-04-01 13:06:10</t>
  </si>
  <si>
    <t>2026-04-01 13:51:35</t>
  </si>
  <si>
    <t>2026-04-01 13:57:28</t>
  </si>
  <si>
    <t>2026-04-01 15:52:40</t>
  </si>
  <si>
    <t>2026-04-01 16:10:28</t>
  </si>
  <si>
    <t>2026-04-01 16:21:45</t>
  </si>
  <si>
    <t>2026-04-02 06:25:28</t>
  </si>
  <si>
    <t>2026-04-02 07:21:54</t>
  </si>
  <si>
    <t>2026-04-02 09:18:35</t>
  </si>
  <si>
    <t>2026-04-02 09:29:50</t>
  </si>
  <si>
    <t>2026-04-02 09:30:43</t>
  </si>
  <si>
    <t>2026-04-02 09:32:55</t>
  </si>
  <si>
    <t>2026-04-02 09:44:53</t>
  </si>
  <si>
    <t>2026-04-02 10:07:07</t>
  </si>
  <si>
    <t>2026-04-02 10:30:39</t>
  </si>
  <si>
    <t>2026-04-02 10:34:39</t>
  </si>
  <si>
    <t>2026-04-02 13:21:59</t>
  </si>
  <si>
    <t>2026-04-02 13:33:38</t>
  </si>
  <si>
    <t>2026-04-02 14:02:20</t>
  </si>
  <si>
    <t>2026-04-02 14:38:19</t>
  </si>
  <si>
    <t>2026-04-02 14:51:06</t>
  </si>
  <si>
    <t>2026-04-06 05:21:29</t>
  </si>
  <si>
    <t>2026-04-06 05:46:41</t>
  </si>
  <si>
    <t>2026-04-06 05:49:14</t>
  </si>
  <si>
    <t>2026-04-06 06:04:56</t>
  </si>
  <si>
    <t>2026-04-06 06:10:21</t>
  </si>
  <si>
    <t>2026-04-06 07:46:46</t>
  </si>
  <si>
    <t>2026-04-06 07:53:27</t>
  </si>
  <si>
    <t>2026-04-06 11:39:40</t>
  </si>
  <si>
    <t>2026-04-06 12:05:42</t>
  </si>
  <si>
    <t>2026-04-06 12:17:07</t>
  </si>
  <si>
    <t>2026-04-06 12:27:17</t>
  </si>
  <si>
    <t>2026-04-06 13:31:13</t>
  </si>
  <si>
    <t>2026-04-06 13:55:01</t>
  </si>
  <si>
    <t>2026-04-06 15:23:26</t>
  </si>
  <si>
    <t>2026-04-06 15:34:39</t>
  </si>
  <si>
    <t>2026-04-06 17:22:34</t>
  </si>
  <si>
    <t>2026-04-07 06:28:35</t>
  </si>
  <si>
    <t>2026-04-07 06:30:54</t>
  </si>
  <si>
    <t>2026-04-07 06:33:20</t>
  </si>
  <si>
    <t>2026-04-07 06:44:59</t>
  </si>
  <si>
    <t>2026-04-07 07:10:16</t>
  </si>
  <si>
    <t>2026-04-07 07:13:50</t>
  </si>
  <si>
    <t>2026-04-07 07:20:56</t>
  </si>
  <si>
    <t>2026-04-07 07:22:40</t>
  </si>
  <si>
    <t>2026-04-07 07:48:28</t>
  </si>
  <si>
    <t>2026-04-07 08:24:00</t>
  </si>
  <si>
    <t>2026-04-07 09:15:56</t>
  </si>
  <si>
    <t>2026-04-07 09:51:51</t>
  </si>
  <si>
    <t>2026-04-07 12:12:15</t>
  </si>
  <si>
    <t>2026-04-07 12:30:13</t>
  </si>
  <si>
    <t>2026-04-07 12:48:29</t>
  </si>
  <si>
    <t>2026-04-07 13:04:28</t>
  </si>
  <si>
    <t>2026-04-07 13:11:11</t>
  </si>
  <si>
    <t>2026-04-07 13:15:21</t>
  </si>
  <si>
    <t>2026-04-07 14:29:22</t>
  </si>
  <si>
    <t>2026-04-08 05:26:54</t>
  </si>
  <si>
    <t>2026-04-08 07:09:36</t>
  </si>
  <si>
    <t>2026-04-08 09:11:09</t>
  </si>
  <si>
    <t>2026-04-08 12:33:23</t>
  </si>
  <si>
    <t>2026-04-08 12:59:35</t>
  </si>
  <si>
    <t>2026-04-08 13:04:24</t>
  </si>
  <si>
    <t>2026-04-08 13:07:49</t>
  </si>
  <si>
    <t>2026-04-08 13:12:23</t>
  </si>
  <si>
    <t>2026-04-08 13:17:58</t>
  </si>
  <si>
    <t>2026-04-08 13:23:01</t>
  </si>
  <si>
    <t>2026-04-08 13:26:56</t>
  </si>
  <si>
    <t>2026-04-09 05:33:18</t>
  </si>
  <si>
    <t>2026-04-09 06:05:22</t>
  </si>
  <si>
    <t>2026-04-09 07:21:58</t>
  </si>
  <si>
    <t>2026-04-09 08:22:24</t>
  </si>
  <si>
    <t>2026-04-09 08:26:12</t>
  </si>
  <si>
    <t>2026-04-09 11:14:41</t>
  </si>
  <si>
    <t>2026-04-09 11:23:07</t>
  </si>
  <si>
    <t>2026-04-09 11:29:10</t>
  </si>
  <si>
    <t>2026-04-09 11:55:03</t>
  </si>
  <si>
    <t>2026-04-09 12:00:03</t>
  </si>
  <si>
    <t>2026-04-09 12:08:14</t>
  </si>
  <si>
    <t>2026-04-09 12:13:35</t>
  </si>
  <si>
    <t>2026-04-09 13:14:23</t>
  </si>
  <si>
    <t>2026-04-09 13:26:14</t>
  </si>
  <si>
    <t>2026-04-09 14:19:17</t>
  </si>
  <si>
    <t>2026-04-10 05:38:11</t>
  </si>
  <si>
    <t>2026-04-10 05:54:58</t>
  </si>
  <si>
    <t>2026-04-10 07:20:38</t>
  </si>
  <si>
    <t>2026-04-10 07:23:44</t>
  </si>
  <si>
    <t>2026-04-10 07:28:21</t>
  </si>
  <si>
    <t>2026-04-10 07:36:17</t>
  </si>
  <si>
    <t>2026-04-10 07:42:25</t>
  </si>
  <si>
    <t>2026-04-10 07:45:04</t>
  </si>
  <si>
    <t>2026-04-10 07:52:22</t>
  </si>
  <si>
    <t>2026-04-10 11:12:40</t>
  </si>
  <si>
    <t>2026-04-10 11:19:12</t>
  </si>
  <si>
    <t>2026-04-10 11:54:45</t>
  </si>
  <si>
    <t>2026-04-10 14:03:12</t>
  </si>
  <si>
    <t>2026-04-10 14:23:13</t>
  </si>
  <si>
    <t>2026-04-10 14:36:01</t>
  </si>
  <si>
    <t>2026-04-11 07:49:23</t>
  </si>
  <si>
    <t>2026-04-11 08:20:14</t>
  </si>
  <si>
    <t>2026-04-11 08:52:00</t>
  </si>
  <si>
    <t>2026-04-11 12:39:17</t>
  </si>
  <si>
    <t>2026-04-11 12:55:21</t>
  </si>
  <si>
    <t>2026-04-13 05:16:41</t>
  </si>
  <si>
    <t>2026-04-13 05:56:41</t>
  </si>
  <si>
    <t>2026-04-13 06:12:22</t>
  </si>
  <si>
    <t>2026-04-13 06:22:43</t>
  </si>
  <si>
    <t>2026-04-13 06:25:47</t>
  </si>
  <si>
    <t>2026-04-13 06:48:08</t>
  </si>
  <si>
    <t>2026-04-13 07:06:34</t>
  </si>
  <si>
    <t>2026-04-13 07:19:41</t>
  </si>
  <si>
    <t>2026-04-13 07:30:09</t>
  </si>
  <si>
    <t>2026-04-13 07:58:54</t>
  </si>
  <si>
    <t>2026-04-13 08:49:13</t>
  </si>
  <si>
    <t>2026-04-13 09:00:40</t>
  </si>
  <si>
    <t>2026-04-13 09:11:52</t>
  </si>
  <si>
    <t>2026-04-13 09:19:02</t>
  </si>
  <si>
    <t>2026-04-13 09:28:12</t>
  </si>
  <si>
    <t>2026-04-13 09:47:43</t>
  </si>
  <si>
    <t>2026-04-13 11:27:38</t>
  </si>
  <si>
    <t>2026-04-13 11:37:00</t>
  </si>
  <si>
    <t>2026-04-13 12:29:13</t>
  </si>
  <si>
    <t>2026-04-13 12:30:01</t>
  </si>
  <si>
    <t>2026-04-13 12:31:37</t>
  </si>
  <si>
    <t>2026-04-13 12:33:04</t>
  </si>
  <si>
    <t>2026-04-13 12:43:17</t>
  </si>
  <si>
    <t>2026-04-13 12:50:10</t>
  </si>
  <si>
    <t>2026-04-13 12:52:43</t>
  </si>
  <si>
    <t>2026-04-13 12:55:04</t>
  </si>
  <si>
    <t>2026-04-13 13:00:37</t>
  </si>
  <si>
    <t>2026-04-13 13:22:48</t>
  </si>
  <si>
    <t>2026-04-13 13:41:59</t>
  </si>
  <si>
    <t>2026-04-13 14:08:59</t>
  </si>
  <si>
    <t>2026-04-13 14:11:59</t>
  </si>
  <si>
    <t>2026-04-13 14:13:29</t>
  </si>
  <si>
    <t>2026-04-13 14:15:09</t>
  </si>
  <si>
    <t>2026-04-13 14:48:56</t>
  </si>
  <si>
    <t>2026-04-13 14:58:59</t>
  </si>
  <si>
    <t>2026-04-14 05:52:47</t>
  </si>
  <si>
    <t>2026-04-14 05:54:39</t>
  </si>
  <si>
    <t>2026-04-14 06:33:44</t>
  </si>
  <si>
    <t>2026-04-14 06:53:53</t>
  </si>
  <si>
    <t>2026-04-14 07:17:41</t>
  </si>
  <si>
    <t>2026-04-14 07:49:33</t>
  </si>
  <si>
    <t>2026-04-14 08:24:34</t>
  </si>
  <si>
    <t>2026-04-14 09:26:17</t>
  </si>
  <si>
    <t>2026-04-14 09:31:10</t>
  </si>
  <si>
    <t>2026-04-14 12:27:30</t>
  </si>
  <si>
    <t>2026-04-14 12:31:36</t>
  </si>
  <si>
    <t>2026-04-14 12:41:55</t>
  </si>
  <si>
    <t>2026-04-14 12:45:16</t>
  </si>
  <si>
    <t>2026-04-14 13:22:00</t>
  </si>
  <si>
    <t>2026-04-14 13:35:55</t>
  </si>
  <si>
    <t>2026-04-14 13:36:40</t>
  </si>
  <si>
    <t>2026-04-14 13:37:56</t>
  </si>
  <si>
    <t>2026-04-14 19:58:48</t>
  </si>
  <si>
    <t>2026-04-15 05:30:12</t>
  </si>
  <si>
    <t>2026-04-15 05:38:30</t>
  </si>
  <si>
    <t>2026-04-15 05:56:17</t>
  </si>
  <si>
    <t>2026-04-15 06:24:30</t>
  </si>
  <si>
    <t>2026-04-15 06:40:31</t>
  </si>
  <si>
    <t>2026-04-15 06:57:05</t>
  </si>
  <si>
    <t>2026-04-15 08:57:32</t>
  </si>
  <si>
    <t>2026-04-15 09:03:29</t>
  </si>
  <si>
    <t>2026-04-15 09:11:46</t>
  </si>
  <si>
    <t>2026-04-15 09:23:02</t>
  </si>
  <si>
    <t>2026-04-15 09:25:12</t>
  </si>
  <si>
    <t>2026-04-15 09:31:45</t>
  </si>
  <si>
    <t>2026-04-15 12:36:42</t>
  </si>
  <si>
    <t>2026-04-15 12:53:23</t>
  </si>
  <si>
    <t>2026-04-15 13:06:23</t>
  </si>
  <si>
    <t>2026-04-15 13:25:13</t>
  </si>
  <si>
    <t>2026-04-15 14:04:59</t>
  </si>
  <si>
    <t>2026-04-15 14:17:54</t>
  </si>
  <si>
    <t>2026-04-15 14:44:30</t>
  </si>
  <si>
    <t>2026-04-16 06:25:04</t>
  </si>
  <si>
    <t>2026-04-16 06:51:39</t>
  </si>
  <si>
    <t>2026-04-16 07:08:57</t>
  </si>
  <si>
    <t>2026-04-16 07:13:33</t>
  </si>
  <si>
    <t>2026-04-16 07:37:15</t>
  </si>
  <si>
    <t>2026-04-16 08:11:28</t>
  </si>
  <si>
    <t>2026-04-16 08:23:22</t>
  </si>
  <si>
    <t>2026-04-16 08:45:04</t>
  </si>
  <si>
    <t>2026-04-16 09:18:46</t>
  </si>
  <si>
    <t>2026-04-16 09:25:04</t>
  </si>
  <si>
    <t>2026-04-16 11:50:00</t>
  </si>
  <si>
    <t>2026-04-16 12:30:58</t>
  </si>
  <si>
    <t>2026-04-16 12:40:50</t>
  </si>
  <si>
    <t>2026-04-16 12:48:18</t>
  </si>
  <si>
    <t>2026-04-16 12:53:46</t>
  </si>
  <si>
    <t>2026-04-16 12:57:51</t>
  </si>
  <si>
    <t>2026-04-16 12:58:26</t>
  </si>
  <si>
    <t>2026-04-16 13:04:45</t>
  </si>
  <si>
    <t>2026-04-16 13:08:02</t>
  </si>
  <si>
    <t>2026-04-16 13:53:34</t>
  </si>
  <si>
    <t>2026-04-16 14:20:25</t>
  </si>
  <si>
    <t>2026-04-16 14:27:53</t>
  </si>
  <si>
    <t>2026-04-16 14:31:00</t>
  </si>
  <si>
    <t>2026-04-17 05:49:49</t>
  </si>
  <si>
    <t>2026-04-17 06:15:28</t>
  </si>
  <si>
    <t>2026-04-17 06:48:04</t>
  </si>
  <si>
    <t>2026-04-17 07:10:37</t>
  </si>
  <si>
    <t>2026-04-17 07:14:07</t>
  </si>
  <si>
    <t>2026-04-17 07:26:09</t>
  </si>
  <si>
    <t>2026-04-17 07:51:03</t>
  </si>
  <si>
    <t>2026-04-17 08:01:30</t>
  </si>
  <si>
    <t>2026-04-17 08:40:01</t>
  </si>
  <si>
    <t>2026-04-17 08:55:17</t>
  </si>
  <si>
    <t>2026-04-17 09:02:17</t>
  </si>
  <si>
    <t>2026-04-17 09:14:18</t>
  </si>
  <si>
    <t>2026-04-17 09:27:33</t>
  </si>
  <si>
    <t>2026-04-17 09:38:40</t>
  </si>
  <si>
    <t>2026-04-17 11:54:27</t>
  </si>
  <si>
    <t>2026-04-17 12:28:44</t>
  </si>
  <si>
    <t>2026-04-17 13:20:28</t>
  </si>
  <si>
    <t>2026-04-17 13:34:39</t>
  </si>
  <si>
    <t>2026-04-17 14:04:18</t>
  </si>
  <si>
    <t>2026-04-17 14:14:11</t>
  </si>
  <si>
    <t>2026-04-18 07:25:29</t>
  </si>
  <si>
    <t>2026-04-18 07:29:42</t>
  </si>
  <si>
    <t>2026-04-18 09:16:35</t>
  </si>
  <si>
    <t>2026-04-20 07:18:50</t>
  </si>
  <si>
    <t>2026-04-20 07:25:59</t>
  </si>
  <si>
    <t>2026-04-20 07:37:13</t>
  </si>
  <si>
    <t>2026-04-20 07:42:21</t>
  </si>
  <si>
    <t>2026-04-20 08:04:49</t>
  </si>
  <si>
    <t>2026-04-20 09:03:08</t>
  </si>
  <si>
    <t>2026-04-20 09:16:33</t>
  </si>
  <si>
    <t>2026-04-20 09:20:02</t>
  </si>
  <si>
    <t>2026-04-20 11:07:30</t>
  </si>
  <si>
    <t>2026-04-20 12:08:18</t>
  </si>
  <si>
    <t>2026-04-20 12:12:23</t>
  </si>
  <si>
    <t>2026-04-20 12:14:32</t>
  </si>
  <si>
    <t>2026-04-20 12:30:51</t>
  </si>
  <si>
    <t>2026-04-20 13:14:50</t>
  </si>
  <si>
    <t>2026-04-20 14:21:00</t>
  </si>
  <si>
    <t>2026-04-20 14:28:18</t>
  </si>
  <si>
    <t>2026-04-20 14:49:27</t>
  </si>
  <si>
    <t>2026-04-20 14:56:10</t>
  </si>
  <si>
    <t>2026-04-21 05:28:15</t>
  </si>
  <si>
    <t>2026-04-21 05:45:36</t>
  </si>
  <si>
    <t>2026-04-21 05:48:56</t>
  </si>
  <si>
    <t>2026-04-21 05:56:06</t>
  </si>
  <si>
    <t>2026-04-21 06:03:22</t>
  </si>
  <si>
    <t>2026-04-21 06:15:37</t>
  </si>
  <si>
    <t>2026-04-21 06:21:53</t>
  </si>
  <si>
    <t>2026-04-21 06:50:24</t>
  </si>
  <si>
    <t>2026-04-21 07:00:24</t>
  </si>
  <si>
    <t>2026-04-21 07:10:30</t>
  </si>
  <si>
    <t>2026-04-21 07:17:34</t>
  </si>
  <si>
    <t>2026-04-21 07:30:41</t>
  </si>
  <si>
    <t>2026-04-21 08:03:55</t>
  </si>
  <si>
    <t>2026-04-21 09:04:17</t>
  </si>
  <si>
    <t>2026-04-21 09:15:24</t>
  </si>
  <si>
    <t>2026-04-21 11:21:33</t>
  </si>
  <si>
    <t>2026-04-21 13:07:45</t>
  </si>
  <si>
    <t>2026-04-21 14:05:43</t>
  </si>
  <si>
    <t>2026-04-21 14:21:52</t>
  </si>
  <si>
    <t>2026-04-21 14:47:23</t>
  </si>
  <si>
    <t>2026-04-21 14:54:55</t>
  </si>
  <si>
    <t>2026-04-21 14:58:44</t>
  </si>
  <si>
    <t>2026-04-22 05:12:18</t>
  </si>
  <si>
    <t>2026-04-22 06:42:53</t>
  </si>
  <si>
    <t>2026-04-22 07:23:22</t>
  </si>
  <si>
    <t>2026-04-22 07:31:37</t>
  </si>
  <si>
    <t>2026-04-22 07:53:51</t>
  </si>
  <si>
    <t>2026-04-22 07:55:35</t>
  </si>
  <si>
    <t>2026-04-22 07:57:08</t>
  </si>
  <si>
    <t>2026-04-22 07:59:56</t>
  </si>
  <si>
    <t>2026-04-22 08:07:50</t>
  </si>
  <si>
    <t>2026-04-22 08:07:58</t>
  </si>
  <si>
    <t>2026-04-22 09:06:07</t>
  </si>
  <si>
    <t>2026-04-22 09:24:43</t>
  </si>
  <si>
    <t>2026-04-22 12:03:44</t>
  </si>
  <si>
    <t>2026-04-22 12:53:27</t>
  </si>
  <si>
    <t>2026-04-22 12:54:18</t>
  </si>
  <si>
    <t>2026-04-22 12:55:13</t>
  </si>
  <si>
    <t>2026-04-22 12:56:14</t>
  </si>
  <si>
    <t>2026-04-22 12:58:22</t>
  </si>
  <si>
    <t>2026-04-22 13:00:53</t>
  </si>
  <si>
    <t>2026-04-22 13:07:07</t>
  </si>
  <si>
    <t>2026-04-22 13:10:30</t>
  </si>
  <si>
    <t>2026-04-22 13:19:03</t>
  </si>
  <si>
    <t>2026-04-22 13:25:58</t>
  </si>
  <si>
    <t>2026-04-22 13:30:49</t>
  </si>
  <si>
    <t>2026-04-22 14:34:03</t>
  </si>
  <si>
    <t>2026-04-23 05:22:27</t>
  </si>
  <si>
    <t>2026-04-23 06:19:30</t>
  </si>
  <si>
    <t>2026-04-23 06:22:00</t>
  </si>
  <si>
    <t>2026-04-23 06:23:43</t>
  </si>
  <si>
    <t>2026-04-23 07:16:11</t>
  </si>
  <si>
    <t>2026-04-23 07:44:32</t>
  </si>
  <si>
    <t>2026-04-23 07:50:36</t>
  </si>
  <si>
    <t>2026-04-23 07:55:45</t>
  </si>
  <si>
    <t>2026-04-23 08:08:02</t>
  </si>
  <si>
    <t>2026-04-23 08:42:02</t>
  </si>
  <si>
    <t>2026-04-23 08:53:07</t>
  </si>
  <si>
    <t>2026-04-23 09:01:23</t>
  </si>
  <si>
    <t>2026-04-23 11:49:48</t>
  </si>
  <si>
    <t>2026-04-23 12:02:50</t>
  </si>
  <si>
    <t>2026-04-23 12:53:37</t>
  </si>
  <si>
    <t>2026-04-23 13:41:46</t>
  </si>
  <si>
    <t>2026-04-23 14:20:40</t>
  </si>
  <si>
    <t>2026-04-24 05:27:40</t>
  </si>
  <si>
    <t>2026-04-24 06:23:59</t>
  </si>
  <si>
    <t>2026-04-24 06:33:32</t>
  </si>
  <si>
    <t>2026-04-24 06:34:28</t>
  </si>
  <si>
    <t>2026-04-24 06:40:25</t>
  </si>
  <si>
    <t>2026-04-24 07:55:33</t>
  </si>
  <si>
    <t>2026-04-24 07:59:19</t>
  </si>
  <si>
    <t>2026-04-24 08:05:13</t>
  </si>
  <si>
    <t>2026-04-24 08:57:02</t>
  </si>
  <si>
    <t>2026-04-24 08:59:48</t>
  </si>
  <si>
    <t>2026-04-24 09:03:17</t>
  </si>
  <si>
    <t>2026-04-24 09:11:03</t>
  </si>
  <si>
    <t>2026-04-24 09:18:05</t>
  </si>
  <si>
    <t>2026-04-24 09:35:30</t>
  </si>
  <si>
    <t>2026-04-24 09:43:16</t>
  </si>
  <si>
    <t>2026-04-24 12:47:18</t>
  </si>
  <si>
    <t>2026-04-24 14:02:02</t>
  </si>
  <si>
    <t>2026-04-25 09:16:24</t>
  </si>
  <si>
    <t>2026-04-25 09:19:25</t>
  </si>
  <si>
    <t>2026-04-25 09:22:38</t>
  </si>
  <si>
    <t>2026-04-27 05:31:35</t>
  </si>
  <si>
    <t>2026-04-27 05:42:21</t>
  </si>
  <si>
    <t>2026-04-27 06:21:18</t>
  </si>
  <si>
    <t>2026-04-27 06:54:38</t>
  </si>
  <si>
    <t>2026-04-27 07:19:41</t>
  </si>
  <si>
    <t>2026-04-27 07:23:30</t>
  </si>
  <si>
    <t>2026-04-27 07:27:19</t>
  </si>
  <si>
    <t>2026-04-27 07:55:28</t>
  </si>
  <si>
    <t>2026-04-27 07:58:30</t>
  </si>
  <si>
    <t>2026-04-27 08:02:27</t>
  </si>
  <si>
    <t>2026-04-27 08:16:48</t>
  </si>
  <si>
    <t>2026-04-27 08:34:51</t>
  </si>
  <si>
    <t>2026-04-27 08:45:33</t>
  </si>
  <si>
    <t>2026-04-27 09:29:59</t>
  </si>
  <si>
    <t>2026-04-27 11:46:26</t>
  </si>
  <si>
    <t>2026-04-27 13:28:06</t>
  </si>
  <si>
    <t>2026-04-27 13:37:34</t>
  </si>
  <si>
    <t>2026-04-27 13:56:27</t>
  </si>
  <si>
    <t>2026-04-28 05:27:59</t>
  </si>
  <si>
    <t>2026-04-28 05:34:29</t>
  </si>
  <si>
    <t>2026-04-28 06:08:08</t>
  </si>
  <si>
    <t>2026-04-28 06:12:06</t>
  </si>
  <si>
    <t>2026-04-28 06:30:24</t>
  </si>
  <si>
    <t>2026-04-28 06:33:40</t>
  </si>
  <si>
    <t>2026-04-28 08:12:18</t>
  </si>
  <si>
    <t>2026-04-28 08:17:45</t>
  </si>
  <si>
    <t>2026-04-28 08:25:44</t>
  </si>
  <si>
    <t>2026-04-28 08:36:09</t>
  </si>
  <si>
    <t>2026-04-28 08:39:37</t>
  </si>
  <si>
    <t>2026-04-28 12:01:51</t>
  </si>
  <si>
    <t>2026-04-28 12:05:16</t>
  </si>
  <si>
    <t>2026-04-28 12:11:18</t>
  </si>
  <si>
    <t>2026-04-28 12:12:14</t>
  </si>
  <si>
    <t>2026-04-28 12:35:55</t>
  </si>
  <si>
    <t>2026-04-28 13:20:40</t>
  </si>
  <si>
    <t>2026-04-29 05:30:30</t>
  </si>
  <si>
    <t>2026-04-29 06:35:53</t>
  </si>
  <si>
    <t>2026-04-29 07:12:58</t>
  </si>
  <si>
    <t>2026-04-29 11:59:43</t>
  </si>
  <si>
    <t>2026-04-29 12:17:11</t>
  </si>
  <si>
    <t>2026-04-29 12:21:46</t>
  </si>
  <si>
    <t>2026-04-29 13:33:18</t>
  </si>
  <si>
    <t>2026-04-29 13:39:20</t>
  </si>
  <si>
    <t>2026-04-29 14:34:43</t>
  </si>
  <si>
    <t>2026-04-29 14:42:03</t>
  </si>
  <si>
    <t>2026-04-29 14:52:37</t>
  </si>
  <si>
    <t>2026-04-30 05:45:36</t>
  </si>
  <si>
    <t>2026-04-30 07:15:51</t>
  </si>
  <si>
    <t>2026-04-30 07:51:29</t>
  </si>
  <si>
    <t>2026-04-30 08:41:09</t>
  </si>
  <si>
    <t>2026-04-30 10:41:42</t>
  </si>
  <si>
    <t>2026-04-30 12:17:06</t>
  </si>
  <si>
    <t>2026-04-30 12:53:20</t>
  </si>
  <si>
    <t>2026-05-04 06:01:44</t>
  </si>
  <si>
    <t>2026-05-04 06:50:38</t>
  </si>
  <si>
    <t>2026-05-04 07:12:35</t>
  </si>
  <si>
    <t>2026-05-04 08:14:15</t>
  </si>
  <si>
    <t>2026-05-04 08:27:51</t>
  </si>
  <si>
    <t>2026-05-04 08:41:20</t>
  </si>
  <si>
    <t>2026-05-04 08:49:24</t>
  </si>
  <si>
    <t>2026-05-04 08:55:21</t>
  </si>
  <si>
    <t>2026-05-04 09:11:39</t>
  </si>
  <si>
    <t>2026-05-04 09:40:59</t>
  </si>
  <si>
    <t>2026-05-04 11:40:42</t>
  </si>
  <si>
    <t>2026-05-04 11:48:58</t>
  </si>
  <si>
    <t>2026-05-04 11:55:06</t>
  </si>
  <si>
    <t>2026-05-04 12:00:25</t>
  </si>
  <si>
    <t>2026-05-04 12:15:07</t>
  </si>
  <si>
    <t>2026-05-04 12:22:51</t>
  </si>
  <si>
    <t>2026-05-04 13:12:50</t>
  </si>
  <si>
    <t>2026-05-04 13:48:51</t>
  </si>
  <si>
    <t>2026-05-04 13:54:50</t>
  </si>
  <si>
    <t>2026-05-04 13:57:51</t>
  </si>
  <si>
    <t>2026-05-04 14:49:01</t>
  </si>
  <si>
    <t>2026-05-04 15:24:26</t>
  </si>
  <si>
    <t>2026-05-05 05:33:32</t>
  </si>
  <si>
    <t>2026-05-05 06:26:55</t>
  </si>
  <si>
    <t>2026-05-05 07:56:05</t>
  </si>
  <si>
    <t>2026-05-05 08:37:46</t>
  </si>
  <si>
    <t>2026-05-05 08:40:59</t>
  </si>
  <si>
    <t>2026-05-05 08:44:27</t>
  </si>
  <si>
    <t>2026-05-05 09:01:20</t>
  </si>
  <si>
    <t>2026-05-05 09:09:13</t>
  </si>
  <si>
    <t>2026-05-05 09:19:39</t>
  </si>
  <si>
    <t>2026-05-05 09:31:12</t>
  </si>
  <si>
    <t>2026-05-05 09:35:53</t>
  </si>
  <si>
    <t>2026-05-05 12:18:03</t>
  </si>
  <si>
    <t>2026-05-05 12:35:14</t>
  </si>
  <si>
    <t>2026-05-05 13:18:38</t>
  </si>
  <si>
    <t>2026-05-05 13:46:59</t>
  </si>
  <si>
    <t>2026-05-05 14:05:01</t>
  </si>
  <si>
    <t>2026-05-05 14:17:18</t>
  </si>
  <si>
    <t>2026-05-05 14:36:11</t>
  </si>
  <si>
    <t>2026-05-05 15:07:41</t>
  </si>
  <si>
    <t>2026-05-06 06:48:46</t>
  </si>
  <si>
    <t>2026-05-06 07:04:02</t>
  </si>
  <si>
    <t>2026-05-06 07:23:32</t>
  </si>
  <si>
    <t>2026-05-06 07:32:45</t>
  </si>
  <si>
    <t>2026-05-06 07:39:21</t>
  </si>
  <si>
    <t>2026-05-06 07:45:35</t>
  </si>
  <si>
    <t>2026-05-06 07:58:44</t>
  </si>
  <si>
    <t>2026-05-06 08:34:08</t>
  </si>
  <si>
    <t>2026-05-06 08:51:36</t>
  </si>
  <si>
    <t>2026-05-06 08:58:56</t>
  </si>
  <si>
    <t>2026-05-06 09:05:10</t>
  </si>
  <si>
    <t>2026-05-06 09:50:10</t>
  </si>
  <si>
    <t>2026-05-06 12:04:50</t>
  </si>
  <si>
    <t>2026-05-06 12:10:02</t>
  </si>
  <si>
    <t>2026-05-06 12:19:07</t>
  </si>
  <si>
    <t>2026-05-06 12:27:39</t>
  </si>
  <si>
    <t>2026-05-06 12:53:04</t>
  </si>
  <si>
    <t>2026-05-06 13:09:02</t>
  </si>
  <si>
    <t>2026-05-06 14:18:21</t>
  </si>
  <si>
    <t>2026-05-06 14:23:30</t>
  </si>
  <si>
    <t>2026-05-06 14:31:56</t>
  </si>
  <si>
    <t>2026-05-06 14:36:26</t>
  </si>
  <si>
    <t>2026-05-06 14:40:49</t>
  </si>
  <si>
    <t>2026-05-06 14:51:22</t>
  </si>
  <si>
    <t>2026-05-06 15:13:37</t>
  </si>
  <si>
    <t>2026-05-07 05:52:17</t>
  </si>
  <si>
    <t>2026-05-07 06:08:12</t>
  </si>
  <si>
    <t>2026-05-07 06:20:40</t>
  </si>
  <si>
    <t>2026-05-07 09:13:40</t>
  </si>
  <si>
    <t>2026-05-07 09:23:55</t>
  </si>
  <si>
    <t>2026-05-07 12:31:56</t>
  </si>
  <si>
    <t>2026-05-07 12:57:50</t>
  </si>
  <si>
    <t>2026-05-07 13:07:53</t>
  </si>
  <si>
    <t>2026-05-07 13:23:20</t>
  </si>
  <si>
    <t>2026-05-07 13:31:54</t>
  </si>
  <si>
    <t>2026-05-07 13:37:40</t>
  </si>
  <si>
    <t>2026-05-07 14:29:15</t>
  </si>
  <si>
    <t>2026-05-08 05:58:18</t>
  </si>
  <si>
    <t>2026-05-08 06:29:01</t>
  </si>
  <si>
    <t>2026-05-08 07:22:55</t>
  </si>
  <si>
    <t>2026-05-08 07:34:22</t>
  </si>
  <si>
    <t>2026-05-08 07:48:58</t>
  </si>
  <si>
    <t>2026-05-08 08:04:27</t>
  </si>
  <si>
    <t>2026-05-08 08:14:35</t>
  </si>
  <si>
    <t>2026-05-08 08:17:38</t>
  </si>
  <si>
    <t>2026-05-08 08:56:23</t>
  </si>
  <si>
    <t>2026-05-08 09:05:29</t>
  </si>
  <si>
    <t>2026-05-08 09:11:15</t>
  </si>
  <si>
    <t>2026-05-08 12:35:20</t>
  </si>
  <si>
    <t>2026-05-08 13:18:47</t>
  </si>
  <si>
    <t>2026-05-08 13:24:37</t>
  </si>
  <si>
    <t>2026-05-08 13:27:29</t>
  </si>
  <si>
    <t>2026-05-08 14:14:03</t>
  </si>
  <si>
    <t>2026-05-08 14:19:20</t>
  </si>
  <si>
    <t>2026-05-09 08:04:07</t>
  </si>
  <si>
    <t>2026-05-09 08:19:57</t>
  </si>
  <si>
    <t>2026-05-09 08:27:28</t>
  </si>
  <si>
    <t>2026-05-11 05:27:32</t>
  </si>
  <si>
    <t>2026-05-11 06:19:11</t>
  </si>
  <si>
    <t>2026-05-11 07:23:50</t>
  </si>
  <si>
    <t>2026-05-11 07:45:48</t>
  </si>
  <si>
    <t>2026-05-11 07:59:07</t>
  </si>
  <si>
    <t>2026-05-11 08:58:29</t>
  </si>
  <si>
    <t>2026-05-11 09:10:14</t>
  </si>
  <si>
    <t>2026-05-11 11:11:44</t>
  </si>
  <si>
    <t>2026-05-11 11:23:22</t>
  </si>
  <si>
    <t>2026-05-11 12:16:10</t>
  </si>
  <si>
    <t>2026-05-11 12:31:53</t>
  </si>
  <si>
    <t>2026-05-11 12:50:04</t>
  </si>
  <si>
    <t>2026-05-11 13:16:44</t>
  </si>
  <si>
    <t>2026-05-11 13:30:15</t>
  </si>
  <si>
    <t>2026-05-11 13:45:38</t>
  </si>
  <si>
    <t>2026-05-12 05:19:42</t>
  </si>
  <si>
    <t>2026-05-12 06:30:59</t>
  </si>
  <si>
    <t>2026-05-12 07:00:03</t>
  </si>
  <si>
    <t>2026-05-12 08:18:28</t>
  </si>
  <si>
    <t>2026-05-12 08:24:32</t>
  </si>
  <si>
    <t>2026-05-12 08:28:05</t>
  </si>
  <si>
    <t>2026-05-12 08:53:46</t>
  </si>
  <si>
    <t>2026-05-12 08:59:57</t>
  </si>
  <si>
    <t>2026-05-12 12:21:37</t>
  </si>
  <si>
    <t>2026-05-12 12:59:50</t>
  </si>
  <si>
    <t>2026-05-12 13:15:54</t>
  </si>
  <si>
    <t>2026-05-12 13:41:56</t>
  </si>
  <si>
    <t>2026-05-12 13:56:49</t>
  </si>
  <si>
    <t>2026-05-13 06:21:37</t>
  </si>
  <si>
    <t>2026-05-13 06:40:44</t>
  </si>
  <si>
    <t>2026-05-13 07:03:02</t>
  </si>
  <si>
    <t>2026-05-13 07:21:23</t>
  </si>
  <si>
    <t>2026-05-13 07:29:34</t>
  </si>
  <si>
    <t>2026-05-13 09:14:35</t>
  </si>
  <si>
    <t>2026-05-13 09:27:07</t>
  </si>
  <si>
    <t>2026-05-13 12:01:10</t>
  </si>
  <si>
    <t>RVPX11</t>
  </si>
  <si>
    <t>2026-05-13 12:07:39</t>
  </si>
  <si>
    <t>RLST51</t>
  </si>
  <si>
    <t>2026-05-13 12:14:13</t>
  </si>
  <si>
    <t>2026-05-13 12:33:03</t>
  </si>
  <si>
    <t>SYPS43</t>
  </si>
  <si>
    <t>2026-05-13 12:49:33</t>
  </si>
  <si>
    <t>PPLZ30</t>
  </si>
  <si>
    <t>2026-05-13 13:11:02</t>
  </si>
  <si>
    <t>VLYP42</t>
  </si>
  <si>
    <t>2026-05-13 13:42:45</t>
  </si>
  <si>
    <t>TKWY26</t>
  </si>
  <si>
    <t>2026-05-13 13:50:49</t>
  </si>
  <si>
    <t>LYLV87</t>
  </si>
  <si>
    <t>2026-05-13 14:15:00</t>
  </si>
  <si>
    <t>SSHY23</t>
  </si>
  <si>
    <t>2026-05-13 14:39:21</t>
  </si>
  <si>
    <t>PLTL45</t>
  </si>
  <si>
    <t>2026-05-14 05:02:54</t>
  </si>
  <si>
    <t>VLCJ71</t>
  </si>
  <si>
    <t>2026-05-14 05:35:04</t>
  </si>
  <si>
    <t>SKTZ42</t>
  </si>
  <si>
    <t>2026-05-14 05:49:24</t>
  </si>
  <si>
    <t>SYPY55</t>
  </si>
  <si>
    <t>2026-05-14 06:41:39</t>
  </si>
  <si>
    <t>SVXG58</t>
  </si>
  <si>
    <t>2026-05-14 06:56:54</t>
  </si>
  <si>
    <t>VDHY85</t>
  </si>
  <si>
    <t>2026-05-14 07:35:33</t>
  </si>
  <si>
    <t>LLBX19</t>
  </si>
  <si>
    <t>2026-05-14 07:40:33</t>
  </si>
  <si>
    <t>PSKF28</t>
  </si>
  <si>
    <t>2026-05-14 07:47:56</t>
  </si>
  <si>
    <t>2026-05-14 07:48:20</t>
  </si>
  <si>
    <t>2026-05-14 07:52:41</t>
  </si>
  <si>
    <t>TXYZ68</t>
  </si>
  <si>
    <t>2026-05-14 08:01:15</t>
  </si>
  <si>
    <t>2026-05-14 08:13:14</t>
  </si>
  <si>
    <t>TRTB55</t>
  </si>
  <si>
    <t>2026-05-14 08:32:03</t>
  </si>
  <si>
    <t>VBWW76</t>
  </si>
  <si>
    <t>2026-05-14 08:34:54</t>
  </si>
  <si>
    <t>LRBD85</t>
  </si>
  <si>
    <t>2026-05-14 09:29:51</t>
  </si>
  <si>
    <t>SLZZ16</t>
  </si>
  <si>
    <t>2026-05-14 11:51:14</t>
  </si>
  <si>
    <t>TDYF39</t>
  </si>
  <si>
    <t>2026-05-14 12:04:58</t>
  </si>
  <si>
    <t>LPLP56</t>
  </si>
  <si>
    <t>2026-05-14 12:06:40</t>
  </si>
  <si>
    <t>VDBR95</t>
  </si>
  <si>
    <t>2026-05-14 12:18:57</t>
  </si>
  <si>
    <t>SYDK62</t>
  </si>
  <si>
    <t>2026-05-14 13:03:45</t>
  </si>
  <si>
    <t>2026-05-14 13:26:59</t>
  </si>
  <si>
    <t>KLYP89</t>
  </si>
  <si>
    <t>2026-05-14 13:42:23</t>
  </si>
  <si>
    <t>DZPD47</t>
  </si>
  <si>
    <t>2026-05-14 13:49:18</t>
  </si>
  <si>
    <t>VJTT35</t>
  </si>
  <si>
    <t>2026-05-15 06:28:14</t>
  </si>
  <si>
    <t>TFGS53</t>
  </si>
  <si>
    <t>2026-05-15 06:35:55</t>
  </si>
  <si>
    <t>NEW VX</t>
  </si>
  <si>
    <t>2026-05-15 06:43:14</t>
  </si>
  <si>
    <t>2026-05-15 07:26:00</t>
  </si>
  <si>
    <t>2026-05-15 08:24:53</t>
  </si>
  <si>
    <t>2026-05-15 08:29:09</t>
  </si>
  <si>
    <t>THHK91</t>
  </si>
  <si>
    <t>2026-05-15 08:33:07</t>
  </si>
  <si>
    <t>2026-05-15 08:36:14</t>
  </si>
  <si>
    <t>2026-05-15 08:52:30</t>
  </si>
  <si>
    <t>SCDS53</t>
  </si>
  <si>
    <t>2026-05-15 09:00:14</t>
  </si>
  <si>
    <t>VFPT16</t>
  </si>
  <si>
    <t>2026-05-15 09:07:54</t>
  </si>
  <si>
    <t>2026-05-15 09:18:39</t>
  </si>
  <si>
    <t>PKWS24</t>
  </si>
  <si>
    <t>2026-05-15 09:26:58</t>
  </si>
  <si>
    <t>SBLF81</t>
  </si>
  <si>
    <t>2026-05-15 09:35:32</t>
  </si>
  <si>
    <t>TBDG84</t>
  </si>
  <si>
    <t>2026-05-15 09:40:25</t>
  </si>
  <si>
    <t>TPJG19</t>
  </si>
  <si>
    <t>2026-05-15 11:17:42</t>
  </si>
  <si>
    <t>SZTD50</t>
  </si>
  <si>
    <t>2026-05-15 11:39:59</t>
  </si>
  <si>
    <t>TCYK70</t>
  </si>
  <si>
    <t>2026-05-15 13:14:43</t>
  </si>
  <si>
    <t>PHFW81</t>
  </si>
  <si>
    <t>2026-05-15 13:29:38</t>
  </si>
  <si>
    <t>LSYB49</t>
  </si>
  <si>
    <t>2026-05-15 13:41:21</t>
  </si>
  <si>
    <t>2026-05-15 13:45:54</t>
  </si>
  <si>
    <t>SFLW41</t>
  </si>
  <si>
    <t>2026-05-16 07:22:47</t>
  </si>
  <si>
    <t>VKYD82</t>
  </si>
  <si>
    <t>2026-05-16 07:33:28</t>
  </si>
  <si>
    <t>PHKJ17</t>
  </si>
  <si>
    <t>2026-05-16 07:59:09</t>
  </si>
  <si>
    <t>SXBS75</t>
  </si>
  <si>
    <t>2026-05-16 08:21:03</t>
  </si>
  <si>
    <t>JPPB91</t>
  </si>
  <si>
    <t>2026-05-18 05:56:01</t>
  </si>
  <si>
    <t>2026-05-18 06:06:53</t>
  </si>
  <si>
    <t>TDYP13</t>
  </si>
  <si>
    <t>2026-05-18 06:13:23</t>
  </si>
  <si>
    <t>2026-05-18 06:17:57</t>
  </si>
  <si>
    <t>RLSH65</t>
  </si>
  <si>
    <t>2026-05-18 06:23:21</t>
  </si>
  <si>
    <t>VBWV60</t>
  </si>
  <si>
    <t>2026-05-18 06:36:17</t>
  </si>
  <si>
    <t>JPZG48</t>
  </si>
  <si>
    <t>2026-05-18 07:02:52</t>
  </si>
  <si>
    <t>2026-05-18 07:59:21</t>
  </si>
  <si>
    <t>TJLF72</t>
  </si>
  <si>
    <t>2026-05-18 09:07:53</t>
  </si>
  <si>
    <t>EMZOOM</t>
  </si>
  <si>
    <t>TSSB81</t>
  </si>
  <si>
    <t>2026-05-18 12:10:20</t>
  </si>
  <si>
    <t>RZVY75</t>
  </si>
  <si>
    <t>2026-05-18 12:25:02</t>
  </si>
  <si>
    <t>SDGC13</t>
  </si>
  <si>
    <t>2026-05-18 12:33:17</t>
  </si>
  <si>
    <t>2026-05-18 13:10:14</t>
  </si>
  <si>
    <t>MX-5</t>
  </si>
  <si>
    <t>VDTZ58</t>
  </si>
  <si>
    <t>2026-05-18 13:15:11</t>
  </si>
  <si>
    <t>SHZP17</t>
  </si>
  <si>
    <t>2026-05-18 13:17:24</t>
  </si>
  <si>
    <t>TDYH11</t>
  </si>
  <si>
    <t>2026-05-18 13:28:49</t>
  </si>
  <si>
    <t>SYCV43</t>
  </si>
  <si>
    <t>2026-05-18 13:41:18</t>
  </si>
  <si>
    <t>VVGW95</t>
  </si>
  <si>
    <t>2026-05-18 14:02:36</t>
  </si>
  <si>
    <t>SLZD31</t>
  </si>
  <si>
    <t>2026-05-18 14:04:11</t>
  </si>
  <si>
    <t>PTLW17</t>
  </si>
  <si>
    <t>2026-05-18 14:10:32</t>
  </si>
  <si>
    <t>LCWC57</t>
  </si>
  <si>
    <t>2026-05-18 14:41:39</t>
  </si>
  <si>
    <t>RVKV95</t>
  </si>
  <si>
    <t>2026-05-18 14:58:25</t>
  </si>
  <si>
    <t>2026-05-19 06:45:48</t>
  </si>
  <si>
    <t>KGLS42</t>
  </si>
  <si>
    <t>2026-05-19 06:49:07</t>
  </si>
  <si>
    <t>KBBT89</t>
  </si>
  <si>
    <t>2026-05-19 08:39:50</t>
  </si>
  <si>
    <t>STHL73</t>
  </si>
  <si>
    <t>2026-05-19 08:48:05</t>
  </si>
  <si>
    <t>RYLP35</t>
  </si>
  <si>
    <t>2026-05-19 08:53:18</t>
  </si>
  <si>
    <t>PLCF76</t>
  </si>
  <si>
    <t>2026-05-19 09:12:47</t>
  </si>
  <si>
    <t>TGVF65</t>
  </si>
  <si>
    <t>2026-05-19 11:32:33</t>
  </si>
  <si>
    <t>NUEVO NIVUS</t>
  </si>
  <si>
    <t>VBBB16</t>
  </si>
  <si>
    <t>2026-05-19 11:37:49</t>
  </si>
  <si>
    <t>PTSJ53</t>
  </si>
  <si>
    <t>2026-05-19 11:45:31</t>
  </si>
  <si>
    <t>2026-05-19 13:50:05</t>
  </si>
  <si>
    <t>VFSD46</t>
  </si>
  <si>
    <t>2026-05-19 14:38:56</t>
  </si>
  <si>
    <t>RVYK95</t>
  </si>
  <si>
    <t>2026-05-19 14:46:50</t>
  </si>
  <si>
    <t>SBWL96</t>
  </si>
  <si>
    <t>2026-05-20 07:17:01</t>
  </si>
  <si>
    <t>JZFZ79</t>
  </si>
  <si>
    <t>2026-05-20 07:25:18</t>
  </si>
  <si>
    <t>RWYC98</t>
  </si>
  <si>
    <t>2026-05-20 07:36:50</t>
  </si>
  <si>
    <t>SZLZ13</t>
  </si>
  <si>
    <t>2026-05-20 07:37:39</t>
  </si>
  <si>
    <t>2026-05-20 07:45:07</t>
  </si>
  <si>
    <t>VJTV56</t>
  </si>
  <si>
    <t>2026-05-20 07:53:21</t>
  </si>
  <si>
    <t>LLBS41</t>
  </si>
  <si>
    <t>2026-05-20 08:03:22</t>
  </si>
  <si>
    <t>RYDV37</t>
  </si>
  <si>
    <t>2026-05-20 08:08:25</t>
  </si>
  <si>
    <t>RSCZ14</t>
  </si>
  <si>
    <t>2026-05-20 08:37:10</t>
  </si>
  <si>
    <t>JSWS83</t>
  </si>
  <si>
    <t>2026-05-20 08:41:15</t>
  </si>
  <si>
    <t>2026-05-20 08:44:49</t>
  </si>
  <si>
    <t>2026-05-20 08:59:23</t>
  </si>
  <si>
    <t>2026-05-20 09:24:21</t>
  </si>
  <si>
    <t>NEW LX</t>
  </si>
  <si>
    <t>2026-05-20 09:28:07</t>
  </si>
  <si>
    <t>RBHD70</t>
  </si>
  <si>
    <t>2026-05-20 09:32:30</t>
  </si>
  <si>
    <t>L200 NEW</t>
  </si>
  <si>
    <t>2026-05-20 09:41:28</t>
  </si>
  <si>
    <t>2026-05-20 09:45:18</t>
  </si>
  <si>
    <t>2026-05-20 09:49:41</t>
  </si>
  <si>
    <t>LRWB26</t>
  </si>
  <si>
    <t>2026-05-20 12:54:55</t>
  </si>
  <si>
    <t>RFKV43</t>
  </si>
  <si>
    <t>2026-05-20 13:20:35</t>
  </si>
  <si>
    <t>RRKW12</t>
  </si>
  <si>
    <t>2026-05-20 14:06:06</t>
  </si>
  <si>
    <t>PZRK43</t>
  </si>
  <si>
    <t>2026-05-20 14:16:35</t>
  </si>
  <si>
    <t>2026-05-20 14:21:31</t>
  </si>
  <si>
    <t>RSSY77</t>
  </si>
  <si>
    <t>2026-05-20 14:24:54</t>
  </si>
  <si>
    <t>2026-05-20 14:26:21</t>
  </si>
  <si>
    <t>2026-05-20 14:29:07</t>
  </si>
  <si>
    <t>SFLY81</t>
  </si>
  <si>
    <t>2026-05-20 14:29:38</t>
  </si>
  <si>
    <t>2026-05-20 14:32:34</t>
  </si>
  <si>
    <t>2026-05-20 14:43:41</t>
  </si>
  <si>
    <t>2026-05-20 14:43:42</t>
  </si>
  <si>
    <t>2026-05-20 14:44:27</t>
  </si>
  <si>
    <t>2026-05-20 14:50:43</t>
  </si>
  <si>
    <t>2026-05-20 14:56:20</t>
  </si>
  <si>
    <t>2026-05-20 14:56:43</t>
  </si>
  <si>
    <t>2026-05-20 14:57:04</t>
  </si>
  <si>
    <t>2026-05-20 14:57:44</t>
  </si>
  <si>
    <t>2026-05-20 14:58:06</t>
  </si>
  <si>
    <t>2026-05-20 14:58:28</t>
  </si>
  <si>
    <t>2026-05-20 14:58:52</t>
  </si>
  <si>
    <t>2026-05-20 14:59:15</t>
  </si>
  <si>
    <t>2026-05-20 14:59:39</t>
  </si>
  <si>
    <t>2026-05-20 15:00:05</t>
  </si>
  <si>
    <t>2026-05-20 15:00:24</t>
  </si>
  <si>
    <t>2026-05-20 15:00:42</t>
  </si>
  <si>
    <t>2026-05-20 15:01:00</t>
  </si>
  <si>
    <t>2026-05-20 15:01:18</t>
  </si>
  <si>
    <t>2026-05-20 15:01:48</t>
  </si>
  <si>
    <t>2026-05-20 15:02:06</t>
  </si>
  <si>
    <t>2026-05-20 15:02:27</t>
  </si>
  <si>
    <t>2026-05-20 15:02:51</t>
  </si>
  <si>
    <t>2026-05-20 15:03:15</t>
  </si>
  <si>
    <t>2026-05-20 15:03:39</t>
  </si>
  <si>
    <t>2026-05-20 15:04:03</t>
  </si>
  <si>
    <t>2026-05-20 15:04:22</t>
  </si>
  <si>
    <t>2026-05-20 15:05:11</t>
  </si>
  <si>
    <t>2026-05-21 16:58:13</t>
  </si>
  <si>
    <t>2026-05-21 16:58:35</t>
  </si>
  <si>
    <t>2026-05-21 16:58:48</t>
  </si>
  <si>
    <t>2026-05-21 16:59:01</t>
  </si>
  <si>
    <t>2026-05-21 16:59:19</t>
  </si>
  <si>
    <t>2026-05-21 17:00:18</t>
  </si>
  <si>
    <t>2026-05-21 17:00:37</t>
  </si>
  <si>
    <t>2026-05-21 17:00:57</t>
  </si>
  <si>
    <t>2026-05-21 17:01:16</t>
  </si>
  <si>
    <t>2026-05-21 17:01:34</t>
  </si>
  <si>
    <t>2026-05-21 17:01:52</t>
  </si>
  <si>
    <t>2026-05-21 17:02:12</t>
  </si>
  <si>
    <t>2026-05-21 17:02:47</t>
  </si>
  <si>
    <t>2026-05-21 17:03:06</t>
  </si>
  <si>
    <t>2026-05-21 17:03:56</t>
  </si>
  <si>
    <t>2026-05-21 17:04:19</t>
  </si>
  <si>
    <t>2026-05-21 17:06:16</t>
  </si>
  <si>
    <t>2026-05-21 17:07:22</t>
  </si>
  <si>
    <t>2026-05-21 17:11:16</t>
  </si>
  <si>
    <t>2026-05-21 17:12:16</t>
  </si>
  <si>
    <t>2026-05-21 17:13:16</t>
  </si>
  <si>
    <t>2026-05-21 17:13:54</t>
  </si>
  <si>
    <t>2026-05-21 17:14:12</t>
  </si>
  <si>
    <t>2026-05-21 17:14:45</t>
  </si>
  <si>
    <t>2026-05-21 17:16:06</t>
  </si>
  <si>
    <t>2026-05-21 17:16:26</t>
  </si>
  <si>
    <t>2026-05-21 17:16:59</t>
  </si>
  <si>
    <t>2026-05-21 17:17:23</t>
  </si>
  <si>
    <t>2026-05-21 17:17:40</t>
  </si>
  <si>
    <t>2026-05-21 17:17:58</t>
  </si>
  <si>
    <t>2026-05-21 17:18:17</t>
  </si>
  <si>
    <t>2026-05-21 17:18:40</t>
  </si>
  <si>
    <t>2026-05-21 17:18:58</t>
  </si>
  <si>
    <t>2026-05-21 17:19:18</t>
  </si>
  <si>
    <t>2026-05-21 17:19:38</t>
  </si>
  <si>
    <t>2026-05-21 17:19:56</t>
  </si>
  <si>
    <t>2026-05-21 17:20:14</t>
  </si>
  <si>
    <t>COMBO</t>
  </si>
  <si>
    <t>2026-05-21 17:20:32</t>
  </si>
  <si>
    <t>2026-05-21 17:20:56</t>
  </si>
  <si>
    <t>2026-05-21 17:21:14</t>
  </si>
  <si>
    <t>2026-05-21 17:21:32</t>
  </si>
  <si>
    <t>2026-05-21 17:21:51</t>
  </si>
  <si>
    <t>2026-05-21 17:22:25</t>
  </si>
  <si>
    <t>2026-05-21 17:22:44</t>
  </si>
  <si>
    <t>2026-05-21 17:23:15</t>
  </si>
  <si>
    <t>2026-05-21 17:24:21</t>
  </si>
  <si>
    <t>2026-05-21 17:26:16</t>
  </si>
  <si>
    <t>2026-05-21 17:29:16</t>
  </si>
  <si>
    <t>2026-05-21 17:35:16</t>
  </si>
  <si>
    <t>2026-05-21 17:37:16</t>
  </si>
  <si>
    <t>2026-05-21 17:38:16</t>
  </si>
  <si>
    <t>2026-05-21 17:39:15</t>
  </si>
  <si>
    <t>2026-05-21 17:40:15</t>
  </si>
  <si>
    <t>2026-05-21 17:41:16</t>
  </si>
  <si>
    <t>2026-05-21 17:42:16</t>
  </si>
  <si>
    <t>2026-05-21 17:43:16</t>
  </si>
  <si>
    <t>2026-05-21 17:44:15</t>
  </si>
  <si>
    <t>2026-05-21 17:46:23</t>
  </si>
  <si>
    <t>2026-05-21 17:48:16</t>
  </si>
  <si>
    <t>2026-05-21 17:50:15</t>
  </si>
  <si>
    <t>2026-05-21 17:52:18</t>
  </si>
  <si>
    <t>2026-05-21 17:54:20</t>
  </si>
  <si>
    <t>2026-05-21 17:56:15</t>
  </si>
  <si>
    <t>2026-05-21 17:58:16</t>
  </si>
  <si>
    <t>2026-05-21 18:00:21</t>
  </si>
  <si>
    <t>2026-05-21 18:02:15</t>
  </si>
  <si>
    <t>2026-05-21 18:05:20</t>
  </si>
  <si>
    <t>2026-05-21 18:07:16</t>
  </si>
  <si>
    <t>2026-05-21 18:12:16</t>
  </si>
  <si>
    <t>2026-05-21 18:13:15</t>
  </si>
  <si>
    <t>2026-05-21 18:15:16</t>
  </si>
  <si>
    <t>2026-05-21 18:16:16</t>
  </si>
  <si>
    <t>2026-05-21 18:17:15</t>
  </si>
  <si>
    <t>2026-05-21 18:18:15</t>
  </si>
  <si>
    <t>2026-05-21 18:19:15</t>
  </si>
  <si>
    <t>2026-05-21 18:20:15</t>
  </si>
  <si>
    <t>2026-05-21 18:23:16</t>
  </si>
  <si>
    <t>CAPTIVA 5</t>
  </si>
  <si>
    <t>2026-05-21 18:24:16</t>
  </si>
  <si>
    <t>2026-05-21 18:25:16</t>
  </si>
  <si>
    <t>2026-05-21 18:26:15</t>
  </si>
  <si>
    <t>2026-05-21 18:27:15</t>
  </si>
  <si>
    <t>2026-05-21 18:28:16</t>
  </si>
  <si>
    <t>2026-05-22 06:10:27</t>
  </si>
  <si>
    <t>SCGS32</t>
  </si>
  <si>
    <t>2026-05-22 07:01:34</t>
  </si>
  <si>
    <t>KWTH19</t>
  </si>
  <si>
    <t>2026-05-22 08:04:31</t>
  </si>
  <si>
    <t>VBBD43</t>
  </si>
  <si>
    <t>2026-05-22 08:45:36</t>
  </si>
  <si>
    <t>SGTD48</t>
  </si>
  <si>
    <t>2026-05-22 09:13:24</t>
  </si>
  <si>
    <t>2026-05-22 09:14:47</t>
  </si>
  <si>
    <t>TCTW89</t>
  </si>
  <si>
    <t>2026-05-22 09:40:52</t>
  </si>
  <si>
    <t>TBZK86</t>
  </si>
  <si>
    <t>2026-05-22 09:46:19</t>
  </si>
  <si>
    <t>NEW 2500</t>
  </si>
  <si>
    <t>TTXC44</t>
  </si>
  <si>
    <t>2026-05-22 09:50:00</t>
  </si>
  <si>
    <t>2026-05-22 11:41:00</t>
  </si>
  <si>
    <t>LGBF80</t>
  </si>
  <si>
    <t>2026-05-22 11:54:55</t>
  </si>
  <si>
    <t>2026-05-22 11:58:39</t>
  </si>
  <si>
    <t>2026-05-22 12:22:21</t>
  </si>
  <si>
    <t>SDPF99</t>
  </si>
  <si>
    <t>2026-05-22 12:25:24</t>
  </si>
  <si>
    <t>2026-05-22 12:33:55</t>
  </si>
  <si>
    <t>THXR71</t>
  </si>
  <si>
    <t>2026-05-22 12:45:44</t>
  </si>
  <si>
    <t>TLRT55</t>
  </si>
  <si>
    <t>2026-05-22 13:30:13</t>
  </si>
  <si>
    <t>KVWJ61</t>
  </si>
  <si>
    <t>2026-05-23 08:00:05</t>
  </si>
  <si>
    <t>RDLK34</t>
  </si>
  <si>
    <t>2026-05-23 08:06:46</t>
  </si>
  <si>
    <t>ONIX SEDÁN</t>
  </si>
  <si>
    <t>PLCF87</t>
  </si>
  <si>
    <t>2026-05-25 04:45:30</t>
  </si>
  <si>
    <t>TYWR67</t>
  </si>
  <si>
    <t>2026-05-25 05:15:54</t>
  </si>
  <si>
    <t>DELIVER9</t>
  </si>
  <si>
    <t>THHH46</t>
  </si>
  <si>
    <t>2026-05-25 05:42:21</t>
  </si>
  <si>
    <t>SWTL63</t>
  </si>
  <si>
    <t>2026-05-25 06:20:18</t>
  </si>
  <si>
    <t>SSSC51</t>
  </si>
  <si>
    <t>2026-05-25 07:32:02</t>
  </si>
  <si>
    <t>TSSF32</t>
  </si>
  <si>
    <t>2026-05-25 08:33:00</t>
  </si>
  <si>
    <t>KHPH71</t>
  </si>
  <si>
    <t>2026-05-25 09:35:09</t>
  </si>
  <si>
    <t>T90</t>
  </si>
  <si>
    <t>THHH45</t>
  </si>
  <si>
    <t>2026-05-25 10:27:28</t>
  </si>
  <si>
    <t>SYDL45</t>
  </si>
  <si>
    <t>2026-05-25 10:50:43</t>
  </si>
  <si>
    <t>JLFH99</t>
  </si>
  <si>
    <t>2026-05-25 10:56:39</t>
  </si>
  <si>
    <t>RXCG78</t>
  </si>
  <si>
    <t>2026-05-25 11:14:58</t>
  </si>
  <si>
    <t>SWTP86</t>
  </si>
  <si>
    <t>2026-05-25 12:58:19</t>
  </si>
  <si>
    <t>FSJS32</t>
  </si>
  <si>
    <t>2026-05-25 13:00:40</t>
  </si>
  <si>
    <t>JKFC52</t>
  </si>
  <si>
    <t>2026-05-25 13:31:29</t>
  </si>
  <si>
    <t>VLJG46</t>
  </si>
  <si>
    <t>2026-05-25 13:57:29</t>
  </si>
  <si>
    <t>RPSY76</t>
  </si>
  <si>
    <t>2026-05-25 14:26:24</t>
  </si>
  <si>
    <t>SSSC14</t>
  </si>
  <si>
    <t>2026-05-26 05:32:47</t>
  </si>
  <si>
    <t>2026-05-26 05:43:11</t>
  </si>
  <si>
    <t>SYXS98</t>
  </si>
  <si>
    <t>2026-05-26 06:09:41</t>
  </si>
  <si>
    <t>LHRX53</t>
  </si>
  <si>
    <t>2026-05-26 06:19:45</t>
  </si>
  <si>
    <t>BLAZER</t>
  </si>
  <si>
    <t>PZZX68</t>
  </si>
  <si>
    <t>2026-05-26 07:23:03</t>
  </si>
  <si>
    <t>RGGG76</t>
  </si>
  <si>
    <t>2026-05-26 08:02:02</t>
  </si>
  <si>
    <t>118 I</t>
  </si>
  <si>
    <t>TSGC72</t>
  </si>
  <si>
    <t>2026-05-26 08:15:10</t>
  </si>
  <si>
    <t>2026-05-26 08:29:08</t>
  </si>
  <si>
    <t>PRBC65</t>
  </si>
  <si>
    <t>2026-05-26 08:37:42</t>
  </si>
  <si>
    <t>2026-05-26 09:33:01</t>
  </si>
  <si>
    <t>TJSS85</t>
  </si>
  <si>
    <t>2026-05-26 09:37:27</t>
  </si>
  <si>
    <t>TCSZ76</t>
  </si>
  <si>
    <t>2026-05-26 10:43:07</t>
  </si>
  <si>
    <t>KJSX19</t>
  </si>
  <si>
    <t>2026-05-26 11:33:17</t>
  </si>
  <si>
    <t>2026-05-26 12:38:58</t>
  </si>
  <si>
    <t>SWTL83</t>
  </si>
  <si>
    <t>2026-05-26 13:43:43</t>
  </si>
  <si>
    <t>RTWH37</t>
  </si>
  <si>
    <t>2026-05-26 14:05:29</t>
  </si>
  <si>
    <t>THRL52</t>
  </si>
  <si>
    <t>2026-05-27 05:50:13</t>
  </si>
  <si>
    <t>RJCW98</t>
  </si>
  <si>
    <t>2026-05-27 06:12:11</t>
  </si>
  <si>
    <t>2026-05-27 06:45:33</t>
  </si>
  <si>
    <t>XUV 300</t>
  </si>
  <si>
    <t>TJYL61</t>
  </si>
  <si>
    <t>2026-05-27 06:53:24</t>
  </si>
  <si>
    <t>VGBX60</t>
  </si>
  <si>
    <t>2026-05-27 08:52:45</t>
  </si>
  <si>
    <t>SFLZ40</t>
  </si>
  <si>
    <t>2026-05-27 09:07:01</t>
  </si>
  <si>
    <t>THHH77</t>
  </si>
  <si>
    <t>2026-05-27 09:07:55</t>
  </si>
  <si>
    <t>TKHT43</t>
  </si>
  <si>
    <t>2026-05-27 09:16:56</t>
  </si>
  <si>
    <t>SFLX95</t>
  </si>
  <si>
    <t>2026-05-27 09:24:45</t>
  </si>
  <si>
    <t>TPCS53</t>
  </si>
  <si>
    <t>2026-05-27 12:05:35</t>
  </si>
  <si>
    <t>SJJH29</t>
  </si>
  <si>
    <t>2026-05-27 12:08:47</t>
  </si>
  <si>
    <t>RPZK34</t>
  </si>
  <si>
    <t>2026-05-27 12:13:43</t>
  </si>
  <si>
    <t>TRBB66</t>
  </si>
  <si>
    <t>2026-05-27 12:25:37</t>
  </si>
  <si>
    <t>THXL56</t>
  </si>
  <si>
    <t>2026-05-27 12:30:18</t>
  </si>
  <si>
    <t>KZXY43</t>
  </si>
  <si>
    <t>2026-05-27 14:54:30</t>
  </si>
  <si>
    <t>SZTJ86</t>
  </si>
  <si>
    <t>2026-05-28 05:22:56</t>
  </si>
  <si>
    <t>LTDS72</t>
  </si>
  <si>
    <t>2026-05-28 05:28:38</t>
  </si>
  <si>
    <t>2026-05-28 06:32:01</t>
  </si>
  <si>
    <t>TJLD13</t>
  </si>
  <si>
    <t>2026-05-28 06:36:24</t>
  </si>
  <si>
    <t>KAZAK</t>
  </si>
  <si>
    <t>PYCV34</t>
  </si>
  <si>
    <t>2026-05-28 06:58:18</t>
  </si>
  <si>
    <t>2026-05-28 07:16:25</t>
  </si>
  <si>
    <t>V9</t>
  </si>
  <si>
    <t>VFHR52</t>
  </si>
  <si>
    <t>2026-05-28 09:04:39</t>
  </si>
  <si>
    <t>TKHR97</t>
  </si>
  <si>
    <t>2026-05-28 09:06:33</t>
  </si>
  <si>
    <t>SJJH61</t>
  </si>
  <si>
    <t>2026-05-28 09:46:00</t>
  </si>
  <si>
    <t>2026-05-28 10:02:55</t>
  </si>
  <si>
    <t>SSTS23</t>
  </si>
  <si>
    <t>2026-05-28 10:09:24</t>
  </si>
  <si>
    <t>KPKJ97</t>
  </si>
  <si>
    <t>2026-05-28 10:11:39</t>
  </si>
  <si>
    <t>2026-05-28 10:13:48</t>
  </si>
  <si>
    <t>SXHX52</t>
  </si>
  <si>
    <t>2026-05-28 10:18:08</t>
  </si>
  <si>
    <t>SLPR10</t>
  </si>
  <si>
    <t>2026-05-28 10:24:20</t>
  </si>
  <si>
    <t>SSTS46</t>
  </si>
  <si>
    <t>2026-05-28 11:30:45</t>
  </si>
  <si>
    <t>GLRJ47</t>
  </si>
  <si>
    <t>2026-05-28 11:41:18</t>
  </si>
  <si>
    <t>LJYL98</t>
  </si>
  <si>
    <t>2026-05-28 13:03:10</t>
  </si>
  <si>
    <t>RRXG65</t>
  </si>
  <si>
    <t>2026-05-28 13:31:54</t>
  </si>
  <si>
    <t>TRBK34</t>
  </si>
  <si>
    <t>2026-05-28 13:39:41</t>
  </si>
  <si>
    <t>TZRF25</t>
  </si>
  <si>
    <t>2026-05-28 13:47:43</t>
  </si>
  <si>
    <t>SPTB36</t>
  </si>
  <si>
    <t>2026-05-29 05:53:34</t>
  </si>
  <si>
    <t>KKSD91</t>
  </si>
  <si>
    <t>2026-05-29 06:44:02</t>
  </si>
  <si>
    <t>SDPF83</t>
  </si>
  <si>
    <t>2026-05-29 07:03:27</t>
  </si>
  <si>
    <t>STBS34</t>
  </si>
  <si>
    <t>2026-05-29 07:28:39</t>
  </si>
  <si>
    <t>TRWV54</t>
  </si>
  <si>
    <t>30-05-2026 0:00:00</t>
  </si>
  <si>
    <t>30-05-2026 11:24:30</t>
  </si>
  <si>
    <t>JN1KC4E26 P9020038</t>
  </si>
  <si>
    <t>NIUR01</t>
  </si>
  <si>
    <t>TNIFRGU000002</t>
  </si>
  <si>
    <t>AE,CC,EE,2AB,ABS,AC,AISO,AAUTO,CRE,ACD,DLL</t>
  </si>
  <si>
    <t>YD25113544B</t>
  </si>
  <si>
    <t>INVERSIONES SEYMAQ ATACAMA LIMITADA</t>
  </si>
  <si>
    <t>30-05-2026 11:24:09</t>
  </si>
  <si>
    <t>31-08-2027 0:00:00</t>
  </si>
  <si>
    <t>TSZD67</t>
  </si>
  <si>
    <t>04-06-2026 9:56:00</t>
  </si>
  <si>
    <t>04-06-2026 10:00:00</t>
  </si>
  <si>
    <t>KZKL71</t>
  </si>
  <si>
    <t>SYPP89</t>
  </si>
  <si>
    <t>2026-05-29 08:27:01</t>
  </si>
  <si>
    <t>PRSJ33</t>
  </si>
  <si>
    <t>2026-05-29 08:31:37</t>
  </si>
  <si>
    <t>THCW86</t>
  </si>
  <si>
    <t>2026-05-29 08:40:29</t>
  </si>
  <si>
    <t>ALL NEW SUBURBAN</t>
  </si>
  <si>
    <t>TBJD29</t>
  </si>
  <si>
    <t>2026-05-29 08:56:40</t>
  </si>
  <si>
    <t>SWHJ35</t>
  </si>
  <si>
    <t>2026-05-29 11:02:45</t>
  </si>
  <si>
    <t>PYXP67</t>
  </si>
  <si>
    <t>2026-05-29 11:29:39</t>
  </si>
  <si>
    <t>2026-05-29 12:23:50</t>
  </si>
  <si>
    <t>SDKF24</t>
  </si>
  <si>
    <t>2026-05-29 12:51:40</t>
  </si>
  <si>
    <t>TSXR64</t>
  </si>
  <si>
    <t>2026-05-29 12:54:54</t>
  </si>
  <si>
    <t>LTXK82</t>
  </si>
  <si>
    <t>2026-05-29 12:57:49</t>
  </si>
  <si>
    <t>SYDR11</t>
  </si>
  <si>
    <t>2026-05-29 13:00:11</t>
  </si>
  <si>
    <t>PJDD10</t>
  </si>
  <si>
    <t>2026-05-29 13:02:03</t>
  </si>
  <si>
    <t>LVTG78</t>
  </si>
  <si>
    <t>2026-05-29 13:04:34</t>
  </si>
  <si>
    <t>SKDW72</t>
  </si>
  <si>
    <t>2026-05-29 13:33:42</t>
  </si>
  <si>
    <t>VDHX94</t>
  </si>
  <si>
    <t>2026-05-29 14:21:20</t>
  </si>
  <si>
    <t>2026-05-30 07:09:14</t>
  </si>
  <si>
    <t>RSCZ46</t>
  </si>
  <si>
    <t>2026-05-30 08:40:12</t>
  </si>
  <si>
    <t>RAV4 ALL NEW</t>
  </si>
  <si>
    <t>2026-05-30 08:50:38</t>
  </si>
  <si>
    <t>SFDX60</t>
  </si>
  <si>
    <t>2026-05-30 09:53:56</t>
  </si>
  <si>
    <t>2026-06-01 05:31:33</t>
  </si>
  <si>
    <t>2026-06-01 06:48:39</t>
  </si>
  <si>
    <t>TDYG87</t>
  </si>
  <si>
    <t>2026-06-01 06:52:31</t>
  </si>
  <si>
    <t>MIRAGE</t>
  </si>
  <si>
    <t>LRVZ14</t>
  </si>
  <si>
    <t>2026-06-01 06:57:21</t>
  </si>
  <si>
    <t>2026-06-01 07:48:01</t>
  </si>
  <si>
    <t>LTLR73</t>
  </si>
  <si>
    <t>2026-06-01 08:01:53</t>
  </si>
  <si>
    <t>2026-06-01 08:33:40</t>
  </si>
  <si>
    <t>TDXK59</t>
  </si>
  <si>
    <t>2026-06-01 09:06:56</t>
  </si>
  <si>
    <t>SRHY68</t>
  </si>
  <si>
    <t>2026-06-01 09:12:25</t>
  </si>
  <si>
    <t>SHLJ22</t>
  </si>
  <si>
    <t>2026-06-01 12:19:06</t>
  </si>
  <si>
    <t>SPSG76</t>
  </si>
  <si>
    <t>2026-06-01 12:33:37</t>
  </si>
  <si>
    <t>SCHH81</t>
  </si>
  <si>
    <t>2026-06-01 12:44:13</t>
  </si>
  <si>
    <t>RSYD12</t>
  </si>
  <si>
    <t>2026-06-01 12:51:38</t>
  </si>
  <si>
    <t>2026-06-01 14:47:28</t>
  </si>
  <si>
    <t>VLDT45</t>
  </si>
  <si>
    <t>2026-06-01 15:09:02</t>
  </si>
  <si>
    <t>TDYP58</t>
  </si>
  <si>
    <t>2026-06-02 05:54:26</t>
  </si>
  <si>
    <t>VWBK73</t>
  </si>
  <si>
    <t>2026-06-02 07:11:25</t>
  </si>
  <si>
    <t>PCFJ57</t>
  </si>
  <si>
    <t>2026-06-02 07:43:54</t>
  </si>
  <si>
    <t>THCY74</t>
  </si>
  <si>
    <t>2026-06-02 07:55:10</t>
  </si>
  <si>
    <t>SHDF28</t>
  </si>
  <si>
    <t>2026-06-02 08:04:14</t>
  </si>
  <si>
    <t>2026-06-02 08:33:14</t>
  </si>
  <si>
    <t>NEW YARIS</t>
  </si>
  <si>
    <t>2026-06-02 08:39:26</t>
  </si>
  <si>
    <t>PSBK20</t>
  </si>
  <si>
    <t>2026-06-02 09:10:23</t>
  </si>
  <si>
    <t>SXPJ61</t>
  </si>
  <si>
    <t>2026-06-02 12:05:24</t>
  </si>
  <si>
    <t>PLCF33</t>
  </si>
  <si>
    <t>2026-06-02 12:10:08</t>
  </si>
  <si>
    <t>UNI-K</t>
  </si>
  <si>
    <t>2026-06-02 13:16:18</t>
  </si>
  <si>
    <t>2026-06-02 13:24:15</t>
  </si>
  <si>
    <t>RGJC66</t>
  </si>
  <si>
    <t>2026-06-02 13:46:10</t>
  </si>
  <si>
    <t>SVSY93</t>
  </si>
  <si>
    <t>2026-06-02 13:58:07</t>
  </si>
  <si>
    <t>VJLF81</t>
  </si>
  <si>
    <t>2026-06-02 14:05:17</t>
  </si>
  <si>
    <t>2026-06-02 18:27:42</t>
  </si>
  <si>
    <t>2026-06-03 05:33:16</t>
  </si>
  <si>
    <t>TJDD55</t>
  </si>
  <si>
    <t>2026-06-03 05:57:04</t>
  </si>
  <si>
    <t>2026-06-03 06:20:49</t>
  </si>
  <si>
    <t>RFWY74</t>
  </si>
  <si>
    <t>2026-06-03 07:21:12</t>
  </si>
  <si>
    <t>2026-06-03 07:36:40</t>
  </si>
  <si>
    <t>2026-06-03 07:38:53</t>
  </si>
  <si>
    <t>SDRL72</t>
  </si>
  <si>
    <t>2026-06-03 07:59:55</t>
  </si>
  <si>
    <t>RXBX67</t>
  </si>
  <si>
    <t>2026-06-03 08:07:17</t>
  </si>
  <si>
    <t>TZZZ19</t>
  </si>
  <si>
    <t>2026-06-03 08:25:11</t>
  </si>
  <si>
    <t>TBCR53</t>
  </si>
  <si>
    <t>2026-06-03 08:43:34</t>
  </si>
  <si>
    <t>2026-06-03 09:16:04</t>
  </si>
  <si>
    <t>PJYL14</t>
  </si>
  <si>
    <t>2026-06-03 12:25:25</t>
  </si>
  <si>
    <t>2026-06-03 12:33:59</t>
  </si>
  <si>
    <t>SDKG65</t>
  </si>
  <si>
    <t>2026-06-03 12:46:18</t>
  </si>
  <si>
    <t>TLRP65</t>
  </si>
  <si>
    <t>2026-06-03 13:13:06</t>
  </si>
  <si>
    <t>TVXD97</t>
  </si>
  <si>
    <t>2026-06-04 06:36:53</t>
  </si>
  <si>
    <t>JZJT24</t>
  </si>
  <si>
    <t>2026-06-04 06:40:36</t>
  </si>
  <si>
    <t>GRAND CARAVAN</t>
  </si>
  <si>
    <t>GKWV82</t>
  </si>
  <si>
    <t>2026-06-04 06:45:16</t>
  </si>
  <si>
    <t>PBKV27</t>
  </si>
  <si>
    <t>2026-06-04 07:07:41</t>
  </si>
  <si>
    <t>X7 PLUS</t>
  </si>
  <si>
    <t>VBBF53</t>
  </si>
  <si>
    <t>2026-06-04 07:41:15</t>
  </si>
  <si>
    <t>VKCY46</t>
  </si>
  <si>
    <t>2026-06-04 08:16:55</t>
  </si>
  <si>
    <t>RTRL60</t>
  </si>
  <si>
    <t>2026-06-04 08:26:56</t>
  </si>
  <si>
    <t>TSGB57</t>
  </si>
  <si>
    <t>2026-06-04 11:16:38</t>
  </si>
  <si>
    <t>VJTT20</t>
  </si>
  <si>
    <t>2026-06-04 11:24:35</t>
  </si>
  <si>
    <t>TPTW17</t>
  </si>
  <si>
    <t>2026-06-04 11:45:18</t>
  </si>
  <si>
    <t>2026-06-04 12:19:14</t>
  </si>
  <si>
    <t>TKHS62</t>
  </si>
  <si>
    <t>2026-06-04 13:28:21</t>
  </si>
  <si>
    <t>Z9</t>
  </si>
  <si>
    <t>VTRB38</t>
  </si>
  <si>
    <t>2026-06-04 13:32:03</t>
  </si>
  <si>
    <t>TCSF19</t>
  </si>
  <si>
    <t>2026-06-04 13:38:30</t>
  </si>
  <si>
    <t>TJDC84</t>
  </si>
  <si>
    <t>2026-06-04 13:42:13</t>
  </si>
  <si>
    <t>VCRK29</t>
  </si>
  <si>
    <t>2026-06-04 14:26:50</t>
  </si>
  <si>
    <t>2026-06-04 14:30:03</t>
  </si>
  <si>
    <t>KZLR17</t>
  </si>
  <si>
    <t>2026-06-04 14:33:32</t>
  </si>
  <si>
    <t>NEW RENEGADE</t>
  </si>
  <si>
    <t>TCHV71</t>
  </si>
  <si>
    <t>2026-06-04 15:22:13</t>
  </si>
  <si>
    <t>TDXB62</t>
  </si>
  <si>
    <t>2026-06-04 15:38:24</t>
  </si>
  <si>
    <t>TXYV94</t>
  </si>
  <si>
    <t>2026-06-05 05:20:57</t>
  </si>
  <si>
    <t>SRVX77</t>
  </si>
  <si>
    <t>2026-06-05 08:48:33</t>
  </si>
  <si>
    <t>VCRK53</t>
  </si>
  <si>
    <t>2026-06-05 08:51:38</t>
  </si>
  <si>
    <t>RPJV95</t>
  </si>
  <si>
    <t>2026-06-05 11:46:46</t>
  </si>
  <si>
    <t>NEW FORESTER</t>
  </si>
  <si>
    <t>LPBC32</t>
  </si>
  <si>
    <t>2026-06-05 11:51:39</t>
  </si>
  <si>
    <t>RXRV41</t>
  </si>
  <si>
    <t>2026-06-05 12:14:22</t>
  </si>
  <si>
    <t>TFPW88</t>
  </si>
  <si>
    <t>2026-06-05 12:38:46</t>
  </si>
  <si>
    <t>2026-06-05 12:48:56</t>
  </si>
  <si>
    <t>2026-06-05 13:09:57</t>
  </si>
  <si>
    <t>TCTW18</t>
  </si>
  <si>
    <t>2026-06-05 17:43:11</t>
  </si>
  <si>
    <t>2026-06-06 08:11:19</t>
  </si>
  <si>
    <t>LVXB30</t>
  </si>
  <si>
    <t>2026-06-06 08:21:35</t>
  </si>
  <si>
    <t>THXP36</t>
  </si>
  <si>
    <t>2026-06-06 08:35:24</t>
  </si>
  <si>
    <t>SZTF55</t>
  </si>
  <si>
    <t>2026-06-06 08:40:23</t>
  </si>
  <si>
    <t>PKBT89</t>
  </si>
  <si>
    <t>2026-06-08 06:17:00</t>
  </si>
  <si>
    <t>JRBC69</t>
  </si>
  <si>
    <t>2026-06-08 06:26:01</t>
  </si>
  <si>
    <t>PCDD57</t>
  </si>
  <si>
    <t>2026-06-08 06:40:14</t>
  </si>
  <si>
    <t>XUV 500</t>
  </si>
  <si>
    <t>LTXD29</t>
  </si>
  <si>
    <t>2026-06-08 07:24:06</t>
  </si>
  <si>
    <t>RKRZ23</t>
  </si>
  <si>
    <t>2026-06-08 07:27:27</t>
  </si>
  <si>
    <t>PPLZ57</t>
  </si>
  <si>
    <t>2026-06-08 07:31:22</t>
  </si>
  <si>
    <t>TCHZ68</t>
  </si>
  <si>
    <t>2026-06-08 07:44:01</t>
  </si>
  <si>
    <t>TBWZ70</t>
  </si>
  <si>
    <t>2026-06-08 08:10:23</t>
  </si>
  <si>
    <t>TJSJ55</t>
  </si>
  <si>
    <t>2026-06-08 08:19:29</t>
  </si>
  <si>
    <t>2026-06-08 08:27:33</t>
  </si>
  <si>
    <t>SKSY97</t>
  </si>
  <si>
    <t>2026-06-08 08:49:21</t>
  </si>
  <si>
    <t>2026-06-08 09:21:15</t>
  </si>
  <si>
    <t>PZJG98</t>
  </si>
  <si>
    <t>2026-06-08 11:27:57</t>
  </si>
  <si>
    <t>VWJS58</t>
  </si>
  <si>
    <t>2026-06-08 11:37:17</t>
  </si>
  <si>
    <t>SBWK84</t>
  </si>
  <si>
    <t>2026-06-08 11:48:34</t>
  </si>
  <si>
    <t>2026-06-08 14:06:25</t>
  </si>
  <si>
    <t>VTYL92</t>
  </si>
  <si>
    <t>2026-06-08 14:21:20</t>
  </si>
  <si>
    <t>JDKG27</t>
  </si>
  <si>
    <t>2026-06-08 14:38:24</t>
  </si>
  <si>
    <t>SSTT37</t>
  </si>
  <si>
    <t>2026-06-09 05:12:36</t>
  </si>
  <si>
    <t>STBR10</t>
  </si>
  <si>
    <t>08-06-2022 9:26:11</t>
  </si>
  <si>
    <t>1C4RJFAM4DC548094</t>
  </si>
  <si>
    <t>MIP</t>
  </si>
  <si>
    <t>TJESTWU000395</t>
  </si>
  <si>
    <t>CC,EE,2AB,NB,AAC,ABS,LL,VC,ESP,CT,AELE,CRE,MAV,ACD</t>
  </si>
  <si>
    <t>DC548094</t>
  </si>
  <si>
    <t>ERICK DARNEY VERGARA ROJAS</t>
  </si>
  <si>
    <t>08-06-2022 0:00:00</t>
  </si>
  <si>
    <t>08-06-2022 9:25:50</t>
  </si>
  <si>
    <t>15-03-2022 11:58:49</t>
  </si>
  <si>
    <t>KPTG0B1TSFP339581</t>
  </si>
  <si>
    <t>REXTON 2.0</t>
  </si>
  <si>
    <t>05--12345678</t>
  </si>
  <si>
    <t>TSYSTWU000306</t>
  </si>
  <si>
    <t>AE,CC,2AB,NB,ABS,AC,AISO,CRE,MAV</t>
  </si>
  <si>
    <t>67196010530787</t>
  </si>
  <si>
    <t>ALEJANDRA DEL CARMEN URTUBIA MENDIETA</t>
  </si>
  <si>
    <t>15-03-2022 0:00:00</t>
  </si>
  <si>
    <t>15-03-2022 11:58:28</t>
  </si>
  <si>
    <t>MEGACENTRO COPIAPO</t>
  </si>
  <si>
    <t>03-01-2017 1:36:33</t>
  </si>
  <si>
    <t>LGHT12177E9700276</t>
  </si>
  <si>
    <t>2012--CARGOBOX1</t>
  </si>
  <si>
    <t>TDFCMTU000004</t>
  </si>
  <si>
    <t>FZPL98</t>
  </si>
  <si>
    <t>NO DEFINIDO</t>
  </si>
  <si>
    <t>VEHICULO USO DE SERVICIO</t>
  </si>
  <si>
    <t>BOD. Veh. MEGA COPIAPO</t>
  </si>
  <si>
    <t>EQ474I-3013074677</t>
  </si>
  <si>
    <t>SOCIEDAD HERMANAS CALLEGARI LTDA</t>
  </si>
  <si>
    <t>11-06-2014 0:00:00</t>
  </si>
  <si>
    <t>20-03-2020 12:53:54</t>
  </si>
  <si>
    <t>KNAPB811BE7498300</t>
  </si>
  <si>
    <t>SPORTAGE LX 4X4 2.0 AUT</t>
  </si>
  <si>
    <t>17--0120</t>
  </si>
  <si>
    <t>TKISTWU001135</t>
  </si>
  <si>
    <t>FWLT41</t>
  </si>
  <si>
    <t>ROJO ORANGE</t>
  </si>
  <si>
    <t>USO GERENCIA</t>
  </si>
  <si>
    <t>G4KDDH424564</t>
  </si>
  <si>
    <t>20-03-2020 0:00:00</t>
  </si>
  <si>
    <t>13-04-2020 0:00:00</t>
  </si>
  <si>
    <t>13-04-2020 10:05:55</t>
  </si>
  <si>
    <t>17-02-2022 15:53:19</t>
  </si>
  <si>
    <t>VF3M45GZWJS004469</t>
  </si>
  <si>
    <t>3008 ALLURE 1.6 AT</t>
  </si>
  <si>
    <t>PALL7</t>
  </si>
  <si>
    <t>TPESTWU000279</t>
  </si>
  <si>
    <t>GRIS HURRICANE</t>
  </si>
  <si>
    <t>AE,CC,EE,2AB,NB,AAC,ABS,LL,TC,VC,4AB,ESP,CT,SS,AIS</t>
  </si>
  <si>
    <t>10FJCC2346652</t>
  </si>
  <si>
    <t>OSCAR ARMANDO PIZARRO BEMBOW</t>
  </si>
  <si>
    <t>17-02-2022 0:00:00</t>
  </si>
  <si>
    <t>29-04-2022 19:24:00</t>
  </si>
  <si>
    <t>LGHT12173E9700288</t>
  </si>
  <si>
    <t>TDFCMTU000001</t>
  </si>
  <si>
    <t>GBDZ38</t>
  </si>
  <si>
    <t>EQ474I-3013074700</t>
  </si>
  <si>
    <t>04-06-2014 0:00:00</t>
  </si>
  <si>
    <t>02-05-2022 18:10:07</t>
  </si>
  <si>
    <t>VF3MCYHZRLS003227</t>
  </si>
  <si>
    <t>PCM10</t>
  </si>
  <si>
    <t>TPESTWU000283</t>
  </si>
  <si>
    <t>10Q3BC0371833</t>
  </si>
  <si>
    <t>PRUDENCIA LEONELLY VALDIVIA PLAZA</t>
  </si>
  <si>
    <t>02-05-2022 0:00:00</t>
  </si>
  <si>
    <t>26-02-2025 17:20:00</t>
  </si>
  <si>
    <t>LOCAL PDI</t>
  </si>
  <si>
    <t>14-08-2018 18:36:12</t>
  </si>
  <si>
    <t>KNABE511AET622431</t>
  </si>
  <si>
    <t>17--1416E4</t>
  </si>
  <si>
    <t>TKIAUTU001659</t>
  </si>
  <si>
    <t>FZPL81</t>
  </si>
  <si>
    <t>ROJO SIGNAL</t>
  </si>
  <si>
    <t>VEHICULO EMPRESA</t>
  </si>
  <si>
    <t>BODEGA PDI</t>
  </si>
  <si>
    <t>G3LADP101529</t>
  </si>
  <si>
    <t>JUAN CARLOS MORALES GODOY</t>
  </si>
  <si>
    <t>14-08-2018 0:00:00</t>
  </si>
  <si>
    <t>KNCSJX76AF7939699</t>
  </si>
  <si>
    <t>FRONTIER C/C 2.5 6MT</t>
  </si>
  <si>
    <t>17--1336</t>
  </si>
  <si>
    <t>TKICMTN000002</t>
  </si>
  <si>
    <t>HKVZ15</t>
  </si>
  <si>
    <t>D4CBF677399</t>
  </si>
  <si>
    <t>SERVICIOS DE INGENIERIA Y MINERIA SPA</t>
  </si>
  <si>
    <t>09-11-2015 0:00:00</t>
  </si>
  <si>
    <t>10-11-2015 0:00:00</t>
  </si>
  <si>
    <t>12-11-2020 15:42:13</t>
  </si>
  <si>
    <t>CALLEGARI E HIJOS LTDA</t>
  </si>
  <si>
    <t>LJD0AA29AR0251362</t>
  </si>
  <si>
    <t>TDYG27</t>
  </si>
  <si>
    <t>CKIAUTU000006</t>
  </si>
  <si>
    <t>PLATEADO TITANIO</t>
  </si>
  <si>
    <t>MEGACENTRO COPIAPO VEHICULOS</t>
  </si>
  <si>
    <t>G4LCP1045504</t>
  </si>
  <si>
    <t>RODRIGO ALEJANDRO MARTINEZ DROGUETT</t>
  </si>
  <si>
    <t>2008 MCA Allure Puretech 130 EAT8</t>
  </si>
  <si>
    <t>SEMINUEVO</t>
  </si>
  <si>
    <t>DEMO/INTERNO</t>
  </si>
  <si>
    <t>LOCAL USADOS VEHICULOS</t>
  </si>
  <si>
    <t>AUTOMOTRIZ BALMACEDA LTDA</t>
  </si>
  <si>
    <t>FORD BALMACEDA</t>
  </si>
  <si>
    <t>8AFBR01K6SJ443936</t>
  </si>
  <si>
    <t>RANDEVTDXB62</t>
  </si>
  <si>
    <t>CFOCMTU000014</t>
  </si>
  <si>
    <t>BODEGA FORD BALMACEDA VEHICULO</t>
  </si>
  <si>
    <t>BF2X SJ443936</t>
  </si>
  <si>
    <t>BANCO DE CHILE</t>
  </si>
  <si>
    <t>25-11-2025 0:00:00</t>
  </si>
  <si>
    <t>VF3M45GBURS003230</t>
  </si>
  <si>
    <t>3008 GT HYBRID4 300 eEAT8</t>
  </si>
  <si>
    <t>TCPE1</t>
  </si>
  <si>
    <t>CPESTWN000039</t>
  </si>
  <si>
    <t>10FKBJ3063820</t>
  </si>
  <si>
    <t>9V8FF4HY1PA800411</t>
  </si>
  <si>
    <t>Landtrek Active BlueHdi 180 4x4 AT</t>
  </si>
  <si>
    <t>2PKPEKHMQNN088</t>
  </si>
  <si>
    <t>CPECMTN000018</t>
  </si>
  <si>
    <t>NEGRO PERLA NERA</t>
  </si>
  <si>
    <t>VRAC4001479</t>
  </si>
  <si>
    <t>EXPLORER ACTIVE 4X4 2.3 AUT</t>
  </si>
  <si>
    <t>EAC4X4</t>
  </si>
  <si>
    <t>VR3USHPY7SJ528488</t>
  </si>
  <si>
    <t>New 2008 MCA Allure MHEV 136 EDCT6</t>
  </si>
  <si>
    <t>TCPE21</t>
  </si>
  <si>
    <t>CPESTWN000078</t>
  </si>
  <si>
    <t>VBBD51</t>
  </si>
  <si>
    <t>10Z1AM0066166</t>
  </si>
  <si>
    <t>20-03-2025 0:00:00</t>
  </si>
  <si>
    <t>19-04-2025 0:00:00</t>
  </si>
  <si>
    <t>LNBMCULK4TD263671</t>
  </si>
  <si>
    <t>BJ30</t>
  </si>
  <si>
    <t>BJ30 LV5 AWD HEV</t>
  </si>
  <si>
    <t>B-B30H</t>
  </si>
  <si>
    <t>CBAICSTWN000003</t>
  </si>
  <si>
    <t>VSWT54</t>
  </si>
  <si>
    <t>VERDE</t>
  </si>
  <si>
    <t>A156T2H*XH04S903893*</t>
  </si>
  <si>
    <t>VR3KAHPY1SS006214</t>
  </si>
  <si>
    <t>New 3008 PREMIERE MHEV 136 eDCT6</t>
  </si>
  <si>
    <t>TCPE26</t>
  </si>
  <si>
    <t>CPESTWN000063</t>
  </si>
  <si>
    <t>10ZA040054684</t>
  </si>
  <si>
    <t>VR3EFYHT2RJ511214</t>
  </si>
  <si>
    <t>NUEVA PARTNER</t>
  </si>
  <si>
    <t>PARTNER L1 BLUEHDI 100</t>
  </si>
  <si>
    <t>2PK91CNMNKJRA0</t>
  </si>
  <si>
    <t>CPEFRGN000010</t>
  </si>
  <si>
    <t>10Q4EU0183164</t>
  </si>
  <si>
    <t>NUEVO 208 ALLURE PACK PURETECH 130 EAT8</t>
  </si>
  <si>
    <t>1PP2A5RNP1JRA0</t>
  </si>
  <si>
    <t>VR3UPHMHDS5001280</t>
  </si>
  <si>
    <t>Nuevo 208 MCA Active Pack Puretech 75 MT5</t>
  </si>
  <si>
    <t>TCPE8</t>
  </si>
  <si>
    <t>CPEAUTN000115</t>
  </si>
  <si>
    <t>TYWT29</t>
  </si>
  <si>
    <t>10XKDU0264699</t>
  </si>
  <si>
    <t>8AFBR01C4 SJ466852</t>
  </si>
  <si>
    <t>CFOCMTU000018</t>
  </si>
  <si>
    <t>ROJO BARI</t>
  </si>
  <si>
    <t>DEVOLUCION NUEVOS DISPONIBLE</t>
  </si>
  <si>
    <t>YN2X SJ466852</t>
  </si>
  <si>
    <t>NATALIA  MARGARITA BUSTOS MUÑOZ</t>
  </si>
  <si>
    <t>VR3USHNSKRJ522822</t>
  </si>
  <si>
    <t>Nuevo 2008 MCA Allure Pack Puretech 130 e6.4</t>
  </si>
  <si>
    <t>NUEVO2008MCA</t>
  </si>
  <si>
    <t>CPESTWN000026</t>
  </si>
  <si>
    <t>MEGACENTRO OVALLE VEHICULOS</t>
  </si>
  <si>
    <t>10TMA60163627</t>
  </si>
  <si>
    <t>KNCSJX76AG7995915</t>
  </si>
  <si>
    <t>CKICMTN001890</t>
  </si>
  <si>
    <t>HTCD28</t>
  </si>
  <si>
    <t>D4CBF790346</t>
  </si>
  <si>
    <t>FORUM DISTRIBUIDORA S.A</t>
  </si>
  <si>
    <t>AZUL VERTIGO</t>
  </si>
  <si>
    <t>-*-+--*/+-*/*-///</t>
  </si>
  <si>
    <t>CFOSTWU000006</t>
  </si>
  <si>
    <t>SGA83449</t>
  </si>
  <si>
    <t>1FMUK8DH8SGA83449</t>
  </si>
  <si>
    <t>ANA CRISTINA RUBIO ANTIL</t>
  </si>
  <si>
    <t>8AFBR01C4RJ356801</t>
  </si>
  <si>
    <t>RANDEV24</t>
  </si>
  <si>
    <t>CFOCMTU000013</t>
  </si>
  <si>
    <t>YN2X RJ356801</t>
  </si>
  <si>
    <t>ROBERTO SANTA CRUZ ALBASINI</t>
  </si>
  <si>
    <t>LOCAL FCO. DE AGUIRRE</t>
  </si>
  <si>
    <t>JMYSNCY4A8U000861</t>
  </si>
  <si>
    <t>LANCER 2.0 MT R/GT</t>
  </si>
  <si>
    <t>CMIAUTU000001</t>
  </si>
  <si>
    <t>BSHP51</t>
  </si>
  <si>
    <t>bodega vehiculos</t>
  </si>
  <si>
    <t>4B11 BP1780</t>
  </si>
  <si>
    <t>MMC CHILE SPA</t>
  </si>
  <si>
    <t>VR3KAHPY1SS006024</t>
  </si>
  <si>
    <t>CPESTWN000076</t>
  </si>
  <si>
    <t>10ZA040047007</t>
  </si>
  <si>
    <t>LVZKN2178JCA00241</t>
  </si>
  <si>
    <t>CARGO BOX CS XL 1.3 DA EV</t>
  </si>
  <si>
    <t>DFSK4565</t>
  </si>
  <si>
    <t>CDFCMTN000063</t>
  </si>
  <si>
    <t>LDVR15</t>
  </si>
  <si>
    <t>BG13-2017121678</t>
  </si>
  <si>
    <t>3FTTW8SA0 SRA86784</t>
  </si>
  <si>
    <t>MAVERICK LARIAT BLACK 4X4 2.0 AUT</t>
  </si>
  <si>
    <t>FOMALB4X420AT</t>
  </si>
  <si>
    <t>CFOCMTU000020</t>
  </si>
  <si>
    <t>NEGRO PROFUNDO</t>
  </si>
  <si>
    <t>SRA86784</t>
  </si>
  <si>
    <t>GUSTAVO ANTONIO LAZO ESPOZ</t>
  </si>
  <si>
    <t>LOCAL CAMIONES</t>
  </si>
  <si>
    <t>VF3YD3MFBP2U94054</t>
  </si>
  <si>
    <t>Boxer Furgón L2H2 BlueHdi 160</t>
  </si>
  <si>
    <t>boxer</t>
  </si>
  <si>
    <t>CPEFRGN000004</t>
  </si>
  <si>
    <t>RZSJ13</t>
  </si>
  <si>
    <t>LOCAL CAMIONES VEHICULOS</t>
  </si>
  <si>
    <t>10DY2Z4100754</t>
  </si>
  <si>
    <t>Landtrek Active BlueHDi 180 4x4 AT</t>
  </si>
  <si>
    <t>HNAS. CALLEGARI COPIAPO 2</t>
  </si>
  <si>
    <t>JMBXTGA2WKU002604</t>
  </si>
  <si>
    <t>ASK 2.0 AUT</t>
  </si>
  <si>
    <t>AMI7</t>
  </si>
  <si>
    <t>CMISTWU000001</t>
  </si>
  <si>
    <t>JZJS90</t>
  </si>
  <si>
    <t>SINIESTRADO</t>
  </si>
  <si>
    <t>Bodega Vehiculo Local SK2 Copiapo</t>
  </si>
  <si>
    <t>4B11 AN5102</t>
  </si>
  <si>
    <t>ANNA MACARENA PIAZZOLI WITTWER</t>
  </si>
  <si>
    <t>8AFBR01C4SJ412077</t>
  </si>
  <si>
    <t>CFOCMTU000019</t>
  </si>
  <si>
    <t>YN2X SJ412077</t>
  </si>
  <si>
    <t>TERRA ELQUI SPA</t>
  </si>
  <si>
    <t>MEGACENTRO LA SERENA</t>
  </si>
  <si>
    <t>1FTFW7L81RFB38787</t>
  </si>
  <si>
    <t>F-150 MCA</t>
  </si>
  <si>
    <t>F-150 Platinum CC 4X4 3.5L</t>
  </si>
  <si>
    <t>W7E0</t>
  </si>
  <si>
    <t>CFOCMTU000022</t>
  </si>
  <si>
    <t>VJBV97</t>
  </si>
  <si>
    <t>BLANCO AVALANCHA</t>
  </si>
  <si>
    <t>MEGACENTRO LA SERENA VEHICULOS</t>
  </si>
  <si>
    <t>RFB38787</t>
  </si>
  <si>
    <t>MCASA SPA</t>
  </si>
  <si>
    <t>LVZBN25B5NC055182</t>
  </si>
  <si>
    <t>TRUCK CS C31 1.5 I</t>
  </si>
  <si>
    <t>DFSK4815</t>
  </si>
  <si>
    <t>CDFCMTN000223</t>
  </si>
  <si>
    <t>SJVT21</t>
  </si>
  <si>
    <t>DK15-06-22314483</t>
  </si>
  <si>
    <t>VF3MRHNSMPS009695</t>
  </si>
  <si>
    <t>NUEVO 3008 ACTIVE PACK PURETECH 130</t>
  </si>
  <si>
    <t>1PP8SYLNPKJMA0</t>
  </si>
  <si>
    <t>CPESTWN000014</t>
  </si>
  <si>
    <t>10Z1AJ0014126</t>
  </si>
  <si>
    <t>LVZKN2197KCA01948</t>
  </si>
  <si>
    <t>CARGO BOX CS C21 AC</t>
  </si>
  <si>
    <t>DFSK4680</t>
  </si>
  <si>
    <t>CDFCMTN000067</t>
  </si>
  <si>
    <t>LLBT66</t>
  </si>
  <si>
    <t>DK12-05-18560333</t>
  </si>
  <si>
    <t>VR3KAHPY1SS005755</t>
  </si>
  <si>
    <t>CPESTWN000072</t>
  </si>
  <si>
    <t>10ZA040040304</t>
  </si>
  <si>
    <t>LVZKN2191KCA01945</t>
  </si>
  <si>
    <t>CDFCMTN000065</t>
  </si>
  <si>
    <t>LLBK37</t>
  </si>
  <si>
    <t>DK12-05-18560291</t>
  </si>
  <si>
    <t>VR3UPHNSSRT000956</t>
  </si>
  <si>
    <t>CPEAUTN000102</t>
  </si>
  <si>
    <t>10TMA50142414</t>
  </si>
  <si>
    <t>8AFBR00E2RJ365404</t>
  </si>
  <si>
    <t>CFOCMTU000016</t>
  </si>
  <si>
    <t>P02XRJ365404</t>
  </si>
  <si>
    <t>SERVICIO DE INGENIERIA MANTENIMIENTO Y CONSTRUCCION SPA</t>
  </si>
  <si>
    <t>1FMSK7FH4PGB01645</t>
  </si>
  <si>
    <t>FREXPLO2WD23AT</t>
  </si>
  <si>
    <t>CFOSTWU000007</t>
  </si>
  <si>
    <t>THHH27</t>
  </si>
  <si>
    <t>GRIS CARBONIZADO</t>
  </si>
  <si>
    <t>PGB01645</t>
  </si>
  <si>
    <t>OMAR ORESTES TAPIA ARAYA</t>
  </si>
  <si>
    <t>JF1GT7LL5KG071115</t>
  </si>
  <si>
    <t>NEW XV 2.0I AWD CVT DYNAMIC</t>
  </si>
  <si>
    <t>XV 5695</t>
  </si>
  <si>
    <t>CSUSTWN000408</t>
  </si>
  <si>
    <t>LBGX66</t>
  </si>
  <si>
    <t>BLANCO CRISTAL PERLADO</t>
  </si>
  <si>
    <t>CE04013</t>
  </si>
  <si>
    <t>KNARH81EDS5340494</t>
  </si>
  <si>
    <t>SORENTO EX 3.5L GSL 8AT AWD FULL</t>
  </si>
  <si>
    <t>KIA 2360</t>
  </si>
  <si>
    <t>CKISTWN011901</t>
  </si>
  <si>
    <t>GRIS ESTELAR</t>
  </si>
  <si>
    <t>G6DURA572414</t>
  </si>
  <si>
    <t>25-09-2025 0:00:00</t>
  </si>
  <si>
    <t>LOCAL CAMIONES COPIAPO</t>
  </si>
  <si>
    <t>LYTFAAB11SZ091210</t>
  </si>
  <si>
    <t>Landking</t>
  </si>
  <si>
    <t>LK614</t>
  </si>
  <si>
    <t>LK 614</t>
  </si>
  <si>
    <t>LK614 S2-S4 POT.MOTOR 140 HP</t>
  </si>
  <si>
    <t>CLKCMNU000001</t>
  </si>
  <si>
    <t>BODEGA CAMIONES COPIAPO</t>
  </si>
  <si>
    <t>D224G033732</t>
  </si>
  <si>
    <t>JONATHAN ANDRES FARIAS HIDALGO</t>
  </si>
  <si>
    <t>18-08-2025 0:00:00</t>
  </si>
  <si>
    <t>S/V..............</t>
  </si>
  <si>
    <t>SOUL LX 1.6 MEC A/C DAB ABS 4X2</t>
  </si>
  <si>
    <t>SOUL LX 1.6 MEC A/C DAB A</t>
  </si>
  <si>
    <t>CKIAUTU000002</t>
  </si>
  <si>
    <t>BZBL60</t>
  </si>
  <si>
    <t>BLANCO CLARO</t>
  </si>
  <si>
    <t>G4FC9H422017</t>
  </si>
  <si>
    <t>KIA CHILE S A</t>
  </si>
  <si>
    <t>3KPFF51ABSE120765</t>
  </si>
  <si>
    <t>K3 CROSS EX 1.6L 6AT</t>
  </si>
  <si>
    <t>KIA 2368</t>
  </si>
  <si>
    <t>CKISTWN011896</t>
  </si>
  <si>
    <t>PLATEADO SUAVE</t>
  </si>
  <si>
    <t>G4FGSE037043</t>
  </si>
  <si>
    <t>VF3MRHNSMRS009717</t>
  </si>
  <si>
    <t>Nuevo 3008 Active Pack Puretech 130</t>
  </si>
  <si>
    <t>TCPE12</t>
  </si>
  <si>
    <t>CPESTWN000052</t>
  </si>
  <si>
    <t>10Z1AJ0040120</t>
  </si>
  <si>
    <t>VXKUPHMH6S4001500</t>
  </si>
  <si>
    <t>NEW CORSA MCA EDITION 1.2 MT5</t>
  </si>
  <si>
    <t>TCOP7</t>
  </si>
  <si>
    <t>COPAUTN000008</t>
  </si>
  <si>
    <t>10XKDU0293579</t>
  </si>
  <si>
    <t>1FTFW5L54RFB72541</t>
  </si>
  <si>
    <t>F150 CC LARIAT SPORT 4X4</t>
  </si>
  <si>
    <t>F150LAR</t>
  </si>
  <si>
    <t>CFOCMTU000010</t>
  </si>
  <si>
    <t>AZUL ANTIMATERIA</t>
  </si>
  <si>
    <t>RFB72541</t>
  </si>
  <si>
    <t>SOC CONSTRUCTORA LOS CIPRESES LIMITADA</t>
  </si>
  <si>
    <t>W0VEDYHTXSN500914</t>
  </si>
  <si>
    <t>COMBO MCA 1.5 TD</t>
  </si>
  <si>
    <t>TCOP5</t>
  </si>
  <si>
    <t>COPFRGN000005</t>
  </si>
  <si>
    <t>10Q4EU0410660</t>
  </si>
  <si>
    <t>8AFBR01K1SJ019046</t>
  </si>
  <si>
    <t>CFOCMTU000021</t>
  </si>
  <si>
    <t>BF2XSJ019046</t>
  </si>
  <si>
    <t>MASTER REDES IT SPA</t>
  </si>
  <si>
    <t>VR3UKZKXZRJ510097</t>
  </si>
  <si>
    <t>2008 GT EV PRS</t>
  </si>
  <si>
    <t>1PP1SYUESFJRA0</t>
  </si>
  <si>
    <t>CPESTWN000021</t>
  </si>
  <si>
    <t>105TES0012261</t>
  </si>
  <si>
    <t>LVZKN2193KCA01946</t>
  </si>
  <si>
    <t>CDFCMTN000066</t>
  </si>
  <si>
    <t>LLBK39</t>
  </si>
  <si>
    <t>DK12-05-18560293</t>
  </si>
  <si>
    <t>VR3USHNSSSJ519781</t>
  </si>
  <si>
    <t>TCPE25</t>
  </si>
  <si>
    <t>CPESTWN000060</t>
  </si>
  <si>
    <t>10XVBB2298505</t>
  </si>
  <si>
    <t>AUTOMOTRIZ BALMACEDA LTDA.</t>
  </si>
  <si>
    <t>FORUM DISTRIBUIDORA SA</t>
  </si>
  <si>
    <t>LOCAL PEUGEOT</t>
  </si>
  <si>
    <t>06-11-2025 16:51:55</t>
  </si>
  <si>
    <t>9V8FF4HY1SA819290</t>
  </si>
  <si>
    <t>Landtrek</t>
  </si>
  <si>
    <t>LANDUSA</t>
  </si>
  <si>
    <t>BPECMTU000007</t>
  </si>
  <si>
    <t>BODEGA LOCAL PEUGEOT</t>
  </si>
  <si>
    <t>10VRAC4012986</t>
  </si>
  <si>
    <t>ECO ARQUING LTDA</t>
  </si>
  <si>
    <t>06-11-2025 0:00:00</t>
  </si>
  <si>
    <t>06-11-2025 16:50:16</t>
  </si>
  <si>
    <t>07-07-2023 13:26:15</t>
  </si>
  <si>
    <t>VR3FDAHDLP3008724</t>
  </si>
  <si>
    <t>LANUSA1</t>
  </si>
  <si>
    <t>BPECMTU000001</t>
  </si>
  <si>
    <t>A5D22001392</t>
  </si>
  <si>
    <t>CONSTRUCTORA BRAP SPA</t>
  </si>
  <si>
    <t>07-07-2023 0:00:00</t>
  </si>
  <si>
    <t>07-07-2023 13:25:46</t>
  </si>
  <si>
    <t>12-09-2025 16:02:19</t>
  </si>
  <si>
    <t>VXKUSHNS5TW000787</t>
  </si>
  <si>
    <t>Mokka GS Gasolina 130HP AT</t>
  </si>
  <si>
    <t>1GQOSYHI21JRA033109</t>
  </si>
  <si>
    <t>BOPSTWN000228</t>
  </si>
  <si>
    <t>VERDE LAGUNA</t>
  </si>
  <si>
    <t>10XVBB2431060</t>
  </si>
  <si>
    <t>05-10-2025 21:20:03</t>
  </si>
  <si>
    <t>30-10-2023 16:00:03</t>
  </si>
  <si>
    <t>VR3UDYHZSRJ524567</t>
  </si>
  <si>
    <t>Nuevo 2008</t>
  </si>
  <si>
    <t>2008 MCA Allure BlueHDi 130 EAT8</t>
  </si>
  <si>
    <t>1PP1SYPMK1JRA0</t>
  </si>
  <si>
    <t>BPESTWN002279</t>
  </si>
  <si>
    <t>10Q3DP1802788</t>
  </si>
  <si>
    <t>30-10-2023 0:00:00</t>
  </si>
  <si>
    <t>19-03-2024 0:00:00</t>
  </si>
  <si>
    <t>20-03-2024 15:01:46</t>
  </si>
  <si>
    <t>14-08-2025 17:36:07</t>
  </si>
  <si>
    <t>VR3USHNSKSJ517115</t>
  </si>
  <si>
    <t>N2008USA</t>
  </si>
  <si>
    <t>BPESTWU000008</t>
  </si>
  <si>
    <t>10TMA60199560</t>
  </si>
  <si>
    <t>JULIO CESAR GUTIERREZ VARGAS</t>
  </si>
  <si>
    <t>14-08-2025 0:00:00</t>
  </si>
  <si>
    <t>14-08-2025 17:34:19</t>
  </si>
  <si>
    <t>03-12-2025 15:23:05</t>
  </si>
  <si>
    <t>VF3YDT6FXTMB55780</t>
  </si>
  <si>
    <t>Boxer</t>
  </si>
  <si>
    <t>BOXER 2.2</t>
  </si>
  <si>
    <t>BOXUSA1</t>
  </si>
  <si>
    <t>BPEFRGU000005</t>
  </si>
  <si>
    <t>463571691903538</t>
  </si>
  <si>
    <t>DAVID REINALDO RAMIREZ PEÑA Y LILLO VENTA, MANTENCION Y RECARGA DE EXTINTORES E.I.R.L</t>
  </si>
  <si>
    <t>03-12-2025 0:00:00</t>
  </si>
  <si>
    <t>03-12-2025 15:22:45</t>
  </si>
  <si>
    <t>21-02-2024 15:15:59</t>
  </si>
  <si>
    <t>9V8FF4HY1RA800754</t>
  </si>
  <si>
    <t>BPECMTN000252</t>
  </si>
  <si>
    <t>10VRAC4002482</t>
  </si>
  <si>
    <t>22-08-2025 0:00:00</t>
  </si>
  <si>
    <t>20-03-2024 14:57:19</t>
  </si>
  <si>
    <t>07-01-2025 15:56:46</t>
  </si>
  <si>
    <t>VR3FDAHDLN3007730</t>
  </si>
  <si>
    <t>BPECMTU000002</t>
  </si>
  <si>
    <t>RVYJ17</t>
  </si>
  <si>
    <t>A5D22001368</t>
  </si>
  <si>
    <t>FERNANDO GABRIEL LEIVA PANGUE</t>
  </si>
  <si>
    <t>07-01-2025 0:00:00</t>
  </si>
  <si>
    <t>07-01-2025 15:55:41</t>
  </si>
  <si>
    <t>SOC. HERMANAS CALLEGARI LTDA</t>
  </si>
  <si>
    <t>BODEGA VEHICULOS SK</t>
  </si>
  <si>
    <t>BANSA SANTANDER S A</t>
  </si>
  <si>
    <t>9BD2655A4K9110835</t>
  </si>
  <si>
    <t>VAN 700 RAPID 1.4L ST</t>
  </si>
  <si>
    <t>265.5A4.0.1</t>
  </si>
  <si>
    <t>HRAFRGN000042</t>
  </si>
  <si>
    <t>PCFD25</t>
  </si>
  <si>
    <t>BLANCO BANCHISA</t>
  </si>
  <si>
    <t>SWBV94</t>
  </si>
  <si>
    <t>LMGAT1357P1227841</t>
  </si>
  <si>
    <t>GADEVOLUC</t>
  </si>
  <si>
    <t>HGCSTWU000001</t>
  </si>
  <si>
    <t>SFLW35</t>
  </si>
  <si>
    <t>DEVOLUCION NUEVOS NO DISPONIBLE</t>
  </si>
  <si>
    <t>VEHICULOS LOS CARRERA</t>
  </si>
  <si>
    <t>G120374</t>
  </si>
  <si>
    <t>BRAULIO PATRICIO BAEZ GUZMÁN</t>
  </si>
  <si>
    <t>LETEDDE10 TH000572</t>
  </si>
  <si>
    <t>REMAX</t>
  </si>
  <si>
    <t>REMAX CRDI DC 4X4 2.5</t>
  </si>
  <si>
    <t>HJIMCMTU000001</t>
  </si>
  <si>
    <t>25-40021061</t>
  </si>
  <si>
    <t>JOSE LUIS SANTANA VARAS</t>
  </si>
  <si>
    <t>LVVDB21B6RC034677</t>
  </si>
  <si>
    <t>J7 1.6T PRIME</t>
  </si>
  <si>
    <t>JAETC1</t>
  </si>
  <si>
    <t>HJAESTWN000004</t>
  </si>
  <si>
    <t>Bodeha Vehiculos Premium</t>
  </si>
  <si>
    <t>SQRF4J16CAHRB00038</t>
  </si>
  <si>
    <t>1C6RRFFG3SN542548</t>
  </si>
  <si>
    <t>R1500USA</t>
  </si>
  <si>
    <t>HRACMTU000002</t>
  </si>
  <si>
    <t>TVXH52</t>
  </si>
  <si>
    <t>SN542548</t>
  </si>
  <si>
    <t>CRISTIAN ALEJANDRO CASTRO CASTRO</t>
  </si>
  <si>
    <t>LVVDB11B4RD950441</t>
  </si>
  <si>
    <t>TIGGO 3 PRO GLX 1.5</t>
  </si>
  <si>
    <t>CHT3PROUSA</t>
  </si>
  <si>
    <t>HCYSTWU000008</t>
  </si>
  <si>
    <t>GRIS GRAFITO OSCURO</t>
  </si>
  <si>
    <t>SQRE4G15CBCNJ00621</t>
  </si>
  <si>
    <t>KARINA DEL ROSARIO MENDEZ MATURANA</t>
  </si>
  <si>
    <t>LVVDB21B8RC025253</t>
  </si>
  <si>
    <t>T7160NPZKJW0011</t>
  </si>
  <si>
    <t>HJAESTWN000002</t>
  </si>
  <si>
    <t>SQRF4J16CAMPM02602</t>
  </si>
  <si>
    <t>KMJHG17HPHC072574</t>
  </si>
  <si>
    <t>COUNTY</t>
  </si>
  <si>
    <t>COUNTY 4.0</t>
  </si>
  <si>
    <t>COUS10</t>
  </si>
  <si>
    <t>HHYBUSU000001</t>
  </si>
  <si>
    <t>D4GAGJ202676</t>
  </si>
  <si>
    <t>LGXC74C49R0009519</t>
  </si>
  <si>
    <t>SONG PLUS GS</t>
  </si>
  <si>
    <t>BYD008</t>
  </si>
  <si>
    <t>HBYSTWN000007</t>
  </si>
  <si>
    <t>AZUL</t>
  </si>
  <si>
    <t>BYD472QA S23815583</t>
  </si>
  <si>
    <t>LSJZ14U68LS016383</t>
  </si>
  <si>
    <t>NEW 3  1.5</t>
  </si>
  <si>
    <t>9001--GJHGFJHUUY44</t>
  </si>
  <si>
    <t>HMGAUTU000001</t>
  </si>
  <si>
    <t>LSXX79</t>
  </si>
  <si>
    <t>15S4C5SGKA051248</t>
  </si>
  <si>
    <t>MANUEL ALEJANDRO PEREZ ESPINOZA</t>
  </si>
  <si>
    <t>LOCAL MITSUBISHI</t>
  </si>
  <si>
    <t>KPT60A1USNP068927</t>
  </si>
  <si>
    <t>NEW KORANDO GLX 1.6</t>
  </si>
  <si>
    <t>NKOR1</t>
  </si>
  <si>
    <t>HSYSTWU000006</t>
  </si>
  <si>
    <t>THHH22</t>
  </si>
  <si>
    <t>GRIS PLATINO</t>
  </si>
  <si>
    <t>Bodega BYD Vehiculos</t>
  </si>
  <si>
    <t>BEATRIZ CAROL MORALES PIZARRO</t>
  </si>
  <si>
    <t>KPT60A1USPP074881</t>
  </si>
  <si>
    <t>NEW KORANDO GLX 1.6 AUT</t>
  </si>
  <si>
    <t>NKOUSA</t>
  </si>
  <si>
    <t>HSYSTWU000002</t>
  </si>
  <si>
    <t>TKHT92</t>
  </si>
  <si>
    <t>COMERCIAL SANTA MARTA SPA</t>
  </si>
  <si>
    <t>KMFHE17SPNC060850</t>
  </si>
  <si>
    <t>EX6</t>
  </si>
  <si>
    <t>MIGHTY EX6 DLX</t>
  </si>
  <si>
    <t>EX6USADO</t>
  </si>
  <si>
    <t>HHYCMNU000001</t>
  </si>
  <si>
    <t>RSYF10</t>
  </si>
  <si>
    <t>D4CCMD003077</t>
  </si>
  <si>
    <t>CONSTRUCTORA JULIO Y ORQUERA LIMITADA</t>
  </si>
  <si>
    <t>JHHZCT2F6SK021683</t>
  </si>
  <si>
    <t>HINO</t>
  </si>
  <si>
    <t>XZU SERIE 300</t>
  </si>
  <si>
    <t>XZU 917</t>
  </si>
  <si>
    <t>XXZZUU1</t>
  </si>
  <si>
    <t>HHICMNU000002</t>
  </si>
  <si>
    <t>N04C WM17926</t>
  </si>
  <si>
    <t>HECTOR DEL TRANSITO ARDILES BERRIOS</t>
  </si>
  <si>
    <t>LVVDB21B9SD021759</t>
  </si>
  <si>
    <t>C5 1.5T CVT LUXURY</t>
  </si>
  <si>
    <t>TC2</t>
  </si>
  <si>
    <t>HOMOSTWN000005</t>
  </si>
  <si>
    <t>SQRE4T15CCHRD00296</t>
  </si>
  <si>
    <t>16-06-2026 0:00:00</t>
  </si>
  <si>
    <t>2PU8</t>
  </si>
  <si>
    <t>VVZF32</t>
  </si>
  <si>
    <t>LOCAL VALLENAR</t>
  </si>
  <si>
    <t>TJSK12</t>
  </si>
  <si>
    <t>SVRP71</t>
  </si>
  <si>
    <t>VBBB67</t>
  </si>
  <si>
    <t>RSSY40</t>
  </si>
  <si>
    <t>VLYL61</t>
  </si>
  <si>
    <t>KSJR76</t>
  </si>
  <si>
    <t>GFLP90</t>
  </si>
  <si>
    <t>24-03-2025 11:08:12</t>
  </si>
  <si>
    <t>20-04-2025 0:00:00</t>
  </si>
  <si>
    <t>24-03-2025 11:07:59</t>
  </si>
  <si>
    <t>29-09-2023 16:58:15</t>
  </si>
  <si>
    <t>21-03-2025 0:00:00</t>
  </si>
  <si>
    <t>29-10-2023 0:00:00</t>
  </si>
  <si>
    <t>29-09-2023 16:57:28</t>
  </si>
  <si>
    <t>26-06-2019 12:06:29</t>
  </si>
  <si>
    <t>21-06-2019 0:00:00</t>
  </si>
  <si>
    <t>22-09-2025 10:30:43</t>
  </si>
  <si>
    <t>19-03-2026 0:00:00</t>
  </si>
  <si>
    <t>06-10-2025 11:30:04</t>
  </si>
  <si>
    <t>26-09-2023 16:17:25</t>
  </si>
  <si>
    <t>17-02-2025 0:00:00</t>
  </si>
  <si>
    <t>26-10-2023 0:00:00</t>
  </si>
  <si>
    <t>26-09-2023 16:17:09</t>
  </si>
  <si>
    <t>16-10-2024 0:00:00</t>
  </si>
  <si>
    <t>03-02-2025 11:10:46</t>
  </si>
  <si>
    <t>02-03-2025 0:00:00</t>
  </si>
  <si>
    <t>03-02-2025 11:10:31</t>
  </si>
  <si>
    <t>09-10-2025 15:07:31</t>
  </si>
  <si>
    <t>09-10-2025 0:00:00</t>
  </si>
  <si>
    <t>11-12-2025 20:22:57</t>
  </si>
  <si>
    <t>26-09-2023 16:20:52</t>
  </si>
  <si>
    <t>25-03-2026 0:00:00</t>
  </si>
  <si>
    <t>26-09-2023 16:20:37</t>
  </si>
  <si>
    <t>19-05-2026 12:44:40</t>
  </si>
  <si>
    <t>19-05-2026 0:00:00</t>
  </si>
  <si>
    <t>19-05-2026 12:44:06</t>
  </si>
  <si>
    <t>26-02-2020 16:55:36</t>
  </si>
  <si>
    <t>26-02-2020 0:00:00</t>
  </si>
  <si>
    <t>26-02-2020 16:54:38</t>
  </si>
  <si>
    <t>27-02-2017 9:19:21</t>
  </si>
  <si>
    <t>27-02-2017 0:00:00</t>
  </si>
  <si>
    <t>03-02-2025 12:12:32</t>
  </si>
  <si>
    <t>03-02-2025 12:12:18</t>
  </si>
  <si>
    <t>19-11-2025 15:16:37</t>
  </si>
  <si>
    <t>19-11-2025 0:00:00</t>
  </si>
  <si>
    <t>19-11-2025 15:16:16</t>
  </si>
  <si>
    <t>13-04-2026 16:02:54</t>
  </si>
  <si>
    <t>13-04-2026 0:00:00</t>
  </si>
  <si>
    <t>13-04-2026 16:02:26</t>
  </si>
  <si>
    <t>30-06-2022 10:01:47</t>
  </si>
  <si>
    <t>30-06-2022 0:00:00</t>
  </si>
  <si>
    <t>15-03-2024 15:20:00</t>
  </si>
  <si>
    <t>01-03-2024 9:52:37</t>
  </si>
  <si>
    <t>30-03-2024 0:00:00</t>
  </si>
  <si>
    <t>01-03-2024 9:52:21</t>
  </si>
  <si>
    <t>24-03-2025 10:27:56</t>
  </si>
  <si>
    <t>24-03-2025 10:27:42</t>
  </si>
  <si>
    <t>26-02-2026 9:25:15</t>
  </si>
  <si>
    <t>26-02-2026 0:00:00</t>
  </si>
  <si>
    <t>26-02-2026 9:24:51</t>
  </si>
  <si>
    <t>31-12-2015 0:00:00</t>
  </si>
  <si>
    <t>08-05-2019 12:07:51</t>
  </si>
  <si>
    <t>07-03-2019 0:00:00</t>
  </si>
  <si>
    <t>28-11-2024 11:48:00</t>
  </si>
  <si>
    <t>27-05-2025 17:07:51</t>
  </si>
  <si>
    <t>27-05-2025 0:00:00</t>
  </si>
  <si>
    <t>24-01-2025 0:00:00</t>
  </si>
  <si>
    <t>27-05-2025 17:06:43</t>
  </si>
  <si>
    <t>18-08-2025 17:30:02</t>
  </si>
  <si>
    <t>18-08-2025 17:28:20</t>
  </si>
  <si>
    <t>20-12-2022 11:10:56</t>
  </si>
  <si>
    <t>20-12-2022 0:00:00</t>
  </si>
  <si>
    <t>28-06-2024 9:26:00</t>
  </si>
  <si>
    <t>24-02-2026 16:40:04</t>
  </si>
  <si>
    <t>24-02-2026 0:00:00</t>
  </si>
  <si>
    <t>24-02-2026 16:38:04</t>
  </si>
  <si>
    <t>24-03-2025 10:08:03</t>
  </si>
  <si>
    <t>24-03-2025 10:07:47</t>
  </si>
  <si>
    <t>10-02-2026 13:11:35</t>
  </si>
  <si>
    <t>10-02-2026 0:00:00</t>
  </si>
  <si>
    <t>10-02-2026 13:05:26</t>
  </si>
  <si>
    <t>11-12-2025 21:17:36</t>
  </si>
  <si>
    <t>21-11-2025 0:00:00</t>
  </si>
  <si>
    <t>11-12-2025 21:15:04</t>
  </si>
  <si>
    <t>31-01-2026 11:25:19</t>
  </si>
  <si>
    <t>30-01-2026 0:00:00</t>
  </si>
  <si>
    <t>31-01-2026 11:25:04</t>
  </si>
  <si>
    <t>26-09-2023 16:00:18</t>
  </si>
  <si>
    <t>17-10-2024 0:00:00</t>
  </si>
  <si>
    <t>26-09-2023 16:00:03</t>
  </si>
  <si>
    <t>04-01-2019 18:31:16</t>
  </si>
  <si>
    <t>04-11-2022 0:00:00</t>
  </si>
  <si>
    <t>11-01-2019 0:00:00</t>
  </si>
  <si>
    <t>22-01-2019 10:34:11</t>
  </si>
  <si>
    <t>24-02-2017 18:20:22</t>
  </si>
  <si>
    <t>24-02-2017 0:00:00</t>
  </si>
  <si>
    <t>15-04-2009 0:00:00</t>
  </si>
  <si>
    <t>24-02-2017 18:19:42</t>
  </si>
  <si>
    <t>21-04-2026 12:40:27</t>
  </si>
  <si>
    <t>21-04-2026 0:00:00</t>
  </si>
  <si>
    <t>15-04-2026 0:00:00</t>
  </si>
  <si>
    <t>21-04-2026 12:37:52</t>
  </si>
  <si>
    <t>16-09-2025 21:38:11</t>
  </si>
  <si>
    <t>06-10-2025 11:32:06</t>
  </si>
  <si>
    <t>03-02-2025 12:01:05</t>
  </si>
  <si>
    <t>27-11-2025 0:00:00</t>
  </si>
  <si>
    <t>03-02-2025 12:00:47</t>
  </si>
  <si>
    <t>03-03-2025 12:04:16</t>
  </si>
  <si>
    <t>30-03-2025 0:00:00</t>
  </si>
  <si>
    <t>03-03-2025 12:04:01</t>
  </si>
  <si>
    <t>23-09-2024 14:00:53</t>
  </si>
  <si>
    <t>05-02-2025 0:00:00</t>
  </si>
  <si>
    <t>23-09-2024 14:00:21</t>
  </si>
  <si>
    <t>01-07-2019 10:41:50</t>
  </si>
  <si>
    <t>31-03-2023 13:00:35</t>
  </si>
  <si>
    <t>02-08-2023 0:00:00</t>
  </si>
  <si>
    <t>30-04-2023 0:00:00</t>
  </si>
  <si>
    <t>31-03-2023 13:00:23</t>
  </si>
  <si>
    <t>24-03-2025 10:49:12</t>
  </si>
  <si>
    <t>24-03-2025 10:48:58</t>
  </si>
  <si>
    <t>28-02-2026 16:54:41</t>
  </si>
  <si>
    <t>28-02-2026 16:53:37</t>
  </si>
  <si>
    <t>02-10-2025 16:16:27</t>
  </si>
  <si>
    <t>11-12-2025 20:57:11</t>
  </si>
  <si>
    <t>23-09-2024 10:44:44</t>
  </si>
  <si>
    <t>31-03-2025 0:00:00</t>
  </si>
  <si>
    <t>23-09-2024 10:44:27</t>
  </si>
  <si>
    <t>25-06-2019 12:09:39</t>
  </si>
  <si>
    <t>02-06-2023 11:47:00</t>
  </si>
  <si>
    <t>22-06-2026 0:00:00</t>
  </si>
  <si>
    <t>22-06-2026 11:10:18</t>
  </si>
  <si>
    <t>MK2XTGR1WTN011282</t>
  </si>
  <si>
    <t>OUTLANDER SPORT EURO 6C</t>
  </si>
  <si>
    <t>OUTLANDER SPORT GL 1.5 AT</t>
  </si>
  <si>
    <t>MIOUTSPGL15AT</t>
  </si>
  <si>
    <t>TMISTWU000375</t>
  </si>
  <si>
    <t>4A91 KDG5559</t>
  </si>
  <si>
    <t>IVANY DEL ROSARIO ARARAT NAVA</t>
  </si>
  <si>
    <t>22-06-2026 11:09:53</t>
  </si>
  <si>
    <t>22-06-2026 11:30:26</t>
  </si>
  <si>
    <t>1FMUK8DH3 SGA72696</t>
  </si>
  <si>
    <t>TFOSTWU001414</t>
  </si>
  <si>
    <t>AZUL VAPORIZADO</t>
  </si>
  <si>
    <t>SGA72696</t>
  </si>
  <si>
    <t>LA AVICOLA LIMITADA</t>
  </si>
  <si>
    <t>22-06-2026 11:30:05</t>
  </si>
  <si>
    <t>RYGY36</t>
  </si>
  <si>
    <t>TJSK19</t>
  </si>
  <si>
    <t>VDBP58</t>
  </si>
  <si>
    <t>VVHB61</t>
  </si>
  <si>
    <t>VKPF28</t>
  </si>
  <si>
    <t>TBCR34</t>
  </si>
  <si>
    <t>SXHW98</t>
  </si>
  <si>
    <t>PJRW53</t>
  </si>
  <si>
    <t>TPJF78</t>
  </si>
  <si>
    <t>SSHL90</t>
  </si>
  <si>
    <t>TKLZ14</t>
  </si>
  <si>
    <t>VFTF57</t>
  </si>
  <si>
    <t>SVRS52</t>
  </si>
  <si>
    <t>RWVJ58</t>
  </si>
  <si>
    <t>JVKV77</t>
  </si>
  <si>
    <t>KBVX96</t>
  </si>
  <si>
    <t>TFSW52</t>
  </si>
  <si>
    <t>TFGL19</t>
  </si>
  <si>
    <t>RVYS43</t>
  </si>
  <si>
    <t>TRJF57</t>
  </si>
  <si>
    <t>RYCP41</t>
  </si>
  <si>
    <t>KSRY32</t>
  </si>
  <si>
    <t>LSCT40</t>
  </si>
  <si>
    <t>SLKL62</t>
  </si>
  <si>
    <t>LYPB32</t>
  </si>
  <si>
    <t>VJBW49</t>
  </si>
  <si>
    <t>RWWB25</t>
  </si>
  <si>
    <t>SSLR23</t>
  </si>
  <si>
    <t>TKTY96</t>
  </si>
  <si>
    <t>TRBB25</t>
  </si>
  <si>
    <t>LYPD70</t>
  </si>
  <si>
    <t>TWBH90</t>
  </si>
  <si>
    <t>TJYL37</t>
  </si>
  <si>
    <t>LHRY16</t>
  </si>
  <si>
    <t>VBRX75</t>
  </si>
  <si>
    <t>PRSH58</t>
  </si>
  <si>
    <t>SLKL22</t>
  </si>
  <si>
    <t>TLRK43</t>
  </si>
  <si>
    <t>THKR95</t>
  </si>
  <si>
    <t>VDWJ20</t>
  </si>
  <si>
    <t>PLCD85</t>
  </si>
  <si>
    <t>VBWR29</t>
  </si>
  <si>
    <t>SXYH59</t>
  </si>
  <si>
    <t>TKTY93</t>
  </si>
  <si>
    <t>PCDV96</t>
  </si>
  <si>
    <t>SKGV56</t>
  </si>
  <si>
    <t>SYRD37</t>
  </si>
  <si>
    <t>RYGT81</t>
  </si>
  <si>
    <t>RGCD54</t>
  </si>
  <si>
    <t>TRBK35</t>
  </si>
  <si>
    <t>THRK97</t>
  </si>
  <si>
    <t>KTDV92</t>
  </si>
  <si>
    <t>SJVP34</t>
  </si>
  <si>
    <t>SDVX47</t>
  </si>
  <si>
    <t>TDYJ47</t>
  </si>
  <si>
    <t>LRWG61</t>
  </si>
  <si>
    <t>SZTJ62</t>
  </si>
  <si>
    <t>SBJG36</t>
  </si>
  <si>
    <t>SYXS80</t>
  </si>
  <si>
    <t>TJCZ35</t>
  </si>
  <si>
    <t>TXZB31</t>
  </si>
  <si>
    <t>TLRT50</t>
  </si>
  <si>
    <t>TDYK63</t>
  </si>
  <si>
    <t>RLXL97</t>
  </si>
  <si>
    <t>SSHY28</t>
  </si>
  <si>
    <t>VBWT73</t>
  </si>
  <si>
    <t>VKCY33</t>
  </si>
  <si>
    <t>TKHS86</t>
  </si>
  <si>
    <t>SYDS21</t>
  </si>
  <si>
    <t>TJSJ92</t>
  </si>
  <si>
    <t>RLJR65</t>
  </si>
  <si>
    <t>RTFZ63</t>
  </si>
  <si>
    <t>RFFS13</t>
  </si>
  <si>
    <t>VGWR84</t>
  </si>
  <si>
    <t>TJDB19</t>
  </si>
  <si>
    <t>TYWR88</t>
  </si>
  <si>
    <t>TZHS73</t>
  </si>
  <si>
    <t>PKBJ43</t>
  </si>
  <si>
    <t>VJLR88</t>
  </si>
  <si>
    <t>SJKL46</t>
  </si>
  <si>
    <t>RJCV90</t>
  </si>
  <si>
    <t>SSSC81</t>
  </si>
  <si>
    <t>RSJD80</t>
  </si>
  <si>
    <t>SXTS62</t>
  </si>
  <si>
    <t>PSHX32</t>
  </si>
  <si>
    <t>PSGZ75</t>
  </si>
  <si>
    <t>SPZD21</t>
  </si>
  <si>
    <t>VLYR41</t>
  </si>
  <si>
    <t>TLRT34</t>
  </si>
  <si>
    <t>STBT59</t>
  </si>
  <si>
    <t>TRTB54</t>
  </si>
  <si>
    <t>RVRD39</t>
  </si>
  <si>
    <t>SLYZ71</t>
  </si>
  <si>
    <t>SYDR44</t>
  </si>
  <si>
    <t>RKZT70</t>
  </si>
  <si>
    <t>VGWR49</t>
  </si>
  <si>
    <t>LLBV90</t>
  </si>
  <si>
    <t>TCTS26</t>
  </si>
  <si>
    <t>SRBR27</t>
  </si>
  <si>
    <t>PJRZ17</t>
  </si>
  <si>
    <t>RDSX27</t>
  </si>
  <si>
    <t>PYDC99</t>
  </si>
  <si>
    <t>SCHH95</t>
  </si>
  <si>
    <t>SBLD78</t>
  </si>
  <si>
    <t>TLRL18</t>
  </si>
  <si>
    <t>SYDL52</t>
  </si>
  <si>
    <t>LVXB99</t>
  </si>
  <si>
    <t>KWXY55</t>
  </si>
  <si>
    <t>VGWP59</t>
  </si>
  <si>
    <t>VCRK81</t>
  </si>
  <si>
    <t>TRJG99</t>
  </si>
  <si>
    <t>JDZS97</t>
  </si>
  <si>
    <t>OUTLANDER SPORT</t>
  </si>
  <si>
    <t>T32</t>
  </si>
  <si>
    <t>NUEVA SAVEIRO</t>
  </si>
  <si>
    <t>NUEVO T-CROSS</t>
  </si>
  <si>
    <t>NUEVO C3</t>
  </si>
  <si>
    <t>ALL NEW TUCSON</t>
  </si>
  <si>
    <t>2025-06-19 09:51:03</t>
  </si>
  <si>
    <t>2025-12-24 08:09:35</t>
  </si>
  <si>
    <t>2025-12-24 08:21:52</t>
  </si>
  <si>
    <t>2025-12-24 08:23:58</t>
  </si>
  <si>
    <t>2025-12-24 08:26:35</t>
  </si>
  <si>
    <t>2025-12-24 08:32:16</t>
  </si>
  <si>
    <t>2025-12-24 08:33:32</t>
  </si>
  <si>
    <t>2025-12-24 08:39:58</t>
  </si>
  <si>
    <t>2025-12-24 08:44:56</t>
  </si>
  <si>
    <t>2025-12-24 08:52:45</t>
  </si>
  <si>
    <t>2025-12-24 08:58:56</t>
  </si>
  <si>
    <t>2025-12-24 08:59:38</t>
  </si>
  <si>
    <t>2025-12-24 09:00:01</t>
  </si>
  <si>
    <t>2025-12-24 09:01:36</t>
  </si>
  <si>
    <t>2025-12-24 09:05:40</t>
  </si>
  <si>
    <t>2025-12-24 09:07:42</t>
  </si>
  <si>
    <t>2025-12-24 09:14:13</t>
  </si>
  <si>
    <t>2025-12-24 09:14:33</t>
  </si>
  <si>
    <t>2025-12-24 09:19:54</t>
  </si>
  <si>
    <t>2025-12-24 09:22:59</t>
  </si>
  <si>
    <t>2025-12-24 09:25:20</t>
  </si>
  <si>
    <t>2025-12-24 09:27:40</t>
  </si>
  <si>
    <t>2025-12-24 10:12:16</t>
  </si>
  <si>
    <t>2025-12-23 06:11:20</t>
  </si>
  <si>
    <t>2025-12-23 06:50:57</t>
  </si>
  <si>
    <t>2025-12-23 07:32:14</t>
  </si>
  <si>
    <t>2025-12-23 07:51:24</t>
  </si>
  <si>
    <t>2025-12-23 08:01:01</t>
  </si>
  <si>
    <t>2025-12-23 08:02:39</t>
  </si>
  <si>
    <t>2025-12-23 08:19:28</t>
  </si>
  <si>
    <t>2025-12-23 09:07:44</t>
  </si>
  <si>
    <t>2025-12-23 09:21:47</t>
  </si>
  <si>
    <t>2025-12-23 09:31:04</t>
  </si>
  <si>
    <t>2025-12-23 09:37:46</t>
  </si>
  <si>
    <t>2025-12-23 09:45:53</t>
  </si>
  <si>
    <t>2025-12-23 09:50:23</t>
  </si>
  <si>
    <t>2025-12-23 09:58:07</t>
  </si>
  <si>
    <t>2025-12-23 10:06:57</t>
  </si>
  <si>
    <t>2025-12-23 10:16:14</t>
  </si>
  <si>
    <t>2025-12-23 10:30:51</t>
  </si>
  <si>
    <t>2025-12-23 11:23:38</t>
  </si>
  <si>
    <t>2025-12-23 11:29:51</t>
  </si>
  <si>
    <t>2025-12-23 11:54:02</t>
  </si>
  <si>
    <t>2025-12-23 12:14:38</t>
  </si>
  <si>
    <t>2025-12-23 12:23:10</t>
  </si>
  <si>
    <t>2025-12-23 13:16:31</t>
  </si>
  <si>
    <t>2025-12-24 07:06:40</t>
  </si>
  <si>
    <t>2025-12-24 07:36:01</t>
  </si>
  <si>
    <t>2025-12-24 07:45:06</t>
  </si>
  <si>
    <t>2025-12-24 08:43:12</t>
  </si>
  <si>
    <t>2025-12-24 09:27:08</t>
  </si>
  <si>
    <t>2025-12-24 10:22:37</t>
  </si>
  <si>
    <t>2025-12-23 08:27:10</t>
  </si>
  <si>
    <t>2025-12-26 06:48:21</t>
  </si>
  <si>
    <t>2025-12-26 06:50:30</t>
  </si>
  <si>
    <t>2025-12-26 06:55:24</t>
  </si>
  <si>
    <t>2025-12-26 07:00:49</t>
  </si>
  <si>
    <t>2025-12-26 07:01:38</t>
  </si>
  <si>
    <t>2025-12-26 07:02:27</t>
  </si>
  <si>
    <t>2025-12-26 07:04:49</t>
  </si>
  <si>
    <t>2025-12-26 07:06:33</t>
  </si>
  <si>
    <t>2025-12-26 07:07:21</t>
  </si>
  <si>
    <t>2025-12-26 07:09:45</t>
  </si>
  <si>
    <t>2025-12-26 07:11:10</t>
  </si>
  <si>
    <t>2025-12-26 07:12:57</t>
  </si>
  <si>
    <t>2025-12-26 07:14:22</t>
  </si>
  <si>
    <t>2025-12-26 07:15:06</t>
  </si>
  <si>
    <t>2025-12-26 07:16:50</t>
  </si>
  <si>
    <t>2025-12-26 07:26:25</t>
  </si>
  <si>
    <t>2025-12-26 07:27:00</t>
  </si>
  <si>
    <t>2025-12-26 07:27:36</t>
  </si>
  <si>
    <t>2025-12-26 07:28:14</t>
  </si>
  <si>
    <t>2025-12-26 07:30:44</t>
  </si>
  <si>
    <t>2025-12-26 07:46:40</t>
  </si>
  <si>
    <t>2025-12-26 07:49:01</t>
  </si>
  <si>
    <t>2025-12-26 07:50:24</t>
  </si>
  <si>
    <t>2025-12-26 07:52:23</t>
  </si>
  <si>
    <t>2025-12-26 07:52:55</t>
  </si>
  <si>
    <t>2025-12-26 07:57:38</t>
  </si>
  <si>
    <t>2025-12-26 08:00:19</t>
  </si>
  <si>
    <t>2025-12-26 08:00:55</t>
  </si>
  <si>
    <t>2025-12-26 08:03:39</t>
  </si>
  <si>
    <t>2025-12-26 08:23:14</t>
  </si>
  <si>
    <t>2025-12-26 08:27:01</t>
  </si>
  <si>
    <t>2025-12-26 08:35:14</t>
  </si>
  <si>
    <t>2025-12-26 08:37:13</t>
  </si>
  <si>
    <t>2025-12-26 08:42:21</t>
  </si>
  <si>
    <t>2025-12-26 08:48:10</t>
  </si>
  <si>
    <t>2025-12-26 08:49:38</t>
  </si>
  <si>
    <t>2025-12-26 08:54:20</t>
  </si>
  <si>
    <t>2025-12-26 08:56:38</t>
  </si>
  <si>
    <t>2025-12-26 09:05:59</t>
  </si>
  <si>
    <t>2025-12-26 09:17:05</t>
  </si>
  <si>
    <t>2025-12-26 09:19:15</t>
  </si>
  <si>
    <t>2025-12-26 09:21:40</t>
  </si>
  <si>
    <t>2025-12-26 09:24:32</t>
  </si>
  <si>
    <t>2025-12-26 09:27:22</t>
  </si>
  <si>
    <t>2025-12-26 09:31:39</t>
  </si>
  <si>
    <t>2025-12-26 09:44:17</t>
  </si>
  <si>
    <t>2025-12-26 09:52:13</t>
  </si>
  <si>
    <t>2025-12-26 10:03:24</t>
  </si>
  <si>
    <t>2025-12-26 12:54:58</t>
  </si>
  <si>
    <t>2025-12-26 12:58:19</t>
  </si>
  <si>
    <t>2025-12-26 13:01:44</t>
  </si>
  <si>
    <t>2025-12-26 13:03:22</t>
  </si>
  <si>
    <t>2025-12-26 13:05:44</t>
  </si>
  <si>
    <t>2025-12-26 13:08:39</t>
  </si>
  <si>
    <t>2025-12-26 13:12:36</t>
  </si>
  <si>
    <t>2025-12-26 13:15:29</t>
  </si>
  <si>
    <t>2025-12-26 17:13:59</t>
  </si>
  <si>
    <t>2025-12-29 06:38:33</t>
  </si>
  <si>
    <t>2025-12-29 06:41:37</t>
  </si>
  <si>
    <t>2025-12-29 07:15:39</t>
  </si>
  <si>
    <t>2025-12-29 07:21:58</t>
  </si>
  <si>
    <t>2025-12-29 07:26:58</t>
  </si>
  <si>
    <t>2025-12-29 07:31:53</t>
  </si>
  <si>
    <t>2025-12-29 07:35:41</t>
  </si>
  <si>
    <t>2025-12-29 07:40:36</t>
  </si>
  <si>
    <t>2025-12-29 07:42:47</t>
  </si>
  <si>
    <t>2025-12-29 07:45:04</t>
  </si>
  <si>
    <t>2025-12-29 07:46:33</t>
  </si>
  <si>
    <t>2025-12-29 07:48:51</t>
  </si>
  <si>
    <t>2025-12-29 07:55:47</t>
  </si>
  <si>
    <t>2025-12-29 07:58:25</t>
  </si>
  <si>
    <t>2025-12-29 08:20:25</t>
  </si>
  <si>
    <t>2025-12-29 09:06:57</t>
  </si>
  <si>
    <t>2025-12-29 09:08:41</t>
  </si>
  <si>
    <t>2025-12-29 09:09:32</t>
  </si>
  <si>
    <t>2025-12-29 09:10:51</t>
  </si>
  <si>
    <t>2025-12-29 09:12:17</t>
  </si>
  <si>
    <t>2025-12-29 09:12:54</t>
  </si>
  <si>
    <t>2025-12-29 09:14:10</t>
  </si>
  <si>
    <t>2025-12-29 09:15:11</t>
  </si>
  <si>
    <t>2025-12-29 09:16:42</t>
  </si>
  <si>
    <t>2025-12-29 10:14:02</t>
  </si>
  <si>
    <t>2025-12-29 10:15:20</t>
  </si>
  <si>
    <t>2025-12-29 10:15:55</t>
  </si>
  <si>
    <t>2025-12-29 10:16:34</t>
  </si>
  <si>
    <t>2025-12-29 10:17:42</t>
  </si>
  <si>
    <t>2025-12-29 10:18:46</t>
  </si>
  <si>
    <t>2025-12-29 10:19:37</t>
  </si>
  <si>
    <t>2025-12-29 10:20:56</t>
  </si>
  <si>
    <t>2025-12-29 10:21:35</t>
  </si>
  <si>
    <t>2025-12-29 10:22:46</t>
  </si>
  <si>
    <t>2025-12-29 10:24:18</t>
  </si>
  <si>
    <t>2025-12-29 10:26:39</t>
  </si>
  <si>
    <t>2025-12-29 12:55:02</t>
  </si>
  <si>
    <t>2025-12-29 13:03:18</t>
  </si>
  <si>
    <t>2025-12-29 13:06:20</t>
  </si>
  <si>
    <t>2025-12-29 13:07:01</t>
  </si>
  <si>
    <t>2025-12-29 13:10:23</t>
  </si>
  <si>
    <t>2025-12-29 13:11:52</t>
  </si>
  <si>
    <t>2025-12-29 13:16:37</t>
  </si>
  <si>
    <t>2025-12-29 13:17:18</t>
  </si>
  <si>
    <t>2025-12-29 13:18:11</t>
  </si>
  <si>
    <t>2025-12-29 13:18:55</t>
  </si>
  <si>
    <t>2025-12-29 13:19:44</t>
  </si>
  <si>
    <t>2025-12-29 13:20:42</t>
  </si>
  <si>
    <t>2025-12-29 21:16:19</t>
  </si>
  <si>
    <t>2025-12-30 06:23:50</t>
  </si>
  <si>
    <t>2025-12-26 08:03:31</t>
  </si>
  <si>
    <t>2025-12-26 08:28:00</t>
  </si>
  <si>
    <t>2025-12-26 08:50:52</t>
  </si>
  <si>
    <t>2025-12-26 09:15:46</t>
  </si>
  <si>
    <t>2025-12-26 09:33:59</t>
  </si>
  <si>
    <t>2025-12-26 09:53:03</t>
  </si>
  <si>
    <t>2025-12-26 10:16:55</t>
  </si>
  <si>
    <t>2025-12-26 10:56:26</t>
  </si>
  <si>
    <t>2025-12-26 11:04:39</t>
  </si>
  <si>
    <t>2025-12-26 12:26:05</t>
  </si>
  <si>
    <t>2025-12-26 12:39:18</t>
  </si>
  <si>
    <t>2025-12-26 13:04:03</t>
  </si>
  <si>
    <t>2025-12-26 13:19:11</t>
  </si>
  <si>
    <t>2025-12-26 14:30:35</t>
  </si>
  <si>
    <t>2025-12-27 08:00:43</t>
  </si>
  <si>
    <t>2025-12-27 08:33:36</t>
  </si>
  <si>
    <t>2025-12-27 08:56:50</t>
  </si>
  <si>
    <t>2025-12-29 08:16:59</t>
  </si>
  <si>
    <t>2025-12-29 08:28:10</t>
  </si>
  <si>
    <t>2025-12-29 08:36:45</t>
  </si>
  <si>
    <t>2025-12-29 09:13:41</t>
  </si>
  <si>
    <t>2025-12-29 09:21:00</t>
  </si>
  <si>
    <t>2025-12-29 09:39:59</t>
  </si>
  <si>
    <t>2025-12-29 09:44:54</t>
  </si>
  <si>
    <t>2025-12-29 09:59:34</t>
  </si>
  <si>
    <t>2025-12-29 10:03:27</t>
  </si>
  <si>
    <t>2025-12-29 10:12:12</t>
  </si>
  <si>
    <t>2025-12-29 10:23:11</t>
  </si>
  <si>
    <t>2025-12-29 10:44:46</t>
  </si>
  <si>
    <t>2025-12-29 12:38:26</t>
  </si>
  <si>
    <t>2025-12-29 12:51:31</t>
  </si>
  <si>
    <t>2025-12-29 13:27:00</t>
  </si>
  <si>
    <t>2025-12-29 13:30:30</t>
  </si>
  <si>
    <t>2025-12-29 13:37:21</t>
  </si>
  <si>
    <t>2025-12-29 14:09:50</t>
  </si>
  <si>
    <t>2025-12-29 14:20:23</t>
  </si>
  <si>
    <t>2025-12-29 14:28:00</t>
  </si>
  <si>
    <t>2025-12-29 14:41:53</t>
  </si>
  <si>
    <t>2025-12-29 14:56:36</t>
  </si>
  <si>
    <t>2025-12-29 16:10:24</t>
  </si>
  <si>
    <t>2025-12-30 06:24:16</t>
  </si>
  <si>
    <t>2025-12-30 10:58:25</t>
  </si>
  <si>
    <t>2025-12-30 13:25:49</t>
  </si>
  <si>
    <t>2025-12-30 13:26:59</t>
  </si>
  <si>
    <t>2025-12-30 13:27:39</t>
  </si>
  <si>
    <t>2025-12-30 13:29:10</t>
  </si>
  <si>
    <t>2025-12-30 13:30:43</t>
  </si>
  <si>
    <t>2025-12-30 13:31:28</t>
  </si>
  <si>
    <t>2025-12-30 13:37:04</t>
  </si>
  <si>
    <t>2025-12-30 13:42:32</t>
  </si>
  <si>
    <t>2025-12-30 13:43:37</t>
  </si>
  <si>
    <t>2025-12-30 13:46:58</t>
  </si>
  <si>
    <t>2025-12-30 13:47:45</t>
  </si>
  <si>
    <t>2025-12-30 13:48:54</t>
  </si>
  <si>
    <t>2025-12-30 13:49:48</t>
  </si>
  <si>
    <t>2025-12-30 13:51:33</t>
  </si>
  <si>
    <t>2025-12-30 13:52:03</t>
  </si>
  <si>
    <t>2025-12-30 13:54:01</t>
  </si>
  <si>
    <t>2025-12-30 13:55:09</t>
  </si>
  <si>
    <t>2025-12-30 13:56:06</t>
  </si>
  <si>
    <t>2025-12-30 13:58:34</t>
  </si>
  <si>
    <t>2025-12-30 13:59:47</t>
  </si>
  <si>
    <t>2025-12-30 14:02:07</t>
  </si>
  <si>
    <t>2025-12-30 14:03:40</t>
  </si>
  <si>
    <t>2025-12-30 14:08:49</t>
  </si>
  <si>
    <t>2025-12-30 14:10:37</t>
  </si>
  <si>
    <t>2025-12-30 14:11:22</t>
  </si>
  <si>
    <t>2025-12-30 14:12:28</t>
  </si>
  <si>
    <t>2025-12-30 14:13:38</t>
  </si>
  <si>
    <t>2025-12-30 14:14:44</t>
  </si>
  <si>
    <t>2025-12-30 14:15:34</t>
  </si>
  <si>
    <t>2025-12-30 14:16:08</t>
  </si>
  <si>
    <t>2025-12-30 14:16:40</t>
  </si>
  <si>
    <t>2025-12-30 14:17:28</t>
  </si>
  <si>
    <t>2025-12-30 14:18:27</t>
  </si>
  <si>
    <t>2025-12-30 14:19:21</t>
  </si>
  <si>
    <t>2025-12-30 14:19:57</t>
  </si>
  <si>
    <t>2025-12-31 08:33:59</t>
  </si>
  <si>
    <t>2025-12-30 10:47:05</t>
  </si>
  <si>
    <t>2025-12-30 11:07:47</t>
  </si>
  <si>
    <t>2025-12-30 11:11:09</t>
  </si>
  <si>
    <t>2025-12-30 12:12:48</t>
  </si>
  <si>
    <t>2025-12-30 14:57:48</t>
  </si>
  <si>
    <t>2025-12-30 15:03:29</t>
  </si>
  <si>
    <t>2025-12-31 06:35:02</t>
  </si>
  <si>
    <t>2025-12-31 07:20:54</t>
  </si>
  <si>
    <t>2025-12-31 08:32:30</t>
  </si>
  <si>
    <t>2025-12-31 08:51:16</t>
  </si>
  <si>
    <t>2025-12-31 09:04:44</t>
  </si>
  <si>
    <t>2025-12-31 09:58:27</t>
  </si>
  <si>
    <t>2025-12-31 10:54:29</t>
  </si>
  <si>
    <t>2025-12-31 11:04:47</t>
  </si>
  <si>
    <t>2025-12-31 11:11:32</t>
  </si>
  <si>
    <t>2026-06-09 08:03:34</t>
  </si>
  <si>
    <t>2026-06-09 08:20:29</t>
  </si>
  <si>
    <t>2026-06-09 08:27:06</t>
  </si>
  <si>
    <t>2026-06-09 08:38:22</t>
  </si>
  <si>
    <t>2026-06-09 08:43:29</t>
  </si>
  <si>
    <t>2026-06-09 11:18:35</t>
  </si>
  <si>
    <t>2026-06-09 13:04:01</t>
  </si>
  <si>
    <t>2026-06-09 13:33:49</t>
  </si>
  <si>
    <t>2026-06-09 06:03:15</t>
  </si>
  <si>
    <t>2026-06-11 12:23:57</t>
  </si>
  <si>
    <t>2026-06-15 07:36:45</t>
  </si>
  <si>
    <t>2026-06-10 08:06:22</t>
  </si>
  <si>
    <t>2026-06-10 08:30:31</t>
  </si>
  <si>
    <t>2026-06-10 09:09:30</t>
  </si>
  <si>
    <t>2026-06-10 09:37:41</t>
  </si>
  <si>
    <t>2026-06-10 12:25:38</t>
  </si>
  <si>
    <t>2026-06-10 12:44:04</t>
  </si>
  <si>
    <t>2026-06-10 12:53:03</t>
  </si>
  <si>
    <t>2026-06-10 13:00:29</t>
  </si>
  <si>
    <t>2026-06-10 13:47:11</t>
  </si>
  <si>
    <t>2026-06-11 06:03:12</t>
  </si>
  <si>
    <t>2026-06-11 06:24:52</t>
  </si>
  <si>
    <t>2026-06-11 06:30:38</t>
  </si>
  <si>
    <t>2026-06-11 08:02:44</t>
  </si>
  <si>
    <t>2026-06-11 08:12:46</t>
  </si>
  <si>
    <t>2026-06-11 08:19:03</t>
  </si>
  <si>
    <t>2026-06-11 08:53:42</t>
  </si>
  <si>
    <t>2026-06-11 09:15:58</t>
  </si>
  <si>
    <t>2026-06-11 11:19:35</t>
  </si>
  <si>
    <t>2026-06-11 11:33:10</t>
  </si>
  <si>
    <t>2026-06-11 11:53:09</t>
  </si>
  <si>
    <t>2026-06-11 12:08:39</t>
  </si>
  <si>
    <t>2026-06-11 13:12:10</t>
  </si>
  <si>
    <t>2026-06-11 13:44:44</t>
  </si>
  <si>
    <t>2026-06-11 14:38:22</t>
  </si>
  <si>
    <t>2026-06-12 07:17:17</t>
  </si>
  <si>
    <t>2026-06-12 08:19:07</t>
  </si>
  <si>
    <t>2026-06-12 08:42:51</t>
  </si>
  <si>
    <t>2026-06-12 08:59:43</t>
  </si>
  <si>
    <t>2026-06-12 09:08:01</t>
  </si>
  <si>
    <t>2026-06-12 09:17:32</t>
  </si>
  <si>
    <t>2026-06-12 09:39:20</t>
  </si>
  <si>
    <t>2026-06-12 12:07:53</t>
  </si>
  <si>
    <t>2026-06-12 12:33:22</t>
  </si>
  <si>
    <t>2026-06-12 12:43:35</t>
  </si>
  <si>
    <t>2026-06-12 13:52:21</t>
  </si>
  <si>
    <t>2026-06-13 07:33:48</t>
  </si>
  <si>
    <t>2026-06-13 07:38:49</t>
  </si>
  <si>
    <t>2026-06-13 07:44:07</t>
  </si>
  <si>
    <t>2026-06-13 07:45:59</t>
  </si>
  <si>
    <t>2026-06-13 07:52:20</t>
  </si>
  <si>
    <t>2026-06-13 08:50:51</t>
  </si>
  <si>
    <t>2026-06-13 09:05:21</t>
  </si>
  <si>
    <t>2026-06-13 09:17:03</t>
  </si>
  <si>
    <t>2026-06-13 09:22:24</t>
  </si>
  <si>
    <t>2026-06-13 09:38:49</t>
  </si>
  <si>
    <t>2026-06-15 06:41:23</t>
  </si>
  <si>
    <t>2026-06-15 07:08:57</t>
  </si>
  <si>
    <t>2026-06-15 07:12:02</t>
  </si>
  <si>
    <t>2026-06-15 07:29:21</t>
  </si>
  <si>
    <t>2026-06-15 08:47:16</t>
  </si>
  <si>
    <t>2026-06-15 09:11:36</t>
  </si>
  <si>
    <t>2026-06-15 09:18:57</t>
  </si>
  <si>
    <t>2026-06-15 09:33:00</t>
  </si>
  <si>
    <t>2026-06-15 12:09:33</t>
  </si>
  <si>
    <t>2026-06-15 12:43:51</t>
  </si>
  <si>
    <t>2026-06-15 13:41:41</t>
  </si>
  <si>
    <t>2026-06-15 13:46:54</t>
  </si>
  <si>
    <t>2026-06-15 13:50:27</t>
  </si>
  <si>
    <t>2026-06-15 13:58:39</t>
  </si>
  <si>
    <t>2026-06-15 14:22:42</t>
  </si>
  <si>
    <t>2026-06-15 14:39:26</t>
  </si>
  <si>
    <t>2026-06-15 14:55:53</t>
  </si>
  <si>
    <t>2026-06-16 06:38:19</t>
  </si>
  <si>
    <t>2026-06-16 07:58:08</t>
  </si>
  <si>
    <t>2026-06-16 08:29:13</t>
  </si>
  <si>
    <t>2026-06-16 08:54:30</t>
  </si>
  <si>
    <t>2026-06-16 09:39:05</t>
  </si>
  <si>
    <t>2026-06-16 09:43:45</t>
  </si>
  <si>
    <t>2026-06-16 11:46:00</t>
  </si>
  <si>
    <t>2026-06-16 13:04:46</t>
  </si>
  <si>
    <t>2026-06-16 13:11:54</t>
  </si>
  <si>
    <t>2026-06-16 13:38:41</t>
  </si>
  <si>
    <t>2026-06-16 13:51:27</t>
  </si>
  <si>
    <t>2026-06-16 14:06:38</t>
  </si>
  <si>
    <t>2026-06-16 14:10:43</t>
  </si>
  <si>
    <t>2026-06-11 16:39:54</t>
  </si>
  <si>
    <t>2026-06-11 16:48:29</t>
  </si>
  <si>
    <t>2026-06-11 16:55:08</t>
  </si>
  <si>
    <t>2026-06-11 17:05:58</t>
  </si>
  <si>
    <t>2026-06-11 17:07:22</t>
  </si>
  <si>
    <t>2026-06-11 17:10:46</t>
  </si>
  <si>
    <t>2026-06-11 17:12:18</t>
  </si>
  <si>
    <t>2026-06-11 17:13:18</t>
  </si>
  <si>
    <t>2026-06-11 17:14:08</t>
  </si>
  <si>
    <t>2026-06-11 17:15:21</t>
  </si>
  <si>
    <t>2026-06-11 17:16:39</t>
  </si>
  <si>
    <t>2026-06-11 17:17:33</t>
  </si>
  <si>
    <t>2026-06-12 04:09:48</t>
  </si>
  <si>
    <t>2026-06-12 04:12:25</t>
  </si>
  <si>
    <t>2026-06-12 04:13:39</t>
  </si>
  <si>
    <t>2026-06-12 04:14:44</t>
  </si>
  <si>
    <t>2026-06-12 04:15:41</t>
  </si>
  <si>
    <t>2026-06-12 04:16:30</t>
  </si>
  <si>
    <t>2026-06-12 04:17:24</t>
  </si>
  <si>
    <t>2026-06-12 04:18:05</t>
  </si>
  <si>
    <t>2026-06-12 04:18:56</t>
  </si>
  <si>
    <t>2026-06-12 04:19:36</t>
  </si>
  <si>
    <t>2026-06-12 04:20:28</t>
  </si>
  <si>
    <t>2026-06-12 04:21:17</t>
  </si>
  <si>
    <t>2026-06-12 04:22:47</t>
  </si>
  <si>
    <t>2026-06-12 04:24:16</t>
  </si>
  <si>
    <t>2026-06-12 04:25:03</t>
  </si>
  <si>
    <t>2026-06-12 04:26:05</t>
  </si>
  <si>
    <t>2026-06-12 04:26:52</t>
  </si>
  <si>
    <t>2026-06-12 04:27:34</t>
  </si>
  <si>
    <t>2026-06-12 04:37:29</t>
  </si>
  <si>
    <t>2026-06-12 04:38:42</t>
  </si>
  <si>
    <t>2026-06-12 04:39:44</t>
  </si>
  <si>
    <t>2026-06-12 06:23:48</t>
  </si>
  <si>
    <t>2026-06-12 06:26:33</t>
  </si>
  <si>
    <t>2026-06-12 06:28:08</t>
  </si>
  <si>
    <t>2026-06-12 06:29:44</t>
  </si>
  <si>
    <t>2026-06-12 06:30:42</t>
  </si>
  <si>
    <t>2026-06-12 06:31:51</t>
  </si>
  <si>
    <t>2026-06-12 06:32:28</t>
  </si>
  <si>
    <t>2026-06-12 06:33:29</t>
  </si>
  <si>
    <t>2026-06-12 06:34:48</t>
  </si>
  <si>
    <t>2026-06-12 06:35:50</t>
  </si>
  <si>
    <t>2026-06-12 06:36:54</t>
  </si>
  <si>
    <t>2026-06-12 06:38:11</t>
  </si>
  <si>
    <t>2026-06-12 06:39:22</t>
  </si>
  <si>
    <t>2026-06-12 06:40:44</t>
  </si>
  <si>
    <t>2026-06-12 06:41:24</t>
  </si>
  <si>
    <t>2026-06-12 06:42:31</t>
  </si>
  <si>
    <t>2026-06-12 06:43:37</t>
  </si>
  <si>
    <t>2026-06-12 06:44:51</t>
  </si>
  <si>
    <t>2026-06-12 06:45:37</t>
  </si>
  <si>
    <t>2026-06-12 06:57:02</t>
  </si>
  <si>
    <t>2026-06-12 06:57:43</t>
  </si>
  <si>
    <t>2026-06-12 06:58:52</t>
  </si>
  <si>
    <t>2026-06-12 07:01:32</t>
  </si>
  <si>
    <t>2026-06-12 07:02:40</t>
  </si>
  <si>
    <t>2026-06-12 07:03:29</t>
  </si>
  <si>
    <t>2026-06-12 07:04:18</t>
  </si>
  <si>
    <t>2026-06-12 07:05:27</t>
  </si>
  <si>
    <t>2026-06-12 07:15:05</t>
  </si>
  <si>
    <t>2026-06-12 07:15:40</t>
  </si>
  <si>
    <t>2026-06-12 07:16:52</t>
  </si>
  <si>
    <t>2026-06-12 07:17:48</t>
  </si>
  <si>
    <t>2026-06-12 07:18:33</t>
  </si>
  <si>
    <t>2026-06-12 07:19:05</t>
  </si>
  <si>
    <t>2026-06-12 07:19:54</t>
  </si>
  <si>
    <t>2026-06-12 07:20:49</t>
  </si>
  <si>
    <t>2026-06-12 07:21:42</t>
  </si>
  <si>
    <t>2026-06-12 07:22:34</t>
  </si>
  <si>
    <t>2026-06-12 07:23:27</t>
  </si>
  <si>
    <t>2026-06-12 07:24:17</t>
  </si>
  <si>
    <t>2026-06-12 07:25:09</t>
  </si>
  <si>
    <t>2026-06-12 07:26:19</t>
  </si>
  <si>
    <t>2026-06-12 07:26:54</t>
  </si>
  <si>
    <t>2026-06-12 07:27:45</t>
  </si>
  <si>
    <t>2026-06-12 07:28:43</t>
  </si>
  <si>
    <t>2026-06-12 07:29:34</t>
  </si>
  <si>
    <t>2026-06-12 08:34:19</t>
  </si>
  <si>
    <t>2026-06-12 08:36:37</t>
  </si>
  <si>
    <t>2026-06-12 08:37:51</t>
  </si>
  <si>
    <t>2026-06-12 08:38:39</t>
  </si>
  <si>
    <t>2026-06-12 08:39:17</t>
  </si>
  <si>
    <t>2026-06-12 08:41:46</t>
  </si>
  <si>
    <t>2026-06-12 09:03:53</t>
  </si>
  <si>
    <t>2026-06-12 09:05:40</t>
  </si>
  <si>
    <t>2026-06-12 09:06:26</t>
  </si>
  <si>
    <t>2026-06-12 09:08:25</t>
  </si>
  <si>
    <t>2026-06-12 09:09:47</t>
  </si>
  <si>
    <t>2026-06-12 09:11:04</t>
  </si>
  <si>
    <t>2026-06-12 11:45:29</t>
  </si>
  <si>
    <t>2026-06-12 11:47:00</t>
  </si>
  <si>
    <t>2026-06-12 12:18:20</t>
  </si>
  <si>
    <t>2026-06-12 12:19:31</t>
  </si>
  <si>
    <t>2026-06-12 12:20:33</t>
  </si>
  <si>
    <t>2026-06-12 12:21:07</t>
  </si>
  <si>
    <t>2026-06-12 12:21:53</t>
  </si>
  <si>
    <t>2026-06-12 12:27:35</t>
  </si>
  <si>
    <t>2026-06-12 12:28:12</t>
  </si>
  <si>
    <t>2026-06-12 12:28:45</t>
  </si>
  <si>
    <t>2026-06-12 12:29:51</t>
  </si>
  <si>
    <t>2026-06-12 12:30:25</t>
  </si>
  <si>
    <t>2026-06-12 12:31:33</t>
  </si>
  <si>
    <t>2026-06-12 12:32:36</t>
  </si>
  <si>
    <t>2026-06-12 12:33:47</t>
  </si>
  <si>
    <t>2026-06-12 12:35:03</t>
  </si>
  <si>
    <t>2026-06-12 12:36:12</t>
  </si>
  <si>
    <t>2026-06-12 12:37:32</t>
  </si>
  <si>
    <t>2026-06-12 14:50:52</t>
  </si>
  <si>
    <t>2026-06-12 14:51:36</t>
  </si>
  <si>
    <t>2026-06-12 14:52:40</t>
  </si>
  <si>
    <t>2026-06-12 14:55:54</t>
  </si>
  <si>
    <t>2026-06-12 14:57:56</t>
  </si>
  <si>
    <t>2026-06-12 14:59:17</t>
  </si>
  <si>
    <t>2026-06-12 14:59:56</t>
  </si>
  <si>
    <t>2026-06-12 15:01:00</t>
  </si>
  <si>
    <t>2026-06-12 15:01:56</t>
  </si>
  <si>
    <t>2026-06-12 15:03:06</t>
  </si>
  <si>
    <t>2026-06-12 15:04:41</t>
  </si>
  <si>
    <t>2026-06-12 15:05:15</t>
  </si>
  <si>
    <t>2026-06-12 15:06:35</t>
  </si>
  <si>
    <t>2026-06-12 15:07:09</t>
  </si>
  <si>
    <t>2026-06-12 15:07:59</t>
  </si>
  <si>
    <t>2026-06-12 15:09:04</t>
  </si>
  <si>
    <t>2026-06-12 15:10:09</t>
  </si>
  <si>
    <t>2026-06-12 15:10:43</t>
  </si>
  <si>
    <t>2026-06-12 15:15:36</t>
  </si>
  <si>
    <t>2026-06-12 15:16:50</t>
  </si>
  <si>
    <t>2026-06-12 15:18:09</t>
  </si>
  <si>
    <t>2026-06-12 15:18:50</t>
  </si>
  <si>
    <t>2026-06-12 15:19:29</t>
  </si>
  <si>
    <t>2026-06-12 15:20:44</t>
  </si>
  <si>
    <t>2026-06-12 15:22:08</t>
  </si>
  <si>
    <t>2026-06-12 15:23:21</t>
  </si>
  <si>
    <t>2026-06-12 15:24:57</t>
  </si>
  <si>
    <t>2026-06-12 15:25:39</t>
  </si>
  <si>
    <t>2026-06-12 15:26:47</t>
  </si>
  <si>
    <t>2026-06-12 15:27:59</t>
  </si>
  <si>
    <t>2026-06-12 15:28:39</t>
  </si>
  <si>
    <t>2026-06-12 15:32:45</t>
  </si>
  <si>
    <t>2026-06-12 15:33:35</t>
  </si>
  <si>
    <t>2026-06-12 15:34:11</t>
  </si>
  <si>
    <t>2026-06-12 15:35:51</t>
  </si>
  <si>
    <t>2026-06-12 15:36:29</t>
  </si>
  <si>
    <t>2026-06-12 15:37:46</t>
  </si>
  <si>
    <t>2026-06-12 15:38:47</t>
  </si>
  <si>
    <t>2026-06-15 14:01:18</t>
  </si>
  <si>
    <t>2026-06-17 17:23:01</t>
  </si>
  <si>
    <t>2026-06-17 17:35:46</t>
  </si>
  <si>
    <t>2026-06-20 07:22:08</t>
  </si>
  <si>
    <t>2026-06-20 08:17:42</t>
  </si>
  <si>
    <t>2026-06-20 08:48:32</t>
  </si>
  <si>
    <t>2026-06-17 08:07:41</t>
  </si>
  <si>
    <t>2026-06-17 08:21:53</t>
  </si>
  <si>
    <t>2026-06-17 08:27:42</t>
  </si>
  <si>
    <t>2026-06-17 08:32:57</t>
  </si>
  <si>
    <t>2026-06-17 08:37:16</t>
  </si>
  <si>
    <t>2026-06-17 08:46:48</t>
  </si>
  <si>
    <t>2026-06-17 09:00:15</t>
  </si>
  <si>
    <t>2026-06-17 09:27:08</t>
  </si>
  <si>
    <t>2026-06-17 09:58:49</t>
  </si>
  <si>
    <t>2026-06-17 10:02:23</t>
  </si>
  <si>
    <t>2026-06-17 12:39:25</t>
  </si>
  <si>
    <t>2026-06-17 12:45:13</t>
  </si>
  <si>
    <t>2026-06-17 13:22:11</t>
  </si>
  <si>
    <t>2026-06-18 05:16:57</t>
  </si>
  <si>
    <t>2026-06-18 05:48:33</t>
  </si>
  <si>
    <t>2026-06-18 05:50:26</t>
  </si>
  <si>
    <t>2026-06-18 07:22:32</t>
  </si>
  <si>
    <t>2026-06-18 07:34:36</t>
  </si>
  <si>
    <t>2026-06-18 08:20:24</t>
  </si>
  <si>
    <t>2026-06-18 08:36:21</t>
  </si>
  <si>
    <t>2026-06-18 09:08:59</t>
  </si>
  <si>
    <t>2026-06-18 09:31:13</t>
  </si>
  <si>
    <t>2026-06-18 11:34:20</t>
  </si>
  <si>
    <t>2026-06-18 11:58:30</t>
  </si>
  <si>
    <t>2026-06-18 12:48:09</t>
  </si>
  <si>
    <t>2026-06-18 13:30:08</t>
  </si>
  <si>
    <t>2026-06-18 14:36:30</t>
  </si>
  <si>
    <t>2026-06-19 07:22:33</t>
  </si>
  <si>
    <t>2026-06-19 07:27:16</t>
  </si>
  <si>
    <t>2026-06-19 07:35:49</t>
  </si>
  <si>
    <t>2026-06-19 07:42:04</t>
  </si>
  <si>
    <t>2026-06-19 07:45:18</t>
  </si>
  <si>
    <t>2026-06-19 07:47:15</t>
  </si>
  <si>
    <t>2026-06-19 07:50:50</t>
  </si>
  <si>
    <t>2026-06-19 07:52:27</t>
  </si>
  <si>
    <t>2026-06-19 08:57:49</t>
  </si>
  <si>
    <t>2026-06-19 09:08:23</t>
  </si>
  <si>
    <t>2026-06-19 09:31:40</t>
  </si>
  <si>
    <t>2026-06-19 09:47:34</t>
  </si>
  <si>
    <t>2026-06-19 12:23:06</t>
  </si>
  <si>
    <t>2026-06-19 12:35:13</t>
  </si>
  <si>
    <t>2026-06-19 12:39:29</t>
  </si>
  <si>
    <t>2026-06-19 12:41:57</t>
  </si>
  <si>
    <t>2026-06-19 12:58:06</t>
  </si>
  <si>
    <t>2026-06-19 13:00:08</t>
  </si>
  <si>
    <t>2026-06-19 13:06:41</t>
  </si>
  <si>
    <t>2026-06-19 13:10:44</t>
  </si>
  <si>
    <t>2026-06-19 13:16:41</t>
  </si>
  <si>
    <t>2026-06-19 13:36:35</t>
  </si>
  <si>
    <t>2026-06-22 05:49:59</t>
  </si>
  <si>
    <t>2026-06-17 11:57:40</t>
  </si>
  <si>
    <t>2026-06-17 08:21:35</t>
  </si>
  <si>
    <t>2026-06-17 08:24:05</t>
  </si>
  <si>
    <t>2026-06-17 08:25:44</t>
  </si>
  <si>
    <t>2026-06-17 08:27:30</t>
  </si>
  <si>
    <t>2026-06-17 08:30:32</t>
  </si>
  <si>
    <t>2026-06-17 08:34:39</t>
  </si>
  <si>
    <t>2026-06-17 08:36:16</t>
  </si>
  <si>
    <t>2026-06-17 08:37:36</t>
  </si>
  <si>
    <t>2026-06-17 08:41:57</t>
  </si>
  <si>
    <t>2026-06-17 08:47:21</t>
  </si>
  <si>
    <t>2026-06-17 08:49:00</t>
  </si>
  <si>
    <t>2026-06-17 08:50:17</t>
  </si>
  <si>
    <t>2026-06-17 08:51:55</t>
  </si>
  <si>
    <t>2026-06-17 08:53:10</t>
  </si>
  <si>
    <t>2026-06-17 08:55:27</t>
  </si>
  <si>
    <t>2026-06-17 08:58:37</t>
  </si>
  <si>
    <t>2026-06-17 09:03:09</t>
  </si>
  <si>
    <t>2026-06-17 09:04:50</t>
  </si>
  <si>
    <t>2026-06-17 09:06:26</t>
  </si>
  <si>
    <t>2026-06-17 09:10:11</t>
  </si>
  <si>
    <t>2026-06-17 09:12:57</t>
  </si>
  <si>
    <t>2026-06-17 09:14:54</t>
  </si>
  <si>
    <t>2026-06-17 09:17:28</t>
  </si>
  <si>
    <t>2026-06-17 09:19:21</t>
  </si>
  <si>
    <t>2026-06-17 09:21:56</t>
  </si>
  <si>
    <t>2026-06-17 09:23:17</t>
  </si>
  <si>
    <t>2026-06-17 09:24:51</t>
  </si>
  <si>
    <t>2026-06-17 09:26:57</t>
  </si>
  <si>
    <t>2026-06-17 09:28:38</t>
  </si>
  <si>
    <t>2026-06-17 09:29:47</t>
  </si>
  <si>
    <t>2026-06-17 09:33:14</t>
  </si>
  <si>
    <t>2026-06-17 09:35:39</t>
  </si>
  <si>
    <t>2026-06-17 09:36:53</t>
  </si>
  <si>
    <t>2026-06-17 09:39:28</t>
  </si>
  <si>
    <t>2026-06-17 09:50:07</t>
  </si>
  <si>
    <t>2026-06-17 11:24:57</t>
  </si>
  <si>
    <t>2026-06-17 11:28:13</t>
  </si>
  <si>
    <t>2026-06-17 11:39:58</t>
  </si>
  <si>
    <t>2026-06-17 11:42:23</t>
  </si>
  <si>
    <t>2026-06-17 11:44:19</t>
  </si>
  <si>
    <t>2026-06-17 11:50:14</t>
  </si>
  <si>
    <t>2026-06-17 11:51:46</t>
  </si>
  <si>
    <t>2026-06-17 11:53:34</t>
  </si>
  <si>
    <t>2026-06-17 11:54:45</t>
  </si>
  <si>
    <t>2026-06-17 11:57:08</t>
  </si>
  <si>
    <t>2026-06-17 11:59:04</t>
  </si>
  <si>
    <t>2026-06-17 12:00:48</t>
  </si>
  <si>
    <t>2026-06-17 12:02:12</t>
  </si>
  <si>
    <t>2026-06-17 12:15:55</t>
  </si>
  <si>
    <t>2026-06-17 12:17:35</t>
  </si>
  <si>
    <t>2026-06-17 12:19:54</t>
  </si>
  <si>
    <t>2026-06-17 12:23:45</t>
  </si>
  <si>
    <t>2026-06-17 12:24:41</t>
  </si>
  <si>
    <t>2026-06-17 12:25:49</t>
  </si>
  <si>
    <t>2026-06-17 12:31:15</t>
  </si>
  <si>
    <t>2026-06-17 12:33:15</t>
  </si>
  <si>
    <t>2026-06-17 12:35:52</t>
  </si>
  <si>
    <t>2026-06-17 12:36:25</t>
  </si>
  <si>
    <t>2026-06-17 12:39:46</t>
  </si>
  <si>
    <t>2026-06-17 12:42:55</t>
  </si>
  <si>
    <t>2026-06-17 12:44:44</t>
  </si>
  <si>
    <t>2026-06-17 12:47:21</t>
  </si>
  <si>
    <t>2026-06-17 12:48:10</t>
  </si>
  <si>
    <t>2026-06-17 12:49:39</t>
  </si>
  <si>
    <t>2026-06-17 12:51:48</t>
  </si>
  <si>
    <t>2026-06-17 13:02:28</t>
  </si>
  <si>
    <t>2026-06-17 13:03:52</t>
  </si>
  <si>
    <t>2026-06-17 13:06:36</t>
  </si>
  <si>
    <t>2026-06-17 13:11:37</t>
  </si>
  <si>
    <t>2026-06-17 13:13:11</t>
  </si>
  <si>
    <t>2026-06-17 13:14:09</t>
  </si>
  <si>
    <t>2026-06-17 13:16:08</t>
  </si>
  <si>
    <t>2026-06-17 13:25:25</t>
  </si>
  <si>
    <t>2026-06-17 13:27:02</t>
  </si>
  <si>
    <t>2026-06-17 13:28:10</t>
  </si>
  <si>
    <t>2026-06-17 13:29:55</t>
  </si>
  <si>
    <t>2026-06-17 13:32:15</t>
  </si>
  <si>
    <t>2026-06-17 13:34:13</t>
  </si>
  <si>
    <t>2026-06-17 13:38:58</t>
  </si>
  <si>
    <t>2026-06-17 13:40:27</t>
  </si>
  <si>
    <t>2026-06-17 13:42:26</t>
  </si>
  <si>
    <t>2026-06-17 13:43:42</t>
  </si>
  <si>
    <t>2026-06-17 13:46:05</t>
  </si>
  <si>
    <t>2026-06-17 13:47:36</t>
  </si>
  <si>
    <t>2026-06-17 13:49:05</t>
  </si>
  <si>
    <t>2026-06-17 13:50:51</t>
  </si>
  <si>
    <t>2026-06-17 13:52:18</t>
  </si>
  <si>
    <t>2026-06-17 13:53:16</t>
  </si>
  <si>
    <t>2026-06-17 13:54:31</t>
  </si>
  <si>
    <t>2026-06-17 13:56:50</t>
  </si>
  <si>
    <t>2026-06-20 08:30:23</t>
  </si>
  <si>
    <t>2026-06-20 08:40:18</t>
  </si>
  <si>
    <t>2026-06-20 09:11:08</t>
  </si>
  <si>
    <t>2026-06-20 09:15:06</t>
  </si>
  <si>
    <t>24-06-2026 0:00:00</t>
  </si>
  <si>
    <t>24-06-2026 18:46:03</t>
  </si>
  <si>
    <t>JN1TBAT32 PW008658</t>
  </si>
  <si>
    <t>XTCV2</t>
  </si>
  <si>
    <t>TNISTWU000616</t>
  </si>
  <si>
    <t>AE,CC,EE,ABS,LL,VC,AC,AISO,AAUTO,CRE,MAV,SR,DLL,6A</t>
  </si>
  <si>
    <t>QR25766515M</t>
  </si>
  <si>
    <t>JUDITH SOLANGE CORDOVA INOSTROZA</t>
  </si>
  <si>
    <t>24-06-2026 18:45:17</t>
  </si>
  <si>
    <t>23-09-2024 11:08:50</t>
  </si>
  <si>
    <t>VF3M45GFURS009935</t>
  </si>
  <si>
    <t>3008 GT Black Pack Puretech 180 EAT8</t>
  </si>
  <si>
    <t>TCPE6</t>
  </si>
  <si>
    <t>CPESTWN000044</t>
  </si>
  <si>
    <t>10FKBL3135598</t>
  </si>
  <si>
    <t>26-03-2025 0:00:00</t>
  </si>
  <si>
    <t>23-09-2024 11:08:32</t>
  </si>
  <si>
    <t>LJ11PABE4SC024216</t>
  </si>
  <si>
    <t>T8 PRO 2.0T 4X4 DSL AT ADVANCE</t>
  </si>
  <si>
    <t>T8PRO4X4AT-ADV</t>
  </si>
  <si>
    <t>HJACMTN000005</t>
  </si>
  <si>
    <t>R4133090</t>
  </si>
  <si>
    <t>18-12-2025 16:00:51</t>
  </si>
  <si>
    <t>LJXCU2BB0THF42074</t>
  </si>
  <si>
    <t>Territory Titanium 1.5 FHEV</t>
  </si>
  <si>
    <t>TT12</t>
  </si>
  <si>
    <t>CFOSTWN006573</t>
  </si>
  <si>
    <t>VRHS21</t>
  </si>
  <si>
    <t>BLANCO PERLADO</t>
  </si>
  <si>
    <t>TEST CAR</t>
  </si>
  <si>
    <t>S8G085741</t>
  </si>
  <si>
    <t>18-12-2025 0:00:00</t>
  </si>
  <si>
    <t>26-12-2025 0:00:00</t>
  </si>
  <si>
    <t>26-12-2025 12:36:09</t>
  </si>
  <si>
    <t>Local Premium</t>
  </si>
  <si>
    <t>30-06-2026 16:43:10</t>
  </si>
  <si>
    <t>8AFBR00E6RJ371870</t>
  </si>
  <si>
    <t>Ranger Dsl XLS 4x2 2.0L MT</t>
  </si>
  <si>
    <t>ACE4</t>
  </si>
  <si>
    <t>CFOCMTN008050</t>
  </si>
  <si>
    <t>LOCAL PREMIUM</t>
  </si>
  <si>
    <t>P02XRJ371870</t>
  </si>
  <si>
    <t>30-06-2026 16:42:41</t>
  </si>
  <si>
    <t>27-06-2026 13:30:50</t>
  </si>
  <si>
    <t>///*/+/+///++*...</t>
  </si>
  <si>
    <t>VERSA 4X2 1.6 AUT</t>
  </si>
  <si>
    <t>NIVER16AT</t>
  </si>
  <si>
    <t>TNIAUTU000651</t>
  </si>
  <si>
    <t>AZUL OSCURO METALICO</t>
  </si>
  <si>
    <t>AE,CC,EE,ABS,LL,AC,AISO,AAUTO,ACD,SR,DLL,6AB</t>
  </si>
  <si>
    <t>HR16-793642V</t>
  </si>
  <si>
    <t>3N1CN8AE7RL805875</t>
  </si>
  <si>
    <t>JUAN FERNANDO RAMOS LIZAMA</t>
  </si>
  <si>
    <t>27-06-2026 0:00:00</t>
  </si>
  <si>
    <t>27-06-2026 13:30:30</t>
  </si>
  <si>
    <t>27-06-2026 13:42:32</t>
  </si>
  <si>
    <t>98867545CKKJ03908</t>
  </si>
  <si>
    <t>CVN</t>
  </si>
  <si>
    <t>TJESTWU000442</t>
  </si>
  <si>
    <t>318025</t>
  </si>
  <si>
    <t>RODRIGO ALEXIS REHBEIN PARRA</t>
  </si>
  <si>
    <t>27-06-2026 13:42:06</t>
  </si>
  <si>
    <t>27-06-2026 12:46:52</t>
  </si>
  <si>
    <t>3FTTW8E31PRA29529</t>
  </si>
  <si>
    <t>MAVERICK LARIAT 2.5 AUT</t>
  </si>
  <si>
    <t>FOMALA25ATFHEV</t>
  </si>
  <si>
    <t>TFOCMTU001164</t>
  </si>
  <si>
    <t>AE,CC,EE,AAC,ABS,LL,ESP,AISO,AAUTO,CRE,MAV,ACD,SR,</t>
  </si>
  <si>
    <t>PRA29529</t>
  </si>
  <si>
    <t>RVR LIMITADA</t>
  </si>
  <si>
    <t>27-06-2026 12:46:07</t>
  </si>
  <si>
    <t>27-06-2026 13:10:51</t>
  </si>
  <si>
    <t>8AFAR23WX PJ298172</t>
  </si>
  <si>
    <t>785463</t>
  </si>
  <si>
    <t>TFOCMTU001165</t>
  </si>
  <si>
    <t>SA2SPJ298172</t>
  </si>
  <si>
    <t>AGRICOLA LAS DOS MARIAS S.A.</t>
  </si>
  <si>
    <t>27-06-2026 13:07:30</t>
  </si>
  <si>
    <t>22PT</t>
  </si>
  <si>
    <t>LNNBBDEE0SC041105</t>
  </si>
  <si>
    <t>J7 1.5T PHEV</t>
  </si>
  <si>
    <t>T7160F5</t>
  </si>
  <si>
    <t>HJAESTWN000005</t>
  </si>
  <si>
    <t>PLATEADO TECHO NEGRO</t>
  </si>
  <si>
    <t>SQRH4J15ABRM01262</t>
  </si>
  <si>
    <t>2026-06-22 09:00:21</t>
  </si>
  <si>
    <t>SSSD81</t>
  </si>
  <si>
    <t>2026-06-22 09:22:04</t>
  </si>
  <si>
    <t>TSYZ95</t>
  </si>
  <si>
    <t>2026-06-22 09:23:26</t>
  </si>
  <si>
    <t>LHRY99</t>
  </si>
  <si>
    <t>2026-06-22 09:28:48</t>
  </si>
  <si>
    <t>VHGC23</t>
  </si>
  <si>
    <t>2026-06-22 09:30:39</t>
  </si>
  <si>
    <t>RSYG49</t>
  </si>
  <si>
    <t>2026-06-22 09:33:17</t>
  </si>
  <si>
    <t>SVRR17</t>
  </si>
  <si>
    <t>2026-06-22 09:35:42</t>
  </si>
  <si>
    <t>SHZR99</t>
  </si>
  <si>
    <t>2026-06-22 11:29:04</t>
  </si>
  <si>
    <t>2026-06-22 12:10:50</t>
  </si>
  <si>
    <t>NEW 5008</t>
  </si>
  <si>
    <t>VVYY77</t>
  </si>
  <si>
    <t>2026-06-22 12:44:59</t>
  </si>
  <si>
    <t>GRRB92</t>
  </si>
  <si>
    <t>2026-06-22 13:22:14</t>
  </si>
  <si>
    <t>TRBJ12</t>
  </si>
  <si>
    <t>2026-06-22 14:23:12</t>
  </si>
  <si>
    <t>2026-06-22 14:33:30</t>
  </si>
  <si>
    <t>TRTY41</t>
  </si>
  <si>
    <t>2026-06-22 14:40:27</t>
  </si>
  <si>
    <t>XUV 500 III</t>
  </si>
  <si>
    <t>SRKY69</t>
  </si>
  <si>
    <t>2026-06-22 14:43:13</t>
  </si>
  <si>
    <t>THCX55</t>
  </si>
  <si>
    <t>2026-06-23 05:16:46</t>
  </si>
  <si>
    <t>TRBD14</t>
  </si>
  <si>
    <t>2026-06-23 05:48:58</t>
  </si>
  <si>
    <t>SBLF41</t>
  </si>
  <si>
    <t>2026-06-23 05:55:35</t>
  </si>
  <si>
    <t>PDJZ98</t>
  </si>
  <si>
    <t>2026-06-23 06:16:45</t>
  </si>
  <si>
    <t>SFLZ26</t>
  </si>
  <si>
    <t>2026-06-23 06:25:16</t>
  </si>
  <si>
    <t>TPWR77</t>
  </si>
  <si>
    <t>2026-06-23 06:42:22</t>
  </si>
  <si>
    <t>2026-06-23 07:01:37</t>
  </si>
  <si>
    <t>TFRD61</t>
  </si>
  <si>
    <t>2026-06-23 07:24:08</t>
  </si>
  <si>
    <t>X55 PLUS</t>
  </si>
  <si>
    <t>2026-06-23 07:47:11</t>
  </si>
  <si>
    <t>VFTD44</t>
  </si>
  <si>
    <t>2026-06-23 09:01:54</t>
  </si>
  <si>
    <t>JYBD63</t>
  </si>
  <si>
    <t>2026-06-23 09:16:07</t>
  </si>
  <si>
    <t>SKODA</t>
  </si>
  <si>
    <t>SPACEBACK</t>
  </si>
  <si>
    <t>LCKG61</t>
  </si>
  <si>
    <t>2026-06-23 09:19:08</t>
  </si>
  <si>
    <t>2026-06-23 09:49:57</t>
  </si>
  <si>
    <t>LANDKING</t>
  </si>
  <si>
    <t>LK5</t>
  </si>
  <si>
    <t>VJTR48</t>
  </si>
  <si>
    <t>2026-06-23 11:26:40</t>
  </si>
  <si>
    <t>RTFR87</t>
  </si>
  <si>
    <t>2026-06-23 11:53:58</t>
  </si>
  <si>
    <t>RTFX63</t>
  </si>
  <si>
    <t>2026-06-23 12:05:15</t>
  </si>
  <si>
    <t>TRBK13</t>
  </si>
  <si>
    <t>2026-06-23 12:24:00</t>
  </si>
  <si>
    <t>VDWP65</t>
  </si>
  <si>
    <t>2026-06-23 13:05:14</t>
  </si>
  <si>
    <t>TSSC87</t>
  </si>
  <si>
    <t>2026-06-23 13:08:12</t>
  </si>
  <si>
    <t>SFLW97</t>
  </si>
  <si>
    <t>2026-06-23 13:10:20</t>
  </si>
  <si>
    <t>TLRS57</t>
  </si>
  <si>
    <t>2026-06-23 13:19:23</t>
  </si>
  <si>
    <t>2026-06-23 13:29:40</t>
  </si>
  <si>
    <t>SSHH84</t>
  </si>
  <si>
    <t>2026-06-23 13:33:15</t>
  </si>
  <si>
    <t>2026-06-23 14:32:55</t>
  </si>
  <si>
    <t>TBZK40</t>
  </si>
  <si>
    <t>2026-06-24 05:04:32</t>
  </si>
  <si>
    <t>RCBH55</t>
  </si>
  <si>
    <t>2026-06-24 05:41:55</t>
  </si>
  <si>
    <t>VSWT79</t>
  </si>
  <si>
    <t>2026-06-24 07:01:01</t>
  </si>
  <si>
    <t>SLWH58</t>
  </si>
  <si>
    <t>2026-06-24 07:09:34</t>
  </si>
  <si>
    <t>KGPD22</t>
  </si>
  <si>
    <t>2026-06-24 08:10:32</t>
  </si>
  <si>
    <t>NEW MONTERO SPORT</t>
  </si>
  <si>
    <t>JDKZ39</t>
  </si>
  <si>
    <t>2026-06-24 08:38:03</t>
  </si>
  <si>
    <t>NEW RAM</t>
  </si>
  <si>
    <t>2026-06-24 08:43:14</t>
  </si>
  <si>
    <t>VLYJ61</t>
  </si>
  <si>
    <t>2026-06-24 09:01:44</t>
  </si>
  <si>
    <t>RCHD57</t>
  </si>
  <si>
    <t>2026-06-24 09:18:58</t>
  </si>
  <si>
    <t>VHFZ17</t>
  </si>
  <si>
    <t>2026-06-24 09:25:55</t>
  </si>
  <si>
    <t>PYZL95</t>
  </si>
  <si>
    <t>2026-06-24 09:32:02</t>
  </si>
  <si>
    <t>TKVB48</t>
  </si>
  <si>
    <t>2026-06-24 11:57:59</t>
  </si>
  <si>
    <t>LSXX18</t>
  </si>
  <si>
    <t>2026-06-24 12:03:59</t>
  </si>
  <si>
    <t>PCDR34</t>
  </si>
  <si>
    <t>2026-06-24 12:42:49</t>
  </si>
  <si>
    <t>2026-06-24 13:02:11</t>
  </si>
  <si>
    <t>VJTR16</t>
  </si>
  <si>
    <t>2026-06-24 13:51:50</t>
  </si>
  <si>
    <t>STTL62</t>
  </si>
  <si>
    <t>2026-06-24 14:00:27</t>
  </si>
  <si>
    <t>TDWZ46</t>
  </si>
  <si>
    <t>2026-06-25 06:54:39</t>
  </si>
  <si>
    <t>SHLV66</t>
  </si>
  <si>
    <t>2026-06-25 07:19:39</t>
  </si>
  <si>
    <t>NEW BERLINGO</t>
  </si>
  <si>
    <t>VLLZ31</t>
  </si>
  <si>
    <t>2026-06-25 07:31:25</t>
  </si>
  <si>
    <t>SSTF89</t>
  </si>
  <si>
    <t>2026-06-25 07:38:38</t>
  </si>
  <si>
    <t>PFZL51</t>
  </si>
  <si>
    <t>2026-06-25 07:53:07</t>
  </si>
  <si>
    <t>2026-06-25 07:59:32</t>
  </si>
  <si>
    <t>SKRH89</t>
  </si>
  <si>
    <t>2026-06-25 08:22:54</t>
  </si>
  <si>
    <t>VKGR53</t>
  </si>
  <si>
    <t>2026-06-25 08:52:42</t>
  </si>
  <si>
    <t>PLGW23</t>
  </si>
  <si>
    <t>2026-06-25 09:18:46</t>
  </si>
  <si>
    <t>RFKS49</t>
  </si>
  <si>
    <t>2026-06-25 12:28:46</t>
  </si>
  <si>
    <t>KJYH97</t>
  </si>
  <si>
    <t>2026-06-26 09:01:40</t>
  </si>
  <si>
    <t>2026-06-26 09:05:46</t>
  </si>
  <si>
    <t>2026-06-26 11:02:36</t>
  </si>
  <si>
    <t>PDVH83</t>
  </si>
  <si>
    <t>2026-06-26 11:40:20</t>
  </si>
  <si>
    <t>2026-06-26 12:04:09</t>
  </si>
  <si>
    <t>KZLV49</t>
  </si>
  <si>
    <t>2026-06-26 12:17:48</t>
  </si>
  <si>
    <t>RGHF53</t>
  </si>
  <si>
    <t>2026-06-26 12:22:06</t>
  </si>
  <si>
    <t>SYFS80</t>
  </si>
  <si>
    <t>2026-06-26 12:41:51</t>
  </si>
  <si>
    <t>THRH18</t>
  </si>
  <si>
    <t>2026-06-26 13:52:50</t>
  </si>
  <si>
    <t>S-CROSS NEW</t>
  </si>
  <si>
    <t>KZVW98</t>
  </si>
  <si>
    <t>2026-06-26 13:58:24</t>
  </si>
  <si>
    <t>SHBW37</t>
  </si>
  <si>
    <t>2026-06-26 14:02:19</t>
  </si>
  <si>
    <t>TLTC28</t>
  </si>
  <si>
    <t>2026-06-26 14:06:07</t>
  </si>
  <si>
    <t>RXCG73</t>
  </si>
  <si>
    <t>2026-06-27 07:12:32</t>
  </si>
  <si>
    <t>RKZK42</t>
  </si>
  <si>
    <t>2026-06-27 07:25:05</t>
  </si>
  <si>
    <t>2026-06-27 08:08:28</t>
  </si>
  <si>
    <t>2026-06-27 08:16:09</t>
  </si>
  <si>
    <t>THCW22</t>
  </si>
  <si>
    <t>2026-06-30 07:17:45</t>
  </si>
  <si>
    <t>2026-06-30 09:10:01</t>
  </si>
  <si>
    <t>LEAPMOTOR</t>
  </si>
  <si>
    <t>B10</t>
  </si>
  <si>
    <t>VWJX81</t>
  </si>
  <si>
    <t>2026-06-30 09:20:11</t>
  </si>
  <si>
    <t>TGFV21</t>
  </si>
  <si>
    <t>2026-06-30 11:22:29</t>
  </si>
  <si>
    <t>SVRS70</t>
  </si>
  <si>
    <t>2026-06-30 12:22:53</t>
  </si>
  <si>
    <t>RFVG31</t>
  </si>
  <si>
    <t>2026-06-30 12:37:05</t>
  </si>
  <si>
    <t>RJDX35</t>
  </si>
  <si>
    <t>2026-06-30 12:41:57</t>
  </si>
  <si>
    <t>RCBH61</t>
  </si>
  <si>
    <t>2026-06-30 13:08:04</t>
  </si>
  <si>
    <t>TDYJ34</t>
  </si>
  <si>
    <t>2026-06-30 13:12:51</t>
  </si>
  <si>
    <t>TJDK85</t>
  </si>
  <si>
    <t>2026-06-30 13:47:46</t>
  </si>
  <si>
    <t>RZFB27</t>
  </si>
  <si>
    <t>2026-06-30 13:52:47</t>
  </si>
  <si>
    <t>RZFD64</t>
  </si>
  <si>
    <t>2026-07-01 06:05:52</t>
  </si>
  <si>
    <t>SDPD17</t>
  </si>
  <si>
    <t>2026-07-01 07:00:17</t>
  </si>
  <si>
    <t>SVRL93</t>
  </si>
  <si>
    <t>2026-07-01 07:05:20</t>
  </si>
  <si>
    <t>2026-07-01 07:08:20</t>
  </si>
  <si>
    <t>STBT58</t>
  </si>
  <si>
    <t>24-03-2025 10:57:42</t>
  </si>
  <si>
    <t>VXKUSHNSSSW001291</t>
  </si>
  <si>
    <t>MOKKA ELEGANCE 1.2T AT8</t>
  </si>
  <si>
    <t>TCOP6</t>
  </si>
  <si>
    <t>COPSTWN000018</t>
  </si>
  <si>
    <t>VBBD33</t>
  </si>
  <si>
    <t>10TMA50174392</t>
  </si>
  <si>
    <t>24-03-2025 10:57:30</t>
  </si>
  <si>
    <t>03-07-2026 0:00:00</t>
  </si>
  <si>
    <t>01-07-2026 0:00:00</t>
  </si>
  <si>
    <t>01-07-2026 13:00:51</t>
  </si>
  <si>
    <t>JTMZ43FV0RD173765</t>
  </si>
  <si>
    <t>RAV4 CVT 2.0</t>
  </si>
  <si>
    <t>KLP7</t>
  </si>
  <si>
    <t>TTOSTWU000261</t>
  </si>
  <si>
    <t>M20AV658263</t>
  </si>
  <si>
    <t>FRANCSICO ANTONIO HERRERA MAYORGA</t>
  </si>
  <si>
    <t>01-07-2026 13:00:24</t>
  </si>
  <si>
    <t>CIC3PT12</t>
  </si>
  <si>
    <t>03-07-2026 10:40:50</t>
  </si>
  <si>
    <t>KNAB3512A ST387629</t>
  </si>
  <si>
    <t>MPI1</t>
  </si>
  <si>
    <t>TKIAUTU002219</t>
  </si>
  <si>
    <t>GRIS ASTRAL</t>
  </si>
  <si>
    <t>AE,CC,EE,2AB,ABS,AC,AISO,AAUTO,MAV,ACD,SR,UD,DLL</t>
  </si>
  <si>
    <t>G4LASP091669</t>
  </si>
  <si>
    <t>CARLA ALEJANDRA AGUIRRE LABARCA</t>
  </si>
  <si>
    <t>03-07-2026 10:47:40</t>
  </si>
  <si>
    <t>W0V7D9EB1N4000192</t>
  </si>
  <si>
    <t>OPCROSS12TMT</t>
  </si>
  <si>
    <t>TOPSTWU000017</t>
  </si>
  <si>
    <t>BLANCO JADE</t>
  </si>
  <si>
    <t>AE,CC,EE,ABS,LL,4AB,AC,AISO,AAUTO,ACD,SR,DLL</t>
  </si>
  <si>
    <t>10Z1AB0053282</t>
  </si>
  <si>
    <t>MANUEL ANTONIO HUERTA LAYANA</t>
  </si>
  <si>
    <t>03-07-2026 10:46:23</t>
  </si>
  <si>
    <t>30-05-2026 11:28:44</t>
  </si>
  <si>
    <t>WF0AXXWPMHGY88472</t>
  </si>
  <si>
    <t>01--ESCAUT1</t>
  </si>
  <si>
    <t>TFOSTWU001411</t>
  </si>
  <si>
    <t>HGY88472</t>
  </si>
  <si>
    <t>SUSAN CARMEN GLORIA HENRY HENRY</t>
  </si>
  <si>
    <t>30-05-2026 11:28:08</t>
  </si>
  <si>
    <t>31-10-2027 0:00:00</t>
  </si>
  <si>
    <t>03-07-2026 10:07:46</t>
  </si>
  <si>
    <t>.////+*+///++*...</t>
  </si>
  <si>
    <t>FOTETI15AT</t>
  </si>
  <si>
    <t>TFOSTWU001417</t>
  </si>
  <si>
    <t>R1G000717</t>
  </si>
  <si>
    <t>LJXCU2BBXRTF55890</t>
  </si>
  <si>
    <t>SEBASTIAN CERPA</t>
  </si>
  <si>
    <t>03-07-2026 10:07:23</t>
  </si>
  <si>
    <t>2026-07-01 09:39:15</t>
  </si>
  <si>
    <t>TLBB27</t>
  </si>
  <si>
    <t>2026-07-01 12:48:37</t>
  </si>
  <si>
    <t>TSSG14</t>
  </si>
  <si>
    <t>2026-07-01 13:18:55</t>
  </si>
  <si>
    <t>SDKF28</t>
  </si>
  <si>
    <t>2026-07-01 13:39:26</t>
  </si>
  <si>
    <t>SVRL46</t>
  </si>
  <si>
    <t>2026-07-01 14:09:01</t>
  </si>
  <si>
    <t>THCY81</t>
  </si>
  <si>
    <t>2026-07-01 14:47:13</t>
  </si>
  <si>
    <t>SSGF39</t>
  </si>
  <si>
    <t>2026-07-01 14:52:44</t>
  </si>
  <si>
    <t>TZHS30</t>
  </si>
  <si>
    <t>2026-07-01 14:57:07</t>
  </si>
  <si>
    <t>SHZX73</t>
  </si>
  <si>
    <t>2026-07-02 06:26:17</t>
  </si>
  <si>
    <t>VKDD49</t>
  </si>
  <si>
    <t>2026-07-02 07:03:24</t>
  </si>
  <si>
    <t>JKXV14</t>
  </si>
  <si>
    <t>2026-07-02 09:24:05</t>
  </si>
  <si>
    <t>JFZZ47</t>
  </si>
  <si>
    <t>2026-07-02 09:30:17</t>
  </si>
  <si>
    <t>TYZD70</t>
  </si>
  <si>
    <t>2026-07-02 13:28:14</t>
  </si>
  <si>
    <t>PGGT72</t>
  </si>
  <si>
    <t>2026-07-02 13:33:38</t>
  </si>
  <si>
    <t>SDGG72</t>
  </si>
  <si>
    <t>2026-07-02 13:35:20</t>
  </si>
  <si>
    <t>2026-07-02 13:38:11</t>
  </si>
  <si>
    <t>2026-07-02 13:39:38</t>
  </si>
  <si>
    <t>2026-07-02 13:40:46</t>
  </si>
  <si>
    <t>2026-07-02 13:41:42</t>
  </si>
  <si>
    <t>2026-07-02 13:43:18</t>
  </si>
  <si>
    <t>2026-07-02 13:44:13</t>
  </si>
  <si>
    <t>2026-07-02 14:31:58</t>
  </si>
  <si>
    <t>STZD64</t>
  </si>
  <si>
    <t>2026-07-03 07:49:15</t>
  </si>
  <si>
    <t>SYDS96</t>
  </si>
  <si>
    <t>2026-07-03 09:01:05</t>
  </si>
  <si>
    <t>HHXR85</t>
  </si>
  <si>
    <t>2026-07-03 09:13:38</t>
  </si>
  <si>
    <t>2026-07-03 09:34:47</t>
  </si>
  <si>
    <t>TBRS15</t>
  </si>
  <si>
    <t>2026-07-03 11:26:35</t>
  </si>
  <si>
    <t>2026-07-03 11:29:59</t>
  </si>
  <si>
    <t>VDHZ81</t>
  </si>
  <si>
    <t>2026-07-04 08:17:39</t>
  </si>
  <si>
    <t>RGHD71</t>
  </si>
  <si>
    <t>2026-07-04 09:19:46</t>
  </si>
  <si>
    <t>RXRV54</t>
  </si>
  <si>
    <t>2026-07-06 06:09:48</t>
  </si>
  <si>
    <t>TXYZ94</t>
  </si>
  <si>
    <t>2026-07-06 07:27:06</t>
  </si>
  <si>
    <t>PYRZ74</t>
  </si>
  <si>
    <t>10-07-2026 19:02:55</t>
  </si>
  <si>
    <t>8AFBR01E9SJ499007</t>
  </si>
  <si>
    <t>Ranger Dsl XLS 4x4 2.0L</t>
  </si>
  <si>
    <t>AEE5</t>
  </si>
  <si>
    <t>CFOCMTN008056</t>
  </si>
  <si>
    <t>P02XSJ499007</t>
  </si>
  <si>
    <t>COMERCIAL CORDOVA Y COMPAÑIA LIMITADA</t>
  </si>
  <si>
    <t>10-07-2026 0:00:00</t>
  </si>
  <si>
    <t>10-07-2026 19:02:42</t>
  </si>
  <si>
    <t>09-07-2026 17:20:00</t>
  </si>
  <si>
    <t>LC0CE4CB4R0001691</t>
  </si>
  <si>
    <t>YUAN PLUS EV</t>
  </si>
  <si>
    <t>YUAN PLUS EV GS</t>
  </si>
  <si>
    <t>BYD005</t>
  </si>
  <si>
    <t>HBYSTWN000006</t>
  </si>
  <si>
    <t>SYPY23</t>
  </si>
  <si>
    <t>TZ200XSQ 2G3016118</t>
  </si>
  <si>
    <t>CGWJ72</t>
  </si>
  <si>
    <t>DJFC65</t>
  </si>
  <si>
    <t>FZPL94</t>
  </si>
  <si>
    <t>GHFF41</t>
  </si>
  <si>
    <t>GZWG90</t>
  </si>
  <si>
    <t>HHXY93</t>
  </si>
  <si>
    <t>JDKV18</t>
  </si>
  <si>
    <t>JXWC63</t>
  </si>
  <si>
    <t>KHHL64</t>
  </si>
  <si>
    <t>KHSF48</t>
  </si>
  <si>
    <t>KHWR96</t>
  </si>
  <si>
    <t>KJYP41</t>
  </si>
  <si>
    <t>KLBT92</t>
  </si>
  <si>
    <t>KPKW45</t>
  </si>
  <si>
    <t>KPKW63</t>
  </si>
  <si>
    <t>KTBY55</t>
  </si>
  <si>
    <t>LGLK27</t>
  </si>
  <si>
    <t>LGZH24</t>
  </si>
  <si>
    <t>LRVY51</t>
  </si>
  <si>
    <t>LTVW13</t>
  </si>
  <si>
    <t>LVWP12</t>
  </si>
  <si>
    <t>LVWW20</t>
  </si>
  <si>
    <t>LVXD93</t>
  </si>
  <si>
    <t>LWKP31</t>
  </si>
  <si>
    <t>LWKR84</t>
  </si>
  <si>
    <t>LYPB45</t>
  </si>
  <si>
    <t>LZPD16</t>
  </si>
  <si>
    <t>PBXW41</t>
  </si>
  <si>
    <t>PCFG34</t>
  </si>
  <si>
    <t>PHGF89</t>
  </si>
  <si>
    <t>PHTP50</t>
  </si>
  <si>
    <t>PJDC79</t>
  </si>
  <si>
    <t>PJFW51</t>
  </si>
  <si>
    <t>PKPS51</t>
  </si>
  <si>
    <t>PKRP45</t>
  </si>
  <si>
    <t>PRSJ49</t>
  </si>
  <si>
    <t>PTDH44</t>
  </si>
  <si>
    <t>PTRP14</t>
  </si>
  <si>
    <t>PYDD91</t>
  </si>
  <si>
    <t>PYXT27</t>
  </si>
  <si>
    <t>PZJD45</t>
  </si>
  <si>
    <t>PZJJ24</t>
  </si>
  <si>
    <t>RBJH24</t>
  </si>
  <si>
    <t>RBJJ54</t>
  </si>
  <si>
    <t>RBTD19</t>
  </si>
  <si>
    <t>RBWJ99</t>
  </si>
  <si>
    <t>RFVX49</t>
  </si>
  <si>
    <t>RGFX57</t>
  </si>
  <si>
    <t>RGHD98</t>
  </si>
  <si>
    <t>RGHF21</t>
  </si>
  <si>
    <t>RHGD14</t>
  </si>
  <si>
    <t>RKRX36</t>
  </si>
  <si>
    <t>RKRY70</t>
  </si>
  <si>
    <t>RKRY97</t>
  </si>
  <si>
    <t>RLJS93</t>
  </si>
  <si>
    <t>RLTL19</t>
  </si>
  <si>
    <t>RRSZ31</t>
  </si>
  <si>
    <t>RRXH10</t>
  </si>
  <si>
    <t>RSJF89</t>
  </si>
  <si>
    <t>RSSY95</t>
  </si>
  <si>
    <t>RTWY94</t>
  </si>
  <si>
    <t>RVRD52</t>
  </si>
  <si>
    <t>RXRT67</t>
  </si>
  <si>
    <t>RYZY56</t>
  </si>
  <si>
    <t>RZBX21</t>
  </si>
  <si>
    <t>SBWL93</t>
  </si>
  <si>
    <t>SCWX54</t>
  </si>
  <si>
    <t>SDKF53</t>
  </si>
  <si>
    <t>SFTZ20</t>
  </si>
  <si>
    <t>SJJD69</t>
  </si>
  <si>
    <t>SJKK62</t>
  </si>
  <si>
    <t>SJVR13</t>
  </si>
  <si>
    <t>SKDK31</t>
  </si>
  <si>
    <t>SLZP78</t>
  </si>
  <si>
    <t>SPSY95</t>
  </si>
  <si>
    <t>SRYD46</t>
  </si>
  <si>
    <t>SVGK14</t>
  </si>
  <si>
    <t>SVGK46</t>
  </si>
  <si>
    <t>SVGP24</t>
  </si>
  <si>
    <t>SWBW72</t>
  </si>
  <si>
    <t>SXHX83</t>
  </si>
  <si>
    <t>SXLC21</t>
  </si>
  <si>
    <t>TCCT43</t>
  </si>
  <si>
    <t>TCHV41</t>
  </si>
  <si>
    <t>TCHY32</t>
  </si>
  <si>
    <t>TCTW27</t>
  </si>
  <si>
    <t>TDWW22</t>
  </si>
  <si>
    <t>TFGX89</t>
  </si>
  <si>
    <t>TFRG27</t>
  </si>
  <si>
    <t>TGVF54</t>
  </si>
  <si>
    <t>TJCZ21</t>
  </si>
  <si>
    <t>TKHT88</t>
  </si>
  <si>
    <t>TLRL17</t>
  </si>
  <si>
    <t>TLRL19</t>
  </si>
  <si>
    <t>TPCL54</t>
  </si>
  <si>
    <t>TPFL64</t>
  </si>
  <si>
    <t>TPJD22</t>
  </si>
  <si>
    <t>TPJF45</t>
  </si>
  <si>
    <t>TPZZ55</t>
  </si>
  <si>
    <t>TRTW75</t>
  </si>
  <si>
    <t>TRTW93</t>
  </si>
  <si>
    <t>TRXS89</t>
  </si>
  <si>
    <t>TSVC35</t>
  </si>
  <si>
    <t>TVXF59</t>
  </si>
  <si>
    <t>TYWW37</t>
  </si>
  <si>
    <t>VBRS76</t>
  </si>
  <si>
    <t>VBRT22</t>
  </si>
  <si>
    <t>VDBP92</t>
  </si>
  <si>
    <t>VDWS38</t>
  </si>
  <si>
    <t>VJLK83</t>
  </si>
  <si>
    <t>VKGH56</t>
  </si>
  <si>
    <t>VKHW22</t>
  </si>
  <si>
    <t>VSWS95</t>
  </si>
  <si>
    <t>VXJV67</t>
  </si>
  <si>
    <t>VYCH76</t>
  </si>
  <si>
    <t>Tipo rotación</t>
  </si>
  <si>
    <t>13-07-2026 17:13:10</t>
  </si>
  <si>
    <t>3KPFD41ABRE059627</t>
  </si>
  <si>
    <t>K3 EX 1.6L 6AT FULL</t>
  </si>
  <si>
    <t>2467</t>
  </si>
  <si>
    <t>CKIAUTN014864</t>
  </si>
  <si>
    <t>G4FGRE043262</t>
  </si>
  <si>
    <t>13-07-2026 0:00:00</t>
  </si>
  <si>
    <t>22-07-2026 11:48:43</t>
  </si>
  <si>
    <t>LZWADAGA3 PG020318</t>
  </si>
  <si>
    <t>G1</t>
  </si>
  <si>
    <t>TCHSTWU000323</t>
  </si>
  <si>
    <t>AE,CC,EE,2AB,NB,ABS,LL,AC,AISO,AAUTO,CRE,MAV,ACD,U</t>
  </si>
  <si>
    <t>L2B 18N71110548</t>
  </si>
  <si>
    <t>CRISTIAN ENRIQUE PEREIRA ROJAS</t>
  </si>
  <si>
    <t>22-07-2026 0:00:00</t>
  </si>
  <si>
    <t>22-07-2026 11:48:00</t>
  </si>
  <si>
    <t>22-07-2026 10:15:17</t>
  </si>
  <si>
    <t>8AFAR22Z0 PJ292909</t>
  </si>
  <si>
    <t>RANGER XLT M 4X2 2.5</t>
  </si>
  <si>
    <t>FORANXLT25MT</t>
  </si>
  <si>
    <t>TFOCMTU001166</t>
  </si>
  <si>
    <t>AE,CC,EE,2AB,NB,ABS,LL,VC,AC,AISO,AAUTO,MAV,ACD,SR</t>
  </si>
  <si>
    <t>EV2S PJ292909</t>
  </si>
  <si>
    <t>EMPRESA ELECTRICA ARAYA LOPEZ LIMITADA</t>
  </si>
  <si>
    <t>22-07-2026 10:10:29</t>
  </si>
  <si>
    <t>13-07-2026 18:26:33</t>
  </si>
  <si>
    <t>VF3MCYHZU RS000914</t>
  </si>
  <si>
    <t>TPESTWU000462</t>
  </si>
  <si>
    <t>AE,EE,2AB,AAC,ABS,LL,AISO,AAUTO,CRE,MAV,ACD,SR,UD,</t>
  </si>
  <si>
    <t>10Q4EP0189027</t>
  </si>
  <si>
    <t>NELLY ELISABETH ELGUETA ARAYA</t>
  </si>
  <si>
    <t>13-07-2026 18:25:48</t>
  </si>
  <si>
    <t>22-07-2026 16:29:47</t>
  </si>
  <si>
    <t>KMHSU81CAJU819741</t>
  </si>
  <si>
    <t>SANTA FE GLS 2.4</t>
  </si>
  <si>
    <t>20--THYSTF001</t>
  </si>
  <si>
    <t>THYSTWU000555</t>
  </si>
  <si>
    <t>JXTB68</t>
  </si>
  <si>
    <t>AE,CC,EE,ABS,LL,4AB,AC,AISO,AAUTO,CRE,MAV,ACD,SR,D</t>
  </si>
  <si>
    <t>G4KEHA985578</t>
  </si>
  <si>
    <t>PAULINA ANDREA OÑATE ORTUVIA</t>
  </si>
  <si>
    <t>13-07-2026 18:19:46</t>
  </si>
  <si>
    <t>LS5A3ABE6ND912896</t>
  </si>
  <si>
    <t>CHCS1515MT</t>
  </si>
  <si>
    <t>TCGAUTU000015</t>
  </si>
  <si>
    <t>AE,CC,EE,ABS,LL,4AB,AC,AISO,AAUTO,CRE,MAV,SR,UD,DL</t>
  </si>
  <si>
    <t>JL473QFM3CAA518587</t>
  </si>
  <si>
    <t>PATRICIO ANDRES ORTIZ AGUIRRE</t>
  </si>
  <si>
    <t>13-07-2026 18:19:08</t>
  </si>
  <si>
    <t>22-07-2026 10:40:46</t>
  </si>
  <si>
    <t>8AFAR23X5 PJ321429</t>
  </si>
  <si>
    <t>FRR01</t>
  </si>
  <si>
    <t>TFOCMTU001167</t>
  </si>
  <si>
    <t>AE,CC,EE,2AB,ABS,LL,VC,AC,AISO,AAUTO,MAV,SR,UD,DLL</t>
  </si>
  <si>
    <t>QJ2W PJ321429</t>
  </si>
  <si>
    <t>22-07-2026 10:28:38</t>
  </si>
  <si>
    <t>14-07-2026 19:10:54</t>
  </si>
  <si>
    <t>VF3M45GFRLL009224</t>
  </si>
  <si>
    <t>5008 PURETECH 180 1.6 AUT</t>
  </si>
  <si>
    <t>PE5008PUR16AT</t>
  </si>
  <si>
    <t>TPESTWU000465</t>
  </si>
  <si>
    <t>GRIS PLATINUM</t>
  </si>
  <si>
    <t>AE,CC,EE,AAC,ABS,LL,VC,AISO,AAUTO,CRE,ACD,SR,DLL,6</t>
  </si>
  <si>
    <t>10FKBA2636915</t>
  </si>
  <si>
    <t>MARIO DARIO MUÑOZ MERCADO</t>
  </si>
  <si>
    <t>14-07-2026 0:00:00</t>
  </si>
  <si>
    <t>AE,CC,EE,AAC,ABS,LL,AISO,AAUTO,CRE,MAV,ACD,SR,DLL,</t>
  </si>
  <si>
    <t>2024-03-01 14:46:22</t>
  </si>
  <si>
    <t>2024-03-01 14:51:13</t>
  </si>
  <si>
    <t>2024-03-01 14:53:18</t>
  </si>
  <si>
    <t>KLPL67</t>
  </si>
  <si>
    <t>2024-03-01 14:54:44</t>
  </si>
  <si>
    <t>RVPX58</t>
  </si>
  <si>
    <t>2024-03-01 14:57:14</t>
  </si>
  <si>
    <t>SVRR83</t>
  </si>
  <si>
    <t>2024-03-01 14:59:00</t>
  </si>
  <si>
    <t>SGXX60</t>
  </si>
  <si>
    <t>2024-03-01 15:02:52</t>
  </si>
  <si>
    <t>SYXS66</t>
  </si>
  <si>
    <t>2024-03-02 07:29:35</t>
  </si>
  <si>
    <t>RFKS23</t>
  </si>
  <si>
    <t>2024-03-02 07:31:21</t>
  </si>
  <si>
    <t>OPIRUS</t>
  </si>
  <si>
    <t>CDLV87</t>
  </si>
  <si>
    <t>2024-03-02 07:34:07</t>
  </si>
  <si>
    <t>SPTC39</t>
  </si>
  <si>
    <t>2024-05-23 12:21:26</t>
  </si>
  <si>
    <t>LLBT84</t>
  </si>
  <si>
    <t>2024-05-23 12:29:53</t>
  </si>
  <si>
    <t>RSDZ65</t>
  </si>
  <si>
    <t>2026-07-06 08:48:15</t>
  </si>
  <si>
    <t>2026-07-06 08:56:43</t>
  </si>
  <si>
    <t>2026-07-06 10:36:43</t>
  </si>
  <si>
    <t>VKCY48</t>
  </si>
  <si>
    <t>2026-07-06 10:37:52</t>
  </si>
  <si>
    <t>2026-07-06 10:48:21</t>
  </si>
  <si>
    <t>2026-07-07 06:48:26</t>
  </si>
  <si>
    <t>SLWF20</t>
  </si>
  <si>
    <t>2026-07-07 11:45:35</t>
  </si>
  <si>
    <t>2026-07-07 14:01:51</t>
  </si>
  <si>
    <t>NEW GOLF</t>
  </si>
  <si>
    <t>HTSJ81</t>
  </si>
  <si>
    <t>2026-07-07 14:19:16</t>
  </si>
  <si>
    <t>MACAN</t>
  </si>
  <si>
    <t>RRLG92</t>
  </si>
  <si>
    <t>2026-07-08 07:02:27</t>
  </si>
  <si>
    <t>2026-07-08 07:58:38</t>
  </si>
  <si>
    <t>2026-07-08 12:18:57</t>
  </si>
  <si>
    <t>2026-07-08 14:02:57</t>
  </si>
  <si>
    <t>2026-07-09 14:22:07</t>
  </si>
  <si>
    <t>2026-07-10 06:56:03</t>
  </si>
  <si>
    <t>2026-07-10 11:23:14</t>
  </si>
  <si>
    <t>2026-07-13 12:10:04</t>
  </si>
  <si>
    <t>KRFC18</t>
  </si>
  <si>
    <t>2026-07-14 07:28:12</t>
  </si>
  <si>
    <t>2026-07-14 14:44:32</t>
  </si>
  <si>
    <t>NUEVO KWID</t>
  </si>
  <si>
    <t>2026-07-15 07:33:34</t>
  </si>
  <si>
    <t>2026-07-15 08:29:23</t>
  </si>
  <si>
    <t>2026-07-15 08:43:29</t>
  </si>
  <si>
    <t>VSWT71</t>
  </si>
  <si>
    <t>2026-07-15 12:11:47</t>
  </si>
  <si>
    <t>2026-07-21 13:36:21</t>
  </si>
  <si>
    <t>27-07-2026 12:17:36</t>
  </si>
  <si>
    <t>/////+++//.++*...</t>
  </si>
  <si>
    <t>TCIAUTU000134</t>
  </si>
  <si>
    <t>GRIS ARTENSE BLANCO</t>
  </si>
  <si>
    <t>AE,CC,EE,2AB,ABS,LL,AC,AISO,AAUTO,CRE,MAV,ACD,SR,U</t>
  </si>
  <si>
    <t>10VQAC0016124</t>
  </si>
  <si>
    <t>935CCHMEE RB514821</t>
  </si>
  <si>
    <t>RENATO EUGENIO ROJAS HIDALGO</t>
  </si>
  <si>
    <t>27-07-2026 0:00:00</t>
  </si>
  <si>
    <t>28-05-2026 12:41:52</t>
  </si>
  <si>
    <t>VR3KAHPY0VS001093</t>
  </si>
  <si>
    <t>3008 P64 GT Hybrid 136hp AT</t>
  </si>
  <si>
    <t>1PPDSYTJH7NXA0B0167</t>
  </si>
  <si>
    <t>BPESTWN002855</t>
  </si>
  <si>
    <t>BLANCO OKENITA</t>
  </si>
  <si>
    <t>10XR050087229</t>
  </si>
  <si>
    <t>28-05-2026 0:00:00</t>
  </si>
  <si>
    <t>08-05-2026 12:47:17</t>
  </si>
  <si>
    <t>VR3EDYHT4VJ003832</t>
  </si>
  <si>
    <t>PARTNER MCA L2 Diesel 100hp MT</t>
  </si>
  <si>
    <t>2PK95CNMNKJRA070069</t>
  </si>
  <si>
    <t>BPEFRGN001371</t>
  </si>
  <si>
    <t>VYCP86</t>
  </si>
  <si>
    <t>10Q4EU0696242</t>
  </si>
  <si>
    <t>08-05-2026 0:00:00</t>
  </si>
  <si>
    <t>01-10-2025 12:34:07</t>
  </si>
  <si>
    <t>KNAB3512A RT199134</t>
  </si>
  <si>
    <t>CKIAUTU000005</t>
  </si>
  <si>
    <t>VERDE BOSQUE</t>
  </si>
  <si>
    <t>G4LAPP262114</t>
  </si>
  <si>
    <t>BENJAMIN MOISES SOTO ALFARO</t>
  </si>
  <si>
    <t>01-10-2025 0:00:00</t>
  </si>
  <si>
    <t>01-10-2025 12:33:42</t>
  </si>
  <si>
    <t>30-07-2026 0:00:00</t>
  </si>
  <si>
    <t>31-07-2026 18:20:39</t>
  </si>
  <si>
    <t>SJNTAAJ12SA464098</t>
  </si>
  <si>
    <t>TNISTWU000618</t>
  </si>
  <si>
    <t>TRBD16</t>
  </si>
  <si>
    <t>PLATEADO SATIN</t>
  </si>
  <si>
    <t>AE,CC,EE,AAC,ABS,LL,VC,4AB,AISO,AAUTO,CRE,MAV,ACD,</t>
  </si>
  <si>
    <t>HR13693149A</t>
  </si>
  <si>
    <t>31-07-2026 18:13:15</t>
  </si>
  <si>
    <t>31-07-2026 18:01:30</t>
  </si>
  <si>
    <t>LJXCU2BB0STF20703</t>
  </si>
  <si>
    <t>PIT7</t>
  </si>
  <si>
    <t>TFOSTWU001424</t>
  </si>
  <si>
    <t>ROJO RUBI</t>
  </si>
  <si>
    <t>AE,CC,EE,NB,AAC,ABS,LL,VC,AISO,AAUTO,CRE,MAV,SR,UD</t>
  </si>
  <si>
    <t>R6G065623</t>
  </si>
  <si>
    <t>JOSE ANTONIO CAPCHA QUISPE</t>
  </si>
  <si>
    <t>31-07-2026 17:59:18</t>
  </si>
  <si>
    <t>30-07-2026 19:07:16</t>
  </si>
  <si>
    <t>///..+++///++*.*.</t>
  </si>
  <si>
    <t>AQ21</t>
  </si>
  <si>
    <t>TAUSTWU000012</t>
  </si>
  <si>
    <t>AZUL NAVARRA</t>
  </si>
  <si>
    <t>AE,CC,EE,AAC,ABS,LL,4AB,AISO,CRE,MAV,ACD,SR,DLL</t>
  </si>
  <si>
    <t>DJK 098538</t>
  </si>
  <si>
    <t>WAUZZZGA0 PA018614</t>
  </si>
  <si>
    <t>WILSON JESUS PALMA GUERRERO</t>
  </si>
  <si>
    <t>30-07-2026 19:06:57</t>
  </si>
  <si>
    <t>30-07-2026 18:58:15</t>
  </si>
  <si>
    <t>LJ166A250N4016069</t>
  </si>
  <si>
    <t>JS8</t>
  </si>
  <si>
    <t>JS8 TURBO 1.5</t>
  </si>
  <si>
    <t>JAJS815AT</t>
  </si>
  <si>
    <t>TJASTWU000026</t>
  </si>
  <si>
    <t>RTLV27</t>
  </si>
  <si>
    <t>AE,CC,EE,ABS,LL,4AB,AC,AISO,AAUTO,CRE,ACD,DLL</t>
  </si>
  <si>
    <t>M3627275</t>
  </si>
  <si>
    <t>FRANCISCO JAVIER DIAZ MELO</t>
  </si>
  <si>
    <t>30-07-2026 18:57:40</t>
  </si>
  <si>
    <t>03-08-2026 16:36:00</t>
  </si>
  <si>
    <t>31-07-2026 16:57:15</t>
  </si>
  <si>
    <t>KPT40A1XS PP085674</t>
  </si>
  <si>
    <t>SSNREXLX4X42.0AT</t>
  </si>
  <si>
    <t>TSYSTWU000344</t>
  </si>
  <si>
    <t>174950 19CN0017</t>
  </si>
  <si>
    <t>NELSON FERNANDO ARACENA GOMEZ</t>
  </si>
  <si>
    <t>31-07-2026 16:56:56</t>
  </si>
  <si>
    <t>03-07-2026 10:13:37</t>
  </si>
  <si>
    <t>/////+++*./++*...</t>
  </si>
  <si>
    <t>MANECX520AT</t>
  </si>
  <si>
    <t>TMASTWU000107</t>
  </si>
  <si>
    <t>PLATEADO PLATA METALIZADO</t>
  </si>
  <si>
    <t>PE 21654797</t>
  </si>
  <si>
    <t>JM7KF2W76N0693317</t>
  </si>
  <si>
    <t>ANABEL JOSÉ LOPETEGUI GONZALEZ</t>
  </si>
  <si>
    <t>03-08-2026 16:37:00</t>
  </si>
  <si>
    <t>16-06-2026 11:24:56</t>
  </si>
  <si>
    <t>//../+*+///++*...</t>
  </si>
  <si>
    <t>CTV7</t>
  </si>
  <si>
    <t>TCHSTWU000322</t>
  </si>
  <si>
    <t>AE,CC,EE,ABS,4AB,AC,AISO,AAUTO,CRE,MAV,ACD,SR,DLL</t>
  </si>
  <si>
    <t>LJO 18P10620606</t>
  </si>
  <si>
    <t>LZWADAGA8PB061976</t>
  </si>
  <si>
    <t>CLAUDIA CRISTINA SOTO GONZALEZ</t>
  </si>
  <si>
    <t>16-06-2026 11:24:29</t>
  </si>
  <si>
    <t>31-07-2026 15:20:43</t>
  </si>
  <si>
    <t>LVVDB21B4 SD047234</t>
  </si>
  <si>
    <t>OMOC516AT</t>
  </si>
  <si>
    <t>TOMOSTWU000012</t>
  </si>
  <si>
    <t>VCRS15</t>
  </si>
  <si>
    <t>GRIS OSCURO C ROKO</t>
  </si>
  <si>
    <t>AE,CC,EE,AAC,ABS,LL,4AB,AISO,AAUTO,CRE,MAV,SR,UD,D</t>
  </si>
  <si>
    <t>SQRF4J16BJRL00006</t>
  </si>
  <si>
    <t>JORGE ARAYA TORO</t>
  </si>
  <si>
    <t>31-07-2026 15:20:11</t>
  </si>
  <si>
    <t>3008 BH4</t>
  </si>
  <si>
    <t>SVJZ34</t>
  </si>
  <si>
    <t>03-08-2026 16:44:00</t>
  </si>
  <si>
    <t>31-07-2026 15:12:03</t>
  </si>
  <si>
    <t>VF3M45GFU PS005512</t>
  </si>
  <si>
    <t>TPESTWU000469</t>
  </si>
  <si>
    <t>10FKBL2934118</t>
  </si>
  <si>
    <t>DAVID ANDRES SEPULVEDA VARGAS</t>
  </si>
  <si>
    <t>31-07-2026 15:11:39</t>
  </si>
  <si>
    <t>30-07-2026 19:26:27</t>
  </si>
  <si>
    <t>LNNBBDEE9 TD126827</t>
  </si>
  <si>
    <t>TIGGO 8 PRO MAX</t>
  </si>
  <si>
    <t>TIGGO 8 PRO MAX GLX 1.5 AUT</t>
  </si>
  <si>
    <t>CHTI8PMGLX15AUT</t>
  </si>
  <si>
    <t>TCYSTWU000362</t>
  </si>
  <si>
    <t>GRIS BAMBOO</t>
  </si>
  <si>
    <t>SQRH4J15DFTB60007</t>
  </si>
  <si>
    <t>EDITH MAGDALENA ALIAGA BONILLA</t>
  </si>
  <si>
    <t>30-07-2026 19:24:33</t>
  </si>
  <si>
    <t>31-07-2026 15:45:20</t>
  </si>
  <si>
    <t>3VW7B6AU8GM038142</t>
  </si>
  <si>
    <t>GOLF HB 1.4 AUT</t>
  </si>
  <si>
    <t>VOGOLFHB14AT</t>
  </si>
  <si>
    <t>TVOAUTU000227</t>
  </si>
  <si>
    <t>AE,CC,EE,ABS,LL,4AB,AC,AISO,AAUTO,MAV,ACD,DLL</t>
  </si>
  <si>
    <t>CZD 221032</t>
  </si>
  <si>
    <t>AGUSTIN ALBERTO SOLARI ALVAREZ</t>
  </si>
  <si>
    <t>31-07-2026 15:37:31</t>
  </si>
  <si>
    <t>31-07-2026 18:45:47</t>
  </si>
  <si>
    <t>VF3MCYHZ4SS002342</t>
  </si>
  <si>
    <t>TPESTWU000470</t>
  </si>
  <si>
    <t>AE,CC,EE,AAC,ABS,VC,AISO,AAUTO,CRE,MAV,SR,UD,DLL,6</t>
  </si>
  <si>
    <t>10Q3EJ1917759</t>
  </si>
  <si>
    <t>JUAN PABLO PEÑA GAMBOA</t>
  </si>
  <si>
    <t>31-07-2026 18:45:28</t>
  </si>
  <si>
    <t>03-08-2026 16:40:00</t>
  </si>
  <si>
    <t>30-07-2026 19:21:11</t>
  </si>
  <si>
    <t>1FTFW1E53MFD11881</t>
  </si>
  <si>
    <t>TFOCMTU001168</t>
  </si>
  <si>
    <t>NEGRO UNIVERSO</t>
  </si>
  <si>
    <t>MFD11881</t>
  </si>
  <si>
    <t>FELIPE ANDRES CARVAJAL MOLINA</t>
  </si>
  <si>
    <t>30-07-2026 19:20:51</t>
  </si>
  <si>
    <t>x</t>
  </si>
  <si>
    <t>2026-07-28 10:35:03</t>
  </si>
  <si>
    <t>2026-07-29 06:49:27</t>
  </si>
  <si>
    <t>BJ60</t>
  </si>
  <si>
    <t>TGVT33</t>
  </si>
  <si>
    <t>2026-07-29 06:59:54</t>
  </si>
  <si>
    <t>X7</t>
  </si>
  <si>
    <t>VSWT56</t>
  </si>
  <si>
    <t>2026-07-29 11:01:20</t>
  </si>
  <si>
    <t>2026-07-30 06:12:27</t>
  </si>
  <si>
    <t>CIVIC</t>
  </si>
  <si>
    <t>TJYV65</t>
  </si>
  <si>
    <t>2026-07-01 05:22:30</t>
  </si>
  <si>
    <t>2026-07-01 05:34:04</t>
  </si>
  <si>
    <t>2026-07-01 07:15:56</t>
  </si>
  <si>
    <t>2026-07-01 08:40:29</t>
  </si>
  <si>
    <t>2026-07-01 09:25:06</t>
  </si>
  <si>
    <t>2026-07-01 12:37:41</t>
  </si>
  <si>
    <t>2026-07-01 12:42:30</t>
  </si>
  <si>
    <t>2026-07-01 13:20:25</t>
  </si>
  <si>
    <t>2026-07-01 13:22:30</t>
  </si>
  <si>
    <t>SHDF63</t>
  </si>
  <si>
    <t>2026-07-01 13:23:08</t>
  </si>
  <si>
    <t>2026-07-01 13:42:01</t>
  </si>
  <si>
    <t>SDPF67</t>
  </si>
  <si>
    <t>2026-07-01 13:47:39</t>
  </si>
  <si>
    <t>2026-07-01 14:01:04</t>
  </si>
  <si>
    <t>2026-07-01 14:31:44</t>
  </si>
  <si>
    <t>2026-07-02 05:32:16</t>
  </si>
  <si>
    <t>2026-07-02 06:06:09</t>
  </si>
  <si>
    <t>2026-07-02 06:16:35</t>
  </si>
  <si>
    <t>2026-07-02 06:26:41</t>
  </si>
  <si>
    <t>2026-07-02 06:30:13</t>
  </si>
  <si>
    <t>2026-07-02 06:57:32</t>
  </si>
  <si>
    <t>2026-07-02 07:03:39</t>
  </si>
  <si>
    <t>2026-07-02 07:41:15</t>
  </si>
  <si>
    <t>2026-07-02 08:21:23</t>
  </si>
  <si>
    <t>CAPTUR</t>
  </si>
  <si>
    <t>2026-07-02 08:36:25</t>
  </si>
  <si>
    <t>KKDR19</t>
  </si>
  <si>
    <t>2026-07-02 09:26:52</t>
  </si>
  <si>
    <t>2026-07-02 09:30:34</t>
  </si>
  <si>
    <t>2026-07-02 11:47:50</t>
  </si>
  <si>
    <t>2026-07-02 12:15:08</t>
  </si>
  <si>
    <t>2026-07-02 13:19:12</t>
  </si>
  <si>
    <t>2026-07-02 13:24:00</t>
  </si>
  <si>
    <t>2026-07-02 13:26:16</t>
  </si>
  <si>
    <t>2026-07-02 13:37:24</t>
  </si>
  <si>
    <t>SPORTAGE PRO II</t>
  </si>
  <si>
    <t>2026-07-02 14:13:15</t>
  </si>
  <si>
    <t>2026-07-03 06:48:09</t>
  </si>
  <si>
    <t>2026-07-03 07:17:25</t>
  </si>
  <si>
    <t>2026-07-03 07:56:37</t>
  </si>
  <si>
    <t>320 I</t>
  </si>
  <si>
    <t>2026-07-03 07:59:51</t>
  </si>
  <si>
    <t>2026-07-03 08:13:02</t>
  </si>
  <si>
    <t>2026-07-03 08:25:18</t>
  </si>
  <si>
    <t>2026-07-03 08:38:34</t>
  </si>
  <si>
    <t>2026-07-03 08:41:09</t>
  </si>
  <si>
    <t>2026-07-03 09:16:42</t>
  </si>
  <si>
    <t>2026-07-03 09:29:00</t>
  </si>
  <si>
    <t>2026-07-03 09:50:32</t>
  </si>
  <si>
    <t>2026-07-03 11:20:37</t>
  </si>
  <si>
    <t>2026-07-03 11:43:41</t>
  </si>
  <si>
    <t>2026-07-03 12:01:03</t>
  </si>
  <si>
    <t>2026-07-03 12:14:42</t>
  </si>
  <si>
    <t>2026-07-03 13:24:57</t>
  </si>
  <si>
    <t>2026-07-03 13:31:21</t>
  </si>
  <si>
    <t>2026-07-03 13:55:46</t>
  </si>
  <si>
    <t>2026-07-04 07:58:24</t>
  </si>
  <si>
    <t>2026-07-04 08:10:26</t>
  </si>
  <si>
    <t>2026-07-04 09:13:02</t>
  </si>
  <si>
    <t>2026-07-06 05:49:15</t>
  </si>
  <si>
    <t>2026-07-06 07:13:57</t>
  </si>
  <si>
    <t>2026-07-06 07:19:32</t>
  </si>
  <si>
    <t>2026-07-06 07:41:02</t>
  </si>
  <si>
    <t>2026-07-06 08:06:13</t>
  </si>
  <si>
    <t>2026-07-06 08:28:51</t>
  </si>
  <si>
    <t>2026-07-06 08:32:00</t>
  </si>
  <si>
    <t>2026-07-06 08:33:02</t>
  </si>
  <si>
    <t>2026-07-06 08:53:36</t>
  </si>
  <si>
    <t>2026-07-06 09:11:15</t>
  </si>
  <si>
    <t>2026-07-06 09:14:36</t>
  </si>
  <si>
    <t>2026-07-06 10:38:49</t>
  </si>
  <si>
    <t>2026-07-06 11:13:00</t>
  </si>
  <si>
    <t>2026-07-06 11:27:35</t>
  </si>
  <si>
    <t>2026-07-06 11:44:28</t>
  </si>
  <si>
    <t>2026-07-06 11:56:34</t>
  </si>
  <si>
    <t>2026-07-06 11:57:57</t>
  </si>
  <si>
    <t>2026-07-06 12:07:31</t>
  </si>
  <si>
    <t>2026-07-06 12:14:16</t>
  </si>
  <si>
    <t>2026-07-06 12:33:11</t>
  </si>
  <si>
    <t>2026-07-06 12:43:02</t>
  </si>
  <si>
    <t>2026-07-06 12:47:57</t>
  </si>
  <si>
    <t>2026-07-06 12:59:11</t>
  </si>
  <si>
    <t>2026-07-06 13:13:57</t>
  </si>
  <si>
    <t>2026-07-06 13:27:24</t>
  </si>
  <si>
    <t>2026-07-06 13:50:56</t>
  </si>
  <si>
    <t>2026-07-06 15:01:56</t>
  </si>
  <si>
    <t>2026-07-07 06:39:36</t>
  </si>
  <si>
    <t>316 I</t>
  </si>
  <si>
    <t>2026-07-07 07:01:51</t>
  </si>
  <si>
    <t>2026-07-07 07:23:10</t>
  </si>
  <si>
    <t>2026-07-07 07:24:03</t>
  </si>
  <si>
    <t>2026-07-07 07:33:37</t>
  </si>
  <si>
    <t>2026-07-07 07:54:31</t>
  </si>
  <si>
    <t>2026-07-07 08:01:08</t>
  </si>
  <si>
    <t>2026-07-07 08:04:16</t>
  </si>
  <si>
    <t>2026-07-07 08:12:14</t>
  </si>
  <si>
    <t>2026-07-07 08:21:07</t>
  </si>
  <si>
    <t>2026-07-07 08:23:00</t>
  </si>
  <si>
    <t>2026-07-07 09:13:09</t>
  </si>
  <si>
    <t>2026-07-07 09:14:49</t>
  </si>
  <si>
    <t>2026-07-07 10:58:23</t>
  </si>
  <si>
    <t>2026-07-07 12:14:33</t>
  </si>
  <si>
    <t>2026-07-07 12:22:08</t>
  </si>
  <si>
    <t>D-MAX II</t>
  </si>
  <si>
    <t>2026-07-07 12:29:05</t>
  </si>
  <si>
    <t>2026-07-07 13:03:19</t>
  </si>
  <si>
    <t>2026-07-07 13:27:40</t>
  </si>
  <si>
    <t>2026-07-07 13:27:52</t>
  </si>
  <si>
    <t>ALL NEW MUSSO</t>
  </si>
  <si>
    <t>2026-07-07 13:33:31</t>
  </si>
  <si>
    <t>2026-07-07 14:21:44</t>
  </si>
  <si>
    <t>2026-07-08 04:48:08</t>
  </si>
  <si>
    <t>2026-07-08 05:20:05</t>
  </si>
  <si>
    <t>PYVX63</t>
  </si>
  <si>
    <t>2026-07-08 06:49:31</t>
  </si>
  <si>
    <t>2026-07-08 06:54:03</t>
  </si>
  <si>
    <t>2026-07-08 06:59:51</t>
  </si>
  <si>
    <t>2026-07-08 07:04:24</t>
  </si>
  <si>
    <t>2026-07-08 07:12:22</t>
  </si>
  <si>
    <t>2026-07-08 07:12:52</t>
  </si>
  <si>
    <t>2026-07-08 08:04:31</t>
  </si>
  <si>
    <t>2026-07-08 09:00:57</t>
  </si>
  <si>
    <t>2026-07-08 09:03:05</t>
  </si>
  <si>
    <t>2026-07-08 09:20:01</t>
  </si>
  <si>
    <t>2026-07-08 09:40:43</t>
  </si>
  <si>
    <t>2026-07-08 11:25:58</t>
  </si>
  <si>
    <t>2026-07-08 11:31:03</t>
  </si>
  <si>
    <t>2026-07-08 11:41:15</t>
  </si>
  <si>
    <t>2026-07-08 12:04:22</t>
  </si>
  <si>
    <t>2026-07-08 12:41:30</t>
  </si>
  <si>
    <t>2026-07-08 12:47:28</t>
  </si>
  <si>
    <t>2026-07-08 13:25:27</t>
  </si>
  <si>
    <t>2026-07-08 13:58:40</t>
  </si>
  <si>
    <t>2026-07-08 14:10:11</t>
  </si>
  <si>
    <t>2026-07-08 14:25:55</t>
  </si>
  <si>
    <t>2026-07-08 17:17:10</t>
  </si>
  <si>
    <t>2026-07-08 18:32:32</t>
  </si>
  <si>
    <t>2026-07-09 05:36:56</t>
  </si>
  <si>
    <t>2026-07-09 06:02:28</t>
  </si>
  <si>
    <t>SBWK35</t>
  </si>
  <si>
    <t>2026-07-09 06:14:57</t>
  </si>
  <si>
    <t>LXYR18</t>
  </si>
  <si>
    <t>2026-07-09 06:32:17</t>
  </si>
  <si>
    <t>2026-07-09 06:41:58</t>
  </si>
  <si>
    <t>2026-07-09 07:37:08</t>
  </si>
  <si>
    <t>2026-07-09 08:45:58</t>
  </si>
  <si>
    <t>ONE</t>
  </si>
  <si>
    <t>2026-07-09 09:05:52</t>
  </si>
  <si>
    <t>2026-07-09 09:15:28</t>
  </si>
  <si>
    <t>2026-07-09 09:40:26</t>
  </si>
  <si>
    <t>2026-07-09 10:01:27</t>
  </si>
  <si>
    <t>2026-07-09 11:24:07</t>
  </si>
  <si>
    <t>2026-07-09 11:34:07</t>
  </si>
  <si>
    <t>2026-07-09 11:35:28</t>
  </si>
  <si>
    <t>2026-07-09 11:49:28</t>
  </si>
  <si>
    <t>2026-07-09 12:19:36</t>
  </si>
  <si>
    <t>2026-07-09 12:25:16</t>
  </si>
  <si>
    <t>2026-07-09 12:31:54</t>
  </si>
  <si>
    <t>2026-07-09 12:32:43</t>
  </si>
  <si>
    <t>2026-07-09 12:44:10</t>
  </si>
  <si>
    <t>2026-07-09 12:44:22</t>
  </si>
  <si>
    <t>NEW X3</t>
  </si>
  <si>
    <t>2026-07-09 12:57:15</t>
  </si>
  <si>
    <t>2026-07-09 12:57:46</t>
  </si>
  <si>
    <t>2026-07-09 13:07:59</t>
  </si>
  <si>
    <t>2026-07-09 13:33:59</t>
  </si>
  <si>
    <t>2026-07-09 13:35:18</t>
  </si>
  <si>
    <t>2026-07-09 13:37:11</t>
  </si>
  <si>
    <t>2026-07-10 05:11:39</t>
  </si>
  <si>
    <t>2026-07-10 05:45:09</t>
  </si>
  <si>
    <t>2026-07-10 05:49:50</t>
  </si>
  <si>
    <t>2026-07-10 05:56:16</t>
  </si>
  <si>
    <t>2026-07-10 06:12:06</t>
  </si>
  <si>
    <t>2026-07-10 06:39:06</t>
  </si>
  <si>
    <t>2026-07-10 07:07:11</t>
  </si>
  <si>
    <t>2026-07-10 07:19:45</t>
  </si>
  <si>
    <t>2026-07-10 07:22:04</t>
  </si>
  <si>
    <t>2026-07-10 07:56:49</t>
  </si>
  <si>
    <t>2026-07-10 08:15:30</t>
  </si>
  <si>
    <t>TJSH98</t>
  </si>
  <si>
    <t>2026-07-10 08:46:50</t>
  </si>
  <si>
    <t>2026-07-10 09:05:32</t>
  </si>
  <si>
    <t>2026-07-10 09:35:40</t>
  </si>
  <si>
    <t>GRANDLAND X</t>
  </si>
  <si>
    <t>2026-07-10 09:45:50</t>
  </si>
  <si>
    <t>2026-07-10 09:50:21</t>
  </si>
  <si>
    <t>RXCG58</t>
  </si>
  <si>
    <t>2026-07-10 11:28:41</t>
  </si>
  <si>
    <t>2026-07-10 11:40:52</t>
  </si>
  <si>
    <t>2026-07-10 11:59:41</t>
  </si>
  <si>
    <t>2026-07-10 12:16:46</t>
  </si>
  <si>
    <t>2026-07-10 12:21:19</t>
  </si>
  <si>
    <t>2026-07-10 12:40:05</t>
  </si>
  <si>
    <t>2026-07-10 12:54:19</t>
  </si>
  <si>
    <t>2026-07-10 14:03:31</t>
  </si>
  <si>
    <t>2026-07-11 07:52:58</t>
  </si>
  <si>
    <t>2026-07-11 08:08:11</t>
  </si>
  <si>
    <t>2026-07-11 08:24:53</t>
  </si>
  <si>
    <t>2026-07-11 08:55:51</t>
  </si>
  <si>
    <t>2026-07-11 09:05:34</t>
  </si>
  <si>
    <t>2026-07-11 09:07:46</t>
  </si>
  <si>
    <t>2026-07-11 09:10:55</t>
  </si>
  <si>
    <t>2026-07-11 09:34:02</t>
  </si>
  <si>
    <t>2026-07-11 09:44:19</t>
  </si>
  <si>
    <t>2026-07-13 06:29:28</t>
  </si>
  <si>
    <t>2026-07-13 06:32:05</t>
  </si>
  <si>
    <t>PSJH91</t>
  </si>
  <si>
    <t>2026-07-13 06:49:46</t>
  </si>
  <si>
    <t>RJLF57</t>
  </si>
  <si>
    <t>2026-07-13 07:01:36</t>
  </si>
  <si>
    <t>2026-07-13 07:12:22</t>
  </si>
  <si>
    <t>2026-07-13 08:03:44</t>
  </si>
  <si>
    <t>ALL NEW OUTBACK</t>
  </si>
  <si>
    <t>HBFR47</t>
  </si>
  <si>
    <t>2026-07-13 08:09:56</t>
  </si>
  <si>
    <t>GXBZ12</t>
  </si>
  <si>
    <t>2026-07-13 08:32:17</t>
  </si>
  <si>
    <t>TPTY17</t>
  </si>
  <si>
    <t>2026-07-13 08:39:40</t>
  </si>
  <si>
    <t>SYXR80</t>
  </si>
  <si>
    <t>2026-07-13 08:45:15</t>
  </si>
  <si>
    <t>TKTZ54</t>
  </si>
  <si>
    <t>2026-07-13 08:47:43</t>
  </si>
  <si>
    <t>2026-07-13 09:10:39</t>
  </si>
  <si>
    <t>SWKW82</t>
  </si>
  <si>
    <t>2026-07-13 09:15:47</t>
  </si>
  <si>
    <t>RXJH51</t>
  </si>
  <si>
    <t>2026-07-13 09:19:55</t>
  </si>
  <si>
    <t>2026-07-13 11:36:25</t>
  </si>
  <si>
    <t>2026-07-13 11:43:59</t>
  </si>
  <si>
    <t>KZVZ68</t>
  </si>
  <si>
    <t>2026-07-13 12:09:56</t>
  </si>
  <si>
    <t>SSSC56</t>
  </si>
  <si>
    <t>2026-07-13 12:49:06</t>
  </si>
  <si>
    <t>PPLY35</t>
  </si>
  <si>
    <t>2026-07-13 13:00:21</t>
  </si>
  <si>
    <t>2026-07-13 13:08:48</t>
  </si>
  <si>
    <t>RRDZ69</t>
  </si>
  <si>
    <t>2026-07-13 13:31:53</t>
  </si>
  <si>
    <t>TBDD23</t>
  </si>
  <si>
    <t>2026-07-13 13:59:51</t>
  </si>
  <si>
    <t>TDYJ10</t>
  </si>
  <si>
    <t>2026-07-13 14:12:32</t>
  </si>
  <si>
    <t>VVYY26</t>
  </si>
  <si>
    <t>2026-07-13 14:18:17</t>
  </si>
  <si>
    <t>PSJH70</t>
  </si>
  <si>
    <t>2026-07-13 14:44:21</t>
  </si>
  <si>
    <t>2026-07-13 20:26:24</t>
  </si>
  <si>
    <t>2026-07-13 20:42:59</t>
  </si>
  <si>
    <t>2026-07-14 06:04:51</t>
  </si>
  <si>
    <t>KWTP62</t>
  </si>
  <si>
    <t>2026-07-14 06:05:24</t>
  </si>
  <si>
    <t>2026-07-14 06:10:09</t>
  </si>
  <si>
    <t>2026-07-14 06:15:09</t>
  </si>
  <si>
    <t>PTTG11</t>
  </si>
  <si>
    <t>2026-07-14 06:49:00</t>
  </si>
  <si>
    <t>2026-07-14 07:31:24</t>
  </si>
  <si>
    <t>2026-07-14 07:52:26</t>
  </si>
  <si>
    <t>VKWK10</t>
  </si>
  <si>
    <t>2026-07-14 07:57:44</t>
  </si>
  <si>
    <t>2026-07-14 08:03:26</t>
  </si>
  <si>
    <t>TJLF23</t>
  </si>
  <si>
    <t>2026-07-14 08:18:11</t>
  </si>
  <si>
    <t>TDYP21</t>
  </si>
  <si>
    <t>2026-07-14 08:44:32</t>
  </si>
  <si>
    <t>JPZS85</t>
  </si>
  <si>
    <t>2026-07-14 08:49:09</t>
  </si>
  <si>
    <t>2026-07-14 08:52:22</t>
  </si>
  <si>
    <t>2026-07-14 08:58:44</t>
  </si>
  <si>
    <t>2026-07-14 08:59:30</t>
  </si>
  <si>
    <t>2026-07-14 09:21:31</t>
  </si>
  <si>
    <t>STZK77</t>
  </si>
  <si>
    <t>2026-07-14 09:29:57</t>
  </si>
  <si>
    <t>2026-07-14 11:57:15</t>
  </si>
  <si>
    <t>VBWW22</t>
  </si>
  <si>
    <t>2026-07-14 12:01:41</t>
  </si>
  <si>
    <t>2026-07-14 12:51:55</t>
  </si>
  <si>
    <t>2026-07-14 13:02:36</t>
  </si>
  <si>
    <t>RZCK86</t>
  </si>
  <si>
    <t>2026-07-14 13:32:33</t>
  </si>
  <si>
    <t>SYHF26</t>
  </si>
  <si>
    <t>2026-07-14 13:48:08</t>
  </si>
  <si>
    <t>RTLJ10</t>
  </si>
  <si>
    <t>2026-07-14 14:07:02</t>
  </si>
  <si>
    <t>KTCZ59</t>
  </si>
  <si>
    <t>2026-07-15 06:26:44</t>
  </si>
  <si>
    <t>2026-07-15 07:26:31</t>
  </si>
  <si>
    <t>HWDT90</t>
  </si>
  <si>
    <t>2026-07-15 07:29:23</t>
  </si>
  <si>
    <t>RFVF69</t>
  </si>
  <si>
    <t>2026-07-15 07:41:06</t>
  </si>
  <si>
    <t>TDYF62</t>
  </si>
  <si>
    <t>2026-07-15 07:41:57</t>
  </si>
  <si>
    <t>SFLX84</t>
  </si>
  <si>
    <t>2026-07-15 09:00:32</t>
  </si>
  <si>
    <t>SGDB21</t>
  </si>
  <si>
    <t>2026-07-15 09:12:34</t>
  </si>
  <si>
    <t>2026-07-15 10:54:18</t>
  </si>
  <si>
    <t>PYDG87</t>
  </si>
  <si>
    <t>2026-07-15 11:08:32</t>
  </si>
  <si>
    <t>2026-07-15 12:18:53</t>
  </si>
  <si>
    <t>2026-07-15 13:15:48</t>
  </si>
  <si>
    <t>VAN 700</t>
  </si>
  <si>
    <t>PCFK73</t>
  </si>
  <si>
    <t>2026-07-17 06:54:21</t>
  </si>
  <si>
    <t>RJHV90</t>
  </si>
  <si>
    <t>2026-07-17 07:03:03</t>
  </si>
  <si>
    <t>2026-07-17 07:08:16</t>
  </si>
  <si>
    <t>VWJW66</t>
  </si>
  <si>
    <t>2026-07-17 07:28:59</t>
  </si>
  <si>
    <t>KTCP75</t>
  </si>
  <si>
    <t>2026-07-17 08:33:03</t>
  </si>
  <si>
    <t>KTBY11</t>
  </si>
  <si>
    <t>2026-07-17 08:58:23</t>
  </si>
  <si>
    <t>LVYZ13</t>
  </si>
  <si>
    <t>2026-07-17 12:20:34</t>
  </si>
  <si>
    <t>RCBP84</t>
  </si>
  <si>
    <t>2026-07-17 12:39:39</t>
  </si>
  <si>
    <t>SFLW10</t>
  </si>
  <si>
    <t>2026-07-17 12:51:40</t>
  </si>
  <si>
    <t>2026-07-17 13:03:09</t>
  </si>
  <si>
    <t>2026-07-18 06:37:22</t>
  </si>
  <si>
    <t>2026-07-18 08:33:26</t>
  </si>
  <si>
    <t>KHLG56</t>
  </si>
  <si>
    <t>2026-07-20 11:47:40</t>
  </si>
  <si>
    <t>LBVV95</t>
  </si>
  <si>
    <t>2026-07-20 12:53:19</t>
  </si>
  <si>
    <t>2026-07-20 13:05:07</t>
  </si>
  <si>
    <t>PHGD43</t>
  </si>
  <si>
    <t>2026-07-21 06:33:32</t>
  </si>
  <si>
    <t>REFRI TRUCK</t>
  </si>
  <si>
    <t>VJTR88</t>
  </si>
  <si>
    <t>2026-07-22 07:35:27</t>
  </si>
  <si>
    <t>SCGT64</t>
  </si>
  <si>
    <t>2026-07-22 08:33:30</t>
  </si>
  <si>
    <t>2026-07-22 08:52:41</t>
  </si>
  <si>
    <t>2026-07-22 11:54:43</t>
  </si>
  <si>
    <t>2026-07-22 12:50:49</t>
  </si>
  <si>
    <t>2026-07-22 12:58:49</t>
  </si>
  <si>
    <t>2026-07-22 13:02:51</t>
  </si>
  <si>
    <t>2026-07-22 13:55:11</t>
  </si>
  <si>
    <t>2026-07-23 05:49:17</t>
  </si>
  <si>
    <t>2026-07-23 06:40:44</t>
  </si>
  <si>
    <t>NUEVA POER PLUS</t>
  </si>
  <si>
    <t>TLFL64</t>
  </si>
  <si>
    <t>2026-07-23 06:55:46</t>
  </si>
  <si>
    <t>SWTP53</t>
  </si>
  <si>
    <t>2026-07-23 07:05:56</t>
  </si>
  <si>
    <t>JJBF94</t>
  </si>
  <si>
    <t>2026-07-23 08:19:45</t>
  </si>
  <si>
    <t>KWVR83</t>
  </si>
  <si>
    <t>2026-07-23 09:21:16</t>
  </si>
  <si>
    <t>VKDD34</t>
  </si>
  <si>
    <t>2026-07-23 09:34:35</t>
  </si>
  <si>
    <t>2026-07-23 09:35:51</t>
  </si>
  <si>
    <t>2026-07-23 10:43:40</t>
  </si>
  <si>
    <t>GSKS35</t>
  </si>
  <si>
    <t>2026-07-23 10:47:38</t>
  </si>
  <si>
    <t>2026-07-23 11:38:10</t>
  </si>
  <si>
    <t>2026-07-23 11:48:36</t>
  </si>
  <si>
    <t>2026-07-23 12:15:01</t>
  </si>
  <si>
    <t>PLYS82</t>
  </si>
  <si>
    <t>2026-07-23 12:17:03</t>
  </si>
  <si>
    <t>VRSS56</t>
  </si>
  <si>
    <t>2026-07-23 12:19:02</t>
  </si>
  <si>
    <t>RXRW45</t>
  </si>
  <si>
    <t>2026-07-23 12:30:25</t>
  </si>
  <si>
    <t>SSTT71</t>
  </si>
  <si>
    <t>2026-07-23 13:32:39</t>
  </si>
  <si>
    <t>MINI</t>
  </si>
  <si>
    <t>COOPER</t>
  </si>
  <si>
    <t>SPZB55</t>
  </si>
  <si>
    <t>2026-07-23 14:11:17</t>
  </si>
  <si>
    <t>2026-07-23 14:14:09</t>
  </si>
  <si>
    <t>SXBS90</t>
  </si>
  <si>
    <t>2026-07-23 14:39:24</t>
  </si>
  <si>
    <t>SPZC75</t>
  </si>
  <si>
    <t>2026-07-24 06:25:03</t>
  </si>
  <si>
    <t>PLTJ63</t>
  </si>
  <si>
    <t>2026-07-24 06:42:43</t>
  </si>
  <si>
    <t>VCRR35</t>
  </si>
  <si>
    <t>2026-07-24 08:16:38</t>
  </si>
  <si>
    <t>2026-07-24 09:11:31</t>
  </si>
  <si>
    <t>RXSF13</t>
  </si>
  <si>
    <t>2026-07-24 10:57:10</t>
  </si>
  <si>
    <t>2026-07-24 11:38:37</t>
  </si>
  <si>
    <t>VRSR32</t>
  </si>
  <si>
    <t>2026-07-24 11:59:54</t>
  </si>
  <si>
    <t>2026-07-24 12:26:47</t>
  </si>
  <si>
    <t>2026-07-24 12:55:00</t>
  </si>
  <si>
    <t>RWYH10</t>
  </si>
  <si>
    <t>2026-07-24 13:28:15</t>
  </si>
  <si>
    <t>STCW94</t>
  </si>
  <si>
    <t>2026-07-24 14:24:10</t>
  </si>
  <si>
    <t>RVYS15</t>
  </si>
  <si>
    <t>2026-07-25 07:14:35</t>
  </si>
  <si>
    <t>PATRIOT</t>
  </si>
  <si>
    <t>FGWS23</t>
  </si>
  <si>
    <t>2026-07-25 10:30:07</t>
  </si>
  <si>
    <t>LHPK88</t>
  </si>
  <si>
    <t>2026-07-26 15:01:09</t>
  </si>
  <si>
    <t>VLGJ60</t>
  </si>
  <si>
    <t>2026-07-27 04:53:17</t>
  </si>
  <si>
    <t>SKSX32</t>
  </si>
  <si>
    <t>2026-07-27 04:54:19</t>
  </si>
  <si>
    <t>2026-07-27 05:39:10</t>
  </si>
  <si>
    <t>SZTG28</t>
  </si>
  <si>
    <t>2026-07-27 05:44:02</t>
  </si>
  <si>
    <t>TTVV51</t>
  </si>
  <si>
    <t>2026-07-27 06:03:12</t>
  </si>
  <si>
    <t>LLBS22</t>
  </si>
  <si>
    <t>2026-07-27 07:13:06</t>
  </si>
  <si>
    <t>PLHJ84</t>
  </si>
  <si>
    <t>2026-07-27 07:42:26</t>
  </si>
  <si>
    <t>RWXC59</t>
  </si>
  <si>
    <t>2026-07-27 07:42:37</t>
  </si>
  <si>
    <t>2026-07-27 07:45:28</t>
  </si>
  <si>
    <t>2026-07-27 08:14:47</t>
  </si>
  <si>
    <t>2026-07-27 08:32:27</t>
  </si>
  <si>
    <t>SDGC30</t>
  </si>
  <si>
    <t>2026-07-27 08:37:43</t>
  </si>
  <si>
    <t>JOLION PRO</t>
  </si>
  <si>
    <t>TTYS11</t>
  </si>
  <si>
    <t>2026-07-27 08:41:25</t>
  </si>
  <si>
    <t>VWBV44</t>
  </si>
  <si>
    <t>2026-07-27 08:48:57</t>
  </si>
  <si>
    <t>SCTY70</t>
  </si>
  <si>
    <t>2026-07-27 08:56:26</t>
  </si>
  <si>
    <t>SBJH76</t>
  </si>
  <si>
    <t>2026-07-27 09:10:49</t>
  </si>
  <si>
    <t>2026-07-27 09:21:16</t>
  </si>
  <si>
    <t>TPZZ52</t>
  </si>
  <si>
    <t>2026-07-27 09:22:26</t>
  </si>
  <si>
    <t>PTDJ20</t>
  </si>
  <si>
    <t>2026-07-27 09:35:28</t>
  </si>
  <si>
    <t>TPJG69</t>
  </si>
  <si>
    <t>2026-07-27 11:43:33</t>
  </si>
  <si>
    <t>2026-07-27 11:46:37</t>
  </si>
  <si>
    <t>TBZK54</t>
  </si>
  <si>
    <t>2026-07-27 11:47:49</t>
  </si>
  <si>
    <t>2026-07-27 11:53:27</t>
  </si>
  <si>
    <t>TASMAN</t>
  </si>
  <si>
    <t>VPGD52</t>
  </si>
  <si>
    <t>2026-07-27 12:11:30</t>
  </si>
  <si>
    <t>JRPJ67</t>
  </si>
  <si>
    <t>2026-07-27 12:21:01</t>
  </si>
  <si>
    <t>2026-07-27 12:28:19</t>
  </si>
  <si>
    <t>2026-07-27 12:33:15</t>
  </si>
  <si>
    <t>KWVT44</t>
  </si>
  <si>
    <t>2026-07-27 12:35:43</t>
  </si>
  <si>
    <t>2026-07-27 13:18:44</t>
  </si>
  <si>
    <t>2026-07-27 13:20:19</t>
  </si>
  <si>
    <t>2026-07-27 13:31:50</t>
  </si>
  <si>
    <t>JYXH82</t>
  </si>
  <si>
    <t>2026-07-27 14:04:26</t>
  </si>
  <si>
    <t>LCJD74</t>
  </si>
  <si>
    <t>2026-07-27 14:53:48</t>
  </si>
  <si>
    <t>2026-07-27 14:56:34</t>
  </si>
  <si>
    <t>RWYB64</t>
  </si>
  <si>
    <t>2026-07-28 05:18:41</t>
  </si>
  <si>
    <t>PHFR67</t>
  </si>
  <si>
    <t>2026-07-28 06:26:37</t>
  </si>
  <si>
    <t>2026-07-28 06:26:53</t>
  </si>
  <si>
    <t>PKTZ87</t>
  </si>
  <si>
    <t>2026-07-28 07:58:14</t>
  </si>
  <si>
    <t>TJDD78</t>
  </si>
  <si>
    <t>2026-07-28 08:00:35</t>
  </si>
  <si>
    <t>2026-07-28 08:21:49</t>
  </si>
  <si>
    <t>FDDP76</t>
  </si>
  <si>
    <t>2026-07-28 08:45:44</t>
  </si>
  <si>
    <t>RCBH96</t>
  </si>
  <si>
    <t>2026-07-28 10:22:31</t>
  </si>
  <si>
    <t>PCDV97</t>
  </si>
  <si>
    <t>2026-07-28 13:09:54</t>
  </si>
  <si>
    <t>KSRY92</t>
  </si>
  <si>
    <t>2026-07-28 13:30:24</t>
  </si>
  <si>
    <t>2026-07-28 13:57:44</t>
  </si>
  <si>
    <t>SRZJ39</t>
  </si>
  <si>
    <t>2026-07-28 14:17:42</t>
  </si>
  <si>
    <t>ALL NEW 118 I</t>
  </si>
  <si>
    <t>VDWL38</t>
  </si>
  <si>
    <t>2026-07-28 14:33:09</t>
  </si>
  <si>
    <t>2026-07-29 06:39:42</t>
  </si>
  <si>
    <t>2026-07-29 06:52:33</t>
  </si>
  <si>
    <t>RXRD91</t>
  </si>
  <si>
    <t>2026-07-29 07:37:53</t>
  </si>
  <si>
    <t>KVGC99</t>
  </si>
  <si>
    <t>2026-07-29 08:13:34</t>
  </si>
  <si>
    <t>TYWK96</t>
  </si>
  <si>
    <t>2026-07-29 08:51:19</t>
  </si>
  <si>
    <t>VVHB44</t>
  </si>
  <si>
    <t>2026-07-29 10:02:00</t>
  </si>
  <si>
    <t>HBFL42</t>
  </si>
  <si>
    <t>2026-07-29 12:00:15</t>
  </si>
  <si>
    <t>LRTC20</t>
  </si>
  <si>
    <t>2026-07-29 12:41:56</t>
  </si>
  <si>
    <t>TJDC10</t>
  </si>
  <si>
    <t>2026-07-29 12:41:58</t>
  </si>
  <si>
    <t>SXYJ46</t>
  </si>
  <si>
    <t>2026-07-29 13:14:17</t>
  </si>
  <si>
    <t>TRBD95</t>
  </si>
  <si>
    <t>2026-07-29 14:04:21</t>
  </si>
  <si>
    <t>2026-07-29 14:11:29</t>
  </si>
  <si>
    <t>BJ40P</t>
  </si>
  <si>
    <t>SYDK76</t>
  </si>
  <si>
    <t>2026-07-29 14:37:40</t>
  </si>
  <si>
    <t>2026-07-29 14:58:26</t>
  </si>
  <si>
    <t>LBKK77</t>
  </si>
  <si>
    <t>2026-07-30 05:16:50</t>
  </si>
  <si>
    <t>LDXV60</t>
  </si>
  <si>
    <t>2026-07-30 05:32:30</t>
  </si>
  <si>
    <t>SYDP14</t>
  </si>
  <si>
    <t>2026-07-30 05:32:38</t>
  </si>
  <si>
    <t>2026-07-30 05:33:48</t>
  </si>
  <si>
    <t>2026-07-30 05:57:39</t>
  </si>
  <si>
    <t>THRG69</t>
  </si>
  <si>
    <t>2026-07-30 06:27:58</t>
  </si>
  <si>
    <t>LLBX80</t>
  </si>
  <si>
    <t>2026-07-30 08:08:40</t>
  </si>
  <si>
    <t>2026-07-30 08:17:28</t>
  </si>
  <si>
    <t>TFDB20</t>
  </si>
  <si>
    <t>2026-07-30 08:39:06</t>
  </si>
  <si>
    <t>SPPJ21</t>
  </si>
  <si>
    <t>2026-07-30 08:42:52</t>
  </si>
  <si>
    <t>JPPJ52</t>
  </si>
  <si>
    <t>2026-07-30 08:57:43</t>
  </si>
  <si>
    <t>YV6349</t>
  </si>
  <si>
    <t>2026-07-30 11:48:23</t>
  </si>
  <si>
    <t>SKCG49</t>
  </si>
  <si>
    <t>2026-07-30 11:54:44</t>
  </si>
  <si>
    <t>2026-07-30 13:14:05</t>
  </si>
  <si>
    <t>PLCG32</t>
  </si>
  <si>
    <t>2026-07-31 05:13:34</t>
  </si>
  <si>
    <t>2026-07-31 06:33:36</t>
  </si>
  <si>
    <t>2026-07-31 07:14:35</t>
  </si>
  <si>
    <t>RJPL30</t>
  </si>
  <si>
    <t>2026-07-31 12:18:22</t>
  </si>
  <si>
    <t>SJKV20</t>
  </si>
  <si>
    <t>08-08-2026 0:00:00</t>
  </si>
  <si>
    <t>08-08-2026 12:05:04</t>
  </si>
  <si>
    <t>LVZA53P95 NA118160</t>
  </si>
  <si>
    <t>DF707</t>
  </si>
  <si>
    <t>TDFSTWU000057</t>
  </si>
  <si>
    <t>AE,CC,EE,2AB,ABS,LL,AC,AISO,AAUTO,ACD,SR,UD,DLL</t>
  </si>
  <si>
    <t>SFG18-22326312</t>
  </si>
  <si>
    <t>MAURICIO NICOLAS SEPULVEDA ROJAS</t>
  </si>
  <si>
    <t>08-08-2026 12:04:31</t>
  </si>
  <si>
    <t>LMGHT1L88R3062334</t>
  </si>
  <si>
    <t>EMZOOM 1.5T AT GL R-Style</t>
  </si>
  <si>
    <t>GAC7151HCW6A-1</t>
  </si>
  <si>
    <t>HGCSTWN000240</t>
  </si>
  <si>
    <t>VBRW77</t>
  </si>
  <si>
    <t>K321917</t>
  </si>
  <si>
    <t>2026-08-03 07:15:20</t>
  </si>
  <si>
    <t>TSSG29</t>
  </si>
  <si>
    <t>VSWX77</t>
  </si>
  <si>
    <t>2026-08-03 08:57:17</t>
  </si>
  <si>
    <t>VHGG30</t>
  </si>
  <si>
    <t>CROSSLAND X</t>
  </si>
  <si>
    <t>VRSS76</t>
  </si>
  <si>
    <t>2026-08-05 05:16:35</t>
  </si>
  <si>
    <t>VLYP47</t>
  </si>
  <si>
    <t>2026-08-05 07:38:35</t>
  </si>
  <si>
    <t>VSWS35</t>
  </si>
  <si>
    <t>2026-08-05 07:40:26</t>
  </si>
  <si>
    <t>VSWS37</t>
  </si>
  <si>
    <t>2026-08-05 07:41:36</t>
  </si>
  <si>
    <t>VSWS36</t>
  </si>
  <si>
    <t>2026-08-05 07:43:03</t>
  </si>
  <si>
    <t>VSWS34</t>
  </si>
  <si>
    <t>2026-08-05 07:44:48</t>
  </si>
  <si>
    <t>VSWS33</t>
  </si>
  <si>
    <t>2026-08-05 07:47:47</t>
  </si>
  <si>
    <t>VXJX72</t>
  </si>
  <si>
    <t>TSFY83</t>
  </si>
  <si>
    <t>VVBP42</t>
  </si>
  <si>
    <t>2026-08-05 14:44:47</t>
  </si>
  <si>
    <t>2026-08-06 13:48:56</t>
  </si>
  <si>
    <t>2026-08-06 13:50:20</t>
  </si>
  <si>
    <t>2026-08-06 13:51:51</t>
  </si>
  <si>
    <t>2026-08-06 13:55:45</t>
  </si>
  <si>
    <t>2026-08-06 13:57:01</t>
  </si>
  <si>
    <t>2026-08-06 13:59:50</t>
  </si>
  <si>
    <t>2026-08-06 14:15:58</t>
  </si>
  <si>
    <t>2026-08-06 14:19:45</t>
  </si>
  <si>
    <t>2026-08-06 14:20:50</t>
  </si>
  <si>
    <t>2026-08-07 06:48:18</t>
  </si>
  <si>
    <t>2026-08-07 06:59:42</t>
  </si>
  <si>
    <t>2026-08-07 07:00:45</t>
  </si>
  <si>
    <t>2026-08-07 07:02:16</t>
  </si>
  <si>
    <t>2026-08-07 07:26:32</t>
  </si>
  <si>
    <t>2026-08-07 07:38:06</t>
  </si>
  <si>
    <t>SYXT25</t>
  </si>
  <si>
    <t>2026-08-08 06:48:35</t>
  </si>
  <si>
    <t>PPZF53</t>
  </si>
  <si>
    <t>RCBL14</t>
  </si>
  <si>
    <t>LYPH94</t>
  </si>
  <si>
    <t>2026-08-10 08:22:47</t>
  </si>
  <si>
    <t>SCWW30</t>
  </si>
  <si>
    <t>Total general</t>
  </si>
  <si>
    <t>21-08-2026 11:15:12</t>
  </si>
  <si>
    <t>VR3USHNSK NJ511632</t>
  </si>
  <si>
    <t>TPESTWU000474</t>
  </si>
  <si>
    <t>ROJO ELIXIR</t>
  </si>
  <si>
    <t>10Z1AC0089106</t>
  </si>
  <si>
    <t>SAMUEL GUILLERMO GUZMAN BRIONES</t>
  </si>
  <si>
    <t>21-08-2026 0:00:00</t>
  </si>
  <si>
    <t>21-08-2026 11:11:08</t>
  </si>
  <si>
    <t>HDWR02</t>
  </si>
  <si>
    <t>PKBT78</t>
  </si>
  <si>
    <t>27-08-2026 0:00:00</t>
  </si>
  <si>
    <t>TBCS40</t>
  </si>
  <si>
    <t>27-08-2026 16:15:36</t>
  </si>
  <si>
    <t>LVTDB11B6 TD091482</t>
  </si>
  <si>
    <t>TIGGO 8 LTD 1.5</t>
  </si>
  <si>
    <t>CHTGGO815</t>
  </si>
  <si>
    <t>TCYSTWU000365</t>
  </si>
  <si>
    <t>SQRE4T15CFFTA00029</t>
  </si>
  <si>
    <t>SERGIO FERMIN GALLEGUILLOS MALDONADO</t>
  </si>
  <si>
    <t>27-08-2026 16:09:39</t>
  </si>
  <si>
    <t>21-08-2026 10:36:53</t>
  </si>
  <si>
    <t>LEFEDEF10 TTP04162</t>
  </si>
  <si>
    <t>TJMCMTU000017</t>
  </si>
  <si>
    <t>S7P75116</t>
  </si>
  <si>
    <t>CRISTIAN MARCELO RODRIGUEZ LA FUENTE</t>
  </si>
  <si>
    <t>21-08-2026 10:36:07</t>
  </si>
  <si>
    <t>PABLO JOSE ROBERTO GORMAZ AVILA</t>
  </si>
  <si>
    <t>12-08-2026 11:12:58</t>
  </si>
  <si>
    <t>MRHFE1670 RP087020</t>
  </si>
  <si>
    <t>CIVIC TOURING 1.5 AUT</t>
  </si>
  <si>
    <t>HOCIVTO15AT</t>
  </si>
  <si>
    <t>THOAUTU000060</t>
  </si>
  <si>
    <t>L15BG3160779</t>
  </si>
  <si>
    <t>CESAR YEFRY MENDOZA GALLEGUILLOS</t>
  </si>
  <si>
    <t>12-08-2026 0:00:00</t>
  </si>
  <si>
    <t>12-08-2026 11:11:31</t>
  </si>
  <si>
    <t>11-08-2026 17:29:31</t>
  </si>
  <si>
    <t>VF3M45GYWLS008278</t>
  </si>
  <si>
    <t>3P88</t>
  </si>
  <si>
    <t>TPESTWU000471</t>
  </si>
  <si>
    <t>10FJCG2577721</t>
  </si>
  <si>
    <t>JESSICA ALEJANDRA PANIAGUA PANIAGUA</t>
  </si>
  <si>
    <t>11-08-2026 0:00:00</t>
  </si>
  <si>
    <t>11-08-2026 17:28:53</t>
  </si>
  <si>
    <t>27-08-2026 16:37:21</t>
  </si>
  <si>
    <t>JF1SK7LL5NG163420</t>
  </si>
  <si>
    <t>TSUSTWU000404</t>
  </si>
  <si>
    <t>YS98374</t>
  </si>
  <si>
    <t>IVAN HUMBERTO CORTES PASTEN</t>
  </si>
  <si>
    <t>27-08-2026 16:32:53</t>
  </si>
  <si>
    <t>27-08-2026 13:22:05</t>
  </si>
  <si>
    <t>VF3MCYHZUNS006924</t>
  </si>
  <si>
    <t>TPESTWU000477</t>
  </si>
  <si>
    <t>RJDB78</t>
  </si>
  <si>
    <t>10Q3EJ1275325</t>
  </si>
  <si>
    <t>JORGE ENRIQUE SILVA CRESPO</t>
  </si>
  <si>
    <t>27-08-2026 13:17:34</t>
  </si>
  <si>
    <t>27-08-2026 11:06:25</t>
  </si>
  <si>
    <t>1FTFW1E50PFA79485</t>
  </si>
  <si>
    <t>NEW F150 LARIAT LUXURY 4X4 5.0</t>
  </si>
  <si>
    <t>FOF150LALU4X450</t>
  </si>
  <si>
    <t>TFOCMTU001171</t>
  </si>
  <si>
    <t>PFA79485</t>
  </si>
  <si>
    <t>SERVICIOS MINEROS Y MANTENCIONES VIALES SPA</t>
  </si>
  <si>
    <t>27-08-2026 11:01:13</t>
  </si>
  <si>
    <t>03-07-2026 10:54:17</t>
  </si>
  <si>
    <t>LVVDB21B4 SE002997</t>
  </si>
  <si>
    <t>TIGGO 2 PRO FL GLS 1.5 AUT</t>
  </si>
  <si>
    <t>CHTIG2PROGLS15AT</t>
  </si>
  <si>
    <t>TCYSTWU000360</t>
  </si>
  <si>
    <t>AE,CC,EE,2AB,ABS,LL,AC,AISO,AAUTO,CRE,MAV,ACD,SR,D</t>
  </si>
  <si>
    <t>SQRE4G15CBDRC60011</t>
  </si>
  <si>
    <t>LÁZARO SEBASTIÁN AGUILERA YAÑEZ</t>
  </si>
  <si>
    <t>03-07-2026 10:53:12</t>
  </si>
  <si>
    <t>21-08-2026 12:28:34</t>
  </si>
  <si>
    <t>LJD3BA1DAR0004801</t>
  </si>
  <si>
    <t>KISONEX15MT</t>
  </si>
  <si>
    <t>TKISTWU001344</t>
  </si>
  <si>
    <t>ROJO ESCARLATA</t>
  </si>
  <si>
    <t>G4FLR1023506</t>
  </si>
  <si>
    <t>ALBERTO ALEJANDRO PONCE URRIAGA</t>
  </si>
  <si>
    <t>21-08-2026 12:28:02</t>
  </si>
  <si>
    <t>21-08-2026 12:20:07</t>
  </si>
  <si>
    <t>MALA841CAKM323094</t>
  </si>
  <si>
    <t>HY4000</t>
  </si>
  <si>
    <t>THYAUTU000591</t>
  </si>
  <si>
    <t>G4LAJM914575</t>
  </si>
  <si>
    <t>GABRIELA ANDREA ROJAS FLÁNDEZ</t>
  </si>
  <si>
    <t>21-08-2026 12:19:38</t>
  </si>
  <si>
    <t>26-08-2026 8:56:42</t>
  </si>
  <si>
    <t>LVTDD24B6PD052148</t>
  </si>
  <si>
    <t>TXL UNLIMITED 4WD 2.0 AUT</t>
  </si>
  <si>
    <t>EXETXLUNL4WD20AUT</t>
  </si>
  <si>
    <t>TEXESTWU000007</t>
  </si>
  <si>
    <t>GRIS AIRLAIN</t>
  </si>
  <si>
    <t>SQRF4J20CADNF00483</t>
  </si>
  <si>
    <t>MARIA LORETO ACUÑA JARAMILLO</t>
  </si>
  <si>
    <t>26-08-2026 0:00:00</t>
  </si>
  <si>
    <t>26-08-2026 8:52:27</t>
  </si>
  <si>
    <t>12-08-2026 15:58:00</t>
  </si>
  <si>
    <t>20-08-2026 0:00:00</t>
  </si>
  <si>
    <t>LJYP23</t>
  </si>
  <si>
    <t>06-02-2026 23:56:05</t>
  </si>
  <si>
    <t>3FMCR9B63 NRE10383</t>
  </si>
  <si>
    <t>BS4</t>
  </si>
  <si>
    <t>TFOSTWU001398</t>
  </si>
  <si>
    <t>NRE10383</t>
  </si>
  <si>
    <t>GLADYS MARCELA LÓPEZ LÓPEZ</t>
  </si>
  <si>
    <t>06-02-2026 23:55:28</t>
  </si>
  <si>
    <t>28-08-2026 18:17:56</t>
  </si>
  <si>
    <t>JF1SK7LL5KG017905</t>
  </si>
  <si>
    <t>FCV1</t>
  </si>
  <si>
    <t>TSUSTWU000405</t>
  </si>
  <si>
    <t>PJDF47</t>
  </si>
  <si>
    <t>YG09464</t>
  </si>
  <si>
    <t>PAULINA NICOL CHOCANO VERGARA</t>
  </si>
  <si>
    <t>28-08-2026 0:00:00</t>
  </si>
  <si>
    <t>28-08-2026 18:17:31</t>
  </si>
  <si>
    <t>25-08-2026 17:04:02</t>
  </si>
  <si>
    <t>LS4ASE2E8 TA993851</t>
  </si>
  <si>
    <t>X7 PLUS TURBO 1.5</t>
  </si>
  <si>
    <t>CHX7PLTRB15AT</t>
  </si>
  <si>
    <t>TCGSTWU000035</t>
  </si>
  <si>
    <t>JL473ZQASETABA04782</t>
  </si>
  <si>
    <t>PATRICIO DEL CARMEN FERNANDEZ BONILLA</t>
  </si>
  <si>
    <t>25-08-2026 0:00:00</t>
  </si>
  <si>
    <t>25-08-2026 16:59:05</t>
  </si>
  <si>
    <t>30-05-2026 13:15:09</t>
  </si>
  <si>
    <t>LVPC52898 TCB00699</t>
  </si>
  <si>
    <t>600</t>
  </si>
  <si>
    <t>600 PHEV 4X2 1.5 AUT</t>
  </si>
  <si>
    <t>DF600PHEV4X215AT</t>
  </si>
  <si>
    <t>TDFSTWU000056</t>
  </si>
  <si>
    <t>GRIS CLARO</t>
  </si>
  <si>
    <t>F31A 125003402</t>
  </si>
  <si>
    <t>30-05-2026 13:12:38</t>
  </si>
  <si>
    <t>20-08-2026 17:06:14</t>
  </si>
  <si>
    <t>SJNTAAJ12PA179922</t>
  </si>
  <si>
    <t>NIQAS01</t>
  </si>
  <si>
    <t>TNISTWU000619</t>
  </si>
  <si>
    <t>HR13459376A</t>
  </si>
  <si>
    <t>20-08-2026 17:05:04</t>
  </si>
  <si>
    <t>27-08-2026 12:53:22</t>
  </si>
  <si>
    <t>VR3UDYHZRLJ655150</t>
  </si>
  <si>
    <t>2BH130</t>
  </si>
  <si>
    <t>TPESTWU000476</t>
  </si>
  <si>
    <t>10Q4DP0011426</t>
  </si>
  <si>
    <t>CLAUDIO ALEXIS YÁÑEZ DONAIRE</t>
  </si>
  <si>
    <t>27-08-2026 12:38:29</t>
  </si>
  <si>
    <t>27-08-2026 16:26:20</t>
  </si>
  <si>
    <t>93HGH8820 NK602565</t>
  </si>
  <si>
    <t>THOSTWU000021</t>
  </si>
  <si>
    <t>SCZP441</t>
  </si>
  <si>
    <t>L15Z92602574</t>
  </si>
  <si>
    <t>CAROLINA DE LOS ANGELES SANTANDER ZEPEDA</t>
  </si>
  <si>
    <t>27-08-2026 16:20:23</t>
  </si>
  <si>
    <t>13-08-2026 0:00:00</t>
  </si>
  <si>
    <t>21-08-2026 13:11:16</t>
  </si>
  <si>
    <t>8ADUPHMEARG530932</t>
  </si>
  <si>
    <t>TPEAUTU001173</t>
  </si>
  <si>
    <t>10VQAC0011345</t>
  </si>
  <si>
    <t>PABLO LEDEZMA FLORES</t>
  </si>
  <si>
    <t>21-08-2026 13:10:38</t>
  </si>
  <si>
    <t>BLANCO TECHO NEGRO</t>
  </si>
  <si>
    <t>27-08-2026 11:18:46</t>
  </si>
  <si>
    <t>1FMCU9DZ2NUA57052</t>
  </si>
  <si>
    <t>TFOSTWU001428</t>
  </si>
  <si>
    <t>SFDX31</t>
  </si>
  <si>
    <t>NUA57052</t>
  </si>
  <si>
    <t>MARIO EDUARDO ARAYA ZEPEDA</t>
  </si>
  <si>
    <t>27-08-2026 11:11:10</t>
  </si>
  <si>
    <t>27-08-2026 10:45:55</t>
  </si>
  <si>
    <t>VF7DDYHT2SJ508198</t>
  </si>
  <si>
    <t>C-ELYSEE 1.5</t>
  </si>
  <si>
    <t>CIELYMT15</t>
  </si>
  <si>
    <t>TCIAUTU000137</t>
  </si>
  <si>
    <t>10Q4DF0152319</t>
  </si>
  <si>
    <t>CARLOS ALEXI GALLARDO HERRERA</t>
  </si>
  <si>
    <t>27-08-2026 10:42:04</t>
  </si>
  <si>
    <t>VKXF90</t>
  </si>
  <si>
    <t>RKWR30</t>
  </si>
  <si>
    <t>20-08-2026 17:39:36</t>
  </si>
  <si>
    <t>LJXCU2BB0 STF12052</t>
  </si>
  <si>
    <t>TFOSTWU001427</t>
  </si>
  <si>
    <t>GRIS BRILLANTE</t>
  </si>
  <si>
    <t>R5G051233</t>
  </si>
  <si>
    <t>PAOLA ANDREA PASTÉN ROJAS</t>
  </si>
  <si>
    <t>20-08-2026 17:36:41</t>
  </si>
  <si>
    <t>20-08-2026 17:12:08</t>
  </si>
  <si>
    <t>JMBXNGA1W NU001543</t>
  </si>
  <si>
    <t>MIASXGL16MT</t>
  </si>
  <si>
    <t>TMISTWU000377</t>
  </si>
  <si>
    <t>SHLX28</t>
  </si>
  <si>
    <t>4A92 JN5464</t>
  </si>
  <si>
    <t>ANA MARIA ROJAS CARMONA</t>
  </si>
  <si>
    <t>20-08-2026 17:11:10</t>
  </si>
  <si>
    <t>CAFE PERLA OCRE</t>
  </si>
  <si>
    <t>06-04-2026 14:45:14</t>
  </si>
  <si>
    <t>LTA12H2UX N9100771</t>
  </si>
  <si>
    <t>TERRALORD 4X4 2.5 AUT</t>
  </si>
  <si>
    <t>ZXTERRA4X425AT</t>
  </si>
  <si>
    <t>TZXCMTU000003</t>
  </si>
  <si>
    <t>AE,CC,EE,NB,ABS,LL,AC,AISO,AAUTO,CRE,MAV,ACD,SR,UD</t>
  </si>
  <si>
    <t>2336061171</t>
  </si>
  <si>
    <t>FRANCISCO JAVIER RODRIGO MAJMUD VICUÑA</t>
  </si>
  <si>
    <t>06-04-2026 14:43:48</t>
  </si>
  <si>
    <t>13-08-2026 12:51:52</t>
  </si>
  <si>
    <t>2FMPK4K87 JBB82696</t>
  </si>
  <si>
    <t>01--FUFU1</t>
  </si>
  <si>
    <t>TFOSTWU001426</t>
  </si>
  <si>
    <t>ROJO METALICO</t>
  </si>
  <si>
    <t>JBB82696</t>
  </si>
  <si>
    <t>DAVID ANDRES GONZALEZ CASTILLO</t>
  </si>
  <si>
    <t>13-08-2026 12:50:51</t>
  </si>
  <si>
    <t>20-08-2026 16:47:55</t>
  </si>
  <si>
    <t>JMYXNGF7WLZ800382</t>
  </si>
  <si>
    <t>26--00001</t>
  </si>
  <si>
    <t>TMISTWU000376</t>
  </si>
  <si>
    <t>PPVC41</t>
  </si>
  <si>
    <t>4J11 DB0391</t>
  </si>
  <si>
    <t>LUIS ROBERTO BRAVO FLORES</t>
  </si>
  <si>
    <t>20-08-2026 16:46:57</t>
  </si>
  <si>
    <t>26-05-2026 10:53:24</t>
  </si>
  <si>
    <t>MMBJJKK10JH016252</t>
  </si>
  <si>
    <t>L200 KATANA D CAB CR 2.4</t>
  </si>
  <si>
    <t>L888</t>
  </si>
  <si>
    <t>TMICMTU000307</t>
  </si>
  <si>
    <t>4N15 UCL1451</t>
  </si>
  <si>
    <t>JUAN MANUEL BARRAZA GODOI</t>
  </si>
  <si>
    <t>26-05-2026 0:00:00</t>
  </si>
  <si>
    <t>26-05-2026 10:52:54</t>
  </si>
  <si>
    <t>21-08-2026 11:05:21</t>
  </si>
  <si>
    <t>LEFEDDE13RTP05097</t>
  </si>
  <si>
    <t>JMVIG4X420MT</t>
  </si>
  <si>
    <t>TJMCMTU000018</t>
  </si>
  <si>
    <t>PCP80797</t>
  </si>
  <si>
    <t>CAM OBRAS DE INGENIERIA Y TRANSPORTES SPA</t>
  </si>
  <si>
    <t>21-08-2026 10:58:54</t>
  </si>
  <si>
    <t>27-08-2026 16:56:25</t>
  </si>
  <si>
    <t>LJ12EKS23L4704688</t>
  </si>
  <si>
    <t>S4 HB 1.6</t>
  </si>
  <si>
    <t>JCS4MT16</t>
  </si>
  <si>
    <t>TJAAUTU000019</t>
  </si>
  <si>
    <t>LVWT41</t>
  </si>
  <si>
    <t>CAFE</t>
  </si>
  <si>
    <t>K3349415</t>
  </si>
  <si>
    <t>RODE PRISCILA PEREZ CASTILLO</t>
  </si>
  <si>
    <t>27-08-2026 16:50:52</t>
  </si>
  <si>
    <t>27-08-2026 11:28:53</t>
  </si>
  <si>
    <t>KPT40A1XSRP095912</t>
  </si>
  <si>
    <t>TSYSTWU000345</t>
  </si>
  <si>
    <t>SXBS86</t>
  </si>
  <si>
    <t>17495012502467</t>
  </si>
  <si>
    <t>AMAGMALU SPA</t>
  </si>
  <si>
    <t>27-08-2026 11:24:54</t>
  </si>
  <si>
    <t>VZLY15</t>
  </si>
  <si>
    <t>28-06-2024 8:46:29</t>
  </si>
  <si>
    <t>MMBJJLC10RH006958</t>
  </si>
  <si>
    <t>L-200 EURO 6B</t>
  </si>
  <si>
    <t>L200 KATANA XRT</t>
  </si>
  <si>
    <t>CMLC1TJJDQDL</t>
  </si>
  <si>
    <t>CMICMTN005188</t>
  </si>
  <si>
    <t>TPJD34</t>
  </si>
  <si>
    <t>4N16UAH7777</t>
  </si>
  <si>
    <t>28-06-2024 0:00:00</t>
  </si>
  <si>
    <t>03-07-2024 0:00:00</t>
  </si>
  <si>
    <t>03-07-2024 16:32:51</t>
  </si>
  <si>
    <t>05-08-2026 16:43:53</t>
  </si>
  <si>
    <t>LVUGTBHD9TD153122</t>
  </si>
  <si>
    <t>C5 1.5T HEV DHT LUXURY</t>
  </si>
  <si>
    <t>T7150DB</t>
  </si>
  <si>
    <t>COMOSTWN000587</t>
  </si>
  <si>
    <t>SQRH4J15BZTC65662</t>
  </si>
  <si>
    <t>05-08-2026 0:00:00</t>
  </si>
  <si>
    <t>09-07-2026 0:00:00</t>
  </si>
  <si>
    <t>05-08-2026 16:43:39</t>
  </si>
  <si>
    <t>2026-08-10 09:43:38</t>
  </si>
  <si>
    <t>2026-08-11 07:21:33</t>
  </si>
  <si>
    <t>2026-08-11 09:53:34</t>
  </si>
  <si>
    <t>RCBK31</t>
  </si>
  <si>
    <t>2026-08-11 10:04:06</t>
  </si>
  <si>
    <t>PLCD88</t>
  </si>
  <si>
    <t>2026-08-12 09:12:09</t>
  </si>
  <si>
    <t>VJBW44</t>
  </si>
  <si>
    <t>2026-08-12 09:16:25</t>
  </si>
  <si>
    <t>TSYX47</t>
  </si>
  <si>
    <t>2026-08-12 13:17:17</t>
  </si>
  <si>
    <t>2026-08-12 13:18:17</t>
  </si>
  <si>
    <t>2026-08-12 13:19:02</t>
  </si>
  <si>
    <t>2026-08-12 13:20:02</t>
  </si>
  <si>
    <t>2026-08-12 13:22:26</t>
  </si>
  <si>
    <t>2026-08-12 13:24:29</t>
  </si>
  <si>
    <t>2026-08-12 13:26:42</t>
  </si>
  <si>
    <t>2026-08-13 05:31:14</t>
  </si>
  <si>
    <t>2026-08-14 07:16:19</t>
  </si>
  <si>
    <t>218 I</t>
  </si>
  <si>
    <t>TSSD34</t>
  </si>
  <si>
    <t>2026-08-17 07:57:21</t>
  </si>
  <si>
    <t>2026-08-17 08:09:55</t>
  </si>
  <si>
    <t>RZLY79</t>
  </si>
  <si>
    <t>2026-08-17 09:31:10</t>
  </si>
  <si>
    <t>2026-08-17 12:12:31</t>
  </si>
  <si>
    <t>2026-08-18 12:07:11</t>
  </si>
  <si>
    <t>ALL NEW BT-50</t>
  </si>
  <si>
    <t>SHXK47</t>
  </si>
  <si>
    <t>2026-08-18 12:11:54</t>
  </si>
  <si>
    <t>2026-08-19 07:26:51</t>
  </si>
  <si>
    <t>2026-08-19 08:36:32</t>
  </si>
  <si>
    <t>SLRL79</t>
  </si>
  <si>
    <t>2026-08-19 08:37:21</t>
  </si>
  <si>
    <t>NEW D1</t>
  </si>
  <si>
    <t>VTRG84</t>
  </si>
  <si>
    <t>2026-08-19 09:34:57</t>
  </si>
  <si>
    <t>PJVT91</t>
  </si>
  <si>
    <t>2026-08-19 12:12:20</t>
  </si>
  <si>
    <t>RYZZ25</t>
  </si>
  <si>
    <t>2026-08-19 14:49:55</t>
  </si>
  <si>
    <t>SYDP56</t>
  </si>
  <si>
    <t>2026-08-19 15:14:47</t>
  </si>
  <si>
    <t>RZSH28</t>
  </si>
  <si>
    <t>2026-08-20 06:28:15</t>
  </si>
  <si>
    <t>2026-08-20 06:37:06</t>
  </si>
  <si>
    <t>2026-08-21 07:15:36</t>
  </si>
  <si>
    <t>2026-08-21 09:32:37</t>
  </si>
  <si>
    <t>TGGL94</t>
  </si>
  <si>
    <t>2026-08-27 11:35:37</t>
  </si>
  <si>
    <t>TBCG99</t>
  </si>
  <si>
    <t>2026-08-29 15:36:28</t>
  </si>
  <si>
    <t>GDDG95</t>
  </si>
  <si>
    <t>12-09-2025 15:00:44</t>
  </si>
  <si>
    <t>VR3EBYHZ9TJ514671</t>
  </si>
  <si>
    <t>Rifter</t>
  </si>
  <si>
    <t>RIFTER MCA ALLURE Diesel 130hp AT</t>
  </si>
  <si>
    <t>1PK9CLTMK1JRA070059</t>
  </si>
  <si>
    <t>BPESTWN002704</t>
  </si>
  <si>
    <t>VKCY37</t>
  </si>
  <si>
    <t>10Q4EP0347273</t>
  </si>
  <si>
    <t>05-10-2025 21:25:13</t>
  </si>
  <si>
    <t>12-09-2025 15:22:18</t>
  </si>
  <si>
    <t>VXKUPHNKXT4000863</t>
  </si>
  <si>
    <t>Corsa MCA Edition Gasolina 100HP AT</t>
  </si>
  <si>
    <t>1GJOA5HL71J0A0F0018</t>
  </si>
  <si>
    <t>BOPAUTN000108</t>
  </si>
  <si>
    <t>VKCY43</t>
  </si>
  <si>
    <t>GRIS GSE</t>
  </si>
  <si>
    <t>10XVBB2453272</t>
  </si>
  <si>
    <t>05-10-2025 21:09:55</t>
  </si>
  <si>
    <t>27-12-2025 22:18:45</t>
  </si>
  <si>
    <t>VR3KAHPY3TS012523</t>
  </si>
  <si>
    <t>BPESTWN002763</t>
  </si>
  <si>
    <t>VVYY78</t>
  </si>
  <si>
    <t>10XR050002280</t>
  </si>
  <si>
    <t>27-12-2025 0:00:00</t>
  </si>
  <si>
    <t>12-09-2025 14:24:14</t>
  </si>
  <si>
    <t>VR3USHNS6SJ525435</t>
  </si>
  <si>
    <t>2008 MCA Style Gasolina 130hp MT</t>
  </si>
  <si>
    <t>1PP1SYHM6KJR2PG0000</t>
  </si>
  <si>
    <t>BPESTWN002701</t>
  </si>
  <si>
    <t>VKCY47</t>
  </si>
  <si>
    <t>10TMA60220138</t>
  </si>
  <si>
    <t>05-10-2025 20:51:32</t>
  </si>
  <si>
    <t>24-03-2025 10:46:04</t>
  </si>
  <si>
    <t>VR3EDYHT7TN500055</t>
  </si>
  <si>
    <t>Partner MCA L1 BlueHdi 100</t>
  </si>
  <si>
    <t>TCPE7</t>
  </si>
  <si>
    <t>CPEFRGN000018</t>
  </si>
  <si>
    <t>VBBD56</t>
  </si>
  <si>
    <t>BLANCO BLANC ICY</t>
  </si>
  <si>
    <t>10Q4EU0479175</t>
  </si>
  <si>
    <t>24-03-2025 10:45:51</t>
  </si>
  <si>
    <t>24-03-2025 10:03:39</t>
  </si>
  <si>
    <t>VR3KAHPY1SS006126</t>
  </si>
  <si>
    <t>CPESTWN000071</t>
  </si>
  <si>
    <t>VBBD42</t>
  </si>
  <si>
    <t>10ZA040054673</t>
  </si>
  <si>
    <t>24-03-2025 10:03:23</t>
  </si>
  <si>
    <t>23-09-2024 13:25:20</t>
  </si>
  <si>
    <t>VR3EDYHT2SJ514486</t>
  </si>
  <si>
    <t>CPEFRGN000016</t>
  </si>
  <si>
    <t>TSGB37</t>
  </si>
  <si>
    <t>10Q4EU0366595</t>
  </si>
  <si>
    <t>17-09-2024 0:00:00</t>
  </si>
  <si>
    <t>23-09-2024 13:25:03</t>
  </si>
  <si>
    <t>31-01-2026 11:21:40</t>
  </si>
  <si>
    <t>LNBMCUAK7TT189882</t>
  </si>
  <si>
    <t>X7 EXCLUSIVE</t>
  </si>
  <si>
    <t>B-X7EX</t>
  </si>
  <si>
    <t>CBAICSTWN000002</t>
  </si>
  <si>
    <t>PLATEADO NEGRO</t>
  </si>
  <si>
    <t>A156T2H*XD01S113135*</t>
  </si>
  <si>
    <t>31-01-2026 11:21:21</t>
  </si>
  <si>
    <t>LOCAL GILDEMEISTER COPIAPO</t>
  </si>
  <si>
    <t>27-10-2025 10:11:12</t>
  </si>
  <si>
    <t>LJ11PABD3SC023162</t>
  </si>
  <si>
    <t>T8 2.0T 4X4 DSL MT COMFORT</t>
  </si>
  <si>
    <t>T820T4X4MT-COM</t>
  </si>
  <si>
    <t>CJACMTN000001</t>
  </si>
  <si>
    <t>LOCAL GILDEMEISTER CPP AUTOS</t>
  </si>
  <si>
    <t>R4133378</t>
  </si>
  <si>
    <t>27-10-2025 0:00:00</t>
  </si>
  <si>
    <t>27-10-2025 10:10:59</t>
  </si>
  <si>
    <t>24-03-2025 10:31:57</t>
  </si>
  <si>
    <t>VR3UKZKWZSJ510930</t>
  </si>
  <si>
    <t>2008 MCA GT EV</t>
  </si>
  <si>
    <t>TCPE30</t>
  </si>
  <si>
    <t>CPESTWN000077</t>
  </si>
  <si>
    <t>107VAW0007220</t>
  </si>
  <si>
    <t>24-03-2025 10:31:45</t>
  </si>
  <si>
    <t>23-09-2025 12:46:31</t>
  </si>
  <si>
    <t>VR3FBYHZ3SY502526</t>
  </si>
  <si>
    <t>308 Allure Diesel 130hp AT</t>
  </si>
  <si>
    <t>TCPE45</t>
  </si>
  <si>
    <t>CPEAUTN000123</t>
  </si>
  <si>
    <t>VGWS84</t>
  </si>
  <si>
    <t>10Q3EJ2013110</t>
  </si>
  <si>
    <t>23-09-2025 0:00:00</t>
  </si>
  <si>
    <t>23-09-2025 12:44:57</t>
  </si>
  <si>
    <t>24-03-2025 10:18:58</t>
  </si>
  <si>
    <t>VR3KAHPY2SS009627</t>
  </si>
  <si>
    <t>New 3008 Allure MHEV 136 eDCT6</t>
  </si>
  <si>
    <t>TCPE29</t>
  </si>
  <si>
    <t>CPESTWN000075</t>
  </si>
  <si>
    <t>AZUL OBSESSION</t>
  </si>
  <si>
    <t>10ZA040094875</t>
  </si>
  <si>
    <t>24-03-2025 10:18:45</t>
  </si>
  <si>
    <t>27-10-2025 9:42:22</t>
  </si>
  <si>
    <t>LJ12EKS32S4705578</t>
  </si>
  <si>
    <t>JS4 1.5T CVT ADVANCE</t>
  </si>
  <si>
    <t>JS415TCVT-ADV</t>
  </si>
  <si>
    <t>CJASTWN000003</t>
  </si>
  <si>
    <t>VJTV59</t>
  </si>
  <si>
    <t>R3378662</t>
  </si>
  <si>
    <t>24-10-2025 0:00:00</t>
  </si>
  <si>
    <t>27-10-2025 9:42:00</t>
  </si>
  <si>
    <t>24-03-2025 10:34:51</t>
  </si>
  <si>
    <t>VR3UPHNE1S5001839</t>
  </si>
  <si>
    <t>208 MCA Style Puretech 100</t>
  </si>
  <si>
    <t>TCPE31</t>
  </si>
  <si>
    <t>CPEAUTN000121</t>
  </si>
  <si>
    <t>VBBD76</t>
  </si>
  <si>
    <t>AMARILLO AGUEDA</t>
  </si>
  <si>
    <t>10TMAA0592594</t>
  </si>
  <si>
    <t>24-03-2025 10:34:39</t>
  </si>
  <si>
    <t>28-10-2025 11:51:00</t>
  </si>
  <si>
    <t>VXKCSHPY2TT001040</t>
  </si>
  <si>
    <t>NEW CROSSLAND GS 5P HYBRID 136 HP AT</t>
  </si>
  <si>
    <t>1GO3SUPJHWGLA0B0171</t>
  </si>
  <si>
    <t>COPSTWN000022</t>
  </si>
  <si>
    <t>VLYK15</t>
  </si>
  <si>
    <t>10Z1AM0206953</t>
  </si>
  <si>
    <t>28-10-2025 0:00:00</t>
  </si>
  <si>
    <t>28-10-2025 11:50:47</t>
  </si>
  <si>
    <t>31-01-2026 10:04:55</t>
  </si>
  <si>
    <t>LNBRDFBK3TB680761</t>
  </si>
  <si>
    <t>BJ60 FLAGSHIP 7P MHEV (Mild Hybrid)</t>
  </si>
  <si>
    <t>B-B60-FG7</t>
  </si>
  <si>
    <t>CBAICSTWN000001</t>
  </si>
  <si>
    <t>ACP2980</t>
  </si>
  <si>
    <t>31-01-2026 10:04:39</t>
  </si>
  <si>
    <t>03-02-2025 12:09:47</t>
  </si>
  <si>
    <t>VR3KAHPY1SS006146</t>
  </si>
  <si>
    <t>CPESTWN000062</t>
  </si>
  <si>
    <t>TYWS92</t>
  </si>
  <si>
    <t>10ZA040056752</t>
  </si>
  <si>
    <t>31-01-2025 0:00:00</t>
  </si>
  <si>
    <t>03-02-2025 12:09:31</t>
  </si>
  <si>
    <t>30-04-2025 17:08:29</t>
  </si>
  <si>
    <t>VR3KAHPY9SS021323</t>
  </si>
  <si>
    <t>New 5008 Gt MHEV 136 eDCT6</t>
  </si>
  <si>
    <t>TCPE34</t>
  </si>
  <si>
    <t>CPESTWN000082</t>
  </si>
  <si>
    <t>VCRK22</t>
  </si>
  <si>
    <t>10XR000045986</t>
  </si>
  <si>
    <t>30-04-2025 0:00:00</t>
  </si>
  <si>
    <t>30-04-2025 17:08:15</t>
  </si>
  <si>
    <t>24-03-2025 10:11:14</t>
  </si>
  <si>
    <t>VR3USHNSKSJ511783</t>
  </si>
  <si>
    <t>2008 MCA Allure Puretech 130</t>
  </si>
  <si>
    <t>TCPE9</t>
  </si>
  <si>
    <t>CPESTWN000073</t>
  </si>
  <si>
    <t>VBBD35</t>
  </si>
  <si>
    <t>10TMA60193087</t>
  </si>
  <si>
    <t>24-03-2025 10:11:00</t>
  </si>
  <si>
    <t>03-02-2025 12:15:12</t>
  </si>
  <si>
    <t>VR3KAHPY1SS005762</t>
  </si>
  <si>
    <t>CPESTWN000064</t>
  </si>
  <si>
    <t>TYWT28</t>
  </si>
  <si>
    <t>10ZA040039215</t>
  </si>
  <si>
    <t>03-02-2025 12:14:57</t>
  </si>
  <si>
    <t>01-03-2024 10:01:09</t>
  </si>
  <si>
    <t>VR3USHNSSRJ521355</t>
  </si>
  <si>
    <t>1PP1SYPM61JRA0</t>
  </si>
  <si>
    <t>CPESTWN000030</t>
  </si>
  <si>
    <t>10XVBB2116969</t>
  </si>
  <si>
    <t>29-02-2024 0:00:00</t>
  </si>
  <si>
    <t>01-03-2024 10:00:55</t>
  </si>
  <si>
    <t>03-02-2025 11:00:56</t>
  </si>
  <si>
    <t>VR3USHPY5SJ521831</t>
  </si>
  <si>
    <t>CPESTWN000058</t>
  </si>
  <si>
    <t>10Z1AM0043649</t>
  </si>
  <si>
    <t>03-02-2025 11:00:23</t>
  </si>
  <si>
    <t>01-09-2026 16:37:35</t>
  </si>
  <si>
    <t>@@.//++./.+@+/..+</t>
  </si>
  <si>
    <t>TCIAUTU000138</t>
  </si>
  <si>
    <t>GRIS ARTENSE NEGRO</t>
  </si>
  <si>
    <t>10VQAC0018924</t>
  </si>
  <si>
    <t>935CCHMEERB515443</t>
  </si>
  <si>
    <t>GUSTAVO ADOLFO INOSTROZA MELLA</t>
  </si>
  <si>
    <t>01-09-2026 0:00:00</t>
  </si>
  <si>
    <t>01-09-2026 16:37:06</t>
  </si>
  <si>
    <t>01-09-2026 16:43:19</t>
  </si>
  <si>
    <t>LVVDB21B2RD108221</t>
  </si>
  <si>
    <t>TOMOSTWU000017</t>
  </si>
  <si>
    <t>TPTY64</t>
  </si>
  <si>
    <t>GRIS ACERADO TECHO NEGRO</t>
  </si>
  <si>
    <t>SQRE4T15CCHRB01885</t>
  </si>
  <si>
    <t>VICTOR MATIAS SALAS RIVERA</t>
  </si>
  <si>
    <t>01-09-2026 16:42:18</t>
  </si>
  <si>
    <t>01-09-2026 16:15:06</t>
  </si>
  <si>
    <t>LVVDB21B4 SD032393</t>
  </si>
  <si>
    <t>TOMOSTWU000016</t>
  </si>
  <si>
    <t>TSZB33</t>
  </si>
  <si>
    <t>AZUL INDIGO</t>
  </si>
  <si>
    <t>SQRE4T15CCHRH00682</t>
  </si>
  <si>
    <t>CAMILA ALEJANDRA EGUILUZ ALDUNATE</t>
  </si>
  <si>
    <t>01-09-2026 16:14:38</t>
  </si>
  <si>
    <t>01-09-2026 17:25:22</t>
  </si>
  <si>
    <t>LVVDB11B8SC008954</t>
  </si>
  <si>
    <t>TCYSTWU000368</t>
  </si>
  <si>
    <t>TTVX42</t>
  </si>
  <si>
    <t>ROJO METALIZADO</t>
  </si>
  <si>
    <t>SQRE4G15CBCRH00051</t>
  </si>
  <si>
    <t>ANGELICA MAGDALENA RODRIGUEZ JOFRE</t>
  </si>
  <si>
    <t>01-09-2026 17:24:50</t>
  </si>
  <si>
    <t>01-09-2026 16:55:12</t>
  </si>
  <si>
    <t>/..//+*+///++*...</t>
  </si>
  <si>
    <t>C3 1.5</t>
  </si>
  <si>
    <t>CIC315MTHDI</t>
  </si>
  <si>
    <t>TCISTWU000011</t>
  </si>
  <si>
    <t>PFRW44</t>
  </si>
  <si>
    <t>AE,CC,EE,ABS,AC,CRE,MAV,ACD,UD,DLL</t>
  </si>
  <si>
    <t>10Q4DF0006109</t>
  </si>
  <si>
    <t>VF7SXYHTUNT500202</t>
  </si>
  <si>
    <t>RODRIGO ANDRES SAINZ LOPEZ</t>
  </si>
  <si>
    <t>01-09-2026 16:53:40</t>
  </si>
  <si>
    <t>01-09-2026 18:15:01</t>
  </si>
  <si>
    <t>KNANC814BP6226370</t>
  </si>
  <si>
    <t>CARNIVAL EX GSL 3.5 AUT</t>
  </si>
  <si>
    <t>KICARNIEXGSL35AT</t>
  </si>
  <si>
    <t>TKISTWU001349</t>
  </si>
  <si>
    <t>AE,CC,EE,ABS,LL,4AB,AC,AISO,AAUTO,MAV,ACD,SR,DLL</t>
  </si>
  <si>
    <t>G6DUNA855831</t>
  </si>
  <si>
    <t>HECTOR RODRIGO CARRASCO HUERTA</t>
  </si>
  <si>
    <t>01-09-2026 18:14:31</t>
  </si>
  <si>
    <t>01-09-2026 16:09:53</t>
  </si>
  <si>
    <t>LJD3BA1DAR0022486</t>
  </si>
  <si>
    <t>TKISTWU001346</t>
  </si>
  <si>
    <t>TSZB88</t>
  </si>
  <si>
    <t>G4FLR1120351</t>
  </si>
  <si>
    <t>JUAN LUIS VILLALOBOS ORTIZ</t>
  </si>
  <si>
    <t>01-09-2026 16:09:22</t>
  </si>
  <si>
    <t>02-09-2026 17:54:42</t>
  </si>
  <si>
    <t>VR3KAHPY5 TS001135</t>
  </si>
  <si>
    <t>5008 MHEV 1.2 AUT</t>
  </si>
  <si>
    <t>PEU508MHEV12AT</t>
  </si>
  <si>
    <t>TPESTWU000479</t>
  </si>
  <si>
    <t>GRIS TITANE</t>
  </si>
  <si>
    <t>10ZA040115180</t>
  </si>
  <si>
    <t>ESTEBAN ARTURO  EXEQUIEL MOLINA SAN JUAN</t>
  </si>
  <si>
    <t>02-09-2026 0:00:00</t>
  </si>
  <si>
    <t>02-09-2026 17:51:33</t>
  </si>
  <si>
    <t>01-09-2026 15:31:58</t>
  </si>
  <si>
    <t>LSCBBZ2G3TG802268</t>
  </si>
  <si>
    <t>HUNTER 4X4 2.0</t>
  </si>
  <si>
    <t>CHAHUN4X420</t>
  </si>
  <si>
    <t>TCGCMTU000006</t>
  </si>
  <si>
    <t>VRHK60</t>
  </si>
  <si>
    <t>GW4D20M25171040038</t>
  </si>
  <si>
    <t>CLAUDIO ALFONSO ASTORGA PIZARRO</t>
  </si>
  <si>
    <t>01-09-2026 15:29:54</t>
  </si>
  <si>
    <t>01-09-2026 18:23:34</t>
  </si>
  <si>
    <t>JF1SK7LL5 NG163094</t>
  </si>
  <si>
    <t>TSUSTWU000407</t>
  </si>
  <si>
    <t>YS95225</t>
  </si>
  <si>
    <t>CARMEN PAZ CALABACERO MONROY</t>
  </si>
  <si>
    <t>01-09-2026 18:22:37</t>
  </si>
  <si>
    <t>01-09-2026 17:17:23</t>
  </si>
  <si>
    <t>LVVDB11B8 PE009758</t>
  </si>
  <si>
    <t>T2PU</t>
  </si>
  <si>
    <t>TCYSTWU000366</t>
  </si>
  <si>
    <t>SYXS64</t>
  </si>
  <si>
    <t>SQRD4G15BYNF61167</t>
  </si>
  <si>
    <t>CATALINA ESTER CARVAJAL CARVAJAL</t>
  </si>
  <si>
    <t>01-09-2026 17:15:14</t>
  </si>
  <si>
    <t>09-09-2026 17:44:34</t>
  </si>
  <si>
    <t>@@....+.+.//.+@.+</t>
  </si>
  <si>
    <t>MS201</t>
  </si>
  <si>
    <t>MS201 DCAB 1.2</t>
  </si>
  <si>
    <t>CHANMS201DCAB12</t>
  </si>
  <si>
    <t>TCGCMTU000007</t>
  </si>
  <si>
    <t>SDYB13</t>
  </si>
  <si>
    <t>JL473QN30F506261</t>
  </si>
  <si>
    <t>LSCAB23R1PG800690</t>
  </si>
  <si>
    <t>MAURICIO GILBERTO MONTERO GARCIA</t>
  </si>
  <si>
    <t>09-09-2026 0:00:00</t>
  </si>
  <si>
    <t>09-09-2026 17:43:48</t>
  </si>
  <si>
    <t>09-09-2026 15:56:42</t>
  </si>
  <si>
    <t>@.++/+.+@@//+.//@</t>
  </si>
  <si>
    <t>JCS2CE154X2MT</t>
  </si>
  <si>
    <t>TJASTWU000028</t>
  </si>
  <si>
    <t>LXPK37</t>
  </si>
  <si>
    <t>K3352416</t>
  </si>
  <si>
    <t>LJ12EKR27L4006977</t>
  </si>
  <si>
    <t>MARCELA CRISTINA AYLWIN FUENTEALBA</t>
  </si>
  <si>
    <t>09-09-2026 15:54:51</t>
  </si>
  <si>
    <t>14-09-2026 16:32:24</t>
  </si>
  <si>
    <t>VF3MCYHZU RS002687</t>
  </si>
  <si>
    <t>TPESTWU000480</t>
  </si>
  <si>
    <t>SWTL68</t>
  </si>
  <si>
    <t>10Q3EJ1692882</t>
  </si>
  <si>
    <t>CELSO IVAN CARTER OPAZO</t>
  </si>
  <si>
    <t>14-09-2026 0:00:00</t>
  </si>
  <si>
    <t>14-09-2026 16:29:53</t>
  </si>
  <si>
    <t>01-09-2026 18:04:53</t>
  </si>
  <si>
    <t>MZBFC814A PN301355</t>
  </si>
  <si>
    <t>SOU1</t>
  </si>
  <si>
    <t>TKISTWU001348</t>
  </si>
  <si>
    <t>AZUL IMPERIAL</t>
  </si>
  <si>
    <t>G4FLPV530789</t>
  </si>
  <si>
    <t>PAMELA ARLYNES CASTILLO ROJO</t>
  </si>
  <si>
    <t>01-09-2026 18:04:19</t>
  </si>
  <si>
    <t>01-09-2026 18:29:46</t>
  </si>
  <si>
    <t>3N1CN8AE3 PL808415</t>
  </si>
  <si>
    <t>VVMT1</t>
  </si>
  <si>
    <t>TNIAUTU000653</t>
  </si>
  <si>
    <t>SLWF35</t>
  </si>
  <si>
    <t>AZUL OSCURO PERLA</t>
  </si>
  <si>
    <t>HR16-635362V</t>
  </si>
  <si>
    <t>SERGIO ALEJANDRO TORREALBA SALAS</t>
  </si>
  <si>
    <t>01-09-2026 18:29:15</t>
  </si>
  <si>
    <t>09-09-2026 17:02:07</t>
  </si>
  <si>
    <t>9BD281F6M RYY80533</t>
  </si>
  <si>
    <t>RM700BHDC14</t>
  </si>
  <si>
    <t>TRACMTU000056</t>
  </si>
  <si>
    <t>SXLB66</t>
  </si>
  <si>
    <t>GRIS SILVERSTONE</t>
  </si>
  <si>
    <t>327A055 4881469</t>
  </si>
  <si>
    <t>MARIO NICASIO OLIVARES HIDALGO</t>
  </si>
  <si>
    <t>09-09-2026 17:01:08</t>
  </si>
  <si>
    <t>01-09-2026 17:10:21</t>
  </si>
  <si>
    <t>VXKUSHNSSRW001793</t>
  </si>
  <si>
    <t>OMK01</t>
  </si>
  <si>
    <t>TOPSTWU000019</t>
  </si>
  <si>
    <t>AZUL VOLTAIC BLUE MET</t>
  </si>
  <si>
    <t>AE,CC,EE,AAC,ABS,LL,VC,AISO,ACP,AAUTO,MAV,ACD</t>
  </si>
  <si>
    <t>10XVDW2144859</t>
  </si>
  <si>
    <t>ANGELO ANDRES NUÑEZ CONTRERAS</t>
  </si>
  <si>
    <t>01-09-2026 17:08:52</t>
  </si>
  <si>
    <t>01-09-2026 17:57:55</t>
  </si>
  <si>
    <t>@@@+.+//.+@+/+.@+</t>
  </si>
  <si>
    <t>H8Q</t>
  </si>
  <si>
    <t>THYSTWU000557</t>
  </si>
  <si>
    <t>SZTJ58</t>
  </si>
  <si>
    <t>G4FPPU404786</t>
  </si>
  <si>
    <t>KMHJB81BG PU227558</t>
  </si>
  <si>
    <t>MAITE IVELENE MELGAREJO ASTUDILLO</t>
  </si>
  <si>
    <t>01-09-2026 17:54:51</t>
  </si>
  <si>
    <t>09-09-2026 17:06:57</t>
  </si>
  <si>
    <t>LJXCU2BB6PTF08921</t>
  </si>
  <si>
    <t>TFOSTWU001432</t>
  </si>
  <si>
    <t>N8G070935</t>
  </si>
  <si>
    <t>JUAN ROBERTO CORDOVA HIDALGO</t>
  </si>
  <si>
    <t>09-09-2026 17:06:16</t>
  </si>
  <si>
    <t>14-09-2026 17:14:28</t>
  </si>
  <si>
    <t>3KPA241AANE396012</t>
  </si>
  <si>
    <t>O908</t>
  </si>
  <si>
    <t>TKIAUTU002225</t>
  </si>
  <si>
    <t>RBCZ22</t>
  </si>
  <si>
    <t>G4LCME701839</t>
  </si>
  <si>
    <t>SILVANO DEL TRANSITO BARRAZA ADAROS</t>
  </si>
  <si>
    <t>14-09-2026 17:13:07</t>
  </si>
  <si>
    <t>01-09-2026 18:11:30</t>
  </si>
  <si>
    <t>LVVDB11B5 NE010119</t>
  </si>
  <si>
    <t>TCYSTWU000369</t>
  </si>
  <si>
    <t>RJCV42</t>
  </si>
  <si>
    <t>SQRD4G15BYMG00467</t>
  </si>
  <si>
    <t>MARÍA ISABEL MONARDEZ RAMOS</t>
  </si>
  <si>
    <t>01-09-2026 18:10:53</t>
  </si>
  <si>
    <t>23-07-2026 17:30:30</t>
  </si>
  <si>
    <t>/////+*+//..+*...</t>
  </si>
  <si>
    <t>ZS 1.5L AUT</t>
  </si>
  <si>
    <t>MGZSFL15AT</t>
  </si>
  <si>
    <t>TMGSTWU000061</t>
  </si>
  <si>
    <t>15S4C8FGNB020830</t>
  </si>
  <si>
    <t>LSJW74U36PZ084069</t>
  </si>
  <si>
    <t>VIVANET SPA</t>
  </si>
  <si>
    <t>23-07-2026 0:00:00</t>
  </si>
  <si>
    <t>03-08-2026 16:34:00</t>
  </si>
  <si>
    <t>AE,CC,EE,LL,ESP,AC,AISO,ACD</t>
  </si>
  <si>
    <t>01-09-2026 17:02:54</t>
  </si>
  <si>
    <t>W0VZ45GY4 K6004417</t>
  </si>
  <si>
    <t>GL1</t>
  </si>
  <si>
    <t>TOPSTWU000018</t>
  </si>
  <si>
    <t>PLBS15</t>
  </si>
  <si>
    <t>AZUL TOPAZ BLUE</t>
  </si>
  <si>
    <t>10FJCG2608615</t>
  </si>
  <si>
    <t>NELSON ENRIQUE GONZALEZ PEREZ</t>
  </si>
  <si>
    <t>01-09-2026 17:02:05</t>
  </si>
  <si>
    <t>01-09-2026 16:29:33</t>
  </si>
  <si>
    <t>MA1NP2NN1R2070262</t>
  </si>
  <si>
    <t>XUV300</t>
  </si>
  <si>
    <t>XUV300 1.2</t>
  </si>
  <si>
    <t>MAHXU30012MT</t>
  </si>
  <si>
    <t>TMHSTWU000009</t>
  </si>
  <si>
    <t>TSSG48</t>
  </si>
  <si>
    <t>NNPZH14320</t>
  </si>
  <si>
    <t>PATRICIO HERNAN ANDRADES MARTINEZ</t>
  </si>
  <si>
    <t>01-09-2026 16:27:39</t>
  </si>
  <si>
    <t>14-09-2026 16:56:06</t>
  </si>
  <si>
    <t>KPAX62EESLP067782</t>
  </si>
  <si>
    <t>GRAND MUSSO</t>
  </si>
  <si>
    <t>GRAND MUSSO 2.2</t>
  </si>
  <si>
    <t>SSNGYOGRNDMUSSO22</t>
  </si>
  <si>
    <t>TSYCMTU000194</t>
  </si>
  <si>
    <t>LRWC17</t>
  </si>
  <si>
    <t>67296010512715</t>
  </si>
  <si>
    <t>PATRICIO ALEX ARAYA TABILO</t>
  </si>
  <si>
    <t>14-09-2026 16:53:32</t>
  </si>
  <si>
    <t>01-09-2026 17:03:10</t>
  </si>
  <si>
    <t>MZBFC814APN349640</t>
  </si>
  <si>
    <t>TKISTWU001347</t>
  </si>
  <si>
    <t>G4FLPV634265</t>
  </si>
  <si>
    <t>AILYN BETZABE GANGA DOTE</t>
  </si>
  <si>
    <t>01-09-2026 17:02:39</t>
  </si>
  <si>
    <t>01-09-2026 16:03:27</t>
  </si>
  <si>
    <t>LVZA53P90RAA28214</t>
  </si>
  <si>
    <t>DF56018MT</t>
  </si>
  <si>
    <t>TDFSTWU000058</t>
  </si>
  <si>
    <t>TVXJ86</t>
  </si>
  <si>
    <t>SFG18 24336116</t>
  </si>
  <si>
    <t>SERGIO MAXIMILIANO CHILCUMPA GONZALEZ</t>
  </si>
  <si>
    <t>01-09-2026 16:02:47</t>
  </si>
  <si>
    <t>06-04-2026 12:02:41</t>
  </si>
  <si>
    <t>LVVDB21B5SC004219</t>
  </si>
  <si>
    <t>TJAESTWU000004</t>
  </si>
  <si>
    <t>GRIS ARTEMIS</t>
  </si>
  <si>
    <t>AE,CC,EE,AAC,ABS,LL,TC,AISO,AAUTO,CRE,MAV,ACD,SR,U</t>
  </si>
  <si>
    <t>SQRF4J16CAHRE00160</t>
  </si>
  <si>
    <t>LVVDB21B5 SC004219</t>
  </si>
  <si>
    <t>JOSE LUIS ALE DAIRE CALLEGARI</t>
  </si>
  <si>
    <t>06-04-2026 12:01:30</t>
  </si>
  <si>
    <t>01-09-2026 18:33:47</t>
  </si>
  <si>
    <t>/////+++/./++*./.</t>
  </si>
  <si>
    <t>JAJSHB15MT</t>
  </si>
  <si>
    <t>TJASTWU000027</t>
  </si>
  <si>
    <t>RTLR76</t>
  </si>
  <si>
    <t>AE,CC,EE,2AB,ABS,AC,AISO,AAUTO,MAV,UD,DLL</t>
  </si>
  <si>
    <t>M3361895</t>
  </si>
  <si>
    <t>LJ12EKR29N4014145</t>
  </si>
  <si>
    <t>FELIPE IGNACIO CIFUENTES MONTECINOS</t>
  </si>
  <si>
    <t>01-09-2026 18:33:15</t>
  </si>
  <si>
    <t>02-09-2026 17:35:14</t>
  </si>
  <si>
    <t>VR3KAHPY7TS000858</t>
  </si>
  <si>
    <t>TPESTWU000478</t>
  </si>
  <si>
    <t>10XR000049806</t>
  </si>
  <si>
    <t>ANGELINA DANIELA CASANOVA GATICA</t>
  </si>
  <si>
    <t>02-09-2026 17:34:12</t>
  </si>
  <si>
    <t>14-09-2026 16:41:06</t>
  </si>
  <si>
    <t>@@+.//@++.@@@///+</t>
  </si>
  <si>
    <t>T8 PLUS DCAB 4X4 2.0</t>
  </si>
  <si>
    <t>JCT8PSDCAB4X420</t>
  </si>
  <si>
    <t>TJACMTU000008</t>
  </si>
  <si>
    <t>SSXS36</t>
  </si>
  <si>
    <t>N4127061</t>
  </si>
  <si>
    <t>LJ11PABD5 PC091793</t>
  </si>
  <si>
    <t>RAMON OSCAR URRA JIMENEZ</t>
  </si>
  <si>
    <t>14-09-2026 16:40:39</t>
  </si>
  <si>
    <t>14-09-2026 17:02:12</t>
  </si>
  <si>
    <t>8AFAR22P8LJ176026</t>
  </si>
  <si>
    <t>RANGER LTD 2.5</t>
  </si>
  <si>
    <t>01--JGD4E4</t>
  </si>
  <si>
    <t>TFOCMTN000005</t>
  </si>
  <si>
    <t>LYPC87</t>
  </si>
  <si>
    <t>EV2S LJ176026</t>
  </si>
  <si>
    <t>XIMENA VERONICA VERGARA FUENTES</t>
  </si>
  <si>
    <t>14-09-2026 16:59:22</t>
  </si>
  <si>
    <t>01-09-2026 15:45:26</t>
  </si>
  <si>
    <t>1FMUK8DH7 SGA83264</t>
  </si>
  <si>
    <t>TFOSTWU001430</t>
  </si>
  <si>
    <t>TXYY62</t>
  </si>
  <si>
    <t>SGA83264</t>
  </si>
  <si>
    <t>DAYAN ANALIA OPAZO CEPEDA</t>
  </si>
  <si>
    <t>01-09-2026 15:42:53</t>
  </si>
  <si>
    <t>15-07-2026 18:14:11</t>
  </si>
  <si>
    <t>1FMCU0MZ6 PUA51737</t>
  </si>
  <si>
    <t>ESCAPE DURA D4 2.5 AUT</t>
  </si>
  <si>
    <t>FOESD425AT</t>
  </si>
  <si>
    <t>TFOSTWU001419</t>
  </si>
  <si>
    <t>AE,CC,EE,AAC,ABS,LL,VC,ESP,AISO,ACP,AAUTO,CRE,ACD,</t>
  </si>
  <si>
    <t>PUA51737</t>
  </si>
  <si>
    <t>SEBASTIAN VICENTE ALATA ALEGRE</t>
  </si>
  <si>
    <t>15-07-2026 0:00:00</t>
  </si>
  <si>
    <t>15-07-2026 18:13:45</t>
  </si>
  <si>
    <t>01-09-2026 17:22:13</t>
  </si>
  <si>
    <t>LVVDB11B2ME005099</t>
  </si>
  <si>
    <t>TP88</t>
  </si>
  <si>
    <t>TCYSTWU000367</t>
  </si>
  <si>
    <t>PPPB53</t>
  </si>
  <si>
    <t>AE,EE,ABS,LL,AC,AISO,AAUTO,CRE,MAV,ACD,SR,UD,DLL</t>
  </si>
  <si>
    <t>SQRD4G15BAFLL00522</t>
  </si>
  <si>
    <t>NADIA DEL CARMEN DIAZ COLOMA</t>
  </si>
  <si>
    <t>01-09-2026 17:21:16</t>
  </si>
  <si>
    <t>27-01-2026 11:16:59</t>
  </si>
  <si>
    <t>LNNBBDEE5TC017013</t>
  </si>
  <si>
    <t>J7 1.5T Patagonia PHEV</t>
  </si>
  <si>
    <t>T7160F5ZKMH0010</t>
  </si>
  <si>
    <t>HJAESTWN000009</t>
  </si>
  <si>
    <t>GRIS PETROLEO CON TECHO NEGRO</t>
  </si>
  <si>
    <t>SQRH4J15CVSH60090</t>
  </si>
  <si>
    <t>27-01-2026 0:00:00</t>
  </si>
  <si>
    <t>27-01-2026 11:16:41</t>
  </si>
  <si>
    <t>02-10-2024 11:40:07</t>
  </si>
  <si>
    <t>27-09-2024 0:00:00</t>
  </si>
  <si>
    <t>19-11-2024 0:00:00</t>
  </si>
  <si>
    <t>27-11-2024 14:42:09</t>
  </si>
  <si>
    <t>01-02-2024 15:41:27</t>
  </si>
  <si>
    <t>29-01-2024 0:00:00</t>
  </si>
  <si>
    <t>23-04-2025 14:32:46</t>
  </si>
  <si>
    <t>02-09-2025 0:00:00</t>
  </si>
  <si>
    <t>23-05-2025 0:00:00</t>
  </si>
  <si>
    <t>23-04-2025 14:32:30</t>
  </si>
  <si>
    <t>02-09-2025 17:15:33</t>
  </si>
  <si>
    <t>02-09-2025 17:13:51</t>
  </si>
  <si>
    <t>07-10-2025 11:14:44</t>
  </si>
  <si>
    <t>67391000017590</t>
  </si>
  <si>
    <t>07-10-2025 0:00:00</t>
  </si>
  <si>
    <t>07-10-2025 11:14:20</t>
  </si>
  <si>
    <t>25-11-2025 15:24:48</t>
  </si>
  <si>
    <t>25-11-2025 15:24:04</t>
  </si>
  <si>
    <t>05-02-2024 14:29:38</t>
  </si>
  <si>
    <t>08-08-2025 0:00:00</t>
  </si>
  <si>
    <t>27-01-2026 11:30:47</t>
  </si>
  <si>
    <t>LVUGFB22XTDE53737</t>
  </si>
  <si>
    <t>C7 1.6T DCT Prestige</t>
  </si>
  <si>
    <t>T7161X9U</t>
  </si>
  <si>
    <t>HOMOSTWN000011</t>
  </si>
  <si>
    <t>SQRF4J16CBESH00719</t>
  </si>
  <si>
    <t>27-01-2026 11:30:34</t>
  </si>
  <si>
    <t>24-07-2025 12:10:22</t>
  </si>
  <si>
    <t>24-07-2025 0:00:00</t>
  </si>
  <si>
    <t>18-07-2025 0:00:00</t>
  </si>
  <si>
    <t>01-08-2025 12:19:25</t>
  </si>
  <si>
    <t>23-03-2026 13:14:32</t>
  </si>
  <si>
    <t>23-03-2026 0:00:00</t>
  </si>
  <si>
    <t>23-03-2026 13:14:14</t>
  </si>
  <si>
    <t>02-03-2020 13:27:28</t>
  </si>
  <si>
    <t>3316213</t>
  </si>
  <si>
    <t>29-02-2020 0:00:00</t>
  </si>
  <si>
    <t>30-03-2020 0:00:00</t>
  </si>
  <si>
    <t>02-03-2020 13:26:57</t>
  </si>
  <si>
    <t>27-01-2026 11:33:40</t>
  </si>
  <si>
    <t>LVVDB21B7TD018232</t>
  </si>
  <si>
    <t>C5 1.6T 7DCT PRESTIGE</t>
  </si>
  <si>
    <t>T7160CJX4FF0093</t>
  </si>
  <si>
    <t>HOMOSTWN000012</t>
  </si>
  <si>
    <t>BODEGA VEHICULO LOCAL SK COPIAPO</t>
  </si>
  <si>
    <t>SQRF4J16BJSG00083</t>
  </si>
  <si>
    <t>27-01-2026 11:33:27</t>
  </si>
  <si>
    <t>31-03-2026 20:59:31</t>
  </si>
  <si>
    <t>31-03-2026 0:00:00</t>
  </si>
  <si>
    <t>01-04-2026 11:19:13</t>
  </si>
  <si>
    <t>19-02-2025 16:35:35</t>
  </si>
  <si>
    <t>67391002105291</t>
  </si>
  <si>
    <t>19-02-2025 0:00:00</t>
  </si>
  <si>
    <t>20-02-2025 0:00:00</t>
  </si>
  <si>
    <t>20-02-2025 9:49:48</t>
  </si>
  <si>
    <t>18-11-2024 13:01:10</t>
  </si>
  <si>
    <t>18-12-2024 0:00:00</t>
  </si>
  <si>
    <t>18-11-2024 13:00:56</t>
  </si>
  <si>
    <t>12-01-2026 9:47:01</t>
  </si>
  <si>
    <t>12-01-2026 0:00:00</t>
  </si>
  <si>
    <t>22-12-2025 0:00:00</t>
  </si>
  <si>
    <t>12-01-2026 9:46:31</t>
  </si>
  <si>
    <t>22-05-2024 9:35:25</t>
  </si>
  <si>
    <t>21-06-2024 0:00:00</t>
  </si>
  <si>
    <t>22-05-2024 9:35:11</t>
  </si>
  <si>
    <t>30-01-2025 17:42:18</t>
  </si>
  <si>
    <t>12-02-2025 0:00:00</t>
  </si>
  <si>
    <t>17-02-2025 9:46:40</t>
  </si>
  <si>
    <t>04-09-2024 15:47:32</t>
  </si>
  <si>
    <t>04-09-2024 0:00:00</t>
  </si>
  <si>
    <t>04-09-2024 15:47:12</t>
  </si>
  <si>
    <t>08-04-2024 17:58:00</t>
  </si>
  <si>
    <t>08-04-2024 0:00:00</t>
  </si>
  <si>
    <t>08-04-2024 17:57:12</t>
  </si>
  <si>
    <t>24-04-2023 12:56:28</t>
  </si>
  <si>
    <t>24-04-2023 0:00:00</t>
  </si>
  <si>
    <t>24-04-2023 12:55:24</t>
  </si>
  <si>
    <t>2026-04-13 08:00:51</t>
  </si>
  <si>
    <t>2026-04-13 08:21:32</t>
  </si>
  <si>
    <t>KTDB48</t>
  </si>
  <si>
    <t>2026-04-13 11:33:23</t>
  </si>
  <si>
    <t>PLYP18</t>
  </si>
  <si>
    <t>2026-04-13 12:39:24</t>
  </si>
  <si>
    <t>2026-04-14 05:12:21</t>
  </si>
  <si>
    <t>POER PLUS</t>
  </si>
  <si>
    <t>SZCC46</t>
  </si>
  <si>
    <t>2026-04-14 08:06:48</t>
  </si>
  <si>
    <t>2026-04-14 08:48:13</t>
  </si>
  <si>
    <t>RDCL51</t>
  </si>
  <si>
    <t>2026-04-14 09:52:25</t>
  </si>
  <si>
    <t>DGLD36</t>
  </si>
  <si>
    <t>2026-04-14 10:00:48</t>
  </si>
  <si>
    <t>2026-04-14 10:30:25</t>
  </si>
  <si>
    <t>LVPG58</t>
  </si>
  <si>
    <t>2026-04-14 11:31:36</t>
  </si>
  <si>
    <t>2026-04-14 14:33:35</t>
  </si>
  <si>
    <t>RKKP74</t>
  </si>
  <si>
    <t>2026-04-14 14:54:07</t>
  </si>
  <si>
    <t>2026-04-15 06:47:49</t>
  </si>
  <si>
    <t>2026-04-15 07:23:52</t>
  </si>
  <si>
    <t>2026-04-15 07:44:51</t>
  </si>
  <si>
    <t>2026-04-15 07:45:25</t>
  </si>
  <si>
    <t>2026-04-15 15:19:25</t>
  </si>
  <si>
    <t>RHFL49</t>
  </si>
  <si>
    <t>2026-04-16 06:02:37</t>
  </si>
  <si>
    <t>2026-04-16 08:37:53</t>
  </si>
  <si>
    <t>TSGB58</t>
  </si>
  <si>
    <t>2026-04-17 12:38:03</t>
  </si>
  <si>
    <t>2026-04-20 08:09:07</t>
  </si>
  <si>
    <t>VKSV85</t>
  </si>
  <si>
    <t>2026-04-20 08:29:24</t>
  </si>
  <si>
    <t>2026-04-20 09:12:59</t>
  </si>
  <si>
    <t>2026-04-23 09:09:06</t>
  </si>
  <si>
    <t>2026-04-23 09:25:02</t>
  </si>
  <si>
    <t>2026-04-23 09:52:53</t>
  </si>
  <si>
    <t>2026-04-23 15:03:04</t>
  </si>
  <si>
    <t>2026-05-04 14:46:05</t>
  </si>
  <si>
    <t>2026-05-04 15:16:41</t>
  </si>
  <si>
    <t>2026-05-05 04:52:06</t>
  </si>
  <si>
    <t>2026-05-05 05:15:59</t>
  </si>
  <si>
    <t>2026-05-12 08:20:23</t>
  </si>
  <si>
    <t>2026-05-18 11:41:45</t>
  </si>
  <si>
    <t>2026-05-18 11:57:43</t>
  </si>
  <si>
    <t>2026-05-18 12:05:11</t>
  </si>
  <si>
    <t>2026-05-27 12:19:54</t>
  </si>
  <si>
    <t>2026-06-08 12:59:55</t>
  </si>
  <si>
    <t>2026-06-12 09:21:29</t>
  </si>
  <si>
    <t>2026-06-30 18:34:28</t>
  </si>
  <si>
    <t>2026-08-01 06:30:03</t>
  </si>
  <si>
    <t>SBWK44</t>
  </si>
  <si>
    <t>2026-08-01 07:28:47</t>
  </si>
  <si>
    <t>LXBP44</t>
  </si>
  <si>
    <t>2026-08-01 07:35:00</t>
  </si>
  <si>
    <t>RTJR17</t>
  </si>
  <si>
    <t>2026-08-03 06:00:43</t>
  </si>
  <si>
    <t>RKPF54</t>
  </si>
  <si>
    <t>2026-08-03 06:05:50</t>
  </si>
  <si>
    <t>PCTG52</t>
  </si>
  <si>
    <t>2026-08-03 06:08:04</t>
  </si>
  <si>
    <t>2026-08-03 06:08:59</t>
  </si>
  <si>
    <t>2026-08-03 07:46:38</t>
  </si>
  <si>
    <t>2026-08-03 07:48:33</t>
  </si>
  <si>
    <t>2026-08-03 08:00:47</t>
  </si>
  <si>
    <t>SRZG67</t>
  </si>
  <si>
    <t>2026-08-03 08:23:39</t>
  </si>
  <si>
    <t>2026-08-03 08:34:13</t>
  </si>
  <si>
    <t>RZJK81</t>
  </si>
  <si>
    <t>2026-08-03 08:55:09</t>
  </si>
  <si>
    <t>2026-08-03 09:16:17</t>
  </si>
  <si>
    <t>VHGC62</t>
  </si>
  <si>
    <t>2026-08-03 09:16:41</t>
  </si>
  <si>
    <t>2026-08-03 09:34:00</t>
  </si>
  <si>
    <t>2026-08-03 11:20:07</t>
  </si>
  <si>
    <t>NEW TRAVELLER</t>
  </si>
  <si>
    <t>VRHL57</t>
  </si>
  <si>
    <t>2026-08-03 11:35:44</t>
  </si>
  <si>
    <t>TTYT96</t>
  </si>
  <si>
    <t>2026-08-03 11:38:28</t>
  </si>
  <si>
    <t>SJKK96</t>
  </si>
  <si>
    <t>2026-08-03 11:43:48</t>
  </si>
  <si>
    <t>2026-08-03 12:05:45</t>
  </si>
  <si>
    <t>TPTW73</t>
  </si>
  <si>
    <t>2026-08-03 12:17:36</t>
  </si>
  <si>
    <t>TKHR31</t>
  </si>
  <si>
    <t>2026-08-03 12:19:31</t>
  </si>
  <si>
    <t>TGVG62</t>
  </si>
  <si>
    <t>2026-08-03 13:24:22</t>
  </si>
  <si>
    <t>TYWS13</t>
  </si>
  <si>
    <t>2026-08-03 13:25:29</t>
  </si>
  <si>
    <t>2026-08-03 13:30:53</t>
  </si>
  <si>
    <t>LLBR26</t>
  </si>
  <si>
    <t>2026-08-03 13:40:14</t>
  </si>
  <si>
    <t>SJJG46</t>
  </si>
  <si>
    <t>2026-08-03 13:41:42</t>
  </si>
  <si>
    <t>ALL NEW CX-5</t>
  </si>
  <si>
    <t>KGHV14</t>
  </si>
  <si>
    <t>2026-08-03 13:47:16</t>
  </si>
  <si>
    <t>PGXY23</t>
  </si>
  <si>
    <t>2026-08-03 13:49:58</t>
  </si>
  <si>
    <t>LHRS77</t>
  </si>
  <si>
    <t>2026-08-03 15:57:04</t>
  </si>
  <si>
    <t>2026-08-04 05:12:50</t>
  </si>
  <si>
    <t>2026-08-04 05:24:35</t>
  </si>
  <si>
    <t>PYDD30</t>
  </si>
  <si>
    <t>2026-08-04 05:52:05</t>
  </si>
  <si>
    <t>RLJR72</t>
  </si>
  <si>
    <t>2026-08-04 06:44:12</t>
  </si>
  <si>
    <t>RFFS28</t>
  </si>
  <si>
    <t>2026-08-04 06:50:11</t>
  </si>
  <si>
    <t>PGJC21</t>
  </si>
  <si>
    <t>2026-08-04 06:58:49</t>
  </si>
  <si>
    <t>2026-08-04 07:14:07</t>
  </si>
  <si>
    <t>RCHS93</t>
  </si>
  <si>
    <t>2026-08-04 07:29:40</t>
  </si>
  <si>
    <t>TYWV59</t>
  </si>
  <si>
    <t>2026-08-04 07:39:58</t>
  </si>
  <si>
    <t>TGVG47</t>
  </si>
  <si>
    <t>2026-08-04 07:52:41</t>
  </si>
  <si>
    <t>TJDC45</t>
  </si>
  <si>
    <t>2026-08-04 08:02:05</t>
  </si>
  <si>
    <t>JYKP37</t>
  </si>
  <si>
    <t>2026-08-04 08:26:21</t>
  </si>
  <si>
    <t>TJDB79</t>
  </si>
  <si>
    <t>2026-08-04 08:31:36</t>
  </si>
  <si>
    <t>RKPC55</t>
  </si>
  <si>
    <t>2026-08-04 08:38:22</t>
  </si>
  <si>
    <t>RTDY61</t>
  </si>
  <si>
    <t>2026-08-04 09:13:39</t>
  </si>
  <si>
    <t>TKHL48</t>
  </si>
  <si>
    <t>2026-08-04 09:13:40</t>
  </si>
  <si>
    <t>NUEVA WINGLE 7</t>
  </si>
  <si>
    <t>TWBJ52</t>
  </si>
  <si>
    <t>2026-08-04 09:15:28</t>
  </si>
  <si>
    <t>SPSZ79</t>
  </si>
  <si>
    <t>2026-08-04 11:42:27</t>
  </si>
  <si>
    <t>2026-08-04 12:21:27</t>
  </si>
  <si>
    <t>LBXP15</t>
  </si>
  <si>
    <t>2026-08-04 12:35:36</t>
  </si>
  <si>
    <t>2026-08-04 13:42:13</t>
  </si>
  <si>
    <t>VTRG89</t>
  </si>
  <si>
    <t>2026-08-04 13:46:44</t>
  </si>
  <si>
    <t>RKZT20</t>
  </si>
  <si>
    <t>2026-08-05 05:14:51</t>
  </si>
  <si>
    <t>SBJG40</t>
  </si>
  <si>
    <t>2026-08-05 05:57:42</t>
  </si>
  <si>
    <t>SXHX55</t>
  </si>
  <si>
    <t>2026-08-05 06:30:55</t>
  </si>
  <si>
    <t>SVGK91</t>
  </si>
  <si>
    <t>2026-08-05 06:55:43</t>
  </si>
  <si>
    <t>2026-08-05 06:57:00</t>
  </si>
  <si>
    <t>2026-08-05 07:37:58</t>
  </si>
  <si>
    <t>2026-08-05 08:26:25</t>
  </si>
  <si>
    <t>SDSG17</t>
  </si>
  <si>
    <t>2026-08-05 08:58:19</t>
  </si>
  <si>
    <t>TJDB82</t>
  </si>
  <si>
    <t>2026-08-05 11:40:22</t>
  </si>
  <si>
    <t>THXP94</t>
  </si>
  <si>
    <t>2026-08-05 11:43:28</t>
  </si>
  <si>
    <t>2026-08-05 12:05:48</t>
  </si>
  <si>
    <t>VJTS65</t>
  </si>
  <si>
    <t>2026-08-05 12:23:41</t>
  </si>
  <si>
    <t>2026-08-05 12:24:56</t>
  </si>
  <si>
    <t>KHRJ68</t>
  </si>
  <si>
    <t>2026-08-05 12:25:47</t>
  </si>
  <si>
    <t>VXTL80</t>
  </si>
  <si>
    <t>2026-08-05 12:34:38</t>
  </si>
  <si>
    <t>2026-08-05 12:35:17</t>
  </si>
  <si>
    <t>LLBL51</t>
  </si>
  <si>
    <t>2026-08-05 12:40:09</t>
  </si>
  <si>
    <t>SXHS64</t>
  </si>
  <si>
    <t>2026-08-05 12:47:44</t>
  </si>
  <si>
    <t>LJYH80</t>
  </si>
  <si>
    <t>2026-08-05 12:48:36</t>
  </si>
  <si>
    <t>PKCK38</t>
  </si>
  <si>
    <t>2026-08-05 13:19:12</t>
  </si>
  <si>
    <t>THXR10</t>
  </si>
  <si>
    <t>2026-08-05 13:30:07</t>
  </si>
  <si>
    <t>SANDERO</t>
  </si>
  <si>
    <t>FHPW73</t>
  </si>
  <si>
    <t>2026-08-05 13:31:54</t>
  </si>
  <si>
    <t>2026-08-05 13:51:01</t>
  </si>
  <si>
    <t>2026-08-05 13:52:53</t>
  </si>
  <si>
    <t>2026-08-05 14:39:18</t>
  </si>
  <si>
    <t>SWXG50</t>
  </si>
  <si>
    <t>2026-08-05 19:23:29</t>
  </si>
  <si>
    <t>TLXH93</t>
  </si>
  <si>
    <t>2026-08-05 19:39:59</t>
  </si>
  <si>
    <t>RRJL93</t>
  </si>
  <si>
    <t>2026-08-06 07:30:21</t>
  </si>
  <si>
    <t>2026-08-06 08:34:00</t>
  </si>
  <si>
    <t>2026-08-06 09:05:20</t>
  </si>
  <si>
    <t>2026-08-06 09:40:19</t>
  </si>
  <si>
    <t>2026-08-06 11:26:05</t>
  </si>
  <si>
    <t>JBJT80</t>
  </si>
  <si>
    <t>2026-08-06 11:54:55</t>
  </si>
  <si>
    <t>SPJG28</t>
  </si>
  <si>
    <t>2026-08-06 12:01:01</t>
  </si>
  <si>
    <t>RJDH19</t>
  </si>
  <si>
    <t>2026-08-06 12:12:27</t>
  </si>
  <si>
    <t>TCTX34</t>
  </si>
  <si>
    <t>2026-08-06 12:16:05</t>
  </si>
  <si>
    <t>2026-08-06 12:55:40</t>
  </si>
  <si>
    <t>TPTX66</t>
  </si>
  <si>
    <t>2026-08-06 13:28:56</t>
  </si>
  <si>
    <t>2026-08-06 13:33:56</t>
  </si>
  <si>
    <t>LVBT79</t>
  </si>
  <si>
    <t>2026-08-06 13:41:51</t>
  </si>
  <si>
    <t>2026-08-06 14:17:06</t>
  </si>
  <si>
    <t>PGSF57</t>
  </si>
  <si>
    <t>2026-08-07 05:47:29</t>
  </si>
  <si>
    <t>RBXW88</t>
  </si>
  <si>
    <t>2026-08-07 05:53:10</t>
  </si>
  <si>
    <t>RWVG95</t>
  </si>
  <si>
    <t>2026-08-07 05:59:15</t>
  </si>
  <si>
    <t>2026-08-07 06:13:35</t>
  </si>
  <si>
    <t>RKPP23</t>
  </si>
  <si>
    <t>2026-08-07 06:22:46</t>
  </si>
  <si>
    <t>SDRP80</t>
  </si>
  <si>
    <t>2026-08-07 06:33:05</t>
  </si>
  <si>
    <t>2026-08-07 07:25:42</t>
  </si>
  <si>
    <t>TTVX23</t>
  </si>
  <si>
    <t>2026-08-07 07:40:31</t>
  </si>
  <si>
    <t>STBS96</t>
  </si>
  <si>
    <t>2026-08-07 07:55:45</t>
  </si>
  <si>
    <t>RLVP80</t>
  </si>
  <si>
    <t>2026-08-07 08:13:48</t>
  </si>
  <si>
    <t>ACTYON SPORTS</t>
  </si>
  <si>
    <t>JDFB81</t>
  </si>
  <si>
    <t>2026-08-07 08:14:10</t>
  </si>
  <si>
    <t>SFSK97</t>
  </si>
  <si>
    <t>2026-08-07 08:15:42</t>
  </si>
  <si>
    <t>PBWG89</t>
  </si>
  <si>
    <t>2026-08-07 08:37:42</t>
  </si>
  <si>
    <t>SYXS70</t>
  </si>
  <si>
    <t>2026-08-07 08:40:58</t>
  </si>
  <si>
    <t>2026-08-07 08:47:42</t>
  </si>
  <si>
    <t>JTZT54</t>
  </si>
  <si>
    <t>2026-08-07 09:25:50</t>
  </si>
  <si>
    <t>VBRV36</t>
  </si>
  <si>
    <t>2026-08-07 09:27:26</t>
  </si>
  <si>
    <t>RZCH93</t>
  </si>
  <si>
    <t>2026-08-07 09:32:06</t>
  </si>
  <si>
    <t>RZYK90</t>
  </si>
  <si>
    <t>2026-08-07 09:41:01</t>
  </si>
  <si>
    <t>TKVB75</t>
  </si>
  <si>
    <t>2026-08-07 09:43:01</t>
  </si>
  <si>
    <t>LDWV35</t>
  </si>
  <si>
    <t>2026-08-07 11:32:56</t>
  </si>
  <si>
    <t>KJYH98</t>
  </si>
  <si>
    <t>2026-08-07 11:49:43</t>
  </si>
  <si>
    <t>TPTZ40</t>
  </si>
  <si>
    <t>2026-08-07 11:59:37</t>
  </si>
  <si>
    <t>TRTX26</t>
  </si>
  <si>
    <t>2026-08-07 12:20:35</t>
  </si>
  <si>
    <t>VBWW17</t>
  </si>
  <si>
    <t>2026-08-07 12:24:46</t>
  </si>
  <si>
    <t>2026-08-07 13:11:07</t>
  </si>
  <si>
    <t>2026-08-08 06:37:49</t>
  </si>
  <si>
    <t>2026-08-08 07:12:20</t>
  </si>
  <si>
    <t>HHYD33</t>
  </si>
  <si>
    <t>2026-08-08 07:13:28</t>
  </si>
  <si>
    <t>KJRH72</t>
  </si>
  <si>
    <t>2026-08-08 07:32:24</t>
  </si>
  <si>
    <t>2026-08-08 07:51:34</t>
  </si>
  <si>
    <t>2026-08-08 07:52:19</t>
  </si>
  <si>
    <t>RBCZ32</t>
  </si>
  <si>
    <t>2026-08-08 08:21:21</t>
  </si>
  <si>
    <t>2026-08-10 06:25:02</t>
  </si>
  <si>
    <t>2026-08-10 06:29:04</t>
  </si>
  <si>
    <t>2026-08-10 06:38:09</t>
  </si>
  <si>
    <t>2026-08-10 06:54:07</t>
  </si>
  <si>
    <t>2026-08-10 06:55:25</t>
  </si>
  <si>
    <t>2026-08-10 07:16:20</t>
  </si>
  <si>
    <t>2026-08-10 07:17:37</t>
  </si>
  <si>
    <t>2026-08-10 07:18:51</t>
  </si>
  <si>
    <t>TRTW48</t>
  </si>
  <si>
    <t>2026-08-10 07:32:08</t>
  </si>
  <si>
    <t>GPVR10</t>
  </si>
  <si>
    <t>2026-08-10 08:17:38</t>
  </si>
  <si>
    <t>PZJH48</t>
  </si>
  <si>
    <t>2026-08-10 08:18:14</t>
  </si>
  <si>
    <t>KFPP33</t>
  </si>
  <si>
    <t>2026-08-10 08:24:29</t>
  </si>
  <si>
    <t>LKYC11</t>
  </si>
  <si>
    <t>2026-08-10 08:29:50</t>
  </si>
  <si>
    <t>KWVL16</t>
  </si>
  <si>
    <t>2026-08-10 08:30:43</t>
  </si>
  <si>
    <t>2026-08-10 08:34:41</t>
  </si>
  <si>
    <t>2026-08-10 08:35:14</t>
  </si>
  <si>
    <t>VDHZ34</t>
  </si>
  <si>
    <t>2026-08-10 09:22:06</t>
  </si>
  <si>
    <t>2026-08-10 09:28:22</t>
  </si>
  <si>
    <t>SFDY75</t>
  </si>
  <si>
    <t>2026-08-10 11:33:40</t>
  </si>
  <si>
    <t>LKTT57</t>
  </si>
  <si>
    <t>2026-08-10 12:04:39</t>
  </si>
  <si>
    <t>KPKW30</t>
  </si>
  <si>
    <t>2026-08-10 12:55:39</t>
  </si>
  <si>
    <t>KDTY14</t>
  </si>
  <si>
    <t>2026-08-10 13:10:35</t>
  </si>
  <si>
    <t>2026-08-10 13:11:38</t>
  </si>
  <si>
    <t>2026-08-10 13:14:45</t>
  </si>
  <si>
    <t>2026-08-10 13:23:55</t>
  </si>
  <si>
    <t>X90 PLUS</t>
  </si>
  <si>
    <t>VCRK25</t>
  </si>
  <si>
    <t>2026-08-10 13:24:36</t>
  </si>
  <si>
    <t>2026-08-10 13:25:22</t>
  </si>
  <si>
    <t>KPZW37</t>
  </si>
  <si>
    <t>2026-08-10 14:02:15</t>
  </si>
  <si>
    <t>PRHK62</t>
  </si>
  <si>
    <t>2026-08-10 14:13:39</t>
  </si>
  <si>
    <t>2026-08-10 14:25:16</t>
  </si>
  <si>
    <t>TLRS10</t>
  </si>
  <si>
    <t>2026-08-10 14:27:02</t>
  </si>
  <si>
    <t>2026-08-11 05:37:53</t>
  </si>
  <si>
    <t>VVGY14</t>
  </si>
  <si>
    <t>2026-08-11 06:05:15</t>
  </si>
  <si>
    <t>SXGK12</t>
  </si>
  <si>
    <t>2026-08-11 06:16:25</t>
  </si>
  <si>
    <t>STYZ81</t>
  </si>
  <si>
    <t>2026-08-11 06:26:27</t>
  </si>
  <si>
    <t>JS2 PRO</t>
  </si>
  <si>
    <t>VVGZ77</t>
  </si>
  <si>
    <t>2026-08-11 06:44:38</t>
  </si>
  <si>
    <t>VLYJ47</t>
  </si>
  <si>
    <t>2026-08-11 07:26:17</t>
  </si>
  <si>
    <t>SWBW78</t>
  </si>
  <si>
    <t>2026-08-11 08:09:30</t>
  </si>
  <si>
    <t>SDPF29</t>
  </si>
  <si>
    <t>2026-08-11 08:54:21</t>
  </si>
  <si>
    <t>2026-08-11 09:22:27</t>
  </si>
  <si>
    <t>DPBS36</t>
  </si>
  <si>
    <t>2026-08-11 09:33:04</t>
  </si>
  <si>
    <t>2026-08-11 09:57:49</t>
  </si>
  <si>
    <t>2026-08-11 11:51:43</t>
  </si>
  <si>
    <t>2026-08-11 11:55:56</t>
  </si>
  <si>
    <t>RKGC74</t>
  </si>
  <si>
    <t>2026-08-11 12:10:41</t>
  </si>
  <si>
    <t>RBCZ13</t>
  </si>
  <si>
    <t>2026-08-11 12:31:56</t>
  </si>
  <si>
    <t>T52</t>
  </si>
  <si>
    <t>SSSP63</t>
  </si>
  <si>
    <t>2026-08-11 12:49:35</t>
  </si>
  <si>
    <t>2026-08-11 13:14:30</t>
  </si>
  <si>
    <t>SRVW50</t>
  </si>
  <si>
    <t>2026-08-11 14:07:40</t>
  </si>
  <si>
    <t>KLCC31</t>
  </si>
  <si>
    <t>2026-08-11 14:14:25</t>
  </si>
  <si>
    <t>VKJH77</t>
  </si>
  <si>
    <t>2026-08-11 14:54:03</t>
  </si>
  <si>
    <t>V40</t>
  </si>
  <si>
    <t>LVWY60</t>
  </si>
  <si>
    <t>2026-08-11 14:54:33</t>
  </si>
  <si>
    <t>2026-08-11 15:00:14</t>
  </si>
  <si>
    <t>RKSK22</t>
  </si>
  <si>
    <t>2026-08-12 06:33:42</t>
  </si>
  <si>
    <t>RPZJ82</t>
  </si>
  <si>
    <t>2026-08-12 06:52:46</t>
  </si>
  <si>
    <t>TSFY75</t>
  </si>
  <si>
    <t>2026-08-12 07:50:18</t>
  </si>
  <si>
    <t>2026-08-12 08:15:24</t>
  </si>
  <si>
    <t>2026-08-12 08:25:55</t>
  </si>
  <si>
    <t>2026-08-12 08:32:31</t>
  </si>
  <si>
    <t>2026-08-12 08:50:37</t>
  </si>
  <si>
    <t>PRZH56</t>
  </si>
  <si>
    <t>2026-08-12 09:00:44</t>
  </si>
  <si>
    <t>2026-08-12 11:16:31</t>
  </si>
  <si>
    <t>TDYK23</t>
  </si>
  <si>
    <t>2026-08-12 11:48:12</t>
  </si>
  <si>
    <t>VFTD51</t>
  </si>
  <si>
    <t>2026-08-12 12:01:04</t>
  </si>
  <si>
    <t>VKDD65</t>
  </si>
  <si>
    <t>2026-08-12 12:02:38</t>
  </si>
  <si>
    <t>RFKS28</t>
  </si>
  <si>
    <t>2026-08-12 12:19:40</t>
  </si>
  <si>
    <t>KRWF72</t>
  </si>
  <si>
    <t>2026-08-12 12:37:44</t>
  </si>
  <si>
    <t>PDXC36</t>
  </si>
  <si>
    <t>2026-08-12 13:08:42</t>
  </si>
  <si>
    <t>2026-08-12 13:11:29</t>
  </si>
  <si>
    <t>2026-08-12 13:17:45</t>
  </si>
  <si>
    <t>2026-08-12 13:18:26</t>
  </si>
  <si>
    <t>THRK38</t>
  </si>
  <si>
    <t>2026-08-12 13:20:58</t>
  </si>
  <si>
    <t>420 I</t>
  </si>
  <si>
    <t>RWYB28</t>
  </si>
  <si>
    <t>2026-08-12 13:24:19</t>
  </si>
  <si>
    <t>SYXV23</t>
  </si>
  <si>
    <t>2026-08-12 13:25:50</t>
  </si>
  <si>
    <t>TRJG40</t>
  </si>
  <si>
    <t>2026-08-12 13:52:58</t>
  </si>
  <si>
    <t>2026-08-12 14:03:35</t>
  </si>
  <si>
    <t>SGDP31</t>
  </si>
  <si>
    <t>2026-08-12 20:30:05</t>
  </si>
  <si>
    <t>2026-08-12 20:41:02</t>
  </si>
  <si>
    <t>2026-08-13 05:48:13</t>
  </si>
  <si>
    <t>2026-08-13 05:50:37</t>
  </si>
  <si>
    <t>2026-08-13 05:56:25</t>
  </si>
  <si>
    <t>ET90</t>
  </si>
  <si>
    <t>VSGC96</t>
  </si>
  <si>
    <t>2026-08-13 06:18:50</t>
  </si>
  <si>
    <t>2026-08-13 06:22:23</t>
  </si>
  <si>
    <t>RKGB17</t>
  </si>
  <si>
    <t>2026-08-13 06:22:48</t>
  </si>
  <si>
    <t>RGFJ19</t>
  </si>
  <si>
    <t>2026-08-13 06:25:40</t>
  </si>
  <si>
    <t>2026-08-13 07:28:24</t>
  </si>
  <si>
    <t>SFLY39</t>
  </si>
  <si>
    <t>2026-08-13 07:31:47</t>
  </si>
  <si>
    <t>TTYV18</t>
  </si>
  <si>
    <t>2026-08-13 07:49:12</t>
  </si>
  <si>
    <t>2026-08-13 08:01:23</t>
  </si>
  <si>
    <t>PZJP20</t>
  </si>
  <si>
    <t>2026-08-13 08:35:10</t>
  </si>
  <si>
    <t>2026-08-13 08:48:47</t>
  </si>
  <si>
    <t>2026-08-13 08:50:55</t>
  </si>
  <si>
    <t>2026-08-13 09:01:36</t>
  </si>
  <si>
    <t>NUEVO VOYAGE</t>
  </si>
  <si>
    <t>2026-08-13 09:32:36</t>
  </si>
  <si>
    <t>RDVW66</t>
  </si>
  <si>
    <t>2026-08-13 09:39:23</t>
  </si>
  <si>
    <t>2026-08-13 11:23:16</t>
  </si>
  <si>
    <t>TPHR81</t>
  </si>
  <si>
    <t>2026-08-13 11:35:18</t>
  </si>
  <si>
    <t>PYRZ55</t>
  </si>
  <si>
    <t>2026-08-13 11:38:28</t>
  </si>
  <si>
    <t>2026-08-13 11:43:08</t>
  </si>
  <si>
    <t>2026-08-13 12:02:01</t>
  </si>
  <si>
    <t>TLTS92</t>
  </si>
  <si>
    <t>2026-08-13 12:41:20</t>
  </si>
  <si>
    <t>TZSZ22</t>
  </si>
  <si>
    <t>2026-08-13 12:48:07</t>
  </si>
  <si>
    <t>SSHV79</t>
  </si>
  <si>
    <t>2026-08-13 12:57:06</t>
  </si>
  <si>
    <t>FWCR60</t>
  </si>
  <si>
    <t>2026-08-13 13:03:59</t>
  </si>
  <si>
    <t>2026-08-13 13:09:14</t>
  </si>
  <si>
    <t>TJYK68</t>
  </si>
  <si>
    <t>2026-08-13 13:12:17</t>
  </si>
  <si>
    <t>2026-08-13 13:13:14</t>
  </si>
  <si>
    <t>PFRY76</t>
  </si>
  <si>
    <t>2026-08-13 14:05:50</t>
  </si>
  <si>
    <t>2026-08-14 05:31:28</t>
  </si>
  <si>
    <t>TYWS63</t>
  </si>
  <si>
    <t>2026-08-14 06:13:39</t>
  </si>
  <si>
    <t>JZJW11</t>
  </si>
  <si>
    <t>2026-08-14 06:43:41</t>
  </si>
  <si>
    <t>VPZR31</t>
  </si>
  <si>
    <t>2026-08-14 07:00:16</t>
  </si>
  <si>
    <t>SWCG25</t>
  </si>
  <si>
    <t>2026-08-14 07:09:41</t>
  </si>
  <si>
    <t>2026-08-14 07:25:39</t>
  </si>
  <si>
    <t>PKTY24</t>
  </si>
  <si>
    <t>2026-08-14 07:41:33</t>
  </si>
  <si>
    <t>2026-08-14 07:58:35</t>
  </si>
  <si>
    <t>2026-08-14 08:37:30</t>
  </si>
  <si>
    <t>JVKS51</t>
  </si>
  <si>
    <t>2026-08-14 08:43:42</t>
  </si>
  <si>
    <t>SHBH51</t>
  </si>
  <si>
    <t>2026-08-14 08:52:50</t>
  </si>
  <si>
    <t>2026-08-14 08:53:57</t>
  </si>
  <si>
    <t>TPTY63</t>
  </si>
  <si>
    <t>2026-08-14 08:58:54</t>
  </si>
  <si>
    <t>RTWW33</t>
  </si>
  <si>
    <t>2026-08-14 09:07:50</t>
  </si>
  <si>
    <t>2026-08-14 09:08:19</t>
  </si>
  <si>
    <t>C3 NEW</t>
  </si>
  <si>
    <t>LDBW94</t>
  </si>
  <si>
    <t>2026-08-14 09:11:32</t>
  </si>
  <si>
    <t>GTKK76</t>
  </si>
  <si>
    <t>2026-08-14 09:25:43</t>
  </si>
  <si>
    <t>THRL35</t>
  </si>
  <si>
    <t>2026-08-14 09:46:15</t>
  </si>
  <si>
    <t>2026-08-14 11:40:58</t>
  </si>
  <si>
    <t>GHDT84</t>
  </si>
  <si>
    <t>2026-08-14 11:41:27</t>
  </si>
  <si>
    <t>2026-08-14 11:44:38</t>
  </si>
  <si>
    <t>2026-08-14 11:53:43</t>
  </si>
  <si>
    <t>2026-08-14 11:54:40</t>
  </si>
  <si>
    <t>2026-08-14 11:54:47</t>
  </si>
  <si>
    <t>2026-08-14 12:19:14</t>
  </si>
  <si>
    <t>2026-08-14 12:51:02</t>
  </si>
  <si>
    <t>2026-08-14 12:52:01</t>
  </si>
  <si>
    <t>LCVY94</t>
  </si>
  <si>
    <t>2026-08-14 13:06:24</t>
  </si>
  <si>
    <t>2026-08-14 13:09:55</t>
  </si>
  <si>
    <t>PRBD77</t>
  </si>
  <si>
    <t>2026-08-14 14:04:50</t>
  </si>
  <si>
    <t>KZRB33</t>
  </si>
  <si>
    <t>2026-08-14 14:06:20</t>
  </si>
  <si>
    <t>2026-08-14 14:19:58</t>
  </si>
  <si>
    <t>VTYL51</t>
  </si>
  <si>
    <t>2026-08-14 14:22:57</t>
  </si>
  <si>
    <t>VFTH94</t>
  </si>
  <si>
    <t>2026-08-15 09:15:47</t>
  </si>
  <si>
    <t>2026-08-17 06:25:29</t>
  </si>
  <si>
    <t>LDVL59</t>
  </si>
  <si>
    <t>2026-08-17 06:38:40</t>
  </si>
  <si>
    <t>2026-08-17 06:57:49</t>
  </si>
  <si>
    <t>TLXG73</t>
  </si>
  <si>
    <t>2026-08-17 06:59:09</t>
  </si>
  <si>
    <t>2026-08-17 07:26:31</t>
  </si>
  <si>
    <t>2026-08-17 07:27:13</t>
  </si>
  <si>
    <t>SLRJ84</t>
  </si>
  <si>
    <t>2026-08-17 07:39:24</t>
  </si>
  <si>
    <t>SSSC24</t>
  </si>
  <si>
    <t>2026-08-17 07:58:00</t>
  </si>
  <si>
    <t>LKYB95</t>
  </si>
  <si>
    <t>2026-08-17 08:18:30</t>
  </si>
  <si>
    <t>GLSB21</t>
  </si>
  <si>
    <t>2026-08-17 08:33:53</t>
  </si>
  <si>
    <t>RZXY30</t>
  </si>
  <si>
    <t>2026-08-17 08:37:32</t>
  </si>
  <si>
    <t>SKSY64</t>
  </si>
  <si>
    <t>2026-08-17 08:45:07</t>
  </si>
  <si>
    <t>2026-08-17 09:07:45</t>
  </si>
  <si>
    <t>THE NEW CRETA GRAND</t>
  </si>
  <si>
    <t>VPGJ27</t>
  </si>
  <si>
    <t>2026-08-17 09:08:50</t>
  </si>
  <si>
    <t>LTWS42</t>
  </si>
  <si>
    <t>2026-08-17 09:11:11</t>
  </si>
  <si>
    <t>RSYP46</t>
  </si>
  <si>
    <t>2026-08-17 11:43:19</t>
  </si>
  <si>
    <t>2026-08-17 12:02:53</t>
  </si>
  <si>
    <t>SYPZ79</t>
  </si>
  <si>
    <t>2026-08-17 12:07:28</t>
  </si>
  <si>
    <t>JRBG86</t>
  </si>
  <si>
    <t>2026-08-17 12:19:33</t>
  </si>
  <si>
    <t>KJYB88</t>
  </si>
  <si>
    <t>2026-08-17 12:26:04</t>
  </si>
  <si>
    <t>2026-08-17 12:52:22</t>
  </si>
  <si>
    <t>TLRS74</t>
  </si>
  <si>
    <t>2026-08-17 13:16:35</t>
  </si>
  <si>
    <t>2026-08-17 13:19:50</t>
  </si>
  <si>
    <t>RXZB97</t>
  </si>
  <si>
    <t>2026-08-17 13:33:08</t>
  </si>
  <si>
    <t>2026-08-17 13:34:10</t>
  </si>
  <si>
    <t>JDKH74</t>
  </si>
  <si>
    <t>2026-08-17 13:40:15</t>
  </si>
  <si>
    <t>TVXF96</t>
  </si>
  <si>
    <t>2026-08-17 13:47:18</t>
  </si>
  <si>
    <t>SCLF49</t>
  </si>
  <si>
    <t>2026-08-18 06:00:48</t>
  </si>
  <si>
    <t>SJVT88</t>
  </si>
  <si>
    <t>2026-08-18 06:12:44</t>
  </si>
  <si>
    <t>2026-08-18 06:24:19</t>
  </si>
  <si>
    <t>2026-08-18 06:26:39</t>
  </si>
  <si>
    <t>2026-08-18 07:10:17</t>
  </si>
  <si>
    <t>PKJP10</t>
  </si>
  <si>
    <t>2026-08-18 07:12:32</t>
  </si>
  <si>
    <t>TJHW88</t>
  </si>
  <si>
    <t>2026-08-18 07:38:01</t>
  </si>
  <si>
    <t>PBHV97</t>
  </si>
  <si>
    <t>2026-08-18 07:52:43</t>
  </si>
  <si>
    <t>TKPJ24</t>
  </si>
  <si>
    <t>2026-08-18 08:01:47</t>
  </si>
  <si>
    <t>TZTC39</t>
  </si>
  <si>
    <t>2026-08-18 08:16:02</t>
  </si>
  <si>
    <t>2026-08-18 08:46:42</t>
  </si>
  <si>
    <t>2026-08-18 08:59:40</t>
  </si>
  <si>
    <t>2026-08-18 09:04:16</t>
  </si>
  <si>
    <t>2026-08-18 09:11:18</t>
  </si>
  <si>
    <t>2026-08-18 11:14:19</t>
  </si>
  <si>
    <t>2026-08-18 11:45:17</t>
  </si>
  <si>
    <t>GSJV92</t>
  </si>
  <si>
    <t>2026-08-18 12:07:58</t>
  </si>
  <si>
    <t>THRK73</t>
  </si>
  <si>
    <t>2026-08-18 13:08:37</t>
  </si>
  <si>
    <t>TJLD65</t>
  </si>
  <si>
    <t>2026-08-18 13:25:31</t>
  </si>
  <si>
    <t>2026-08-18 13:27:26</t>
  </si>
  <si>
    <t>2026-08-19 06:07:56</t>
  </si>
  <si>
    <t>2026-08-19 06:38:38</t>
  </si>
  <si>
    <t>KFJK61</t>
  </si>
  <si>
    <t>2026-08-19 07:06:25</t>
  </si>
  <si>
    <t>RVRF54</t>
  </si>
  <si>
    <t>2026-08-19 07:28:40</t>
  </si>
  <si>
    <t>2026-08-19 07:34:48</t>
  </si>
  <si>
    <t>2026-08-19 08:16:53</t>
  </si>
  <si>
    <t>LDBP78</t>
  </si>
  <si>
    <t>2026-08-19 09:01:25</t>
  </si>
  <si>
    <t>2026-08-19 09:42:12</t>
  </si>
  <si>
    <t>TGFH75</t>
  </si>
  <si>
    <t>2026-08-19 11:20:16</t>
  </si>
  <si>
    <t>2026-08-19 11:55:05</t>
  </si>
  <si>
    <t>SPWR78</t>
  </si>
  <si>
    <t>2026-08-19 12:27:46</t>
  </si>
  <si>
    <t>2026-08-19 12:42:29</t>
  </si>
  <si>
    <t>JSLH67</t>
  </si>
  <si>
    <t>2026-08-19 13:34:36</t>
  </si>
  <si>
    <t>JBJP38</t>
  </si>
  <si>
    <t>2026-08-19 13:44:03</t>
  </si>
  <si>
    <t>2026-08-19 14:10:40</t>
  </si>
  <si>
    <t>JDKP74</t>
  </si>
  <si>
    <t>2026-08-19 14:33:39</t>
  </si>
  <si>
    <t>2026-08-20 05:30:38</t>
  </si>
  <si>
    <t>TGVH27</t>
  </si>
  <si>
    <t>2026-08-20 05:32:03</t>
  </si>
  <si>
    <t>2026-08-20 06:09:37</t>
  </si>
  <si>
    <t>2026-08-20 06:43:21</t>
  </si>
  <si>
    <t>2026-08-20 07:24:53</t>
  </si>
  <si>
    <t>LPXP48</t>
  </si>
  <si>
    <t>2026-08-20 08:10:24</t>
  </si>
  <si>
    <t>220 I</t>
  </si>
  <si>
    <t>LKYB43</t>
  </si>
  <si>
    <t>2026-08-20 08:10:53</t>
  </si>
  <si>
    <t>SDGC61</t>
  </si>
  <si>
    <t>2026-08-20 08:22:08</t>
  </si>
  <si>
    <t>LLBS59</t>
  </si>
  <si>
    <t>2026-08-20 08:38:04</t>
  </si>
  <si>
    <t>SCGS17</t>
  </si>
  <si>
    <t>2026-08-20 08:55:49</t>
  </si>
  <si>
    <t>PRZZ76</t>
  </si>
  <si>
    <t>2026-08-20 08:58:52</t>
  </si>
  <si>
    <t>2026-08-20 09:05:51</t>
  </si>
  <si>
    <t>2026-08-20 09:28:49</t>
  </si>
  <si>
    <t>VDWH70</t>
  </si>
  <si>
    <t>2026-08-20 11:19:33</t>
  </si>
  <si>
    <t>VLFV93</t>
  </si>
  <si>
    <t>2026-08-20 11:28:31</t>
  </si>
  <si>
    <t>RPFJ25</t>
  </si>
  <si>
    <t>2026-08-20 11:32:06</t>
  </si>
  <si>
    <t>2026-08-20 12:02:05</t>
  </si>
  <si>
    <t>2026-08-20 12:06:49</t>
  </si>
  <si>
    <t>2026-08-20 12:27:41</t>
  </si>
  <si>
    <t>SVGK93</t>
  </si>
  <si>
    <t>2026-08-20 12:48:06</t>
  </si>
  <si>
    <t>TCHY10</t>
  </si>
  <si>
    <t>2026-08-20 14:18:19</t>
  </si>
  <si>
    <t>2026-08-21 06:23:14</t>
  </si>
  <si>
    <t>2026-08-21 06:35:52</t>
  </si>
  <si>
    <t>2026-08-21 06:52:09</t>
  </si>
  <si>
    <t>RFBV98</t>
  </si>
  <si>
    <t>2026-08-21 07:20:07</t>
  </si>
  <si>
    <t>2026-08-21 07:42:18</t>
  </si>
  <si>
    <t>TZHT97</t>
  </si>
  <si>
    <t>2026-08-21 07:44:52</t>
  </si>
  <si>
    <t>THCY25</t>
  </si>
  <si>
    <t>2026-08-21 08:43:32</t>
  </si>
  <si>
    <t>TRTW36</t>
  </si>
  <si>
    <t>2026-08-21 09:27:14</t>
  </si>
  <si>
    <t>HXRC19</t>
  </si>
  <si>
    <t>2026-08-21 09:34:00</t>
  </si>
  <si>
    <t>2026-08-21 11:56:17</t>
  </si>
  <si>
    <t>SCWV30</t>
  </si>
  <si>
    <t>2026-08-21 12:23:36</t>
  </si>
  <si>
    <t>SSXR99</t>
  </si>
  <si>
    <t>2026-08-21 12:42:22</t>
  </si>
  <si>
    <t>2026-08-21 12:55:05</t>
  </si>
  <si>
    <t>SXYK73</t>
  </si>
  <si>
    <t>2026-08-21 12:57:47</t>
  </si>
  <si>
    <t>PRHK90</t>
  </si>
  <si>
    <t>2026-08-21 13:06:21</t>
  </si>
  <si>
    <t>KZWF29</t>
  </si>
  <si>
    <t>2026-08-21 13:09:32</t>
  </si>
  <si>
    <t>2026-08-21 13:24:33</t>
  </si>
  <si>
    <t>SBLH12</t>
  </si>
  <si>
    <t>2026-08-21 13:46:29</t>
  </si>
  <si>
    <t>2026-08-21 14:05:57</t>
  </si>
  <si>
    <t>REXTON ALL NEW</t>
  </si>
  <si>
    <t>2026-08-21 14:06:54</t>
  </si>
  <si>
    <t>2026-08-21 14:14:17</t>
  </si>
  <si>
    <t>VYXK63</t>
  </si>
  <si>
    <t>2026-08-21 14:15:36</t>
  </si>
  <si>
    <t>JWCD27</t>
  </si>
  <si>
    <t>2026-08-21 15:04:41</t>
  </si>
  <si>
    <t>LZDT74</t>
  </si>
  <si>
    <t>2026-08-22 07:13:24</t>
  </si>
  <si>
    <t>2026-08-22 08:02:33</t>
  </si>
  <si>
    <t>X50</t>
  </si>
  <si>
    <t>VVYY17</t>
  </si>
  <si>
    <t>2026-08-22 08:44:05</t>
  </si>
  <si>
    <t>VJBV61</t>
  </si>
  <si>
    <t>2026-08-22 09:27:51</t>
  </si>
  <si>
    <t>LVWY53</t>
  </si>
  <si>
    <t>2026-08-23 20:30:50</t>
  </si>
  <si>
    <t>KGLW67</t>
  </si>
  <si>
    <t>2026-08-23 20:48:44</t>
  </si>
  <si>
    <t>2026-08-24 05:11:56</t>
  </si>
  <si>
    <t>SLZJ29</t>
  </si>
  <si>
    <t>2026-08-24 05:48:14</t>
  </si>
  <si>
    <t>2026-08-24 06:02:17</t>
  </si>
  <si>
    <t>PJFZ86</t>
  </si>
  <si>
    <t>2026-08-24 06:09:34</t>
  </si>
  <si>
    <t>2026-08-24 06:12:51</t>
  </si>
  <si>
    <t>ATLAS</t>
  </si>
  <si>
    <t>KHWJ33</t>
  </si>
  <si>
    <t>2026-08-24 06:48:47</t>
  </si>
  <si>
    <t>2026-08-24 06:51:49</t>
  </si>
  <si>
    <t>SDKG97</t>
  </si>
  <si>
    <t>2026-08-24 07:03:21</t>
  </si>
  <si>
    <t>2026-08-24 07:10:45</t>
  </si>
  <si>
    <t>KZRZ39</t>
  </si>
  <si>
    <t>2026-08-24 07:45:20</t>
  </si>
  <si>
    <t>TRTX14</t>
  </si>
  <si>
    <t>2026-08-24 07:58:21</t>
  </si>
  <si>
    <t>GFZD30</t>
  </si>
  <si>
    <t>2026-08-24 07:59:42</t>
  </si>
  <si>
    <t>LGBL68</t>
  </si>
  <si>
    <t>2026-08-24 08:02:05</t>
  </si>
  <si>
    <t>LYLW82</t>
  </si>
  <si>
    <t>2026-08-24 08:07:07</t>
  </si>
  <si>
    <t>VYCK16</t>
  </si>
  <si>
    <t>2026-08-24 08:29:13</t>
  </si>
  <si>
    <t>TPJF31</t>
  </si>
  <si>
    <t>2026-08-24 08:36:55</t>
  </si>
  <si>
    <t>SFPB48</t>
  </si>
  <si>
    <t>2026-08-24 08:40:50</t>
  </si>
  <si>
    <t>SLJW26</t>
  </si>
  <si>
    <t>2026-08-24 08:46:35</t>
  </si>
  <si>
    <t>2026-08-24 08:58:29</t>
  </si>
  <si>
    <t>2026-08-24 09:20:53</t>
  </si>
  <si>
    <t>2026-08-24 09:23:55</t>
  </si>
  <si>
    <t>2026-08-24 09:24:41</t>
  </si>
  <si>
    <t>2026-08-24 09:33:55</t>
  </si>
  <si>
    <t>2026-08-24 10:02:13</t>
  </si>
  <si>
    <t>2026-08-24 10:37:14</t>
  </si>
  <si>
    <t>SRBV60</t>
  </si>
  <si>
    <t>2026-08-24 11:35:12</t>
  </si>
  <si>
    <t>TRTW76</t>
  </si>
  <si>
    <t>2026-08-24 11:39:49</t>
  </si>
  <si>
    <t>CROSSFOX</t>
  </si>
  <si>
    <t>BZHY49</t>
  </si>
  <si>
    <t>2026-08-24 11:47:13</t>
  </si>
  <si>
    <t>2026-08-24 11:49:15</t>
  </si>
  <si>
    <t>2026-08-24 11:51:11</t>
  </si>
  <si>
    <t>2026-08-24 11:52:31</t>
  </si>
  <si>
    <t>PKBL71</t>
  </si>
  <si>
    <t>2026-08-24 12:00:45</t>
  </si>
  <si>
    <t>TTYS98</t>
  </si>
  <si>
    <t>2026-08-24 12:44:01</t>
  </si>
  <si>
    <t>2026-08-24 13:07:38</t>
  </si>
  <si>
    <t>2026-08-24 13:20:38</t>
  </si>
  <si>
    <t>2026-08-24 13:22:39</t>
  </si>
  <si>
    <t>2026-08-24 13:31:02</t>
  </si>
  <si>
    <t>RLSH76</t>
  </si>
  <si>
    <t>2026-08-24 13:34:07</t>
  </si>
  <si>
    <t>2026-08-24 13:42:53</t>
  </si>
  <si>
    <t>TFRD28</t>
  </si>
  <si>
    <t>2026-08-24 13:45:01</t>
  </si>
  <si>
    <t>SRSK30</t>
  </si>
  <si>
    <t>2026-08-24 13:59:47</t>
  </si>
  <si>
    <t>2026-08-24 14:10:13</t>
  </si>
  <si>
    <t>PDGB13</t>
  </si>
  <si>
    <t>2026-08-24 17:39:33</t>
  </si>
  <si>
    <t>RXRX21</t>
  </si>
  <si>
    <t>2026-08-24 17:56:44</t>
  </si>
  <si>
    <t>2026-08-24 18:03:42</t>
  </si>
  <si>
    <t>2026-08-24 19:31:18</t>
  </si>
  <si>
    <t>LYLY82</t>
  </si>
  <si>
    <t>2026-08-24 23:33:24</t>
  </si>
  <si>
    <t>2026-08-25 06:13:52</t>
  </si>
  <si>
    <t>2026-08-25 06:20:24</t>
  </si>
  <si>
    <t>S60</t>
  </si>
  <si>
    <t>PFZZ25</t>
  </si>
  <si>
    <t>2026-08-25 07:22:44</t>
  </si>
  <si>
    <t>JSYB35</t>
  </si>
  <si>
    <t>2026-08-25 07:50:58</t>
  </si>
  <si>
    <t>2026-08-25 07:59:30</t>
  </si>
  <si>
    <t>2026-08-25 08:02:42</t>
  </si>
  <si>
    <t>VBRV85</t>
  </si>
  <si>
    <t>2026-08-25 08:07:27</t>
  </si>
  <si>
    <t>2026-08-25 08:24:10</t>
  </si>
  <si>
    <t>PPPB37</t>
  </si>
  <si>
    <t>2026-08-25 09:29:38</t>
  </si>
  <si>
    <t>2026-08-25 10:51:33</t>
  </si>
  <si>
    <t>2026-08-25 12:20:31</t>
  </si>
  <si>
    <t>LFLY67</t>
  </si>
  <si>
    <t>2026-08-25 12:32:31</t>
  </si>
  <si>
    <t>TBCR79</t>
  </si>
  <si>
    <t>2026-08-25 12:36:43</t>
  </si>
  <si>
    <t>RLZJ95</t>
  </si>
  <si>
    <t>2026-08-25 12:38:05</t>
  </si>
  <si>
    <t>2026-08-25 12:51:10</t>
  </si>
  <si>
    <t>2026-08-25 13:11:07</t>
  </si>
  <si>
    <t>2026-08-25 13:25:06</t>
  </si>
  <si>
    <t>PTSC99</t>
  </si>
  <si>
    <t>2026-08-25 13:43:06</t>
  </si>
  <si>
    <t>JHGD30</t>
  </si>
  <si>
    <t>2026-08-25 14:03:31</t>
  </si>
  <si>
    <t>SZYL68</t>
  </si>
  <si>
    <t>2026-08-25 14:36:11</t>
  </si>
  <si>
    <t>2026-08-26 06:04:22</t>
  </si>
  <si>
    <t>2026-08-26 06:33:47</t>
  </si>
  <si>
    <t>VKBG30</t>
  </si>
  <si>
    <t>2026-08-26 06:35:56</t>
  </si>
  <si>
    <t>2026-08-26 06:50:00</t>
  </si>
  <si>
    <t>TVXJ23</t>
  </si>
  <si>
    <t>2026-08-26 07:02:43</t>
  </si>
  <si>
    <t>2026-08-26 07:16:05</t>
  </si>
  <si>
    <t>2026-08-26 07:22:10</t>
  </si>
  <si>
    <t>2026-08-26 07:28:50</t>
  </si>
  <si>
    <t>TDYL65</t>
  </si>
  <si>
    <t>2026-08-26 07:41:39</t>
  </si>
  <si>
    <t>SZTF35</t>
  </si>
  <si>
    <t>2026-08-26 07:50:04</t>
  </si>
  <si>
    <t>JBJS92</t>
  </si>
  <si>
    <t>2026-08-26 07:51:52</t>
  </si>
  <si>
    <t>TYWV89</t>
  </si>
  <si>
    <t>2026-08-26 08:13:13</t>
  </si>
  <si>
    <t>2026-08-26 08:26:47</t>
  </si>
  <si>
    <t>LRWH69</t>
  </si>
  <si>
    <t>2026-08-26 08:27:53</t>
  </si>
  <si>
    <t>TVXF17</t>
  </si>
  <si>
    <t>2026-08-26 08:30:14</t>
  </si>
  <si>
    <t>2026-08-26 08:31:51</t>
  </si>
  <si>
    <t>2026-08-26 08:37:07</t>
  </si>
  <si>
    <t>2026-08-26 08:39:08</t>
  </si>
  <si>
    <t>2026-08-26 08:50:20</t>
  </si>
  <si>
    <t>TJHS31</t>
  </si>
  <si>
    <t>2026-08-26 08:56:42</t>
  </si>
  <si>
    <t>2026-08-26 09:49:40</t>
  </si>
  <si>
    <t>2026-08-26 11:36:10</t>
  </si>
  <si>
    <t>RPLJ45</t>
  </si>
  <si>
    <t>2026-08-26 11:37:04</t>
  </si>
  <si>
    <t>LLBV34</t>
  </si>
  <si>
    <t>2026-08-26 11:38:43</t>
  </si>
  <si>
    <t>JVKS39</t>
  </si>
  <si>
    <t>2026-08-26 11:42:07</t>
  </si>
  <si>
    <t>2026-08-26 11:58:37</t>
  </si>
  <si>
    <t>2026-08-26 12:01:19</t>
  </si>
  <si>
    <t>2026-08-26 12:03:04</t>
  </si>
  <si>
    <t>2026-08-26 12:16:38</t>
  </si>
  <si>
    <t>LZYF69</t>
  </si>
  <si>
    <t>2026-08-26 12:25:39</t>
  </si>
  <si>
    <t>ALL NEW L200</t>
  </si>
  <si>
    <t>LSVY21</t>
  </si>
  <si>
    <t>2026-08-26 12:38:27</t>
  </si>
  <si>
    <t>THST74</t>
  </si>
  <si>
    <t>2026-08-26 12:42:01</t>
  </si>
  <si>
    <t>VGPH75</t>
  </si>
  <si>
    <t>2026-08-26 12:51:19</t>
  </si>
  <si>
    <t>2026-08-26 12:52:49</t>
  </si>
  <si>
    <t>TPCL78</t>
  </si>
  <si>
    <t>2026-08-26 13:00:11</t>
  </si>
  <si>
    <t>TSFZ54</t>
  </si>
  <si>
    <t>2026-08-26 13:15:15</t>
  </si>
  <si>
    <t>2026-08-26 13:15:40</t>
  </si>
  <si>
    <t>RDHL64</t>
  </si>
  <si>
    <t>2026-08-26 13:55:58</t>
  </si>
  <si>
    <t>SPJC36</t>
  </si>
  <si>
    <t>2026-08-26 14:00:28</t>
  </si>
  <si>
    <t>2026-08-26 14:04:29</t>
  </si>
  <si>
    <t>2026-08-26 14:21:58</t>
  </si>
  <si>
    <t>TPTW90</t>
  </si>
  <si>
    <t>2026-08-26 14:52:15</t>
  </si>
  <si>
    <t>PDXF37</t>
  </si>
  <si>
    <t>2026-08-27 07:10:41</t>
  </si>
  <si>
    <t>TFCC74</t>
  </si>
  <si>
    <t>2026-08-27 07:13:11</t>
  </si>
  <si>
    <t>HYSL73</t>
  </si>
  <si>
    <t>2026-08-27 07:31:12</t>
  </si>
  <si>
    <t>SVGS18</t>
  </si>
  <si>
    <t>2026-08-27 08:17:39</t>
  </si>
  <si>
    <t>2026-08-27 08:24:09</t>
  </si>
  <si>
    <t>2026-08-27 08:26:19</t>
  </si>
  <si>
    <t>2026-08-27 08:26:25</t>
  </si>
  <si>
    <t>2026-08-27 09:05:02</t>
  </si>
  <si>
    <t>VXJX33</t>
  </si>
  <si>
    <t>2026-08-27 09:08:40</t>
  </si>
  <si>
    <t>KSRV65</t>
  </si>
  <si>
    <t>2026-08-27 09:23:47</t>
  </si>
  <si>
    <t>2026-08-27 10:30:43</t>
  </si>
  <si>
    <t>2026-08-27 11:56:55</t>
  </si>
  <si>
    <t>SCYT52</t>
  </si>
  <si>
    <t>2026-08-27 12:38:51</t>
  </si>
  <si>
    <t>2026-08-27 12:39:47</t>
  </si>
  <si>
    <t>PGGS55</t>
  </si>
  <si>
    <t>2026-08-27 12:43:48</t>
  </si>
  <si>
    <t>2026-08-27 13:53:38</t>
  </si>
  <si>
    <t>THRG84</t>
  </si>
  <si>
    <t>2026-08-27 14:03:40</t>
  </si>
  <si>
    <t>2026-08-27 14:07:59</t>
  </si>
  <si>
    <t>PBCK81</t>
  </si>
  <si>
    <t>2026-08-27 14:31:27</t>
  </si>
  <si>
    <t>2026-08-28 05:29:05</t>
  </si>
  <si>
    <t>KLTR20</t>
  </si>
  <si>
    <t>2026-08-28 05:29:30</t>
  </si>
  <si>
    <t>2026-08-28 05:42:06</t>
  </si>
  <si>
    <t>HFFP34</t>
  </si>
  <si>
    <t>2026-08-28 06:11:06</t>
  </si>
  <si>
    <t>2026-08-28 06:13:06</t>
  </si>
  <si>
    <t>VHFZ12</t>
  </si>
  <si>
    <t>2026-08-28 06:42:33</t>
  </si>
  <si>
    <t>THHJ46</t>
  </si>
  <si>
    <t>2026-08-28 07:54:26</t>
  </si>
  <si>
    <t>2026-08-28 07:56:50</t>
  </si>
  <si>
    <t>2026-08-28 08:58:04</t>
  </si>
  <si>
    <t>2026-08-28 09:07:24</t>
  </si>
  <si>
    <t>STBT11</t>
  </si>
  <si>
    <t>2026-08-28 09:22:41</t>
  </si>
  <si>
    <t>STSG34</t>
  </si>
  <si>
    <t>2026-08-28 09:39:31</t>
  </si>
  <si>
    <t>2026-08-28 09:58:19</t>
  </si>
  <si>
    <t>2026-08-28 11:20:46</t>
  </si>
  <si>
    <t>RPTF71</t>
  </si>
  <si>
    <t>2026-08-28 11:39:47</t>
  </si>
  <si>
    <t>2026-08-28 11:45:44</t>
  </si>
  <si>
    <t>GYDR26</t>
  </si>
  <si>
    <t>2026-08-28 12:10:51</t>
  </si>
  <si>
    <t>FLVC69</t>
  </si>
  <si>
    <t>2026-08-28 12:12:37</t>
  </si>
  <si>
    <t>2026-08-28 12:19:07</t>
  </si>
  <si>
    <t>PHJR31</t>
  </si>
  <si>
    <t>2026-08-28 12:21:32</t>
  </si>
  <si>
    <t>2026-08-28 12:44:07</t>
  </si>
  <si>
    <t>NEW CELERIO</t>
  </si>
  <si>
    <t>JKGY36</t>
  </si>
  <si>
    <t>2026-08-28 13:48:26</t>
  </si>
  <si>
    <t>LLBK28</t>
  </si>
  <si>
    <t>2026-08-29 06:53:54</t>
  </si>
  <si>
    <t>JPVD99</t>
  </si>
  <si>
    <t>2026-08-29 07:19:55</t>
  </si>
  <si>
    <t>RCRZ32</t>
  </si>
  <si>
    <t>2026-08-29 07:22:15</t>
  </si>
  <si>
    <t>TXYY60</t>
  </si>
  <si>
    <t>2026-08-29 07:46:13</t>
  </si>
  <si>
    <t>SZTL60</t>
  </si>
  <si>
    <t>2026-08-29 08:00:34</t>
  </si>
  <si>
    <t>2026-08-29 08:01:36</t>
  </si>
  <si>
    <t>SCWX74</t>
  </si>
  <si>
    <t>2026-08-29 08:12:16</t>
  </si>
  <si>
    <t>2026-08-29 09:05:04</t>
  </si>
  <si>
    <t>JXRS20</t>
  </si>
  <si>
    <t>2026-08-30 20:21:33</t>
  </si>
  <si>
    <t>RKFZ86</t>
  </si>
  <si>
    <t>2026-08-31 05:27:12</t>
  </si>
  <si>
    <t>SWBX43</t>
  </si>
  <si>
    <t>2026-08-31 05:51:18</t>
  </si>
  <si>
    <t>2026-08-31 06:43:37</t>
  </si>
  <si>
    <t>2026-08-31 06:45:01</t>
  </si>
  <si>
    <t>2026-08-31 06:53:29</t>
  </si>
  <si>
    <t>LXPT46</t>
  </si>
  <si>
    <t>2026-08-31 07:09:01</t>
  </si>
  <si>
    <t>2026-08-31 07:16:18</t>
  </si>
  <si>
    <t>PCFL10</t>
  </si>
  <si>
    <t>2026-08-31 07:21:54</t>
  </si>
  <si>
    <t>TKHS30</t>
  </si>
  <si>
    <t>2026-08-31 07:40:54</t>
  </si>
  <si>
    <t>RYJY75</t>
  </si>
  <si>
    <t>2026-08-31 08:03:50</t>
  </si>
  <si>
    <t>TBSJ90</t>
  </si>
  <si>
    <t>2026-08-31 08:16:18</t>
  </si>
  <si>
    <t>URBAN CRUISER</t>
  </si>
  <si>
    <t>FHHR72</t>
  </si>
  <si>
    <t>2026-08-31 08:26:47</t>
  </si>
  <si>
    <t>2026-08-31 08:54:49</t>
  </si>
  <si>
    <t>PTDJ26</t>
  </si>
  <si>
    <t>2026-08-31 09:35:54</t>
  </si>
  <si>
    <t>RFFT74</t>
  </si>
  <si>
    <t>2026-08-31 09:44:09</t>
  </si>
  <si>
    <t>VDYC77</t>
  </si>
  <si>
    <t>2026-08-31 11:42:06</t>
  </si>
  <si>
    <t>RJPJ54</t>
  </si>
  <si>
    <t>2026-08-31 12:14:00</t>
  </si>
  <si>
    <t>RDLJ59</t>
  </si>
  <si>
    <t>2026-08-31 12:42:32</t>
  </si>
  <si>
    <t>2026-08-31 12:45:47</t>
  </si>
  <si>
    <t>RRXG45</t>
  </si>
  <si>
    <t>2026-08-31 13:16:01</t>
  </si>
  <si>
    <t>TSKB12</t>
  </si>
  <si>
    <t>2026-08-31 13:58:49</t>
  </si>
  <si>
    <t>TTXC17</t>
  </si>
  <si>
    <t>2026-08-31 14:50:06</t>
  </si>
  <si>
    <t>RFKV44</t>
  </si>
  <si>
    <t>2026-09-01 05:32:19</t>
  </si>
  <si>
    <t>PRBD26</t>
  </si>
  <si>
    <t>2026-09-01 06:26:27</t>
  </si>
  <si>
    <t>2026-09-01 06:30:14</t>
  </si>
  <si>
    <t>SHDP91</t>
  </si>
  <si>
    <t>2026-09-01 06:31:50</t>
  </si>
  <si>
    <t>SHZL71</t>
  </si>
  <si>
    <t>2026-09-01 06:46:50</t>
  </si>
  <si>
    <t>RFVF34</t>
  </si>
  <si>
    <t>2026-09-01 08:06:34</t>
  </si>
  <si>
    <t>NUEVO S-PRESSO</t>
  </si>
  <si>
    <t>SWYJ31</t>
  </si>
  <si>
    <t>2026-09-01 08:38:10</t>
  </si>
  <si>
    <t>KDRD31</t>
  </si>
  <si>
    <t>2026-09-01 08:41:06</t>
  </si>
  <si>
    <t>SVRL19</t>
  </si>
  <si>
    <t>2026-09-01 11:18:42</t>
  </si>
  <si>
    <t>2026-09-01 11:32:44</t>
  </si>
  <si>
    <t>LDBL63</t>
  </si>
  <si>
    <t>2026-09-01 11:40:41</t>
  </si>
  <si>
    <t>2026-09-01 11:44:05</t>
  </si>
  <si>
    <t>PFSC25</t>
  </si>
  <si>
    <t>2026-09-01 11:58:48</t>
  </si>
  <si>
    <t>SHRV53</t>
  </si>
  <si>
    <t>2026-09-01 12:07:44</t>
  </si>
  <si>
    <t>2026-09-01 12:11:03</t>
  </si>
  <si>
    <t>TBVV35</t>
  </si>
  <si>
    <t>2026-09-01 13:21:28</t>
  </si>
  <si>
    <t>SLLG50</t>
  </si>
  <si>
    <t>2026-09-01 13:29:56</t>
  </si>
  <si>
    <t>LCLL28</t>
  </si>
  <si>
    <t>2026-09-01 13:37:01</t>
  </si>
  <si>
    <t>PFCS60</t>
  </si>
  <si>
    <t>2026-09-01 13:44:12</t>
  </si>
  <si>
    <t>2026-09-01 13:47:18</t>
  </si>
  <si>
    <t>2026-09-01 14:13:53</t>
  </si>
  <si>
    <t>SKHF50</t>
  </si>
  <si>
    <t>2026-09-02 04:57:22</t>
  </si>
  <si>
    <t>TVXH13</t>
  </si>
  <si>
    <t>2026-09-02 06:02:36</t>
  </si>
  <si>
    <t>TBCS59</t>
  </si>
  <si>
    <t>2026-09-02 07:33:06</t>
  </si>
  <si>
    <t>SWTX95</t>
  </si>
  <si>
    <t>2026-09-02 07:35:16</t>
  </si>
  <si>
    <t>SJKK13</t>
  </si>
  <si>
    <t>2026-09-02 07:36:17</t>
  </si>
  <si>
    <t>SZTK72</t>
  </si>
  <si>
    <t>2026-09-02 07:52:59</t>
  </si>
  <si>
    <t>2026-09-02 09:22:44</t>
  </si>
  <si>
    <t>2026-09-02 09:23:47</t>
  </si>
  <si>
    <t>PBCG19</t>
  </si>
  <si>
    <t>2026-09-02 11:16:44</t>
  </si>
  <si>
    <t>2026-09-02 12:34:28</t>
  </si>
  <si>
    <t>TBJD92</t>
  </si>
  <si>
    <t>2026-09-02 12:48:28</t>
  </si>
  <si>
    <t>MARCH II</t>
  </si>
  <si>
    <t>JXZZ78</t>
  </si>
  <si>
    <t>2026-09-02 14:18:59</t>
  </si>
  <si>
    <t>NEW SCORPIO</t>
  </si>
  <si>
    <t>JJHK25</t>
  </si>
  <si>
    <t>2026-09-03 05:22:36</t>
  </si>
  <si>
    <t>2026-09-03 05:38:43</t>
  </si>
  <si>
    <t>RSJD84</t>
  </si>
  <si>
    <t>2026-09-03 06:00:55</t>
  </si>
  <si>
    <t>2026-09-03 06:32:30</t>
  </si>
  <si>
    <t>SLZB87</t>
  </si>
  <si>
    <t>2026-09-03 06:54:55</t>
  </si>
  <si>
    <t>SPJD57</t>
  </si>
  <si>
    <t>2026-09-03 07:36:50</t>
  </si>
  <si>
    <t>2026-09-03 08:03:39</t>
  </si>
  <si>
    <t>KGLS86</t>
  </si>
  <si>
    <t>2026-09-03 08:12:27</t>
  </si>
  <si>
    <t>2026-09-03 08:52:22</t>
  </si>
  <si>
    <t>RYCT40</t>
  </si>
  <si>
    <t>2026-09-03 09:23:04</t>
  </si>
  <si>
    <t>2026-09-03 09:36:14</t>
  </si>
  <si>
    <t>VKCZ47</t>
  </si>
  <si>
    <t>2026-09-03 09:50:37</t>
  </si>
  <si>
    <t>RJPJ77</t>
  </si>
  <si>
    <t>2026-09-03 11:38:49</t>
  </si>
  <si>
    <t>CELERIO NEW</t>
  </si>
  <si>
    <t>KZKZ74</t>
  </si>
  <si>
    <t>2026-09-03 11:40:20</t>
  </si>
  <si>
    <t>RSLT90</t>
  </si>
  <si>
    <t>2026-09-03 11:54:31</t>
  </si>
  <si>
    <t>KZJZ74</t>
  </si>
  <si>
    <t>2026-09-03 12:14:27</t>
  </si>
  <si>
    <t>SX6</t>
  </si>
  <si>
    <t>RTCR55</t>
  </si>
  <si>
    <t>2026-09-03 12:26:20</t>
  </si>
  <si>
    <t>2026-09-03 12:38:38</t>
  </si>
  <si>
    <t>VDWS39</t>
  </si>
  <si>
    <t>2026-09-03 12:53:50</t>
  </si>
  <si>
    <t>SVGK38</t>
  </si>
  <si>
    <t>2026-09-03 13:12:23</t>
  </si>
  <si>
    <t>TBDF80</t>
  </si>
  <si>
    <t>2026-09-03 13:18:55</t>
  </si>
  <si>
    <t>2026-09-03 13:36:24</t>
  </si>
  <si>
    <t>2026-09-03 14:09:18</t>
  </si>
  <si>
    <t>SXHW41</t>
  </si>
  <si>
    <t>2026-09-03 14:16:01</t>
  </si>
  <si>
    <t>SXHX70</t>
  </si>
  <si>
    <t>2026-09-03 15:16:31</t>
  </si>
  <si>
    <t>VSWV27</t>
  </si>
  <si>
    <t>2026-09-03 15:25:26</t>
  </si>
  <si>
    <t>2026-09-03 15:28:23</t>
  </si>
  <si>
    <t>2026-09-03 15:30:23</t>
  </si>
  <si>
    <t>2026-09-03 15:31:28</t>
  </si>
  <si>
    <t>NEW COMMANDER</t>
  </si>
  <si>
    <t>VVYZ11</t>
  </si>
  <si>
    <t>2026-09-03 15:35:47</t>
  </si>
  <si>
    <t>2026-09-03 15:38:45</t>
  </si>
  <si>
    <t>VVHB97</t>
  </si>
  <si>
    <t>2026-09-03 15:42:00</t>
  </si>
  <si>
    <t>2026-09-03 17:09:28</t>
  </si>
  <si>
    <t>TBJD58</t>
  </si>
  <si>
    <t>2026-09-03 17:22:34</t>
  </si>
  <si>
    <t>TRWS93</t>
  </si>
  <si>
    <t>2026-09-03 17:32:08</t>
  </si>
  <si>
    <t>TDXK19</t>
  </si>
  <si>
    <t>2026-09-03 17:59:14</t>
  </si>
  <si>
    <t>SVRL13</t>
  </si>
  <si>
    <t>2026-09-03 18:21:05</t>
  </si>
  <si>
    <t>2026-09-04 05:37:57</t>
  </si>
  <si>
    <t>KLJJ78</t>
  </si>
  <si>
    <t>2026-09-04 06:10:14</t>
  </si>
  <si>
    <t>NEW COOLRAY</t>
  </si>
  <si>
    <t>SYXT10</t>
  </si>
  <si>
    <t>2026-09-04 06:25:19</t>
  </si>
  <si>
    <t>TJLD71</t>
  </si>
  <si>
    <t>2026-09-04 06:59:57</t>
  </si>
  <si>
    <t>TBJF24</t>
  </si>
  <si>
    <t>2026-09-04 07:07:14</t>
  </si>
  <si>
    <t>2026-09-04 07:16:14</t>
  </si>
  <si>
    <t>2026-09-04 07:20:29</t>
  </si>
  <si>
    <t>VBRV93</t>
  </si>
  <si>
    <t>2026-09-04 07:22:24</t>
  </si>
  <si>
    <t>2026-09-04 07:57:07</t>
  </si>
  <si>
    <t>2026-09-04 08:02:22</t>
  </si>
  <si>
    <t>2026-09-04 08:06:10</t>
  </si>
  <si>
    <t>KRWD56</t>
  </si>
  <si>
    <t>2026-09-04 08:51:59</t>
  </si>
  <si>
    <t>2026-09-04 09:47:03</t>
  </si>
  <si>
    <t>2026-09-04 11:18:40</t>
  </si>
  <si>
    <t>GRPL78</t>
  </si>
  <si>
    <t>2026-09-04 11:53:20</t>
  </si>
  <si>
    <t>SZTK24</t>
  </si>
  <si>
    <t>2026-09-04 13:16:50</t>
  </si>
  <si>
    <t>LGZR70</t>
  </si>
  <si>
    <t>2026-09-04 13:26:09</t>
  </si>
  <si>
    <t>NEW GROOVE</t>
  </si>
  <si>
    <t>VXXZ65</t>
  </si>
  <si>
    <t>2026-09-04 13:52:26</t>
  </si>
  <si>
    <t>SFLY30</t>
  </si>
  <si>
    <t>2026-09-04 14:06:14</t>
  </si>
  <si>
    <t>TBSZ85</t>
  </si>
  <si>
    <t>2026-09-05 06:43:32</t>
  </si>
  <si>
    <t>FKRP76</t>
  </si>
  <si>
    <t>2026-09-05 07:00:14</t>
  </si>
  <si>
    <t>RBXW31</t>
  </si>
  <si>
    <t>2026-09-05 07:44:49</t>
  </si>
  <si>
    <t>PJLL62</t>
  </si>
  <si>
    <t>2026-09-05 08:02:13</t>
  </si>
  <si>
    <t>2026-09-05 08:03:05</t>
  </si>
  <si>
    <t>2026-09-05 08:03:26</t>
  </si>
  <si>
    <t>RTFX73</t>
  </si>
  <si>
    <t>2026-09-05 08:12:52</t>
  </si>
  <si>
    <t>PFRJ60</t>
  </si>
  <si>
    <t>2026-09-05 08:47:33</t>
  </si>
  <si>
    <t>PTRR99</t>
  </si>
  <si>
    <t>2026-09-05 09:13:03</t>
  </si>
  <si>
    <t>RKPL65</t>
  </si>
  <si>
    <t>2026-09-06 08:53:56</t>
  </si>
  <si>
    <t>NEW GRAND AVENUE</t>
  </si>
  <si>
    <t>VRST34</t>
  </si>
  <si>
    <t>2026-09-07 06:45:51</t>
  </si>
  <si>
    <t>2026-09-07 06:52:01</t>
  </si>
  <si>
    <t>PPTZ90</t>
  </si>
  <si>
    <t>2026-09-07 07:00:26</t>
  </si>
  <si>
    <t>JPLX59</t>
  </si>
  <si>
    <t>2026-09-07 07:21:45</t>
  </si>
  <si>
    <t>2026-09-07 07:41:25</t>
  </si>
  <si>
    <t>2026-09-07 08:02:01</t>
  </si>
  <si>
    <t>2026-09-07 08:10:38</t>
  </si>
  <si>
    <t>2026-09-07 08:11:27</t>
  </si>
  <si>
    <t>TJLC89</t>
  </si>
  <si>
    <t>2026-09-07 08:52:57</t>
  </si>
  <si>
    <t>TVXP78</t>
  </si>
  <si>
    <t>2026-09-07 09:19:26</t>
  </si>
  <si>
    <t>SXLB19</t>
  </si>
  <si>
    <t>2026-09-07 09:32:04</t>
  </si>
  <si>
    <t>2026-09-07 09:35:32</t>
  </si>
  <si>
    <t>LJPH48</t>
  </si>
  <si>
    <t>2026-09-07 09:53:52</t>
  </si>
  <si>
    <t>2026-09-07 10:35:47</t>
  </si>
  <si>
    <t>VDWK70</t>
  </si>
  <si>
    <t>2026-09-07 12:06:33</t>
  </si>
  <si>
    <t>2026-09-07 12:36:51</t>
  </si>
  <si>
    <t>2026-09-07 12:48:15</t>
  </si>
  <si>
    <t>KFPR11</t>
  </si>
  <si>
    <t>2026-09-07 13:10:45</t>
  </si>
  <si>
    <t>TPJD74</t>
  </si>
  <si>
    <t>2026-09-07 13:32:58</t>
  </si>
  <si>
    <t>2026-09-07 13:47:42</t>
  </si>
  <si>
    <t>2026-09-07 14:02:33</t>
  </si>
  <si>
    <t>2026-09-07 14:11:36</t>
  </si>
  <si>
    <t>SLYZ69</t>
  </si>
  <si>
    <t>2026-09-07 14:47:01</t>
  </si>
  <si>
    <t>PKXD15</t>
  </si>
  <si>
    <t>2026-09-07 14:48:48</t>
  </si>
  <si>
    <t>SCGT36</t>
  </si>
  <si>
    <t>2026-09-07 15:23:45</t>
  </si>
  <si>
    <t>TSYX78</t>
  </si>
  <si>
    <t>2026-09-07 15:49:00</t>
  </si>
  <si>
    <t>SBYK45</t>
  </si>
  <si>
    <t>2026-09-08 07:51:20</t>
  </si>
  <si>
    <t>VJBV40</t>
  </si>
  <si>
    <t>2026-09-08 08:23:46</t>
  </si>
  <si>
    <t>RVRD51</t>
  </si>
  <si>
    <t>2026-09-08 08:24:11</t>
  </si>
  <si>
    <t>2026-09-08 08:35:41</t>
  </si>
  <si>
    <t>2026-09-08 08:51:54</t>
  </si>
  <si>
    <t>2026-09-08 09:11:53</t>
  </si>
  <si>
    <t>2026-09-08 09:16:31</t>
  </si>
  <si>
    <t>JXGC16</t>
  </si>
  <si>
    <t>2026-09-08 09:26:22</t>
  </si>
  <si>
    <t>TXYW44</t>
  </si>
  <si>
    <t>2026-09-08 09:28:32</t>
  </si>
  <si>
    <t>2026-09-08 09:35:16</t>
  </si>
  <si>
    <t>2026-09-08 09:38:52</t>
  </si>
  <si>
    <t>LDVY15</t>
  </si>
  <si>
    <t>2026-09-08 09:58:51</t>
  </si>
  <si>
    <t>VYXL72</t>
  </si>
  <si>
    <t>2026-09-08 10:17:29</t>
  </si>
  <si>
    <t>2026-09-08 11:10:09</t>
  </si>
  <si>
    <t>VPCB42</t>
  </si>
  <si>
    <t>2026-09-08 12:37:40</t>
  </si>
  <si>
    <t>2026-09-08 12:51:07</t>
  </si>
  <si>
    <t>NUEVO GLA200</t>
  </si>
  <si>
    <t>VFCX28</t>
  </si>
  <si>
    <t>2026-09-08 13:10:25</t>
  </si>
  <si>
    <t>TXYZ53</t>
  </si>
  <si>
    <t>2026-09-08 13:14:39</t>
  </si>
  <si>
    <t>TERRANO</t>
  </si>
  <si>
    <t>ZA5498</t>
  </si>
  <si>
    <t>2026-09-08 13:21:43</t>
  </si>
  <si>
    <t>TGVJ53</t>
  </si>
  <si>
    <t>2026-09-08 13:41:41</t>
  </si>
  <si>
    <t>2026-09-08 13:55:05</t>
  </si>
  <si>
    <t>2026-09-08 14:21:28</t>
  </si>
  <si>
    <t>2026-09-08 14:31:18</t>
  </si>
  <si>
    <t>2026-09-08 14:40:24</t>
  </si>
  <si>
    <t>TDYJ54</t>
  </si>
  <si>
    <t>2026-09-08 14:57:28</t>
  </si>
  <si>
    <t>CR-V</t>
  </si>
  <si>
    <t>RTLX70</t>
  </si>
  <si>
    <t>2026-09-08 15:05:54</t>
  </si>
  <si>
    <t>2026-09-08 15:54:44</t>
  </si>
  <si>
    <t>LWWR29</t>
  </si>
  <si>
    <t>2026-09-09 06:31:47</t>
  </si>
  <si>
    <t>RVPY62</t>
  </si>
  <si>
    <t>2026-09-09 07:00:02</t>
  </si>
  <si>
    <t>2026-09-09 07:38:35</t>
  </si>
  <si>
    <t>SRHB48</t>
  </si>
  <si>
    <t>2026-09-09 07:59:05</t>
  </si>
  <si>
    <t>2026-09-09 08:19:09</t>
  </si>
  <si>
    <t>PKDZ42</t>
  </si>
  <si>
    <t>2026-09-09 08:24:06</t>
  </si>
  <si>
    <t>RGHD60</t>
  </si>
  <si>
    <t>2026-09-09 08:26:20</t>
  </si>
  <si>
    <t>LRVV98</t>
  </si>
  <si>
    <t>2026-09-09 09:12:58</t>
  </si>
  <si>
    <t>SCLP56</t>
  </si>
  <si>
    <t>2026-09-09 09:20:46</t>
  </si>
  <si>
    <t>HYFS57</t>
  </si>
  <si>
    <t>2026-09-09 09:27:27</t>
  </si>
  <si>
    <t>2026-09-09 09:32:43</t>
  </si>
  <si>
    <t>LSJC73</t>
  </si>
  <si>
    <t>2026-09-09 10:14:46</t>
  </si>
  <si>
    <t>TPTW74</t>
  </si>
  <si>
    <t>2026-09-09 10:15:50</t>
  </si>
  <si>
    <t>SPSH98</t>
  </si>
  <si>
    <t>2026-09-09 12:53:30</t>
  </si>
  <si>
    <t>2026-09-09 13:22:24</t>
  </si>
  <si>
    <t>TZHS21</t>
  </si>
  <si>
    <t>2026-09-09 13:28:39</t>
  </si>
  <si>
    <t>2026-09-09 14:08:38</t>
  </si>
  <si>
    <t>2026-09-09 14:09:06</t>
  </si>
  <si>
    <t>PZJF88</t>
  </si>
  <si>
    <t>2026-09-09 14:21:19</t>
  </si>
  <si>
    <t>JDKB13</t>
  </si>
  <si>
    <t>2026-09-09 14:23:53</t>
  </si>
  <si>
    <t>PBKF96</t>
  </si>
  <si>
    <t>2026-09-09 14:28:57</t>
  </si>
  <si>
    <t>TRJD16</t>
  </si>
  <si>
    <t>2026-09-09 14:39:02</t>
  </si>
  <si>
    <t>TFGP33</t>
  </si>
  <si>
    <t>2026-09-09 14:55:50</t>
  </si>
  <si>
    <t>2026-09-09 14:58:36</t>
  </si>
  <si>
    <t>KFRC37</t>
  </si>
  <si>
    <t>2026-09-09 15:09:23</t>
  </si>
  <si>
    <t>KONA</t>
  </si>
  <si>
    <t>SJVT28</t>
  </si>
  <si>
    <t>2026-09-09 15:23:14</t>
  </si>
  <si>
    <t>RCRD50</t>
  </si>
  <si>
    <t>2026-09-09 15:55:00</t>
  </si>
  <si>
    <t>TFTC74</t>
  </si>
  <si>
    <t>2026-09-09 19:17:55</t>
  </si>
  <si>
    <t>2026-09-10 06:40:48</t>
  </si>
  <si>
    <t>2026-09-10 06:52:03</t>
  </si>
  <si>
    <t>2026-09-10 07:03:16</t>
  </si>
  <si>
    <t>2026-09-10 07:32:11</t>
  </si>
  <si>
    <t>PCDY44</t>
  </si>
  <si>
    <t>2026-09-10 07:36:46</t>
  </si>
  <si>
    <t>TRJF33</t>
  </si>
  <si>
    <t>2026-09-10 07:40:10</t>
  </si>
  <si>
    <t>NEW HR-V</t>
  </si>
  <si>
    <t>TDYP46</t>
  </si>
  <si>
    <t>2026-09-10 07:52:18</t>
  </si>
  <si>
    <t>LSYD61</t>
  </si>
  <si>
    <t>2026-09-10 08:53:35</t>
  </si>
  <si>
    <t>VTYP66</t>
  </si>
  <si>
    <t>2026-09-10 08:54:47</t>
  </si>
  <si>
    <t>TSZC24</t>
  </si>
  <si>
    <t>2026-09-10 08:58:16</t>
  </si>
  <si>
    <t>PSST30</t>
  </si>
  <si>
    <t>2026-09-10 08:58:46</t>
  </si>
  <si>
    <t>2026-09-10 08:59:20</t>
  </si>
  <si>
    <t>2026-09-10 09:23:49</t>
  </si>
  <si>
    <t>2026-09-10 09:52:37</t>
  </si>
  <si>
    <t>PHFY64</t>
  </si>
  <si>
    <t>2026-09-10 09:57:58</t>
  </si>
  <si>
    <t>2026-09-10 10:25:13</t>
  </si>
  <si>
    <t>DZIRE NEW</t>
  </si>
  <si>
    <t>JPZP59</t>
  </si>
  <si>
    <t>2026-09-10 10:29:36</t>
  </si>
  <si>
    <t>TDYG83</t>
  </si>
  <si>
    <t>2026-09-10 13:08:05</t>
  </si>
  <si>
    <t>2026-09-10 13:10:52</t>
  </si>
  <si>
    <t>SSGY47</t>
  </si>
  <si>
    <t>2026-09-10 13:36:47</t>
  </si>
  <si>
    <t>RWYC30</t>
  </si>
  <si>
    <t>2026-09-10 13:57:22</t>
  </si>
  <si>
    <t>GLC250</t>
  </si>
  <si>
    <t>JCRX53</t>
  </si>
  <si>
    <t>2026-09-10 14:00:08</t>
  </si>
  <si>
    <t>2026-09-10 14:14:01</t>
  </si>
  <si>
    <t>TCLT77</t>
  </si>
  <si>
    <t>2026-09-10 14:29:54</t>
  </si>
  <si>
    <t>RPZK74</t>
  </si>
  <si>
    <t>2026-09-10 14:46:04</t>
  </si>
  <si>
    <t>2026-09-10 14:46:52</t>
  </si>
  <si>
    <t>2026-09-10 14:46:57</t>
  </si>
  <si>
    <t>2026-09-10 15:20:47</t>
  </si>
  <si>
    <t>LDJJ14</t>
  </si>
  <si>
    <t>2026-09-10 16:01:11</t>
  </si>
  <si>
    <t>PTSD90</t>
  </si>
  <si>
    <t>2026-09-11 06:27:20</t>
  </si>
  <si>
    <t>JKRZ78</t>
  </si>
  <si>
    <t>2026-09-11 06:42:37</t>
  </si>
  <si>
    <t>VLYP13</t>
  </si>
  <si>
    <t>2026-09-11 06:47:40</t>
  </si>
  <si>
    <t>TJLC59</t>
  </si>
  <si>
    <t>2026-09-11 06:51:48</t>
  </si>
  <si>
    <t>SFLX78</t>
  </si>
  <si>
    <t>2026-09-11 07:09:59</t>
  </si>
  <si>
    <t>2026-09-11 07:16:16</t>
  </si>
  <si>
    <t>2026-09-11 07:20:11</t>
  </si>
  <si>
    <t>2026-09-11 07:36:32</t>
  </si>
  <si>
    <t>2026-09-11 07:47:31</t>
  </si>
  <si>
    <t>SVGP63</t>
  </si>
  <si>
    <t>2026-09-11 09:22:48</t>
  </si>
  <si>
    <t>LZPD20</t>
  </si>
  <si>
    <t>2026-09-11 09:35:23</t>
  </si>
  <si>
    <t>TCSZ26</t>
  </si>
  <si>
    <t>2026-09-11 09:36:27</t>
  </si>
  <si>
    <t>2026-09-11 09:45:20</t>
  </si>
  <si>
    <t>RPPJ74</t>
  </si>
  <si>
    <t>2026-09-11 09:52:04</t>
  </si>
  <si>
    <t>PLCF53</t>
  </si>
  <si>
    <t>2026-09-11 10:06:05</t>
  </si>
  <si>
    <t>2026-09-11 10:09:55</t>
  </si>
  <si>
    <t>VJBR71</t>
  </si>
  <si>
    <t>2026-09-11 12:22:40</t>
  </si>
  <si>
    <t>2026-09-11 13:25:45</t>
  </si>
  <si>
    <t>KXWZ37</t>
  </si>
  <si>
    <t>2026-09-11 14:28:53</t>
  </si>
  <si>
    <t>SPYH44</t>
  </si>
  <si>
    <t>2026-09-11 14:37:33</t>
  </si>
  <si>
    <t>RZKG41</t>
  </si>
  <si>
    <t>2026-09-11 14:44:44</t>
  </si>
  <si>
    <t>SWTC34</t>
  </si>
  <si>
    <t>2026-09-11 14:45:12</t>
  </si>
  <si>
    <t>2026-09-12 07:33:09</t>
  </si>
  <si>
    <t>THCS22</t>
  </si>
  <si>
    <t>2026-09-12 08:04:08</t>
  </si>
  <si>
    <t>2026-09-12 09:21:18</t>
  </si>
  <si>
    <t>ALL NEW TIGUAN</t>
  </si>
  <si>
    <t>VLDB65</t>
  </si>
  <si>
    <t>2026-09-12 09:31:24</t>
  </si>
  <si>
    <t>TDXL40</t>
  </si>
  <si>
    <t>2026-09-12 09:32:26</t>
  </si>
  <si>
    <t>2026-09-12 10:30:27</t>
  </si>
  <si>
    <t>LVXG26</t>
  </si>
  <si>
    <t>2026-09-13 15:24:14</t>
  </si>
  <si>
    <t>VBRV55</t>
  </si>
  <si>
    <t>2026-09-13 15:33:19</t>
  </si>
  <si>
    <t>2026-09-14 07:51:50</t>
  </si>
  <si>
    <t>LHKB44</t>
  </si>
  <si>
    <t>2026-09-14 09:21:58</t>
  </si>
  <si>
    <t>2026-09-14 09:54:16</t>
  </si>
  <si>
    <t>KTCX48</t>
  </si>
  <si>
    <t>2026-09-14 10:09:00</t>
  </si>
  <si>
    <t>RCBJ49</t>
  </si>
  <si>
    <t>2026-09-14 10:30:54</t>
  </si>
  <si>
    <t>RLSH82</t>
  </si>
  <si>
    <t>2026-09-14 10:35:14</t>
  </si>
  <si>
    <t>SJVT94</t>
  </si>
  <si>
    <t>2026-09-14 11:47:36</t>
  </si>
  <si>
    <t>TXYZ28</t>
  </si>
  <si>
    <t>2026-09-14 12:33:51</t>
  </si>
  <si>
    <t>2026-09-14 13:13:54</t>
  </si>
  <si>
    <t>PFRT40</t>
  </si>
  <si>
    <t>2026-09-14 13:24:41</t>
  </si>
  <si>
    <t>GPYZ99</t>
  </si>
  <si>
    <t>2026-09-14 13:31:50</t>
  </si>
  <si>
    <t>SFVJ51</t>
  </si>
  <si>
    <t>2026-09-14 13:39:55</t>
  </si>
  <si>
    <t>2026-09-14 13:49:32</t>
  </si>
  <si>
    <t>PXYV84</t>
  </si>
  <si>
    <t>2026-09-14 14:14:24</t>
  </si>
  <si>
    <t>HHRY58</t>
  </si>
  <si>
    <t>2026-09-14 14:19:42</t>
  </si>
  <si>
    <t>TSSF33</t>
  </si>
  <si>
    <t>2026-09-14 14:40:03</t>
  </si>
  <si>
    <t>PSJJ29</t>
  </si>
  <si>
    <t>2026-09-14 15:20:05</t>
  </si>
  <si>
    <t>2026-09-14 15:28:30</t>
  </si>
  <si>
    <t>PYRZ75</t>
  </si>
  <si>
    <t>2026-09-15 06:28:29</t>
  </si>
  <si>
    <t>TVXC51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</si>
</sst>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\ h:mm:ss"/>
    <numFmt numFmtId="165" formatCode="yyyy\-mm\-dd\ h:mm:ss"/>
  </numFmts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/>
    </xf>
    <xf numFmtId="3" fontId="4" fillId="3" borderId="0" xfId="0" applyNumberFormat="1" applyFont="1" applyFill="1" applyAlignment="1">
      <alignment horizontal="center" wrapText="1"/>
    </xf>
    <xf numFmtId="3" fontId="5" fillId="2" borderId="0" xfId="0" applyNumberFormat="1" applyFont="1" applyFill="1" applyAlignment="1">
      <alignment horizontal="center" wrapText="1"/>
    </xf>
    <xf numFmtId="3" fontId="6" fillId="2" borderId="0" xfId="0" applyNumberFormat="1" applyFont="1" applyFill="1" applyAlignment="1">
      <alignment horizontal="center" wrapText="1"/>
    </xf>
    <xf numFmtId="3" fontId="4" fillId="2" borderId="0" xfId="0" applyNumberFormat="1" applyFont="1" applyFill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3" fontId="7" fillId="2" borderId="0" xfId="0" applyNumberFormat="1" applyFont="1" applyFill="1"/>
    <xf numFmtId="3" fontId="2" fillId="2" borderId="0" xfId="0" applyNumberFormat="1" applyFont="1" applyFill="1"/>
    <xf numFmtId="3" fontId="3" fillId="2" borderId="0" xfId="0" applyNumberFormat="1" applyFont="1" applyFill="1"/>
    <xf numFmtId="0" fontId="3" fillId="2" borderId="0" xfId="0" applyFont="1" applyFill="1"/>
    <xf numFmtId="3" fontId="2" fillId="3" borderId="0" xfId="0" applyNumberFormat="1" applyFont="1" applyFill="1"/>
    <xf numFmtId="3" fontId="2" fillId="4" borderId="0" xfId="0" applyNumberFormat="1" applyFont="1" applyFill="1"/>
    <xf numFmtId="0" fontId="7" fillId="0" borderId="0" xfId="0" applyFont="1"/>
    <xf numFmtId="3" fontId="7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5" borderId="0" xfId="0" applyFill="1"/>
    <xf numFmtId="0" fontId="0" fillId="0" borderId="2" xfId="0" pivotButton="1" applyBorder="1"/>
    <xf numFmtId="0" fontId="8" fillId="5" borderId="0" xfId="0" applyFont="1" applyFill="1"/>
    <xf numFmtId="0" fontId="0" fillId="0" borderId="0" xfId="0" pivotButton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47.671896643522" createdVersion="8" refreshedVersion="8" minRefreshableVersion="3" recordCount="224" xr:uid="{35C9F318-EB1F-4786-A510-F8F8436DBB8B}">
  <cacheSource type="worksheet">
    <worksheetSource ref="A1:AU1048576" sheet="BBDD"/>
  </cacheSource>
  <cacheFields count="47">
    <cacheField name="Empresa" numFmtId="0">
      <sharedItems containsBlank="1" count="5">
        <s v="AUTOMOTRIZ BALMACEDA LTDA."/>
        <s v="CALLEGARI E HIJOS LTDA"/>
        <s v="IMPORTADORA TRENTO LTDA"/>
        <s v="SOC. HERMANAS CALLEGARI LTDA"/>
        <m/>
      </sharedItems>
    </cacheField>
    <cacheField name="Sucursal" numFmtId="0">
      <sharedItems containsBlank="1"/>
    </cacheField>
    <cacheField name="Folio Venta" numFmtId="0">
      <sharedItems containsString="0" containsBlank="1" containsNumber="1" containsInteger="1" minValue="0" maxValue="0"/>
    </cacheField>
    <cacheField name="Venta" numFmtId="0">
      <sharedItems containsString="0" containsBlank="1" containsNumber="1" containsInteger="1" minValue="0" maxValue="0"/>
    </cacheField>
    <cacheField name="Estado Venta" numFmtId="0">
      <sharedItems containsBlank="1"/>
    </cacheField>
    <cacheField name="Fecha Venta" numFmtId="0">
      <sharedItems containsBlank="1"/>
    </cacheField>
    <cacheField name="Tipo Documento (Folio)" numFmtId="0">
      <sharedItems containsBlank="1"/>
    </cacheField>
    <cacheField name="Vendedor" numFmtId="0">
      <sharedItems containsBlank="1"/>
    </cacheField>
    <cacheField name="Fecha Ingreso" numFmtId="0">
      <sharedItems containsBlank="1"/>
    </cacheField>
    <cacheField name="Fecha Facturación" numFmtId="0">
      <sharedItems containsBlank="1"/>
    </cacheField>
    <cacheField name="Numero VIN" numFmtId="0">
      <sharedItems containsBlank="1"/>
    </cacheField>
    <cacheField name="Marca" numFmtId="0">
      <sharedItems containsBlank="1" count="38">
        <s v="PEUGEOT"/>
        <s v="OPEL"/>
        <s v="SUBARU"/>
        <s v="FORD"/>
        <s v="KIA"/>
        <s v="DFSK"/>
        <s v="KIA MOTORS"/>
        <s v="MITSUBISHI"/>
        <s v="Landking"/>
        <s v="BAIC"/>
        <s v="JAECOO"/>
        <s v="CHERY"/>
        <s v="VOLKSWAGEN"/>
        <s v="SSANGYONG"/>
        <s v="CHEVROLET"/>
        <s v="NISSAN"/>
        <s v="CITROEN"/>
        <s v="RAM"/>
        <s v="OMODA"/>
        <s v="RENAULT"/>
        <s v="MAZDA"/>
        <s v="JAC"/>
        <s v="HYUNDAI"/>
        <s v="SUZUKI"/>
        <s v="JEEP"/>
        <s v="BYD"/>
        <s v="MAHINDRA"/>
        <s v="HAVAL"/>
        <s v="CHANGAN"/>
        <s v="TOYOTA"/>
        <s v="EXEED BORN FOR MORE"/>
        <s v="MG"/>
        <s v="AUDI"/>
        <s v="JIM"/>
        <s v="GAC"/>
        <s v="HINO"/>
        <s v="FIAT"/>
        <m/>
      </sharedItems>
    </cacheField>
    <cacheField name="Modelo" numFmtId="0">
      <sharedItems containsBlank="1" count="112">
        <s v="Expert"/>
        <s v="NUEVO 3008"/>
        <s v="Landtrek"/>
        <s v="Nuevo 2008"/>
        <s v="NEW MOKKA"/>
        <s v="Boxer"/>
        <s v="NUEVA PARTNER"/>
        <s v="XV"/>
        <s v="NUEVO 208"/>
        <s v="NUEVO 308"/>
        <s v="EXPLORER"/>
        <s v="SOLUTO"/>
        <s v="TRUCK"/>
        <s v="SOUL"/>
        <s v="K3 CROSS"/>
        <s v="CARGO"/>
        <s v="RANGER"/>
        <s v="COMBO"/>
        <s v="MAVERICK"/>
        <s v="MORNING"/>
        <s v="FRONTIER"/>
        <s v="TERRITORY"/>
        <s v="NEW CORSA"/>
        <s v="K3 SEDAN"/>
        <s v="F-150"/>
        <s v="LANCER"/>
        <s v="LK614"/>
        <s v="F-150 MCA"/>
        <s v="ASX"/>
        <s v="BJ30"/>
        <s v="SORENTO"/>
        <s v="7"/>
        <s v="TIGGO 3 PRO"/>
        <s v="GOLF"/>
        <s v="TORRES"/>
        <s v="5008"/>
        <s v="CAPTIVA"/>
        <s v="PATHFINDER"/>
        <s v="C4"/>
        <s v="ARRIZO 5"/>
        <s v="2008"/>
        <s v="RAM 1500"/>
        <s v="OUTLANDER SPORT EURO 6C"/>
        <s v="C5"/>
        <s v="3008"/>
        <s v="ESCAPE"/>
        <s v="PICK UP D1"/>
        <s v="EDGE"/>
        <s v="VERSA"/>
        <s v="RENAULT"/>
        <s v="CX-60"/>
        <s v="JS8"/>
        <s v="GROOVE"/>
        <s v="HYUNDAI"/>
        <s v="QASHQAI"/>
        <s v="OUTLANDER"/>
        <s v="JIMNY"/>
        <s v="URVAN"/>
        <s v="GRAND CHEROKEE"/>
        <s v="SPORTAGE"/>
        <s v="SONG PLUS DM-i"/>
        <s v="208"/>
        <s v="SHARK DMO"/>
        <s v="AMAROK"/>
        <s v="TAHOE"/>
        <s v="JAC"/>
        <s v="XTRAIL"/>
        <s v="DFSK"/>
        <s v="REXTON"/>
        <s v="560"/>
        <s v="MAHINDRA"/>
        <s v="500"/>
        <s v="JS4"/>
        <s v="JOLION"/>
        <s v="COMPASS"/>
        <s v="CX-30"/>
        <s v="CS15"/>
        <s v="RAV"/>
        <s v="SILVERADO"/>
        <s v="SELTOS"/>
        <s v="NEW REXTON"/>
        <s v="SENTRA"/>
        <s v="SWIFT"/>
        <s v="OUTBACK"/>
        <s v="TIGGO 8 PRO MAX"/>
        <s v="TIGGO 7 PRO"/>
        <s v="NEW CX 5"/>
        <s v="TIGGO 3"/>
        <s v="VX"/>
        <s v="C3"/>
        <s v="NIRO"/>
        <s v="FORESTER"/>
        <s v="KORANDO"/>
        <s v="MGZS"/>
        <s v="CROSSLAND"/>
        <s v="BAIC"/>
        <s v="T8"/>
        <s v="Q2"/>
        <s v="STARIA"/>
        <s v="CHANGAN"/>
        <s v="REMAX"/>
        <s v="RAM V700"/>
        <s v="GS4 POWER 1.5T"/>
        <s v="EX6"/>
        <s v="XZU SERIE 300"/>
        <s v="YUAN PLUS EV"/>
        <s v="RAMPAGE"/>
        <s v="MG"/>
        <s v="FASTBACK"/>
        <s v="COUNTY"/>
        <s v="EMZOOM 1.5 T"/>
        <m/>
      </sharedItems>
    </cacheField>
    <cacheField name="Versión" numFmtId="0">
      <sharedItems containsBlank="1"/>
    </cacheField>
    <cacheField name="Código Versión" numFmtId="0">
      <sharedItems containsBlank="1"/>
    </cacheField>
    <cacheField name="Año" numFmtId="0">
      <sharedItems containsString="0" containsBlank="1" containsNumber="1" containsInteger="1" minValue="2008" maxValue="2026" count="17">
        <n v="2026"/>
        <n v="2025"/>
        <n v="2024"/>
        <n v="2022"/>
        <n v="2019"/>
        <n v="2023"/>
        <n v="2009"/>
        <n v="2016"/>
        <n v="2008"/>
        <n v="2020"/>
        <n v="2017"/>
        <n v="2018"/>
        <n v="2021"/>
        <n v="2013"/>
        <n v="2014"/>
        <n v="2015"/>
        <m/>
      </sharedItems>
    </cacheField>
    <cacheField name="Kilometraje" numFmtId="0">
      <sharedItems containsString="0" containsBlank="1" containsNumber="1" containsInteger="1" minValue="0" maxValue="200000"/>
    </cacheField>
    <cacheField name="Código Interno" numFmtId="0">
      <sharedItems containsBlank="1"/>
    </cacheField>
    <cacheField name="Placa Patente" numFmtId="0">
      <sharedItems containsBlank="1" count="224">
        <s v="VJTV94"/>
        <s v=""/>
        <s v="VJBV25"/>
        <s v="TJDB33"/>
        <s v="RSYF47"/>
        <s v="TJCZ90"/>
        <s v="TXYV73"/>
        <s v="VKCY38"/>
        <s v="TJCZ18"/>
        <s v="TGVK67"/>
        <s v="VYCP86"/>
        <s v="RVYJ17"/>
        <s v="LBGX66"/>
        <s v="TSGB43"/>
        <s v="TJCZ72"/>
        <s v="TSGB38"/>
        <s v="THHH27"/>
        <s v="TDYG27"/>
        <s v="SJVT21"/>
        <s v="BZBL60"/>
        <s v="TBCS80"/>
        <s v="VKCY35"/>
        <s v="LLBK37"/>
        <s v="VSWV91"/>
        <s v="TBCP54"/>
        <s v="TSGB57"/>
        <s v="TZHX27"/>
        <s v="TBJF15"/>
        <s v="TBCP81"/>
        <s v="VBBD51"/>
        <s v="VKBH32"/>
        <s v="VBBD31"/>
        <s v="THRL69"/>
        <s v="RZSJ13"/>
        <s v="VBWV23"/>
        <s v="TDWY79"/>
        <s v="HTCD28"/>
        <s v="TGVG41"/>
        <s v="VRHS21"/>
        <s v="VBBD47"/>
        <s v="VJTV56"/>
        <s v="TSGB41"/>
        <s v="VHGF48"/>
        <s v="TYWT29"/>
        <s v="STBR37"/>
        <s v="TYWT10"/>
        <s v="VBBD50"/>
        <s v="TJDC25"/>
        <s v="TDXB62"/>
        <s v="TSGB48"/>
        <s v="VBBD33"/>
        <s v="TBCP55"/>
        <s v="TVXK84"/>
        <s v="TJDC59"/>
        <s v="BSHP51"/>
        <s v="TTXB59"/>
        <s v="LLBK39"/>
        <s v="TYWS82"/>
        <s v="VJBV97"/>
        <s v="VJTR16"/>
        <s v="JZJS90"/>
        <s v="VSWT54"/>
        <s v="LDVR15"/>
        <s v="VKCY69"/>
        <s v="LLBT66"/>
        <s v="VGPT64"/>
        <s v="VKCY97"/>
        <s v="HTSJ81"/>
        <s v="SFTZ65"/>
        <s v="RRWP38"/>
        <s v="TLRS70"/>
        <s v="SDGD26"/>
        <s v="TYWK96"/>
        <s v="JHSK67"/>
        <s v="TJSK30"/>
        <s v="TKHL16"/>
        <s v="SVJZ34"/>
        <s v="KZKL71"/>
        <s v="SYDS69"/>
        <s v="VFSF65"/>
        <s v="SPSZ86"/>
        <s v="VLYL61"/>
        <s v="TSSG86"/>
        <s v="JYBF33"/>
        <s v="TJSK11"/>
        <s v="TTVT92"/>
        <s v="TDXB48"/>
        <s v="TFFD89"/>
        <s v="RBJH77"/>
        <s v="LPXF73"/>
        <s v="PJDC98"/>
        <s v="PCDV84"/>
        <s v="RXYT46"/>
        <s v="TSPX19"/>
        <s v="JXDK27"/>
        <s v="TPWR77"/>
        <s v="RTLV27"/>
        <s v="LVWV64"/>
        <s v="SJVR13"/>
        <s v="TSSB38"/>
        <s v="SZTF51"/>
        <s v="TTVD23"/>
        <s v="SXTX58"/>
        <s v="PZTS12"/>
        <s v="SLWH28"/>
        <s v="VBBB67"/>
        <s v="HKVZ15"/>
        <s v="VJLR88"/>
        <s v="STYG35"/>
        <s v="SDPF24"/>
        <s v="FHRL53"/>
        <s v="SFLX53"/>
        <s v="RVDT18"/>
        <s v="SBLD74"/>
        <s v="LSZV62"/>
        <s v="FWLT41"/>
        <s v="TZTC96"/>
        <s v="SYRD37"/>
        <s v="TJDC55"/>
        <s v="SSTT37"/>
        <s v="TGVF52"/>
        <s v="SRHZ99"/>
        <s v="SWBW23"/>
        <s v="RVKK81"/>
        <s v="PDBT76"/>
        <s v="RZFB27"/>
        <s v="LVWS91"/>
        <s v="SLKL22"/>
        <s v="TYFD45"/>
        <s v="FZPL98"/>
        <s v="GLRH21"/>
        <s v="SHLW33"/>
        <s v="SKSZ29"/>
        <s v="TFDC75"/>
        <s v="SYPL90"/>
        <s v="SJVP34"/>
        <s v="THXK86"/>
        <s v="SBLD78"/>
        <s v="RXRV75"/>
        <s v="SDGC30"/>
        <s v="RGLK10"/>
        <s v="TFGP78"/>
        <s v="TKTZ11"/>
        <s v="VFTG62"/>
        <s v="TJDB19"/>
        <s v="SRWC14"/>
        <s v="PFZL51"/>
        <s v="TDKL17"/>
        <s v="RSTC22"/>
        <s v="KTCW94"/>
        <s v="VBWR52"/>
        <s v="RJDX35"/>
        <s v="TBCR93"/>
        <s v="SPZB83"/>
        <s v="THHH77"/>
        <s v="SYRB80"/>
        <s v="TRBJ23"/>
        <s v="SJDW14"/>
        <s v="SVRL93"/>
        <s v="VJTS35"/>
        <s v="GBDZ38"/>
        <s v="TBCS36"/>
        <s v="TJSJ92"/>
        <s v="FZPL81"/>
        <s v="JXTB68"/>
        <s v="SJPR10"/>
        <s v="JXGC32"/>
        <s v="PDBJ62"/>
        <s v="RVYS15"/>
        <s v="RGJC66"/>
        <s v="VXJV67"/>
        <s v="RVRD47"/>
        <s v="SLYZ71"/>
        <s v="RKZT70"/>
        <s v="TBJJ46"/>
        <s v="RBZD91"/>
        <s v="TSZC89"/>
        <s v="TSYX31"/>
        <s v="LPXJ44"/>
        <s v="THXP99"/>
        <s v="LVCS57"/>
        <s v="TPCS18"/>
        <s v="SDGG72"/>
        <s v="TBWZ70"/>
        <s v="PKBJ31"/>
        <s v="SHDG76"/>
        <s v="TPJD22"/>
        <s v="PYZL95"/>
        <s v="VDWP65"/>
        <s v="STYY42"/>
        <s v="SSVL57"/>
        <s v="LYPC19"/>
        <s v="TKHS86"/>
        <s v="TRTW75"/>
        <s v="TRBD16"/>
        <s v="VCRS15"/>
        <s v="SFLW13"/>
        <s v="SPZD69"/>
        <s v="RXXW40"/>
        <s v="SJKL16"/>
        <s v="TLRL18"/>
        <s v="RXCG78"/>
        <s v="VPDX23"/>
        <s v="PCFD25"/>
        <s v="SYPX68"/>
        <s v="THHH22"/>
        <s v="TKHT92"/>
        <s v="SFLW35"/>
        <s v="RSYF10"/>
        <s v="TKHR29"/>
        <s v="TVXH52"/>
        <s v="TGVG86"/>
        <s v="TZHS85"/>
        <s v="SYPY23"/>
        <s v="THCY96"/>
        <s v="TTVW30"/>
        <s v="VBWT73"/>
        <s v="LSXX79"/>
        <s v="TJSJ84"/>
        <s v="SWBV94"/>
        <s v="JPLS76"/>
        <s v="VBRW77"/>
        <s v="TRBK34"/>
        <m/>
      </sharedItems>
    </cacheField>
    <cacheField name="Condición Vehículo" numFmtId="0">
      <sharedItems containsBlank="1"/>
    </cacheField>
    <cacheField name="Color Exterior" numFmtId="0">
      <sharedItems containsBlank="1"/>
    </cacheField>
    <cacheField name="Color Interior" numFmtId="0">
      <sharedItems containsBlank="1"/>
    </cacheField>
    <cacheField name="Precio Venta Total" numFmtId="0">
      <sharedItems containsString="0" containsBlank="1" containsNumber="1" containsInteger="1" minValue="0" maxValue="65150753"/>
    </cacheField>
    <cacheField name="Estado AutoPro" numFmtId="0">
      <sharedItems containsBlank="1"/>
    </cacheField>
    <cacheField name="Días Stock" numFmtId="0">
      <sharedItems containsString="0" containsBlank="1" containsNumber="1" containsInteger="1" minValue="2" maxValue="4450" count="149">
        <n v="126"/>
        <n v="74"/>
        <n v="277"/>
        <n v="353"/>
        <n v="1130"/>
        <n v="1015"/>
        <n v="361"/>
        <n v="679"/>
        <n v="250"/>
        <n v="94"/>
        <n v="580"/>
        <n v="1375"/>
        <n v="497"/>
        <n v="572"/>
        <n v="507"/>
        <n v="181"/>
        <n v="167"/>
        <n v="1329"/>
        <n v="3454"/>
        <n v="144"/>
        <n v="2607"/>
        <n v="111"/>
        <n v="138"/>
        <n v="469"/>
        <n v="312"/>
        <n v="539"/>
        <n v="508"/>
        <n v="119"/>
        <n v="187"/>
        <n v="1502"/>
        <n v="313"/>
        <n v="163"/>
        <n v="3875"/>
        <n v="264"/>
        <n v="235"/>
        <n v="270"/>
        <n v="28"/>
        <n v="551"/>
        <n v="165"/>
        <n v="108"/>
        <n v="1104"/>
        <n v="256"/>
        <n v="262"/>
        <n v="305"/>
        <n v="502"/>
        <n v="662"/>
        <n v="440"/>
        <n v="41"/>
        <n v="3451"/>
        <n v="357"/>
        <n v="83"/>
        <n v="31"/>
        <n v="2357"/>
        <n v="192"/>
        <n v="2713"/>
        <n v="104"/>
        <n v="102"/>
        <n v="10"/>
        <n v="168"/>
        <n v="468"/>
        <n v="220"/>
        <n v="2"/>
        <n v="348"/>
        <n v="320"/>
        <n v="80"/>
        <n v="63"/>
        <n v="55"/>
        <n v="185"/>
        <n v="49"/>
        <n v="524"/>
        <n v="96"/>
        <n v="145"/>
        <n v="816"/>
        <n v="381"/>
        <n v="1291"/>
        <n v="1245"/>
        <n v="173"/>
        <n v="311"/>
        <n v="72"/>
        <n v="38"/>
        <n v="11"/>
        <n v="588"/>
        <n v="19"/>
        <n v="110"/>
        <n v="437"/>
        <n v="133"/>
        <n v="3927"/>
        <n v="48"/>
        <n v="314"/>
        <n v="1524"/>
        <n v="255"/>
        <n v="194"/>
        <n v="2334"/>
        <n v="44"/>
        <n v="214"/>
        <n v="832"/>
        <n v="131"/>
        <n v="284"/>
        <n v="47"/>
        <n v="273"/>
        <n v="4443"/>
        <n v="1609"/>
        <n v="230"/>
        <n v="215"/>
        <n v="234"/>
        <n v="39"/>
        <n v="223"/>
        <n v="84"/>
        <n v="377"/>
        <n v="27"/>
        <n v="86"/>
        <n v="103"/>
        <n v="254"/>
        <n v="40"/>
        <n v="200"/>
        <n v="291"/>
        <n v="4450"/>
        <n v="2918"/>
        <n v="1635"/>
        <n v="292"/>
        <n v="77"/>
        <n v="98"/>
        <n v="1561"/>
        <n v="75"/>
        <n v="391"/>
        <n v="347"/>
        <n v="18"/>
        <n v="332"/>
        <n v="26"/>
        <n v="14"/>
        <n v="342"/>
        <n v="186"/>
        <n v="70"/>
        <n v="140"/>
        <n v="2354"/>
        <n v="307"/>
        <n v="537"/>
        <n v="854"/>
        <n v="382"/>
        <n v="132"/>
        <n v="210"/>
        <n v="924"/>
        <n v="911"/>
        <n v="1204"/>
        <n v="367"/>
        <n v="516"/>
        <n v="258"/>
        <n v="682"/>
        <m/>
      </sharedItems>
    </cacheField>
    <cacheField name="Estado Dealer" numFmtId="0">
      <sharedItems containsBlank="1" count="16">
        <s v="DEMO/INTERNO"/>
        <s v="TEST CAR"/>
        <s v="EN TALLER"/>
        <s v="DISPONIBLE"/>
        <s v="NO DISPONIBLE"/>
        <s v="DEVOLUCION NUEVOS DISPONIBLE"/>
        <s v="VEHICULO USO DE SERVICIO"/>
        <s v="USO GERENCIA"/>
        <s v="DEVOLUCION NUEVOS NO DISPONIBLE"/>
        <s v="SINIESTRADO"/>
        <s v="EN PREPARACION"/>
        <s v="EN TALLER EXTERNO"/>
        <s v="CON PRENDA"/>
        <s v="VEHICULO EMPRESA"/>
        <s v="EN RESCILIACION"/>
        <m/>
      </sharedItems>
    </cacheField>
    <cacheField name="Bodega" numFmtId="0">
      <sharedItems containsBlank="1"/>
    </cacheField>
    <cacheField name="Equipamiento" numFmtId="0">
      <sharedItems containsBlank="1"/>
    </cacheField>
    <cacheField name="Numero Motor" numFmtId="0">
      <sharedItems containsBlank="1"/>
    </cacheField>
    <cacheField name="Numero Chasis" numFmtId="0">
      <sharedItems containsBlank="1"/>
    </cacheField>
    <cacheField name="Proveedor" numFmtId="0">
      <sharedItems containsBlank="1"/>
    </cacheField>
    <cacheField name="Fecha Disponibilidad" numFmtId="0">
      <sharedItems containsBlank="1"/>
    </cacheField>
    <cacheField name="Factura Compra" numFmtId="0">
      <sharedItems containsString="0" containsBlank="1" containsNumber="1" containsInteger="1" minValue="0" maxValue="45641330"/>
    </cacheField>
    <cacheField name="Vencimiento Documento" numFmtId="0">
      <sharedItems containsBlank="1"/>
    </cacheField>
    <cacheField name="Fecha Compra" numFmtId="0">
      <sharedItems containsBlank="1"/>
    </cacheField>
    <cacheField name="Fecha Vencto. Revisión Técnica" numFmtId="0">
      <sharedItems containsBlank="1"/>
    </cacheField>
    <cacheField name="N° Propietarios" numFmtId="0">
      <sharedItems containsString="0" containsBlank="1" containsNumber="1" containsInteger="1" minValue="0" maxValue="4"/>
    </cacheField>
    <cacheField name="Folio Retoma" numFmtId="0">
      <sharedItems containsString="0" containsBlank="1" containsNumber="1" containsInteger="1" minValue="0" maxValue="0"/>
    </cacheField>
    <cacheField name="Fecha Retoma" numFmtId="0">
      <sharedItems containsBlank="1"/>
    </cacheField>
    <cacheField name="Días Reservado" numFmtId="0">
      <sharedItems containsString="0" containsBlank="1" containsNumber="1" containsInteger="1" minValue="0" maxValue="12"/>
    </cacheField>
    <cacheField name="Precio Compra Neto" numFmtId="0">
      <sharedItems containsString="0" containsBlank="1" containsNumber="1" containsInteger="1" minValue="0" maxValue="65150753"/>
    </cacheField>
    <cacheField name="Gasto" numFmtId="0">
      <sharedItems containsString="0" containsBlank="1" containsNumber="1" containsInteger="1" minValue="0" maxValue="4016851"/>
    </cacheField>
    <cacheField name="Accesorios" numFmtId="0">
      <sharedItems containsString="0" containsBlank="1" containsNumber="1" containsInteger="1" minValue="0" maxValue="0"/>
    </cacheField>
    <cacheField name="Total Costo" numFmtId="0">
      <sharedItems containsString="0" containsBlank="1" containsNumber="1" containsInteger="1" minValue="1443780" maxValue="65150753"/>
    </cacheField>
    <cacheField name="Precio Lista" numFmtId="0">
      <sharedItems containsString="0" containsBlank="1" containsNumber="1" containsInteger="1" minValue="0" maxValue="65150753"/>
    </cacheField>
    <cacheField name="Margen" numFmtId="0">
      <sharedItems containsString="0" containsBlank="1" containsNumber="1" containsInteger="1" minValue="-11301577" maxValue="12910000"/>
    </cacheField>
    <cacheField name="Margen %" numFmtId="0">
      <sharedItems containsString="0" containsBlank="1" containsNumber="1" containsInteger="1" minValue="-347992400" maxValue="84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uario" refreshedDate="46280.404142361112" refreshedVersion="8" recordCount="992" xr:uid="{00000000-000A-0000-FFFF-FFFF00000000}">
  <cacheSource type="worksheet">
    <worksheetSource ref="A1:AU993" sheet="BBDD"/>
  </cacheSource>
  <cacheFields count="47">
    <cacheField name="Empresa" numFmtId="0">
      <sharedItems containsBlank="1" count="5">
        <s v="AUTOMOTRIZ BALMACEDA LTDA."/>
        <s v="CALLEGARI E HIJOS LTDA"/>
        <s v="IMPORTADORA TRENTO LTDA"/>
        <s v="SOC. HERMANAS CALLEGARI LTDA"/>
        <m/>
      </sharedItems>
    </cacheField>
    <cacheField name="Sucursal" numFmtId="0">
      <sharedItems containsBlank="1"/>
    </cacheField>
    <cacheField name="Folio Venta" numFmtId="0">
      <sharedItems containsString="0" containsBlank="1" containsNumber="1" containsInteger="1" minValue="0" maxValue="0"/>
    </cacheField>
    <cacheField name="Venta" numFmtId="0">
      <sharedItems containsString="0" containsBlank="1" containsNumber="1" containsInteger="1" minValue="0" maxValue="0"/>
    </cacheField>
    <cacheField name="Estado Venta" numFmtId="0">
      <sharedItems containsBlank="1"/>
    </cacheField>
    <cacheField name="Fecha Venta" numFmtId="0">
      <sharedItems containsBlank="1"/>
    </cacheField>
    <cacheField name="Tipo Documento (Folio)" numFmtId="0">
      <sharedItems containsBlank="1"/>
    </cacheField>
    <cacheField name="Vendedor" numFmtId="0">
      <sharedItems containsBlank="1"/>
    </cacheField>
    <cacheField name="Fecha Ingreso" numFmtId="0">
      <sharedItems containsBlank="1"/>
    </cacheField>
    <cacheField name="Fecha Facturación" numFmtId="0">
      <sharedItems containsBlank="1"/>
    </cacheField>
    <cacheField name="Numero VIN" numFmtId="0">
      <sharedItems containsBlank="1"/>
    </cacheField>
    <cacheField name="Marca" numFmtId="0">
      <sharedItems containsBlank="1" count="48">
        <s v="PEUGEOT"/>
        <s v="OPEL"/>
        <s v="FORD"/>
        <s v="KIA MOTORS"/>
        <s v="SUBARU"/>
        <s v="Landking"/>
        <s v="BAIC"/>
        <s v="JAC"/>
        <s v="MITSUBISHI"/>
        <s v="OMODA"/>
        <s v="KIA"/>
        <s v="DFSK"/>
        <s v="CITROEN"/>
        <s v="CHERY"/>
        <s v="MAZDA"/>
        <s v="NISSAN"/>
        <s v="VOLKSWAGEN"/>
        <s v="SSANGYONG"/>
        <s v="HYUNDAI"/>
        <s v="RAM"/>
        <s v="CHANGAN"/>
        <s v="JMC"/>
        <s v="HONDA"/>
        <s v="CHEVROLET"/>
        <s v="JAECOO"/>
        <s v="EXEED BORN FOR MORE"/>
        <s v="BYD"/>
        <s v="RENAULT"/>
        <s v="HAVAL"/>
        <s v="MG"/>
        <s v="MAHINDRA"/>
        <s v="JEEP"/>
        <s v="TOYOTA"/>
        <s v="ZX AUTO"/>
        <s v="AUDI"/>
        <s v="GAC"/>
        <s v="JIM"/>
        <s v="HINO"/>
        <m/>
        <s v="FIAT" u="1"/>
        <s v="SUZUKI" u="1"/>
        <s v="GREAT WALL" u="1"/>
        <s v="BMW" u="1"/>
        <s v="JETOUR" u="1"/>
        <s v="MAXUS" u="1"/>
        <s v="VOLVO" u="1"/>
        <s v="DODGE" u="1"/>
        <s v="DFM" u="1"/>
      </sharedItems>
    </cacheField>
    <cacheField name="Modelo" numFmtId="0">
      <sharedItems containsBlank="1" containsMixedTypes="1" containsNumber="1" containsInteger="1" minValue="7" maxValue="5008" count="132">
        <s v="Nuevo 2008"/>
        <s v="Landtrek"/>
        <s v="NUEVO 3008"/>
        <s v="Rifter"/>
        <s v="Boxer"/>
        <s v="NUEVA PARTNER"/>
        <s v="NEW MOKKA"/>
        <s v="NEW CORSA"/>
        <s v="RANGER"/>
        <s v="MORNING"/>
        <s v="XV"/>
        <s v="NUEVO 208"/>
        <s v="K3 CROSS"/>
        <s v="LK614"/>
        <s v="X7"/>
        <s v="T8"/>
        <s v="F-150"/>
        <s v="MAVERICK"/>
        <s v="EXPLORER"/>
        <s v="FRONTIER"/>
        <s v="L-200 EURO 6B"/>
        <s v="C5"/>
        <s v="NUEVO 308"/>
        <s v="SOLUTO"/>
        <s v="COMBO"/>
        <s v="JS"/>
        <s v="SORENTO"/>
        <s v="TRUCK"/>
        <s v="ASX"/>
        <s v="CROSSLAND"/>
        <s v="BJ60"/>
        <s v="F-150 MCA"/>
        <s v="NUEVO 5008"/>
        <s v="CARGO"/>
        <s v="K3 SEDAN"/>
        <s v="TERRITORY"/>
        <s v="BJ30"/>
        <s v="SOUL"/>
        <s v="LANCER"/>
        <s v="3008"/>
        <s v="EDGE"/>
        <s v="C3"/>
        <s v="TIGGO 3 PRO"/>
        <s v="2008"/>
        <s v="NEW CX 5"/>
        <s v="5008"/>
        <s v="SENTRA"/>
        <s v="CARNIVAL"/>
        <s v="ESCAPE"/>
        <s v="FORESTER"/>
        <s v="GOLF"/>
        <s v="SONET"/>
        <s v="NEW REXTON"/>
        <s v="TIGGO 8"/>
        <s v="HYUNDAI"/>
        <s v="AMAROK"/>
        <s v="QASHQAI"/>
        <s v="RAM 1500"/>
        <s v="HUNTER"/>
        <s v="VIGUS"/>
        <s v="WR"/>
        <s v="XTRAIL"/>
        <s v="OUTLANDER"/>
        <s v="208"/>
        <s v="560"/>
        <s v="DFSK"/>
        <s v="TIGGO 2 PRO"/>
        <s v="MS201"/>
        <s v="CX-60"/>
        <s v="CAPTIVA"/>
        <s v="OUTLANDER SPORT EURO 6C"/>
        <s v="600"/>
        <s v="7"/>
        <s v="TIGGO 3"/>
        <s v="S4"/>
        <s v="TXL"/>
        <s v="S2"/>
        <s v="SONG PLUS DM-i"/>
        <s v="SPORTAGE"/>
        <s v="VERSA"/>
        <s v="RAM 700"/>
        <s v="VX"/>
        <s v="RENAULT"/>
        <s v="MOKKA"/>
        <s v="CIVIC"/>
        <s v="GROOVE"/>
        <s v="RIO"/>
        <s v="JOLION"/>
        <s v="MGZS"/>
        <s v="L200"/>
        <s v="CS15"/>
        <s v="MAHINDRA"/>
        <s v="BRONCO"/>
        <s v="C-ELYSEE"/>
        <s v="GRANDLAND"/>
        <s v="SILVERADO"/>
        <s v="TORRES"/>
        <s v="XUV300"/>
        <s v="GRAND AVENUE"/>
        <s v="GRAND MUSSO"/>
        <s v="KORANDO"/>
        <s v="COMPASS"/>
        <s v="500"/>
        <s v="RAV"/>
        <s v="JS8"/>
        <s v="PICK UP D1"/>
        <s v="CX-30"/>
        <s v="GRAND CHEROKEE"/>
        <s v="TERRALORD"/>
        <s v="TIGGO 8 PRO MAX"/>
        <s v="TIGGO 7 PRO"/>
        <s v="Q2"/>
        <s v="URVAN"/>
        <s v="TIGGO 2"/>
        <s v="REXTON"/>
        <s v="EMZOOM 1.5 T"/>
        <s v="YUAN PLUS EV"/>
        <s v="COUNTY"/>
        <s v="C7"/>
        <s v="EX6"/>
        <s v="REMAX"/>
        <s v="RAM V700"/>
        <s v="XZU SERIE 300"/>
        <s v="GS4 POWER 1.5T"/>
        <s v="MG"/>
        <m/>
        <n v="7" u="1"/>
        <n v="580" u="1"/>
        <n v="3008" u="1"/>
        <n v="5008" u="1"/>
        <n v="2008" u="1"/>
        <n v="560" u="1"/>
      </sharedItems>
    </cacheField>
    <cacheField name="Versión" numFmtId="0">
      <sharedItems containsBlank="1" count="613">
        <s v="2008 ALLURE 130 1.2"/>
        <s v="LANDTREK BLUEHDI 4X4 2.2 AUT"/>
        <s v="3008 P64 GT Hybrid 136hp AT"/>
        <s v="RIFTER MCA ALLURE Diesel 130hp AT"/>
        <s v="BOXER 2.2"/>
        <s v="PARTNER MCA L2 Diesel 100hp MT"/>
        <s v="Landtrek Active BlueHDi 180 4x4 AT"/>
        <s v="Mokka GS Gasolina 130HP AT"/>
        <s v="LANDTREK 4X4 1.9"/>
        <s v="2008 MCA Allure BlueHDi 130 EAT8"/>
        <s v="Corsa MCA Edition Gasolina 100HP AT"/>
        <s v="2008 MCA Style Gasolina 130hp MT"/>
        <s v="RANGER LTD 4X4 3.0 AUT"/>
        <s v="MORNING MPI 1.2"/>
        <s v="New 3008 PREMIERE MHEV 136 eDCT6"/>
        <s v="NEW XV 2.0I AWD CVT DYNAMIC"/>
        <s v="Partner MCA L1 BlueHdi 100"/>
        <s v="Nuevo 208 MCA Active Pack Puretech 75 MT5"/>
        <s v="RANGER XLT 4X4 2.0 AUT"/>
        <s v="K3 CROSS EX 1.6L 6AT"/>
        <s v="Nuevo 3008 Active Pack Puretech 130"/>
        <s v="LK 614"/>
        <s v="X7 EXCLUSIVE"/>
        <s v="T8 2.0T 4X4 DSL MT COMFORT"/>
        <s v="Nuevo 2008 MCA Allure Pack Puretech 130 e6.4"/>
        <s v="MOKKA ELEGANCE 1.2T AT8"/>
        <s v="2008 GT EV PRS"/>
        <s v="F150 CC LARIAT SPORT 4X4"/>
        <s v="NUEVO 208 ALLURE PACK PURETECH 130 EAT8"/>
        <s v="MAVERICK LARIAT BLACK 4X4 2.0 AUT"/>
        <s v="EXPLORER 2WD 2.3 AUT"/>
        <s v="2008 MCA GT EV"/>
        <s v="NEW CORSA MCA EDITION 1.2 MT5"/>
        <s v="3008 GT HYBRID4 300 eEAT8"/>
        <s v="FRONTIER C/C 2.5 6MT"/>
        <s v="RANGER XLT 4X4 2.0"/>
        <s v="RANGER XLS 2.0"/>
        <s v="L200 KATANA XRT"/>
        <s v="Boxer Furgón L2H2 BlueHdi 160"/>
        <s v="C5 1.5T HEV DHT LUXURY"/>
        <s v="308 Allure Diesel 130hp AT"/>
        <s v="New 3008 Allure MHEV 136 eDCT6"/>
        <s v="SOLUTO MPI 1.4"/>
        <s v="COMBO MCA 1.5 TD"/>
        <s v="JS4 1.5T CVT ADVANCE"/>
        <s v="SORENTO EX 3.5L GSL 8AT AWD FULL"/>
        <s v="TRUCK CS C31 1.5 I"/>
        <s v="ASK 2.0 AUT"/>
        <s v="208 MCA Style Puretech 100"/>
        <s v="NEW CROSSLAND GS 5P HYBRID 136 HP AT"/>
        <s v="PARTNER L1 BLUEHDI 100"/>
        <s v="New 2008 MCA Allure MHEV 136 EDCT6"/>
        <s v="EXPLORER ACTIVE 4X4 2.3 AUT"/>
        <s v="BJ60 FLAGSHIP 7P MHEV (Mild Hybrid)"/>
        <s v="F-150 Platinum CC 4X4 3.5L"/>
        <s v="2008 MCA Allure Puretech 130 EAT8"/>
        <s v="New 5008 Gt MHEV 136 eDCT6"/>
        <s v="CARGO BOX CS C21 AC"/>
        <s v="2008 MCA Allure Puretech 130"/>
        <s v="Ranger Dsl XLS 4x4 2.0L"/>
        <s v="K3 EX 1.6L 6AT FULL"/>
        <s v="Ranger Dsl XLS 4x2 2.0L MT"/>
        <s v="Territory Titanium 1.5 FHEV"/>
        <s v="3008 GT Black Pack Puretech 180 EAT8"/>
        <s v="BJ30 LV5 AWD HEV"/>
        <s v="SOUL LX 1.6 MEC A/C DAB ABS 4X2"/>
        <s v="CARGO BOX CS XL 1.3 DA EV"/>
        <s v="LANCER 2.0 MT R/GT"/>
        <s v="3008 THP 165HP 1.6 AUT"/>
        <s v="EDGE AWD 2.0 CVT"/>
        <s v="C3 PURETECH 4X2 1.2"/>
        <s v="C5 1.5 AUT"/>
        <s v="TIGGO 3 PRO GLS 1.5 AUT"/>
        <s v="2008 PURETECH 130 1.2"/>
        <s v="NEW CX 5 R 2.0 AT"/>
        <s v="5008 BLUEHDI 130 1.5 AUT"/>
        <s v="TIGGO 3 PRO GLX 1.5"/>
        <s v="5008 PURETECH 180 EAT8 1.6 AUT"/>
        <s v="SENTRA 1.8 AT"/>
        <s v="MAVERICK LARIAT 2.5 AUT"/>
        <s v="C3 1.5"/>
        <s v="CARNIVAL EX GSL 3.5 AUT"/>
        <s v="ESCAPE FHEV 2.5 AUT"/>
        <s v="EXPLORER LTD 4X4 2.3 AUT"/>
        <s v="FORESTER 4X4 2.0 AT"/>
        <s v="GOLF HB 1.4 AUT"/>
        <s v="SONET EX 4X2 MT 1.5"/>
        <s v="NEW REXTON LX 4X4 2.0 AUT"/>
        <s v="TIGGO 8 LTD 1.5"/>
        <s v="TERRITORY TITANIUM 4X2 1.5 AUT"/>
        <s v="SANTA FE GLS 2.4"/>
        <s v="AMAROK DCAB TDI DOHC 4X4 2.0 AUT"/>
        <s v="QASHQAI TURBO 1.3"/>
        <s v="FORESTER CVT 4X4 2.0 AUT"/>
        <s v="5008 MHEV 1.2 AUT"/>
        <s v="RAMPAGE DS LARAMIE 4X4 2.0 AUT"/>
        <s v="F150 LARIAT LUXURY 4X4 5.0L AUT"/>
        <s v="HUNTER 4X4 2.0"/>
        <s v="VIGUS 4X4 2.0"/>
        <s v="WR V LX 1.5 AUT"/>
        <s v="3008 BLUE HDI 130 EAT8 1.5 AUT"/>
        <s v="X TRAIL T32 CVT 2.5 AUT"/>
        <s v="OUTLANDER 2.0"/>
        <s v="RANGER RAPTOR 4X4 2.0 AUT"/>
        <s v="208 STYLE PURETECH 75 1.2"/>
        <s v="SUV 560 1.8"/>
        <s v="CROSSLAND MT6 1.2T"/>
        <s v="OUTLANDER GL 2.5 AUT"/>
        <s v="CARGO BOX XL 1.3"/>
        <s v="TIGGO 2 PRO GLS MT 1.5"/>
        <s v="MS201 DCAB 1.2"/>
        <s v="CX60 PREMIUM SPORT 4X4 3.3 AUT"/>
        <s v="CAPTIVA 1.5 AT"/>
        <s v="OUTLANDER SPORT GL 1.5 AT"/>
        <s v="600 PHEV 4X2 1.5 AUT"/>
        <s v="7 DCT 1.6 AUT"/>
        <s v="TIGGO 3 1.5"/>
        <s v="S4 HB 1.6"/>
        <s v="TXL UNLIMITED 4WD 2.0 AUT"/>
        <s v="S2 CE 1.5"/>
        <s v="RANGER DCAB 4X4 3.2 AUT"/>
        <s v="SONET EX 1.5"/>
        <s v="TERRITORY 1.5 AUT"/>
        <s v="SONG PLUS 4X2 1.5 AUT"/>
        <s v="SPORTAGE LX 4X4 2.0 AUT"/>
        <s v="VERSA MT 1.6"/>
        <s v="700 BIGHORN D CAB 4X2 1.4"/>
        <s v="VX UNLIMITED 4X4 2.0 AUT"/>
        <s v="SANTA FE MX5 GDI 2.5 AUT"/>
        <s v="VERSA CVT 1.6 AUT"/>
        <s v="7 DCT FWD 1.6 AUT"/>
        <s v="DUSTER ZEN 1.6"/>
        <s v="MOKKA 1.2T AUT"/>
        <s v="VERSA 4X2 1.6 AUT"/>
        <s v="CIVIC TOURING 1.5 AUT"/>
        <s v="TUCSON NX4 GDI 7DCT 1.6 AUT"/>
        <s v="GROOVE 1.5"/>
        <s v="RIO 4 6MT 1.4"/>
        <s v="EDGE SEL 4X4 2.0 AUT"/>
        <s v="JOLION TURBO DCT 1.5 AUT"/>
        <s v="CAPTIVA LS 2.4 AT"/>
        <s v="3008 ALLURE 1.2 AUT"/>
        <s v="ZS 1.5L AUT"/>
        <s v="3008 ALLURE 1.6 AUT"/>
        <s v="L200 KATANA D CAB CR 2.4"/>
        <s v="TIGGO 2 PRO FL GLS 1.5 AUT"/>
        <s v="CS15 HB 4X2 1.5"/>
        <s v="KUV 100 HATCH BACK 1.2"/>
        <s v="BRONCO SPORT 4X4 1.5 AUT"/>
        <s v="C-ELYSEE 1.5"/>
        <s v="GRANDLAND 1.6 AUT"/>
        <s v="SILVERADO CC LTZ 4X4 3.0 AUT"/>
        <s v="TORRES 4X2 1.5"/>
        <s v="XUV300 1.2"/>
        <s v="LANDTREK 1.9"/>
        <s v="GRAND I10 BA GLS 1.2"/>
        <s v="GRAND AVENUE 4X4 2.3"/>
        <s v="GRAND MUSSO 2.2"/>
        <s v="3008 PURETECH 1.2L"/>
        <s v="C5 AIRCROSS 1.5 AUT"/>
        <s v="3008 BLUE HDI HP 1.5 AUT"/>
        <s v="2008 BLUE HDI 130 1.5 AUT"/>
        <s v="NEW KORANDO 1.6"/>
        <s v="MORNING LX 1.0"/>
        <s v="ALL NEW COMPASS SPORT LX 2.4"/>
        <s v="SUV 560 4X2 1.8"/>
        <s v="500 1.5 CVT"/>
        <s v="SORENTO 8DCT 4WD 2.2 AUT"/>
        <s v="RAV4 CVT 2.0"/>
        <s v="JS8 TURBO 1.5"/>
        <s v="JS2 HATCHBACK 1.5"/>
        <s v="T8 PRO TM 4X4 2.0"/>
        <s v="D1 LUXURY 4X4 2.3"/>
        <s v="C3 AIRCROSS 1.2 AUT"/>
        <s v="RANGER XL M 4X4 2.2"/>
        <s v="3008 ALLURE 1.6 AT"/>
        <s v="C5 1.6 AUT"/>
        <s v="X7 PLUS TURBO 1.5"/>
        <s v="CX30 4X2 2.0 AUT"/>
        <s v="ASX GL 4X2 1.6"/>
        <s v="GRAND CHEROKEE LAREDO 4X4 3.0 AUT"/>
        <s v="NEW F150 LARIAT LUXURY 4X4 5.0"/>
        <s v="T8 PLUS DCAB 4X4 2.0"/>
        <s v="QASHQAI 1.3 AUT"/>
        <s v="RANGER LTD 2.5"/>
        <s v="ESCAPE 4X4 2.0 AUT"/>
        <s v="TERRALORD 4X4 2.5 AUT"/>
        <s v="TERRITORY TITANIUM 1.5 AUT"/>
        <s v="EDGE 3.5 AUT"/>
        <s v="RANGER XLT M 4X2 2.5"/>
        <s v="TIGGO 8 PRO MAX GLX 1.5 AUT"/>
        <s v="5008 PURETECH 180 1.6 AUT"/>
        <s v="ESCAPE DURA D4 2.5 AUT"/>
        <s v="TIGGO 7 GLX CVT PRO 1.5 AUT"/>
        <s v="SANTA FE MX5 GDI 4X4 2.5 AUT"/>
        <s v="Q2 35 TFSI 1.4 AUT"/>
        <s v="URVAN 4X2 2.5"/>
        <s v="TIGGO 2 1.5"/>
        <s v="3008 ACTIVE 1.6"/>
        <s v="REXTON 2.0"/>
        <s v="J7 1.5T Patagonia PHEV"/>
        <s v="EMZOOM 1.5T AT GL R-Style"/>
        <s v="YUAN PLUS EV GS"/>
        <s v="J7 1.5T PHEV"/>
        <s v="NEW KORANDO GLX 1.6"/>
        <s v="COUNTY 4.0"/>
        <s v="SONG PLUS GS"/>
        <s v="C7 1.6T DCT Prestige"/>
        <s v="MIGHTY EX6 DLX"/>
        <s v="REMAX CRDI DC 4X4 2.5"/>
        <s v="VAN 700 RAPID 1.4L ST"/>
        <s v="C5 1.6T 7DCT PRESTIGE"/>
        <s v="1500 BIG HORN 4X4 3.6 AT"/>
        <s v="NEW KORANDO GLX 1.6 AUT"/>
        <s v="J7 1.6T PRIME"/>
        <s v="XZU 917"/>
        <s v="T8 PRO 2.0T 4X4 DSL AT ADVANCE"/>
        <s v="C5 1.5T CVT LUXURY"/>
        <s v="GS4 POWER 1.5"/>
        <s v="NEW 3  1.5"/>
        <m/>
        <s v="New EXPERT MCA L3 Diesel 145hp MT" u="1"/>
        <s v="308 Allure Puretech 130" u="1"/>
        <s v="ARRIZO 5 1.5" u="1"/>
        <s v="SONET EX IVT 1.5 AUT" u="1"/>
        <s v="X55 1.5T" u="1"/>
        <s v="RIO 5 6MT 1.4" u="1"/>
        <s v="ACCENT HCI 1.4" u="1"/>
        <s v="GRAND I10 HB 1.2" u="1"/>
        <s v="CROSSTREK 4X4 2.0 AUT" u="1"/>
        <s v="RANGER XLT 2.5" u="1"/>
        <s v="1500 CREW CAB SPORT DCAB 4X4 3.6 AT" u="1"/>
        <s v="SELTOS EX TURBO GDI 1.4 AUT" u="1"/>
        <s v="SONET EX 4X2 1.5" u="1"/>
        <s v="H6 ELITE 2.0 AUT" u="1"/>
        <s v="C4 1.2 AT" u="1"/>
        <s v="2008 BLUE HDI 130 EAT8 1.5 AUT" u="1"/>
        <s v="TAHOE 4X4 5.3 AUT" u="1"/>
        <s v="RAMPAGE LARAMIE 2.0" u="1"/>
        <s v="FASTBACK IMPETUS 1.0 AUT" u="1"/>
        <s v="MORNING MPI 1.0" u="1"/>
        <s v="PATHFINDER R53 4X4 3.5 AUT" u="1"/>
        <s v="1500 REBEL CREW DCAB 4X4 5.7 AUT" u="1"/>
        <s v="TUCSON NX4 2.0 AUT" u="1"/>
        <s v="JIMNY 4X4 1.5 AT" u="1"/>
        <s v="2008 PURETECH 130 EAT8 1.2 AUT" u="1"/>
        <s v="SHARK 1.5 AUT" u="1"/>
        <s v="JS3 1.6" u="1"/>
        <s v="F150 RAPTOR 4X4 3.5 AUT" u="1"/>
        <s v="RANGER RAPTOR 4X4 3.0 AT" u="1"/>
        <s v="JS4 LUXURY HB 1.5" u="1"/>
        <s v="SWIFT DIT HB 1.0" u="1"/>
        <s v="OUTBACK 4X4 2.5 AT" u="1"/>
        <s v="NIRO HEV DCT GDI 1.6 AUT" u="1"/>
        <s v="US4 CRDI 6MT 2.2" u="1"/>
        <s v="CX70 T 1.5 AUT" u="1"/>
        <s v="208 Allure Pack Puretech 130 EAT8 e6.4" u="1"/>
        <s v="SPIN 1.8" u="1"/>
        <s v="RANGER DCAB XLT 4X4 3.2" u="1"/>
        <s v="POER 4X2 MT 2.0" u="1"/>
        <s v="LANDTREK ACTIVE Diesel 180hp 4X4 AT" u="1"/>
        <s v="K3 EX 1.6L 6AT" u="1"/>
        <s v="NEW FORESTER 2.0I AWD CVT XS SP" u="1"/>
        <s v="TERRALORD DCAB DLX 2.5" u="1"/>
        <s v="OUTLANDER GLS 4X4 2.5 AT" u="1"/>
        <s v="F150 XLT 4X4 5.0L AUT" u="1"/>
        <s v="C5 4X2 1.5 AUT" u="1"/>
        <s v="GS3 MT 1.5" u="1"/>
        <s v="2008 ACTIVE 130 1.2" u="1"/>
        <s v="TERRITORY 4X2 1.5 AUT" u="1"/>
        <s v="TERRITORY TITANIUM 4X2 5P 1.5 AUT" u="1"/>
        <s v="KICKS 1.6" u="1"/>
        <s v="TRUCK DC 1.3" u="1"/>
        <s v="ACCENT 1.5" u="1"/>
        <s v="TIGGO 8 PRO GLX DCT 1.6 AUT" u="1"/>
        <s v="SPORTAGE EX 2.0 AUT" u="1"/>
        <s v="S CROSS GL 1.6" u="1"/>
        <s v="ARKANA 1.3 AUT" u="1"/>
        <s v="COROLLA CROSS HEV 1.8 AUT" u="1"/>
        <s v="SAVEIRO CD 4X2 1.6" u="1"/>
        <s v="Qashqai Advance CVT 2WD" u="1"/>
        <s v="MONTERO SPORT 2.4" u="1"/>
        <s v="F150 LARIAT 4X4 5.0 AT" u="1"/>
        <s v="TIGGO 2 PRO MAX GL 1.5" u="1"/>
        <s v="JOLION 4X2 1.5" u="1"/>
        <s v="RAMPAGE DS BIGHORN 4X4 2.0 AUT" u="1"/>
        <s v="T9 2.0T 4X4 DSL AT ADVANCE" u="1"/>
        <s v="LANDTREK ACTIVE BLUEHDI 180 4X4" u="1"/>
        <s v="Landtrek Action4 Diesel 180hp 4x4 MT" u="1"/>
        <s v="TRACKER 1.2T" u="1"/>
        <s v="NEW XV 4X4 1.6I AUT" u="1"/>
        <s v="RAIZE 1.2" u="1"/>
        <s v="Q3 35 TFSI 1.4 AUT" u="1"/>
        <s v="GRAND NOMADE GLX 2.4 AUT" u="1"/>
        <s v="UNO WAY 1.4" u="1"/>
        <s v="5008 ALLURE 1.6 AUT" u="1"/>
        <s v="1000 LARAMIE 4X4 4P 2.0 AUT" u="1"/>
        <s v="SUV 560 OTTO 1.8" u="1"/>
        <s v="GRAND I10 AI3 4X2 1.2" u="1"/>
        <s v="NIVUS TSI 1.0 AUT" u="1"/>
        <s v="700 SLT DCAB 4X2 1.3" u="1"/>
        <s v="SOLUTO EX 1.4" u="1"/>
        <s v="X55 4X2 1.5 AUT" u="1"/>
        <s v="PARTNER BLUEHDI 1.5" u="1"/>
        <s v="2008 PURETECH 130 4X2 1.2" u="1"/>
        <s v="ZX 1.5" u="1"/>
        <s v="TIGGO 8 1.5" u="1"/>
        <s v="COMPASS LIMITED 4X2 1.3 AUT" u="1"/>
        <s v="F150 PLATINUM 4X4 3.5 AUT" u="1"/>
        <s v="X-TRAIL SENSE CVT 3ROW" u="1"/>
        <s v="X TRAIL CVT 2.5 AT" u="1"/>
        <s v="ECOSPORT FREESTYLE 1.5" u="1"/>
        <s v="X TRAIL 4X2 7P CVT 2.5" u="1"/>
        <s v="I20 BI3 1.4" u="1"/>
        <s v="TIGGO 2 GLS CVT 1.5 AUT" u="1"/>
        <s v="H6 ACTIVE 2.0 AUT" u="1"/>
        <s v="GRAND I10 BA GLS 1.5" u="1"/>
        <s v="LX ADVANCED 1.5 AUT" u="1"/>
        <s v="JUKE 1.6 AUT" u="1"/>
        <s v="YARIS 1.5" u="1"/>
        <s v="BALENO 4X2 1.5 AUT" u="1"/>
        <s v="CRETA GS PE 1.6" u="1"/>
        <s v="MORNING EX 1.2" u="1"/>
        <s v="POLO HIGHLINE 1.6" u="1"/>
        <s v="KICKS CVT 1.6 AUT" u="1"/>
        <s v="CRETA GRAND MPI 2.0" u="1"/>
        <s v="ECOSPORT TITANIUM 1.5" u="1"/>
        <s v="ONIX NB PREMIER 1.0T AUT" u="1"/>
        <s v="ASX 1.6" u="1"/>
        <s v="580 1.8" u="1"/>
        <s v="ZS 1.5 AUT" u="1"/>
        <s v="2008 ALLURE BLUEHDI 1.6" u="1"/>
        <s v="X TRAIL SENSE 2.5 AUT" u="1"/>
        <s v="BALENO 4X2 1.5" u="1"/>
        <s v="RENEGADE LX SPORT 1.7" u="1"/>
        <s v="CERATO EX 4X2 1.6 AUT" u="1"/>
        <s v="SPRESSO 1.0" u="1"/>
        <s v="X3 XDRIVE 20D 4X4 2.0 AT" u="1"/>
        <s v="ALL NEW OUTBACK 4X4 2.5I AUT" u="1"/>
        <s v="NEW XV AWD 2.0I AUT" u="1"/>
        <s v="CRETA SU2I 1.5" u="1"/>
        <s v="SOLUTO 1.4" u="1"/>
        <s v="2008 ACTIVE 1.2" u="1"/>
        <s v="RENEGADE SPORT 1.8" u="1"/>
        <s v="RANGER LTD 4X4 3.2" u="1"/>
        <s v="RAV4 OTTO 2.0 AUT" u="1"/>
        <s v="EXPLORER 2.3" u="1"/>
        <s v="F150 PLATINIUM 4X4 3.5 AT" u="1"/>
        <s v="NEW 6 2.5 AUT" u="1"/>
        <s v="RIFTER BLUE HDI 100 1.6" u="1"/>
        <s v="TRACKER II FWD 1,8" u="1"/>
        <s v="TUCSON NX4 1.6 AUT" u="1"/>
        <s v="OUTLANDER 2.0 AUT" u="1"/>
        <s v="DZIRE SEDAN 1.2" u="1"/>
        <s v="TORRES GLX 1.5 AUT" u="1"/>
        <s v="RANGER LTD 4X4 3.2 AUT" u="1"/>
        <s v="F150 XLT 3.7" u="1"/>
        <s v="AMAROK COMFORT 2.0" u="1"/>
        <s v="JUKE SENSE 1.6 AUT" u="1"/>
        <s v="CS15 1.5 AUT" u="1"/>
        <s v="C4 HDI 1.6" u="1"/>
        <s v="HI LUX DX 2.4" u="1"/>
        <s v="GRAND CHEROKEE LIMITED 4X4 3.6 AUT" u="1"/>
        <s v="ECOSPORT 1.5 AUT" u="1"/>
        <s v="SELTOS MPI 6MT 1.6" u="1"/>
        <s v="FORESTER 4X4 2.0I AUT" u="1"/>
        <s v="ECOSPORT TITANIUM 1.6" u="1"/>
        <s v="NEW BALENO GLX HB 1.5" u="1"/>
        <s v="K3 CROSS EX MPI 1.6" u="1"/>
        <s v="EXPLORER LTD 3.5 AUT" u="1"/>
        <s v="EXPLORER 2.3 AUT" u="1"/>
        <s v="OUTLANDER 4X4 2.4 AUT" u="1"/>
        <s v="QASHQAI SENSE 2.0" u="1"/>
        <s v="NP300 NAVARA DCAB 2.3" u="1"/>
        <s v="TIGGO 7 GLS CVT PRO 1.5 AUT" u="1"/>
        <s v="GT SEDAN 1.5" u="1"/>
        <s v="X TRAIL 2.5 AUT" u="1"/>
        <s v="SORENTO EX 2.4 AT" u="1"/>
        <s v="OUTLANDER GLX 2.5 AUT" u="1"/>
        <s v="5008 ALLURE BLUEHDI 1.5 AUT" u="1"/>
        <s v="ZS 1.5" u="1"/>
        <s v="3008 BLUE HDI 1.6 AUT" u="1"/>
        <s v="EXPLORER ST 4X4 3.0 AUT" u="1"/>
        <s v="NG TRAVERSE FWD 3.6 AUT" u="1"/>
        <s v="RANGER XLT 3.2" u="1"/>
        <s v="MUSSO GRAND 4X4 2.2" u="1"/>
        <s v="BUSINEES HDI 2.0" u="1"/>
        <s v="FORESTER XS 2.0 AUT" u="1"/>
        <s v="NEW KORANDO LIMITED 1.5 AUT" u="1"/>
        <s v="SPORTAGE LX  2.0" u="1"/>
        <s v="XV CVT 2.0 AUT" u="1"/>
        <s v="RAV4 2.5 AUT" u="1"/>
        <s v="3008 ALLURE E HDI 1.6" u="1"/>
        <s v="L200 DAKAR XR 4X4 2.4 AUT" u="1"/>
        <s v="TUCSON TL 2.0" u="1"/>
        <s v="NEW CX 5 R 2.0" u="1"/>
        <s v="3008 ALLURE BLUEHDI 1.5 AT" u="1"/>
        <s v="2008 BLUE HDI 1.5" u="1"/>
        <s v="KICKS ADVANCE 1.6" u="1"/>
        <s v="VERSA SENSE  1.6" u="1"/>
        <s v="TIVOLI 1.6 AUT" u="1"/>
        <s v="F150 XLT 4X4 5.0 AUT" u="1"/>
        <s v="ALL NEW OUTBACK LTD 4X4 2.5I AUT" u="1"/>
        <s v="5008 ACTIVE BLUEHDI 1.5 AUT" u="1"/>
        <s v="ECOSPORT 1.5" u="1"/>
        <s v="PULSE IMPETUS TF200 1.0 AUT" u="1"/>
        <s v="RIO 5 EX 1.4" u="1"/>
        <s v="GRANDLAND 130 1.2T AUT" u="1"/>
        <s v="ALL NEW CX30 2.0" u="1"/>
        <s v="GRAND CHEROKEE LAREDO SPORT 3.6 AUT" u="1"/>
        <s v="UNI T TURBO 1.5 AUT" u="1"/>
        <s v="NEW XV 4x4 2.0I" u="1"/>
        <s v="NEW XV 4X4 2.0I AUT" u="1"/>
        <s v="3008 ALLURE 1.6" u="1"/>
        <s v="CX5 OTTO 2.0" u="1"/>
        <s v="BERLINGO MULTISPACE BLUEHDI XL 1.5" u="1"/>
        <s v="CAPTIVA MT6 1.5" u="1"/>
        <s v="DASHING 1.6 AUT" u="1"/>
        <s v="208 BLUE HDI 100 4X2 1.5" u="1"/>
        <s v="SPORTAGE EX 2.0L" u="1"/>
        <s v="3008 PURETECH 180 EAT8 1.6 AUT" u="1"/>
        <s v="S2 CE CVT 1.5" u="1"/>
        <s v="GRAND VITARA 2WD 1.5 AT" u="1"/>
        <s v="AMAROK COMFORTLINE 2.0" u="1"/>
        <s v="V DRIVE N17 1.6" u="1"/>
        <s v="MORNING 1.2" u="1"/>
        <s v="NEW KORANDO GLX FULL 1.6 AUT" u="1"/>
        <s v="COROLLA CROSS CVT HEV 1.8 AUT" u="1"/>
        <s v="L200 DAKAR HP 4X4 2.4" u="1"/>
        <s v="S3 LUXURY HB 1.6" u="1"/>
        <s v="ZX CVT 1.5 AUT" u="1"/>
        <s v="T CROSS TRENDLINE 1.6" u="1"/>
        <s v="1500 LARAMIE 4X4 3.0 AUT" u="1"/>
        <s v="3008 BLUE HDI 130 1.5" u="1"/>
        <s v="WR V EXL 1.5 AUT" u="1"/>
        <s v="RIO 4 LX 1.4" u="1"/>
        <s v="JS8 LUXURY 1.5" u="1"/>
        <s v="RIO 5 HATCH BACK 1.4" u="1"/>
        <s v="SAIL 1.5" u="1"/>
        <s v="WRANGLER UNLTD SPORT 4X4 3.6 AUT" u="1"/>
        <s v="SOLUTO LX 1.4" u="1"/>
        <s v="QASHQAI 4WD 2.0 AUT" u="1"/>
        <s v="OUTBACK AWD 2.5I AUT" u="1"/>
        <s v="ECOSPORT 1.6" u="1"/>
        <s v="C ELYSEE 1.2" u="1"/>
        <s v="GRAND AVENUE 4X4 2.3 AUT" u="1"/>
        <s v="GRAND CARNIVAL LX 3.3 AT" u="1"/>
        <s v="S3 1.6" u="1"/>
        <s v="ALL NEW FORESTER XS AWD CVT 2.0I" u="1"/>
        <s v="420I GRAN COUPE 2.0 AUT" u="1"/>
        <s v="JIMNY 4X4 OTTO 1.5" u="1"/>
        <s v="SELTOS EX 1.6" u="1"/>
        <s v="BALENO GLX HB 1.4" u="1"/>
        <s v="FORESTER CVT 4X4 2.5 AUT" u="1"/>
        <s v="SPORTAGE QL MT 2.0" u="1"/>
        <s v="MONTERO SPORT 2.4 AUT" u="1"/>
        <s v="ESCAPE 4X4 2.0L AUT" u="1"/>
        <s v="PATHFINDER 4X4 3.5 AUT" u="1"/>
        <s v="YARIS SD 1.5" u="1"/>
        <s v="RIO 4 EX 1.4" u="1"/>
        <s v="T60 DCAB 4X4 2.0 AUT" u="1"/>
        <s v="3008 ALLURE BLUEHDI 1.5 AUT" u="1"/>
        <s v="E 2008 ELECTRIC AUT" u="1"/>
        <s v="CORSA BLUE HDI 100 1.5" u="1"/>
        <s v="C5 AIRCROSS CVA8 STT 1.5 AUT" u="1"/>
        <s v="NP300 NAVARA DCAB XE 2.3" u="1"/>
        <s v="SENTRA MT 2.0" u="1"/>
        <s v="VERSA SENCE 1.6" u="1"/>
        <s v="QASHQAI J11 2.0" u="1"/>
        <s v="HS 2.0T DCT TROPHY AWD" u="1"/>
        <s v="SPORTAGE LX 2.0" u="1"/>
        <s v="TIGGO 2 GLS 1.5" u="1"/>
        <s v="EXPLORER 4X2 2.3 AUT" u="1"/>
        <s v="GRAND CARNIVAL EX 2.2 AUT" u="1"/>
        <s v="ECLIPSE CROSS RX 1.5 AUT" u="1"/>
        <s v="HR V EXL 4X4 1.8 AUT" u="1"/>
        <s v="3008 GT LINE BLUEHDI 1.5 AUT" u="1"/>
        <s v="NAVARA D CAB 4X4 2.3 AT" u="1"/>
        <s v="VITARA OTTO 1.6" u="1"/>
        <s v="EXPLORER 4X4 2.3 AUT" u="1"/>
        <s v="VIRTUS TRENDLINE 1.6" u="1"/>
        <s v="XTRAIL 4X4 2.5 AUT" u="1"/>
        <s v="208 PURETECH 75 1.2" u="1"/>
        <s v="RUSH 4X4 1.5" u="1"/>
        <s v="TUCSON 2.0" u="1"/>
        <s v="SORENTO EX 2.4 AUT" u="1"/>
        <s v="COROLLA CROSS CVT 1.8" u="1"/>
        <s v="ALL NEW COMPASS LONGITUDE 2.4 AUT" u="1"/>
        <s v="F150 LARIAT SPORT 4X4 5.0L AUT" u="1"/>
        <s v="TERRITORY TREND 1.5 AUT" u="1"/>
        <s v="NEW REXTON 2.2" u="1"/>
        <s v="NEW CX 9 GTX 4X4 2.5 AUT" u="1"/>
        <s v="C HR 1.8 AUT" u="1"/>
        <s v="TIGUAN OTTO 1.4 AUT" u="1"/>
        <s v="CX70 LUXURY 1.6" u="1"/>
        <s v="TUCSON NX4 CRDI 8AT 2.0 AUT" u="1"/>
        <s v="V40 D2 MOMENTUM 2.0" u="1"/>
        <s v="H6 GT DCT 4X4 2.0 AUT" u="1"/>
        <s v="JOLION ELITE 1.5" u="1"/>
        <s v="ALL NEW CX30 2.0 AUT" u="1"/>
        <s v="NEW REXTON GLX TD 2.2 AUT" u="1"/>
        <s v="EDGE SEL 2.0 AUT" u="1"/>
        <s v="X55 1.5 AUT" u="1"/>
        <s v="ALL NEW COMPASS SPORT 2.4" u="1"/>
        <s v="GRAND CHEROKEE LIMITED 4X4 3.6 AT" u="1"/>
        <s v="EXPEDITION XLT 3.5 AUT" u="1"/>
        <s v="COMPASS SPORT AT6 2.4 AUT" u="1"/>
        <s v="KICKS ADVANCE 1.6 AUT" u="1"/>
        <s v="EDGE SEL 4X4 3.5 AUT" u="1"/>
        <s v="TIVOLI GLX 1.6" u="1"/>
        <s v="RAM 2500 4X4 6.7 AUT" u="1"/>
        <s v="ALL NEW CX 3 R 2.0 AUT" u="1"/>
        <s v="EXPLORER LTD 4X4 3.5 AUT" u="1"/>
        <s v="RANGER DCAB XLT 3.2" u="1"/>
        <s v="DUSTER LIFE 1.6" u="1"/>
        <s v="YARIS GLI 1.5" u="1"/>
        <s v="VELOSTER GLS 1.6" u="1"/>
        <s v="TIGGO 8 1.5 AUT" u="1"/>
        <s v="NEW REXTON 2.0 AUT" u="1"/>
        <s v="X TRAIL 4X4 7P CVT 2.5" u="1"/>
        <s v="H6 DELUXE 2.0 AUT" u="1"/>
        <s v="RAM1500 LARAMIE 4X4 5.7" u="1"/>
        <s v="RAV4 4X4 2.5 AUT" u="1"/>
        <s v="700 ADVENTURE DCAB 1.6" u="1"/>
        <s v="EXPLORER XLT 3.5 AUT" u="1"/>
        <s v="ARRIZO 3 GLS 1.5" u="1"/>
        <s v="AYGO HB 1.0" u="1"/>
        <s v="JOURNEY 2.4 AUT" u="1"/>
        <s v="GRAND AVENUE 4X2 2.3" u="1"/>
        <s v="TIGGO 3 GLS 1.5" u="1"/>
        <s v="COMPASS SPORT 2.4" u="1"/>
        <s v="EXPLORER 4WD 2.3 AUT" u="1"/>
        <s v="NEW QASHQAI ADVANCE 2.0" u="1"/>
        <s v="MONTERO SPORT 4X4 2.4" u="1"/>
        <s v="KICKS 1.6 AUT" u="1"/>
        <s v="SWIFT 2WD 1.2 AUT" u="1"/>
        <s v="FORESTER AWD 2.0I" u="1"/>
        <s v="SANTA FE 2.2 AUT" u="1"/>
        <s v="JS8 TURBO DCT 1.5 AUT" u="1"/>
        <s v="OUTLANDER GLX 4X4 2.4 AUT" u="1"/>
        <s v="ECOSPORT S 1.5" u="1"/>
        <s v="KORANDO 2.2" u="1"/>
        <s v="318I LCI 1.5 AUT" u="1"/>
        <s v="GRAND CHEROKEE LAREDO S 3.6 AUT" u="1"/>
        <s v="NEW XV AWD 1.6I AUT" u="1"/>
        <s v="208 PURETECH 130 EAT8 1.2 AUT" u="1"/>
        <s v="5008 THP 165 1.6 AUT" u="1"/>
        <s v="SUV GLORY 580 1.8" u="1"/>
        <s v="F150 XLT 4X4 5.0" u="1"/>
        <s v="AMAROK HIGHLINE 4X4 2.0 AT" u="1"/>
        <s v="SPORTAGE EX DSL 2.0 AUT" u="1"/>
        <s v="T5L LUX 1.8" u="1"/>
        <s v="JS2 HB 1.5" u="1"/>
        <s v="SUV GLORY 580 1.5" u="1"/>
        <s v="CRETA GS 1.6" u="1"/>
        <s v="C3 AIRCROSS HDI HB 1.5" u="1"/>
        <s v="SOUL EX 1.6" u="1"/>
        <s v="FORESTER XS 4X4 2.0I AUT" u="1"/>
        <s v="VITARA II GLX 1.6" u="1"/>
        <s v="SORENTO EX 2.2 AUT" u="1"/>
        <s v="3008 ACTIVE BLUEHDI 1.6" u="1"/>
        <s v="308 FELINE BLUE HDI 1.6" u="1"/>
        <s v="RANGER  XL  2.5" u="1"/>
        <s v="GOL HB 1.6" u="1"/>
        <s v="EXPLORER 4X4 3.0 AT" u="1"/>
        <s v="NIVUS TSI 1.0" u="1"/>
        <s v="X1 SDRIVE18I LCI 1.5 AUT" u="1"/>
        <s v="1000 BIG HORN 1.8 AUT" u="1"/>
        <s v="SILVERADO CC DCAB 4X4 5.3 AUT" u="1"/>
        <s v="NAVARA DCAB SE 4X4 2.5" u="1"/>
        <s v="RIO 5 1.4L AT" u="1"/>
        <s v="SELTOS EX IVT 1.5 AUT" u="1"/>
        <s v="D1 COMFORT 2.3" u="1"/>
        <s v="EDGE 2.0 AUT" u="1"/>
        <s v="BRONCO SPORT WILDTRAK 4X4 2.0 AUT" u="1"/>
        <s v="TRUCK CS C21 1.3" u="1"/>
        <s v="SELTOS MPI 1.6 AUT" u="1"/>
        <s v="HUNTER 1.9" u="1"/>
        <s v="NEW RAM1500 DCAB SLT 4X4 3.6 AUT" u="1"/>
        <s v="RAV 4 2.0 AUT" u="1"/>
        <s v="EXPEDITION LTD 4X4 3.5 AUT" u="1"/>
        <s v="NEW REXTON 4X4 2.2 AUT" u="1"/>
        <s v="C4 CACTUS HDI 1.6" u="1"/>
        <s v="F 150 LARIAT SPORT 4X4 5.0" u="1"/>
        <s v="PATHFINDER R53 3.5 AUT" u="1"/>
        <s v="CHEROKEE LONGITUDE 2.4 AUT" u="1"/>
        <s v="PILOT TOURING 4X4 3.5 AUT" u="1"/>
        <s v="MURANO Z52 4X4 3.5 AUT" u="1"/>
        <s v="308 PURETECH HB OTTO 1.2" u="1"/>
        <s v="FORTUNER 2.7 AUT" u="1"/>
        <s v="VOYAGE 1.6" u="1"/>
        <s v="ALL NEW CX 5 R 4X4 2.0" u="1"/>
        <s v="3 HATCH BACK 1.5 AUT" u="1"/>
        <s v="A3 HB 1.4 AUT" u="1"/>
        <s v="TRACKER 1.2T AUT" u="1"/>
        <s v="ARGO TREKKING HATCHBACK 1.3" u="1"/>
        <s v="SWIFT GL SPORT 1.2" u="1"/>
        <s v="EDGE AWD 2.7 AUT" u="1"/>
        <s v="2008 ALLURE BLUEHDI 1.5 AUT" u="1"/>
        <s v="308 PURETECH 1.2 AUT" u="1"/>
        <s v="H2 ELITE 1.5" u="1"/>
        <s v="MAVERICK XLT 2.0 AUT" u="1"/>
        <s v="GRAND I10 SDN 1.2" u="1"/>
        <s v="NEW ARRIZO 3 GLS 1.5" u="1"/>
        <s v="C ELYSEE BLUEHDI 1.5" u="1"/>
        <s v="X35 LUXURY 1.5" u="1"/>
        <s v="2008 GT-LINE BLUEHDI 1.5 AUT" u="1"/>
        <s v="CX70 ELITE 1.5 AUT" u="1"/>
        <s v="GS3 POWER 4X2 1.5 AUT" u="1"/>
        <s v="POER MT 4X4 2.0" u="1"/>
        <s v="PARTNER 1.9" u="1"/>
        <s v="SELTOS EX 1.6 AUT" u="1"/>
        <s v="HI LUX DCAB MT 4X2 2.4" u="1"/>
      </sharedItems>
    </cacheField>
    <cacheField name="Código Versión" numFmtId="0">
      <sharedItems containsBlank="1"/>
    </cacheField>
    <cacheField name="Año" numFmtId="0">
      <sharedItems containsString="0" containsBlank="1" containsNumber="1" containsInteger="1" minValue="2005" maxValue="2026" count="18">
        <n v="2025"/>
        <n v="2026"/>
        <n v="2024"/>
        <n v="2022"/>
        <n v="2019"/>
        <n v="2016"/>
        <n v="2023"/>
        <n v="2020"/>
        <n v="2009"/>
        <n v="2008"/>
        <n v="2021"/>
        <n v="2018"/>
        <n v="2014"/>
        <n v="2017"/>
        <n v="2013"/>
        <n v="2015"/>
        <m/>
        <n v="2005" u="1"/>
      </sharedItems>
    </cacheField>
    <cacheField name="Kilometraje" numFmtId="0">
      <sharedItems containsString="0" containsBlank="1" containsNumber="1" containsInteger="1" minValue="0" maxValue="200000" count="564">
        <n v="1510"/>
        <n v="0"/>
        <n v="2700"/>
        <n v="27913"/>
        <n v="2705"/>
        <n v="45647"/>
        <n v="1980"/>
        <n v="50982"/>
        <n v="23967"/>
        <n v="6400"/>
        <n v="66000"/>
        <n v="3756"/>
        <n v="2366"/>
        <n v="8160"/>
        <n v="3150"/>
        <n v="900"/>
        <n v="4750"/>
        <n v="22197"/>
        <n v="2139"/>
        <n v="5964"/>
        <n v="3623"/>
        <n v="7735"/>
        <n v="28620"/>
        <n v="37000"/>
        <n v="40200"/>
        <n v="6800"/>
        <n v="3478"/>
        <n v="37"/>
        <n v="3324"/>
        <n v="13051"/>
        <n v="5200"/>
        <n v="33641"/>
        <n v="23200"/>
        <n v="9609"/>
        <n v="2500"/>
        <n v="63000"/>
        <n v="5000"/>
        <n v="38242"/>
        <n v="29645"/>
        <n v="22255"/>
        <n v="20803"/>
        <n v="80925"/>
        <n v="66999"/>
        <n v="1600"/>
        <n v="15440"/>
        <n v="44332"/>
        <n v="96000"/>
        <n v="31490"/>
        <n v="57477"/>
        <n v="57917"/>
        <n v="80000"/>
        <n v="43000"/>
        <n v="84600"/>
        <n v="76000"/>
        <n v="45000"/>
        <n v="45341"/>
        <n v="31306"/>
        <n v="29570"/>
        <n v="1504"/>
        <n v="42000"/>
        <n v="68000"/>
        <n v="15600"/>
        <n v="26279"/>
        <n v="47000"/>
        <n v="11659"/>
        <n v="16869"/>
        <n v="77000"/>
        <n v="72706"/>
        <n v="5250"/>
        <n v="5800"/>
        <n v="71526"/>
        <n v="53750"/>
        <n v="72000"/>
        <n v="20000"/>
        <n v="74175"/>
        <n v="60800"/>
        <n v="89720"/>
        <n v="114000"/>
        <n v="41752"/>
        <n v="21000"/>
        <n v="21886"/>
        <n v="46000"/>
        <n v="44000"/>
        <n v="24500"/>
        <n v="34836"/>
        <n v="19678"/>
        <n v="12000"/>
        <n v="1905"/>
        <n v="6207"/>
        <n v="598"/>
        <n v="40095"/>
        <n v="75110"/>
        <n v="32000"/>
        <n v="61000"/>
        <n v="101000"/>
        <n v="65000"/>
        <n v="44258"/>
        <n v="25200"/>
        <n v="30000"/>
        <n v="83000"/>
        <n v="93000"/>
        <n v="44200"/>
        <n v="58500"/>
        <n v="85390"/>
        <n v="10200"/>
        <n v="95000"/>
        <n v="28000"/>
        <n v="28600"/>
        <n v="52000"/>
        <n v="80110"/>
        <n v="26330"/>
        <n v="18508"/>
        <n v="55000"/>
        <n v="20125"/>
        <n v="58239"/>
        <n v="24180"/>
        <n v="75000"/>
        <n v="4687"/>
        <n v="31000"/>
        <n v="35000"/>
        <n v="80213"/>
        <n v="103000"/>
        <n v="30883"/>
        <n v="90000"/>
        <n v="51000"/>
        <n v="22745"/>
        <n v="44495"/>
        <n v="25000"/>
        <n v="35150"/>
        <n v="36000"/>
        <n v="67000"/>
        <n v="83740"/>
        <n v="7392"/>
        <n v="75950"/>
        <n v="72768"/>
        <n v="45360"/>
        <n v="96150"/>
        <n v="102000"/>
        <n v="50000"/>
        <n v="44500"/>
        <n v="34500"/>
        <n v="6443"/>
        <n v="56985"/>
        <n v="102547"/>
        <n v="40695"/>
        <n v="72580"/>
        <n v="38300"/>
        <n v="26963"/>
        <n v="120000"/>
        <n v="4500"/>
        <n v="7991"/>
        <n v="39700"/>
        <n v="28945"/>
        <n v="160000"/>
        <n v="61400"/>
        <n v="54000"/>
        <n v="19000"/>
        <n v="16831"/>
        <n v="34289"/>
        <n v="66252"/>
        <n v="20600"/>
        <n v="19088"/>
        <n v="77179"/>
        <n v="45600"/>
        <n v="3500"/>
        <n v="48000"/>
        <n v="27891"/>
        <n v="56079"/>
        <n v="17000"/>
        <n v="58362"/>
        <n v="71248"/>
        <n v="30197"/>
        <n v="95984"/>
        <n v="169000"/>
        <n v="750"/>
        <n v="15100"/>
        <n v="200000"/>
        <n v="19482"/>
        <n v="4000"/>
        <n v="748"/>
        <n v="4200"/>
        <n v="8508"/>
        <n v="10171"/>
        <n v="12507"/>
        <n v="9892"/>
        <n v="3400"/>
        <n v="10500"/>
        <m/>
        <n v="941" u="1"/>
        <n v="4385" u="1"/>
        <n v="64000" u="1"/>
        <n v="33852" u="1"/>
        <n v="69690" u="1"/>
        <n v="24304" u="1"/>
        <n v="45836" u="1"/>
        <n v="54548" u="1"/>
        <n v="30468" u="1"/>
        <n v="70015" u="1"/>
        <n v="21862" u="1"/>
        <n v="22000" u="1"/>
        <n v="70000" u="1"/>
        <n v="33892" u="1"/>
        <n v="67616" u="1"/>
        <n v="10382" u="1"/>
        <n v="8766" u="1"/>
        <n v="9000" u="1"/>
        <n v="38055" u="1"/>
        <n v="17200" u="1"/>
        <n v="85300" u="1"/>
        <n v="40010" u="1"/>
        <n v="11258" u="1"/>
        <n v="6300" u="1"/>
        <n v="16021" u="1"/>
        <n v="10000" u="1"/>
        <n v="59539" u="1"/>
        <n v="14000" u="1"/>
        <n v="72237" u="1"/>
        <n v="25840" u="1"/>
        <n v="63400" u="1"/>
        <n v="26000" u="1"/>
        <n v="48094" u="1"/>
        <n v="97261" u="1"/>
        <n v="30900" u="1"/>
        <n v="29000" u="1"/>
        <n v="8249" u="1"/>
        <n v="44860" u="1"/>
        <n v="82000" u="1"/>
        <n v="56423" u="1"/>
        <n v="81000" u="1"/>
        <n v="68878" u="1"/>
        <n v="1800" u="1"/>
        <n v="83079" u="1"/>
        <n v="49059" u="1"/>
        <n v="93410" u="1"/>
        <n v="10800" u="1"/>
        <n v="21500" u="1"/>
        <n v="58000" u="1"/>
        <n v="13500" u="1"/>
        <n v="13800" u="1"/>
        <n v="11000" u="1"/>
        <n v="23796" u="1"/>
        <n v="47500" u="1"/>
        <n v="49885" u="1"/>
        <n v="12700" u="1"/>
        <n v="41000" u="1"/>
        <n v="7193" u="1"/>
        <n v="717" u="1"/>
        <n v="27000" u="1"/>
        <n v="40100" u="1"/>
        <n v="69756" u="1"/>
        <n v="22251" u="1"/>
        <n v="4950" u="1"/>
        <n v="31107" u="1"/>
        <n v="21752" u="1"/>
        <n v="11900" u="1"/>
        <n v="102853" u="1"/>
        <n v="67096" u="1"/>
        <n v="111255" u="1"/>
        <n v="7500" u="1"/>
        <n v="38173" u="1"/>
        <n v="32387" u="1"/>
        <n v="18500" u="1"/>
        <n v="92250" u="1"/>
        <n v="20" u="1"/>
        <n v="18" u="1"/>
        <n v="33420" u="1"/>
        <n v="73700" u="1"/>
        <n v="53987" u="1"/>
        <n v="45704" u="1"/>
        <n v="113000" u="1"/>
        <n v="75442" u="1"/>
        <n v="5303" u="1"/>
        <n v="41520" u="1"/>
        <n v="2900" u="1"/>
        <n v="28800" u="1"/>
        <n v="12238" u="1"/>
        <n v="14300" u="1"/>
        <n v="15700" u="1"/>
        <n v="108000" u="1"/>
        <n v="18000" u="1"/>
        <n v="15893" u="1"/>
        <n v="4400" u="1"/>
        <n v="9858" u="1"/>
        <n v="41227" u="1"/>
        <n v="105000" u="1"/>
        <n v="24756" u="1"/>
        <n v="54200" u="1"/>
        <n v="51446" u="1"/>
        <n v="119" u="1"/>
        <n v="61894" u="1"/>
        <n v="39280" u="1"/>
        <n v="31487" u="1"/>
        <n v="96083" u="1"/>
        <n v="1710" u="1"/>
        <n v="79000" u="1"/>
        <n v="51777" u="1"/>
        <n v="3361" u="1"/>
        <n v="1665" u="1"/>
        <n v="26500" u="1"/>
        <n v="52119" u="1"/>
        <n v="2858" u="1"/>
        <n v="42500" u="1"/>
        <n v="63900" u="1"/>
        <n v="15000" u="1"/>
        <n v="89000" u="1"/>
        <n v="22500" u="1"/>
        <n v="86000" u="1"/>
        <n v="40000" u="1"/>
        <n v="1010" u="1"/>
        <n v="84000" u="1"/>
        <n v="16000" u="1"/>
        <n v="92200" u="1"/>
        <n v="83600" u="1"/>
        <n v="99500" u="1"/>
        <n v="13000" u="1"/>
        <n v="28316" u="1"/>
        <n v="1702" u="1"/>
        <n v="37270" u="1"/>
        <n v="27034" u="1"/>
        <n v="10991" u="1"/>
        <n v="64500" u="1"/>
        <n v="62800" u="1"/>
        <n v="140000" u="1"/>
        <n v="71190" u="1"/>
        <n v="18760" u="1"/>
        <n v="27280" u="1"/>
        <n v="42363" u="1"/>
        <n v="6000" u="1"/>
        <n v="7000" u="1"/>
        <n v="87000" u="1"/>
        <n v="33600" u="1"/>
        <n v="106853" u="1"/>
        <n v="44013" u="1"/>
        <n v="3974" u="1"/>
        <n v="35700" u="1"/>
        <n v="73000" u="1"/>
        <n v="14800" u="1"/>
        <n v="65500" u="1"/>
        <n v="71000" u="1"/>
        <n v="32200" u="1"/>
        <n v="68863" u="1"/>
        <n v="9918" u="1"/>
        <n v="37645" u="1"/>
        <n v="3900" u="1"/>
        <n v="57000" u="1"/>
        <n v="77807" u="1"/>
        <n v="67300" u="1"/>
        <n v="59602" u="1"/>
        <n v="11022" u="1"/>
        <n v="6632" u="1"/>
        <n v="99800" u="1"/>
        <n v="18159" u="1"/>
        <n v="54773" u="1"/>
        <n v="28500" u="1"/>
        <n v="1925" u="1"/>
        <n v="20166" u="1"/>
        <n v="60145" u="1"/>
        <n v="44801" u="1"/>
        <n v="78600" u="1"/>
        <n v="68140" u="1"/>
        <n v="37800" u="1"/>
        <n v="88993" u="1"/>
        <n v="600" u="1"/>
        <n v="99200" u="1"/>
        <n v="3950" u="1"/>
        <n v="4020" u="1"/>
        <n v="29150" u="1"/>
        <n v="7800" u="1"/>
        <n v="42291" u="1"/>
        <n v="73889" u="1"/>
        <n v="49980" u="1"/>
        <n v="20500" u="1"/>
        <n v="3890" u="1"/>
        <n v="32500" u="1"/>
        <n v="46222" u="1"/>
        <n v="7130" u="1"/>
        <n v="12600" u="1"/>
        <n v="11643" u="1"/>
        <n v="8335" u="1"/>
        <n v="23000" u="1"/>
        <n v="34915" u="1"/>
        <n v="62929" u="1"/>
        <n v="97000" u="1"/>
        <n v="2000" u="1"/>
        <n v="1078" u="1"/>
        <n v="53000" u="1"/>
        <n v="62000" u="1"/>
        <n v="40500" u="1"/>
        <n v="11300" u="1"/>
        <n v="16099" u="1"/>
        <n v="26400" u="1"/>
        <n v="84124" u="1"/>
        <n v="46478" u="1"/>
        <n v="51800" u="1"/>
        <n v="98100" u="1"/>
        <n v="61406" u="1"/>
        <n v="8500" u="1"/>
        <n v="38000" u="1"/>
        <n v="19800" u="1"/>
        <n v="33200" u="1"/>
        <n v="151500" u="1"/>
        <n v="23237" u="1"/>
        <n v="24000" u="1"/>
        <n v="99970" u="1"/>
        <n v="19500" u="1"/>
        <n v="38600" u="1"/>
        <n v="53057" u="1"/>
        <n v="2230" u="1"/>
        <n v="91000" u="1"/>
        <n v="16500" u="1"/>
        <n v="39330" u="1"/>
        <n v="75500" u="1"/>
        <n v="17100" u="1"/>
        <n v="59176" u="1"/>
        <n v="36393" u="1"/>
        <n v="99210" u="1"/>
        <n v="63083" u="1"/>
        <n v="134500" u="1"/>
        <n v="17800" u="1"/>
        <n v="44120" u="1"/>
        <n v="111135" u="1"/>
        <n v="21178" u="1"/>
        <n v="80922" u="1"/>
        <n v="12612" u="1"/>
        <n v="11421" u="1"/>
        <n v="22075" u="1"/>
        <n v="48358" u="1"/>
        <n v="38550" u="1"/>
        <n v="71733" u="1"/>
        <n v="31500" u="1"/>
        <n v="30500" u="1"/>
        <n v="38043" u="1"/>
        <n v="34200" u="1"/>
        <n v="58755" u="1"/>
        <n v="95235" u="1"/>
        <n v="90551" u="1"/>
        <n v="101036" u="1"/>
        <n v="28900" u="1"/>
        <n v="1650" u="1"/>
        <n v="8490" u="1"/>
        <n v="76432" u="1"/>
        <n v="115" u="1"/>
        <n v="40252" u="1"/>
        <n v="15626" u="1"/>
        <n v="33800" u="1"/>
        <n v="29500" u="1"/>
        <n v="56000" u="1"/>
        <n v="38164" u="1"/>
        <n v="61150" u="1"/>
        <n v="189" u="1"/>
        <n v="85000" u="1"/>
        <n v="13200" u="1"/>
        <n v="54218" u="1"/>
        <n v="48014" u="1"/>
        <n v="43395" u="1"/>
        <n v="48160" u="1"/>
        <n v="114629" u="1"/>
        <n v="42958" u="1"/>
        <n v="60200" u="1"/>
        <n v="5214" u="1"/>
        <n v="87403" u="1"/>
        <n v="84650" u="1"/>
        <n v="53414" u="1"/>
        <n v="8941" u="1"/>
        <n v="67224" u="1"/>
        <n v="1124" u="1"/>
        <n v="72767" u="1"/>
        <n v="26847" u="1"/>
        <n v="12400" u="1"/>
        <n v="21300" u="1"/>
        <n v="56700" u="1"/>
        <n v="32379" u="1"/>
        <n v="93400" u="1"/>
        <n v="30726" u="1"/>
        <n v="92421" u="1"/>
        <n v="49750" u="1"/>
        <n v="52500" u="1"/>
        <n v="28200" u="1"/>
        <n v="54700" u="1"/>
        <n v="44567" u="1"/>
        <n v="67777" u="1"/>
        <n v="19719" u="1"/>
        <n v="65800" u="1"/>
        <n v="103500" u="1"/>
        <n v="1275" u="1"/>
        <n v="65937" u="1"/>
        <n v="35300" u="1"/>
        <n v="52459" u="1"/>
        <n v="62300" u="1"/>
        <n v="67100" u="1"/>
        <n v="86930" u="1"/>
        <n v="65600" u="1"/>
        <n v="3100" u="1"/>
        <n v="43640" u="1"/>
        <n v="9800" u="1"/>
        <n v="37722" u="1"/>
        <n v="27300" u="1"/>
        <n v="100000" u="1"/>
        <n v="29381" u="1"/>
        <n v="96490" u="1"/>
        <n v="23900" u="1"/>
        <n v="50976" u="1"/>
        <n v="68500" u="1"/>
        <n v="31643" u="1"/>
        <n v="49000" u="1"/>
        <n v="38011" u="1"/>
        <n v="2340" u="1"/>
        <n v="20200" u="1"/>
        <n v="7222" u="1"/>
        <n v="63500" u="1"/>
        <n v="44650" u="1"/>
        <n v="44700" u="1"/>
        <n v="14500" u="1"/>
        <n v="109000" u="1"/>
        <n v="10300" u="1"/>
        <n v="78601" u="1"/>
        <n v="74200" u="1"/>
        <n v="12096" u="1"/>
        <n v="14676" u="1"/>
        <n v="9990" u="1"/>
        <n v="36372" u="1"/>
        <n v="38390" u="1"/>
        <n v="42360" u="1"/>
        <n v="60650" u="1"/>
        <n v="102342" u="1"/>
        <n v="94000" u="1"/>
        <n v="67900" u="1"/>
        <n v="80400" u="1"/>
        <n v="91200" u="1"/>
        <n v="92000" u="1"/>
        <n v="8600" u="1"/>
        <n v="59000" u="1"/>
        <n v="60300" u="1"/>
        <n v="38400" u="1"/>
        <n v="39500" u="1"/>
        <n v="20811" u="1"/>
        <n v="18883" u="1"/>
        <n v="17220" u="1"/>
        <n v="89634" u="1"/>
        <n v="1900" u="1"/>
        <n v="5100" u="1"/>
        <n v="13400" u="1"/>
        <n v="77500" u="1"/>
        <n v="34157" u="1"/>
        <n v="6078" u="1"/>
        <n v="3363" u="1"/>
        <n v="29200" u="1"/>
        <n v="66800" u="1"/>
        <n v="69500" u="1"/>
        <n v="56168" u="1"/>
        <n v="12300" u="1"/>
        <n v="88000" u="1"/>
        <n v="69664" u="1"/>
        <n v="69000" u="1"/>
        <n v="38900" u="1"/>
        <n v="43600" u="1"/>
        <n v="80718" u="1"/>
        <n v="60000" u="1"/>
        <n v="56891" u="1"/>
        <n v="36060" u="1"/>
        <n v="47100" u="1"/>
        <n v="30773" u="1"/>
        <n v="116000" u="1"/>
        <n v="94076" u="1"/>
      </sharedItems>
    </cacheField>
    <cacheField name="Código Interno" numFmtId="0">
      <sharedItems containsBlank="1"/>
    </cacheField>
    <cacheField name="Placa Patente" numFmtId="0">
      <sharedItems containsBlank="1" count="917">
        <s v="TXYV73"/>
        <s v="VJBV25"/>
        <s v="VZLY15"/>
        <s v="VKCY37"/>
        <s v="TGVK67"/>
        <s v="VYCP86"/>
        <s v="TJDB33"/>
        <s v="VKCY38"/>
        <s v="RVYJ17"/>
        <s v="TJCZ90"/>
        <s v="VKCY43"/>
        <s v="VVYY78"/>
        <s v="VKCY47"/>
        <s v="RSYF47"/>
        <s v="TDXB62"/>
        <s v="VBWV23"/>
        <s v="TBCP54"/>
        <s v="VBBD31"/>
        <s v="LBGX66"/>
        <s v="VBBD56"/>
        <s v="TYWT29"/>
        <s v="VBBD42"/>
        <s v="TDWY79"/>
        <s v="VKCY35"/>
        <s v="VSWV91"/>
        <s v="TSGB37"/>
        <s v="VBBD50"/>
        <s v="TSGB41"/>
        <s v="TTXB59"/>
        <s v="VSWT56"/>
        <s v="VLYJ61"/>
        <s v="TBCS80"/>
        <s v="VBBD33"/>
        <s v="TBCP55"/>
        <s v="TVXK84"/>
        <s v="THRL69"/>
        <s v="VKBH32"/>
        <s v="THHH27"/>
        <s v="VBBD25"/>
        <s v="VBBD47"/>
        <s v="TSGB43"/>
        <s v="HTCD28"/>
        <s v="VHGF48"/>
        <s v="TJDC25"/>
        <s v="TPJD34"/>
        <s v="RZSJ13"/>
        <s v="VXJX72"/>
        <s v="VGWS84"/>
        <s v="VBBD27"/>
        <s v="TDYG27"/>
        <s v="TZHX27"/>
        <s v="VJTV59"/>
        <s v="VKCY69"/>
        <s v="SJVT21"/>
        <s v="JZJS90"/>
        <s v="VBBD76"/>
        <s v="VLYK15"/>
        <s v="TBCP81"/>
        <s v="VBBD51"/>
        <s v="STBR37"/>
        <s v="TGVG41"/>
        <s v="TGVT33"/>
        <s v="VJBV97"/>
        <s v="TYWS82"/>
        <s v="TYWS92"/>
        <s v="TYWT10"/>
        <s v="VCRK22"/>
        <s v="LLBT66"/>
        <s v="VBBD35"/>
        <s v="LLBK39"/>
        <s v="VJTR16"/>
        <s v="VJTV56"/>
        <s v="TYWT28"/>
        <s v="TJDC59"/>
        <s v="THRL53"/>
        <s v="VRHS21"/>
        <s v="TBJF15"/>
        <s v="TSGB48"/>
        <s v="VSWT54"/>
        <s v="BZBL60"/>
        <s v="TYWT12"/>
        <s v="LDVR15"/>
        <s v="BSHP51"/>
        <s v="LLBK37"/>
        <s v="SWBW23"/>
        <s v="TFFD89"/>
        <s v="TRJG95"/>
        <s v="TPTY64"/>
        <s v="VKCY97"/>
        <s v="RCBL14"/>
        <s v="RKZT70"/>
        <s v="SFLW13"/>
        <s v="TSZB33"/>
        <s v="TTVX42"/>
        <s v="SDGD26"/>
        <s v="PDBJ62"/>
        <s v="SYRD37"/>
        <s v="PFRW44"/>
        <s v="SLRL79"/>
        <s v="SKSZ29"/>
        <s v="VBBB67"/>
        <s v="LSZV62"/>
        <s v="TPCS18"/>
        <s v="SBLD74"/>
        <s v="HTSJ81"/>
        <s v="TSZB88"/>
        <s v="SJKL16"/>
        <s v="SXBS86"/>
        <s v="TFGP78"/>
        <s v="VVYY26"/>
        <s v="TPWR77"/>
        <s v="JXTB68"/>
        <s v="SRHZ99"/>
        <s v="SFLX53"/>
        <s v="TRBD16"/>
        <s v="PJDF47"/>
        <s v="VKGH56"/>
        <s v="VFSF65"/>
        <s v="PZTS12"/>
        <s v="RXRV75"/>
        <s v="VRHK60"/>
        <s v="TSSB38"/>
        <s v="TSSG29"/>
        <s v="SCZP441"/>
        <s v="TKTZ11"/>
        <s v="TSZC89"/>
        <s v="SLKL22"/>
        <s v="SFLW10"/>
        <s v="PPVC41"/>
        <s v="SFTZ65"/>
        <s v="VDWP65"/>
        <s v="TBZK54"/>
        <s v="TLRT34"/>
        <s v="SDGC30"/>
        <s v="PYZL95"/>
        <s v="SLWH28"/>
        <s v="GBDZ38"/>
        <s v="SYXS64"/>
        <s v="SDYB13"/>
        <s v="TSPX19"/>
        <s v="THHH77"/>
        <s v="TSSG86"/>
        <s v="VLYL61"/>
        <s v="VRHP15"/>
        <s v="VGPT64"/>
        <s v="RBZD91"/>
        <s v="LVWT41"/>
        <s v="SWKW82"/>
        <s v="LXPK37"/>
        <s v="SJVP34"/>
        <s v="SWTL68"/>
        <s v="SYDS96"/>
        <s v="RRWP38"/>
        <s v="TJDC55"/>
        <s v="FWLT41"/>
        <s v="SLWF35"/>
        <s v="SXLB66"/>
        <s v="TSYX31"/>
        <s v="THXK86"/>
        <s v="RBJH77"/>
        <s v="TYFD45"/>
        <s v="LPXF73"/>
        <s v="TJCZ21"/>
        <s v="TBWZ70"/>
        <s v="SFDX31"/>
        <s v="TJYV65"/>
        <s v="SZTJ58"/>
        <s v="SXYJ46"/>
        <s v="SJVR13"/>
        <s v="RBCZ22"/>
        <s v="PCDV84"/>
        <s v="RJCV42"/>
        <s v="SVRL93"/>
        <s v="RSTC22"/>
        <s v="TSFY83"/>
        <s v="JHSK67"/>
        <s v="TZTC96"/>
        <s v="SJPR10"/>
        <s v="TPJD22"/>
        <s v="PCDV97"/>
        <s v="KPKW32"/>
        <s v="TPTX50"/>
        <s v="RJDX35"/>
        <s v="RGLK10"/>
        <s v="FZPL98"/>
        <s v="SYXT32"/>
        <s v="TRJG97"/>
        <s v="PLBS15"/>
        <s v="SJDW14"/>
        <s v="SPZB83"/>
        <s v="TLRS70"/>
        <s v="TSSG48"/>
        <s v="SHDG76"/>
        <s v="LCWC57"/>
        <s v="VSWX77"/>
        <s v="LRWC17"/>
        <s v="RJDB78"/>
        <s v="SDPF24"/>
        <s v="TJDC10"/>
        <s v="LVWV64"/>
        <s v="LVCS57"/>
        <s v="PJRC48"/>
        <s v="PKBJ31"/>
        <s v="FZPL81"/>
        <s v="KTCW94"/>
        <s v="TVXJ86"/>
        <s v="SYPL90"/>
        <s v="VFTG62"/>
        <s v="TRBJ23"/>
        <s v="SYRB80"/>
        <s v="VJTS35"/>
        <s v="RTLV27"/>
        <s v="RTLR76"/>
        <s v="SSVL57"/>
        <s v="TTVT92"/>
        <s v="LPXJ44"/>
        <s v="TBCS36"/>
        <s v="PJDC98"/>
        <s v="JXGC32"/>
        <s v="VKCZ36"/>
        <s v="VCRS15"/>
        <s v="VLYP47"/>
        <s v="VBWR52"/>
        <s v="SHLX28"/>
        <s v="FHRL53"/>
        <s v="SZLZ13"/>
        <s v="SSXS36"/>
        <s v="THHJ17"/>
        <s v="TRTW75"/>
        <s v="LYPC87"/>
        <s v="JXDK27"/>
        <s v="RSWX56"/>
        <s v="TXYY62"/>
        <s v="TDXB48"/>
        <s v="LCJD74"/>
        <s v="TBCR93"/>
        <s v="HKVZ15"/>
        <s v="VXJV67"/>
        <s v="PFZL51"/>
        <s v="SGTD48"/>
        <s v="TKHS86"/>
        <s v="RVRD47"/>
        <s v="TTVD23"/>
        <s v="SPZD69"/>
        <s v="STYG35"/>
        <s v="PPPB53"/>
        <s v="JYBF33"/>
        <s v="GLRH21"/>
        <s v="VSWS35"/>
        <s v="VBRW77"/>
        <s v="SYPY23"/>
        <s v="VBWT73"/>
        <s v="TKHR29"/>
        <s v="THHH22"/>
        <s v="JPLS76"/>
        <s v="TJSJ84"/>
        <s v="VSWS34"/>
        <s v="RSYF10"/>
        <s v="VPDX23"/>
        <s v="PCFD25"/>
        <s v="VSWS33"/>
        <s v="TVXH52"/>
        <s v="TKHT92"/>
        <s v="TTVW30"/>
        <s v="TGVG86"/>
        <s v="SYPX68"/>
        <s v="TZHS85"/>
        <s v="TRBK34"/>
        <s v="SFLW35"/>
        <s v="LSXX79"/>
        <m/>
        <s v="VJTV94" u="1"/>
        <s v="TJCZ72" u="1"/>
        <s v="TSGB38" u="1"/>
        <s v="PKBT78" u="1"/>
        <s v="KZKL71" u="1"/>
        <s v="TBCS40" u="1"/>
        <s v="TJSK30" u="1"/>
        <s v="STYY42" u="1"/>
        <s v="SXTX58" u="1"/>
        <s v="SCWW30" u="1"/>
        <s v="SWZD53" u="1"/>
        <s v="LJYP23" u="1"/>
        <s v="PPZF53" u="1"/>
        <s v="VHGG30" u="1"/>
        <s v="RVKK81" u="1"/>
        <s v="SHLW33" u="1"/>
        <s v="TJSJ92" u="1"/>
        <s v="VRSS76" u="1"/>
        <s v="TRBD14" u="1"/>
        <s v="VKXF90" u="1"/>
        <s v="RKWR30" u="1"/>
        <s v="SLWH58" u="1"/>
        <s v="SVJZ34" u="1"/>
        <s v="TDYP51" u="1"/>
        <s v="PDBT76" u="1"/>
        <s v="THCY96" u="1"/>
        <s v="SWBV94" u="1"/>
        <s v="" u="1"/>
        <s v="TJCZ18" u="1"/>
        <s v="TSGB57" u="1"/>
        <s v="TYWK96" u="1"/>
        <s v="TKHL16" u="1"/>
        <s v="SYDS69" u="1"/>
        <s v="SPSZ86" u="1"/>
        <s v="TJSK11" u="1"/>
        <s v="RXYT46" u="1"/>
        <s v="SZTF51" u="1"/>
        <s v="VJLR88" u="1"/>
        <s v="RVDT18" u="1"/>
        <s v="SSTT37" u="1"/>
        <s v="TGVF52" u="1"/>
        <s v="RZFB27" u="1"/>
        <s v="LVWS91" u="1"/>
        <s v="TFDC75" u="1"/>
        <s v="SBLD78" u="1"/>
        <s v="TJDB19" u="1"/>
        <s v="SRWC14" u="1"/>
        <s v="TDKL17" u="1"/>
        <s v="RVYS15" u="1"/>
        <s v="RGJC66" u="1"/>
        <s v="SLYZ71" u="1"/>
        <s v="TBJJ46" u="1"/>
        <s v="THXP99" u="1"/>
        <s v="SDGG72" u="1"/>
        <s v="LYPC19" u="1"/>
        <s v="RXXW40" u="1"/>
        <s v="TLRL18" u="1"/>
        <s v="RXCG78" u="1"/>
        <s v="TJCZ70" u="1"/>
        <s v="PKZB80" u="1"/>
        <s v="RFKS49" u="1"/>
        <s v="RHBV36" u="1"/>
        <s v="TPJF75" u="1"/>
        <s v="LLBG29" u="1"/>
        <s v="VJBV20" u="1"/>
        <s v="VBBB58" u="1"/>
        <s v="TCHZ68" u="1"/>
        <s v="RDWB83" u="1"/>
        <s v="VDFP78" u="1"/>
        <s v="TKHS25" u="1"/>
        <s v="VGWR84" u="1"/>
        <s v="SBWL93" u="1"/>
        <s v="PSTV42" u="1"/>
        <s v="TSYY69" u="1"/>
        <s v="TJLD76" u="1"/>
        <s v="VKDD49" u="1"/>
        <s v="TJSK12" u="1"/>
        <s v="SSSC81" u="1"/>
        <s v="VKPF28" u="1"/>
        <s v="TTXB96" u="1"/>
        <s v="SRDZ65" u="1"/>
        <s v="SDKG61" u="1"/>
        <s v="THRJ79" u="1"/>
        <s v="KZVW98" u="1"/>
        <s v="SKLK51" u="1"/>
        <s v="VGWR39" u="1"/>
        <s v="TFGS79" u="1"/>
        <s v="TBCS20" u="1"/>
        <s v="TCHV94" u="1"/>
        <s v="RYLP35" u="1"/>
        <s v="SDKF65" u="1"/>
        <s v="PKTZ57" u="1"/>
        <s v="VDWK12" u="1"/>
        <s v="TSZC51" u="1"/>
        <s v="SHDF28" u="1"/>
        <s v="SYDR45" u="1"/>
        <s v="SVGL34" u="1"/>
        <s v="TZHS55" u="1"/>
        <s v="PLCD85" u="1"/>
        <s v="TBCP56" u="1"/>
        <s v="VGPT26" u="1"/>
        <s v="VGPT22" u="1"/>
        <s v="VGPT23" u="1"/>
        <s v="VPGH20" u="1"/>
        <s v="VGPT20" u="1"/>
        <s v="VPGH21" u="1"/>
        <s v="VGPT28" u="1"/>
        <s v="VBBD44" u="1"/>
        <s v="TPCR76" u="1"/>
        <s v="SBWS64" u="1"/>
        <s v="KGPD22" u="1"/>
        <s v="TDYJ47" u="1"/>
        <s v="RXRX10" u="1"/>
        <s v="LBVT54" u="1"/>
        <s v="JSWS83" u="1"/>
        <s v="TCTW89" u="1"/>
        <s v="LYPC28" u="1"/>
        <s v="PJRZ17" u="1"/>
        <s v="SSTB40" u="1"/>
        <s v="TJYL37" u="1"/>
        <s v="VKDD18" u="1"/>
        <s v="SWBW81" u="1"/>
        <s v="VVZF32" u="1"/>
        <s v="TDWZ10" u="1"/>
        <s v="TSZD67" u="1"/>
        <s v="VDBK98" u="1"/>
        <s v="VDBP55" u="1"/>
        <s v="SVRP71" u="1"/>
        <s v="SSTS46" u="1"/>
        <s v="THCY49" u="1"/>
        <s v="RSJD48" u="1"/>
        <s v="TSYZ42" u="1"/>
        <s v="TGVH34" u="1"/>
        <s v="VDBP35" u="1"/>
        <s v="SVRS85" u="1"/>
        <s v="SCGS32" u="1"/>
        <s v="KJSX19" u="1"/>
        <s v="SXHW25" u="1"/>
        <s v="KSRT45" u="1"/>
        <s v="SWTR87" u="1"/>
        <s v="SJVT25" u="1"/>
        <s v="SLPR10" u="1"/>
        <s v="TXYV94" u="1"/>
        <s v="PBXX58" u="1"/>
        <s v="SVRS43" u="1"/>
        <s v="STBT82" u="1"/>
        <s v="SZTL17" u="1"/>
        <s v="HHYB74" u="1"/>
        <s v="SYPP89" u="1"/>
        <s v="TJYK56" u="1"/>
        <s v="KZKC62" u="1"/>
        <s v="JLHR52" u="1"/>
        <s v="JXGB32" u="1"/>
        <s v="RZSK13" u="1"/>
        <s v="TRTY36" u="1"/>
        <s v="TLRP41" u="1"/>
        <s v="SBKC22" u="1"/>
        <s v="PSHX11" u="1"/>
        <s v="KDTL69" u="1"/>
        <s v="RVPZ64" u="1"/>
        <s v="RJCW25" u="1"/>
        <s v="VBHL43" u="1"/>
        <s v="RTWY58" u="1"/>
        <s v="KGKZ84" u="1"/>
        <s v="PCDX27" u="1"/>
        <s v="JCDG98" u="1"/>
        <s v="JXGD53" u="1"/>
        <s v="TJSK21" u="1"/>
        <s v="PRHK53" u="1"/>
        <s v="RFFT62" u="1"/>
        <s v="RSTC90" u="1"/>
        <s v="JPSK79" u="1"/>
        <s v="RWWC29" u="1"/>
        <s v="SYXS13" u="1"/>
        <s v="KZKC93" u="1"/>
        <s v="LYPC50" u="1"/>
        <s v="LVLR40" u="1"/>
        <s v="SWWP61" u="1"/>
        <s v="RLSG74" u="1"/>
        <s v="PFRX97" u="1"/>
        <s v="JDKX55" u="1"/>
        <s v="LFXL70" u="1"/>
        <s v="PDWX41" u="1"/>
        <s v="SLRC28" u="1"/>
        <s v="TJDB78" u="1"/>
        <s v="JPLT99" u="1"/>
        <s v="GGJW34" u="1"/>
        <s v="LYLW59" u="1"/>
        <s v="LZHZ29" u="1"/>
        <s v="RRZF71" u="1"/>
        <s v="TJLF41" u="1"/>
        <s v="KWVR43" u="1"/>
        <s v="SLLW76" u="1"/>
        <s v="TKTY27" u="1"/>
        <s v="LRWC74" u="1"/>
        <s v="KWXZ72" u="1"/>
        <s v="GJJL60" u="1"/>
        <s v="THRJ19" u="1"/>
        <s v="HVVG32" u="1"/>
        <s v="JGBW47" u="1"/>
        <s v="PJYL94" u="1"/>
        <s v="KWGG58" u="1"/>
        <s v="PYDG61" u="1"/>
        <s v="HJSY32" u="1"/>
        <s v="PHGF32" u="1"/>
        <s v="PFRK42" u="1"/>
        <s v="KPLB46" u="1"/>
        <s v="SJVP42" u="1"/>
        <s v="RYDP36" u="1"/>
        <s v="HXRG45" u="1"/>
        <s v="HCVX85" u="1"/>
        <s v="SYPS75" u="1"/>
        <s v="TSSB14" u="1"/>
        <s v="HRWV51" u="1"/>
        <s v="JHSC12" u="1"/>
        <s v="TPJG31" u="1"/>
        <s v="KWVT56" u="1"/>
        <s v="PRBC55" u="1"/>
        <s v="LSYB71" u="1"/>
        <s v="JZGL35" u="1"/>
        <s v="PKTY31" u="1"/>
        <s v="THHK51" u="1"/>
        <s v="SHBX81" u="1"/>
        <s v="RWTZ33" u="1"/>
        <s v="LVWS97" u="1"/>
        <s v="JJYJ11" u="1"/>
        <s v="TSYX66" u="1"/>
        <s v="LHCV91" u="1"/>
        <s v="HRWL16" u="1"/>
        <s v="KCBV84" u="1"/>
        <s v="LBSF88" u="1"/>
        <s v="TXYY85" u="1"/>
        <s v="RJPJ69" u="1"/>
        <s v="LSXY18" u="1"/>
        <s v="TBCR58" u="1"/>
        <s v="PCFG40" u="1"/>
        <s v="LVXB14" u="1"/>
        <s v="RLJS73" u="1"/>
        <s v="LSVF37" u="1"/>
        <s v="KZVW63" u="1"/>
        <s v="RZFB93" u="1"/>
        <s v="LVXB90" u="1"/>
        <s v="SVGL31" u="1"/>
        <s v="PYDD42" u="1"/>
        <s v="RWJK28" u="1"/>
        <s v="SVRR32" u="1"/>
        <s v="SYDR34" u="1"/>
        <s v="SDGD31" u="1"/>
        <s v="JZSP13" u="1"/>
        <s v="HHYF70" u="1"/>
        <s v="SYXT21" u="1"/>
        <s v="SYPZ14" u="1"/>
        <s v="RGTR32" u="1"/>
        <s v="TTYT86" u="1"/>
        <s v="KZHF61" u="1"/>
        <s v="PPGH28" u="1"/>
        <s v="VHGB68" u="1"/>
        <s v="SPJD14" u="1"/>
        <s v="JJYG11" u="1"/>
        <s v="LLBZ24" u="1"/>
        <s v="RWYC65" u="1"/>
        <s v="LLBS23" u="1"/>
        <s v="JBJZ91" u="1"/>
        <s v="LRVZ99" u="1"/>
        <s v="HVWX63" u="1"/>
        <s v="RLJR40" u="1"/>
        <s v="LHRZ15" u="1"/>
        <s v="RFFT93" u="1"/>
        <s v="LZPB23" u="1"/>
        <s v="JWCG93" u="1"/>
        <s v="LVZR50" u="1"/>
        <s v="RTLW48" u="1"/>
        <s v="PRVL73" u="1"/>
        <s v="PCDZ92" u="1"/>
        <s v="SDPD22" u="1"/>
        <s v="SHBW78" u="1"/>
        <s v="SCGT53" u="1"/>
        <s v="LDVR65" u="1"/>
        <s v="RYDR17" u="1"/>
        <s v="LHCL63" u="1"/>
        <s v="PJLP25" u="1"/>
        <s v="SPTB48" u="1"/>
        <s v="PCDW32" u="1"/>
        <s v="SPZD41" u="1"/>
        <s v="LYSR94" u="1"/>
        <s v="RVYS61" u="1"/>
        <s v="SHLV26" u="1"/>
        <s v="LHRY31" u="1"/>
        <s v="RZSH12" u="1"/>
        <s v="PPJR38" u="1"/>
        <s v="SDVW29" u="1"/>
        <s v="RJPJ13" u="1"/>
        <s v="HJTK99" u="1"/>
        <s v="RLSG76" u="1"/>
        <s v="PKBG32" u="1"/>
        <s v="JWCJ96" u="1"/>
        <s v="PYRZ19" u="1"/>
        <s v="LDBL37" u="1"/>
        <s v="JZGG91" u="1"/>
        <s v="LVXS77" u="1"/>
        <s v="SSRS44" u="1"/>
        <s v="TCJB25" u="1"/>
        <s v="TJFT89" u="1"/>
        <s v="PSJH75" u="1"/>
        <s v="SSSC67" u="1"/>
        <s v="LHSC84" u="1"/>
        <s v="KWXG60" u="1"/>
        <s v="SZTJ24" u="1"/>
        <s v="VFTG40" u="1"/>
        <s v="STBR28" u="1"/>
        <s v="THXP76" u="1"/>
        <s v="SJJG29" u="1"/>
        <s v="RSJF82" u="1"/>
        <s v="JVKT97" u="1"/>
        <s v="RJCT51" u="1"/>
        <s v="TPTZ45" u="1"/>
        <s v="TDYK44" u="1"/>
        <s v="LBVS78" u="1"/>
        <s v="RFBW23" u="1"/>
        <s v="LHSD67" u="1"/>
        <s v="PYRY62" u="1"/>
        <s v="RVPZ98" u="1"/>
        <s v="SJJH59" u="1"/>
        <s v="RZFD31" u="1"/>
        <s v="RRSK50" u="1"/>
        <s v="PTSC90" u="1"/>
        <s v="TXYY55" u="1"/>
        <s v="SHDG60" u="1"/>
        <s v="RCBL67" u="1"/>
        <s v="SFDX62" u="1"/>
        <s v="SPZC61" u="1"/>
        <s v="PPJP58" u="1"/>
        <s v="LZRH46" u="1"/>
        <s v="PYLP70" u="1"/>
        <s v="RPFK54" u="1"/>
        <s v="RZFD95" u="1"/>
        <s v="LVXC35" u="1"/>
        <s v="SDVP83" u="1"/>
        <s v="SHZR70" u="1"/>
        <s v="SYDL24" u="1"/>
        <s v="KTCZ97" u="1"/>
        <s v="RLSG73" u="1"/>
        <s v="PPLZ59" u="1"/>
        <s v="SSWC61" u="1"/>
        <s v="PSHX66" u="1"/>
        <s v="KWYH36" u="1"/>
        <s v="LYLW73" u="1"/>
        <s v="KBBT75" u="1"/>
        <s v="RFVX24" u="1"/>
        <s v="SHBX85" u="1"/>
        <s v="KTDB34" u="1"/>
        <s v="RGTR46" u="1"/>
        <s v="RFBV42" u="1"/>
        <s v="JBJL79" u="1"/>
        <s v="KGLK41" u="1"/>
        <s v="TKWH74" u="1"/>
        <s v="HLPC90" u="1"/>
        <s v="SPZF82" u="1"/>
        <s v="JPZG71" u="1"/>
        <s v="LTFL71" u="1"/>
        <s v="PJDD53" u="1"/>
        <s v="SCGT24" u="1"/>
        <s v="RJDX62" u="1"/>
        <s v="TJCZ88" u="1"/>
        <s v="JBJK33" u="1"/>
        <s v="RGTR43" u="1"/>
        <s v="PFRY77" u="1"/>
        <s v="LVXC61" u="1"/>
        <s v="PRWG26" u="1"/>
        <s v="LCBV67" u="1"/>
        <s v="SGDP76" u="1"/>
        <s v="TRHY51" u="1"/>
        <s v="KZWD66" u="1"/>
        <s v="PRVR51" u="1"/>
        <s v="SYFS81" u="1"/>
        <s v="PCFL37" u="1"/>
        <s v="STBT10" u="1"/>
        <s v="JKGK34" u="1"/>
        <s v="RVZW82" u="1"/>
        <s v="LPXL46" u="1"/>
        <s v="SVGL43" u="1"/>
        <s v="PPHY84" u="1"/>
        <s v="TCTS12" u="1"/>
        <s v="PHFV49" u="1"/>
        <s v="SSSC26" u="1"/>
        <s v="SHLV34" u="1"/>
        <s v="LYLZ61" u="1"/>
        <s v="PPJH12" u="1"/>
        <s v="PSTV15" u="1"/>
        <s v="LRWC10" u="1"/>
        <s v="PSTT17" u="1"/>
        <s v="LZPB36" u="1"/>
        <s v="PCDY14" u="1"/>
        <s v="PCFD16" u="1"/>
        <s v="RBXV78" u="1"/>
        <s v="RWYC48" u="1"/>
        <s v="SJVS67" u="1"/>
        <s v="LHCL62" u="1"/>
        <s v="RRWP23" u="1"/>
        <s v="HVXB44" u="1"/>
        <s v="LLBS67" u="1"/>
        <s v="RTFY63" u="1"/>
        <s v="RZCH74" u="1"/>
        <s v="JSWF29" u="1"/>
        <s v="RLVR95" u="1"/>
        <s v="PSHZ54" u="1"/>
        <s v="SYCX96" u="1"/>
        <s v="SLJY37" u="1"/>
        <s v="TKHL27" u="1"/>
        <s v="SLRL33" u="1"/>
        <s v="SJJH82" u="1"/>
        <s v="PKBF15" u="1"/>
        <s v="TDYP24" u="1"/>
        <s v="PYDD79" u="1"/>
        <s v="LSYB79" u="1"/>
        <s v="RSCZ63" u="1"/>
        <s v="LFXT90" u="1"/>
        <s v="RGTR35" u="1"/>
        <s v="JZJP48" u="1"/>
        <s v="KGLK71" u="1"/>
        <s v="PCFL20" u="1"/>
        <s v="LVWV51" u="1"/>
        <s v="KWTL91" u="1"/>
        <s v="TGVK79" u="1"/>
        <s v="LHRY42" u="1"/>
        <s v="PZJP45" u="1"/>
        <s v="LHPY35" u="1"/>
        <s v="RVPY55" u="1"/>
        <s v="SBWT14" u="1"/>
        <s v="PHGC74" u="1"/>
        <s v="KRWJ79" u="1"/>
        <s v="PZLY32" u="1"/>
        <s v="PXVL80" u="1"/>
        <s v="LPXH47" u="1"/>
        <s v="RVVP71" u="1"/>
        <s v="KVWG72" u="1"/>
        <s v="LSYD56" u="1"/>
        <s v="RBBB74" u="1"/>
        <s v="LJYR15" u="1"/>
        <s v="THRJ85" u="1"/>
        <s v="SWFD73" u="1"/>
        <s v="RGLL99" u="1"/>
        <s v="TCTB95" u="1"/>
        <s v="SCGS82" u="1"/>
        <s v="RFYC31" u="1"/>
        <s v="PDHY65" u="1"/>
        <s v="RTLX12" u="1"/>
        <s v="JDKB54" u="1"/>
        <s v="KFJS32" u="1"/>
        <s v="TRTW63" u="1"/>
        <s v="RBXW13" u="1"/>
        <s v="KSRY52" u="1"/>
        <s v="KTCS55" u="1"/>
        <s v="LYPB29" u="1"/>
        <s v="TDYL34" u="1"/>
        <s v="JPZR22" u="1"/>
        <s v="PRZZ66" u="1"/>
        <s v="SGDR42" u="1"/>
        <s v="KRWG31" u="1"/>
        <s v="KJYP74" u="1"/>
        <s v="LYPD12" u="1"/>
        <s v="TBCR19" u="1"/>
        <s v="RVFS53" u="1"/>
        <s v="RDVR44" u="1"/>
        <s v="RJBX50" u="1"/>
        <s v="LSYG23" u="1"/>
        <s v="SJKK87" u="1"/>
        <s v="JFFW95" u="1"/>
        <s v="PPVC91" u="1"/>
        <s v="PKBJ59" u="1"/>
        <s v="PGGS39" u="1"/>
        <s v="JSTX40" u="1"/>
        <s v="LSYF34" u="1"/>
        <s v="KTCW76" u="1"/>
        <s v="KCBS52" u="1"/>
        <s v="RXRX12" u="1"/>
        <s v="LSYF68" u="1"/>
        <s v="PTSD95" u="1"/>
        <s v="SPTB55" u="1"/>
        <s v="RHFG20" u="1"/>
        <s v="JLXP52" u="1"/>
        <s v="SJJJ22" u="1"/>
        <s v="JPZH85" u="1"/>
        <s v="LFXP90" u="1"/>
        <s v="JTLX81" u="1"/>
        <s v="JZGC39" u="1"/>
        <s v="LHSW56" u="1"/>
        <s v="HLBT63" u="1"/>
        <s v="TJSJ81" u="1"/>
        <s v="LHSJ31" u="1"/>
        <s v="PZJL69" u="1"/>
        <s v="PCDX50" u="1"/>
        <s v="PJLL59" u="1"/>
        <s v="PYDH81" u="1"/>
        <s v="TSSG95" u="1"/>
        <s v="LKYB82" u="1"/>
        <s v="PHGF54" u="1"/>
        <s v="SHDG80" u="1"/>
        <s v="RCXH64" u="1"/>
        <s v="LHCK78" u="1"/>
        <s v="SSTS41" u="1"/>
        <s v="RVCJ59" u="1"/>
        <s v="LJYL94" u="1"/>
        <s v="KCBZ60" u="1"/>
        <s v="JXYW12" u="1"/>
        <s v="SHDG89" u="1"/>
        <s v="SCWV43" u="1"/>
        <s v="LFXV54" u="1"/>
        <s v="PJYK97" u="1"/>
        <s v="RZZD39" u="1"/>
        <s v="LCWF57" u="1"/>
        <s v="PFRZ91" u="1"/>
        <s v="TDYJ19" u="1"/>
        <s v="RDHG10" u="1"/>
        <s v="KRWG17" u="1"/>
        <s v="JYFY99" u="1"/>
        <s v="JHSB38" u="1"/>
        <s v="JXYT37" u="1"/>
        <s v="RSJF58" u="1"/>
        <s v="SHLX26" u="1"/>
        <s v="SCWW90" u="1"/>
        <s v="SPZF88" u="1"/>
        <s v="PLCG83" u="1"/>
        <s v="RSTB42" u="1"/>
        <s v="LDVZ53" u="1"/>
        <s v="PSJH25" u="1"/>
        <s v="KCBZ84" u="1"/>
        <s v="RVVS34" u="1"/>
        <s v="RGLL79" u="1"/>
        <s v="TRJD63" u="1"/>
        <s v="PSDG30" u="1"/>
        <s v="KWGJ77" u="1"/>
        <s v="RTLX92" u="1"/>
        <s v="SLWH98" u="1"/>
        <s v="RZCJ77" u="1"/>
        <s v="TSRG98" u="1"/>
        <s v="LZLX90" u="1"/>
        <s v="RJCT55" u="1"/>
        <s v="SRZH16" u="1"/>
        <s v="KPKV26" u="1"/>
        <s v="LVWZ16" u="1"/>
        <s v="KRWD37" u="1"/>
        <s v="FSRC30" u="1"/>
        <s v="JXWF79" u="1"/>
        <s v="JBJJ90" u="1"/>
        <s v="PTTF96" u="1"/>
        <s v="PSGB54" u="1"/>
        <s v="KZLK68" u="1"/>
        <s v="KWTP60" u="1"/>
        <s v="KDTY79" u="1"/>
        <s v="JDKC10" u="1"/>
        <s v="GLHV84" u="1"/>
        <s v="LXHK39" u="1"/>
        <s v="RXSV64" u="1"/>
        <s v="PSHY54" u="1"/>
        <s v="TJYL89" u="1"/>
        <s v="PZZG37" u="1"/>
        <s v="RRXH58" u="1"/>
        <s v="PJDF36" u="1"/>
        <s v="RXFP72" u="1"/>
        <s v="PKBK90" u="1"/>
        <s v="PHGG27" u="1"/>
        <s v="PKBH56" u="1"/>
        <s v="RLBZ23" u="1"/>
        <s v="GPJY90" u="1"/>
        <s v="SYRB30" u="1"/>
        <s v="RXRT84" u="1"/>
        <s v="KJCD82" u="1"/>
        <s v="SHBW30" u="1"/>
        <s v="TLRL29" u="1"/>
        <s v="TCHY13" u="1"/>
        <s v="KWYF24" u="1"/>
        <s v="TYWS69" u="1"/>
        <s v="VJTT72" u="1"/>
        <s v="PSJJ46" u="1"/>
        <s v="RFVW78" u="1"/>
        <s v="RJCW15" u="1"/>
        <s v="RDWK79" u="1"/>
        <s v="JGZH38" u="1"/>
        <s v="KKHC77" u="1"/>
        <s v="SKSY29" u="1"/>
        <s v="SSTS11" u="1"/>
        <s v="TRBJ47" u="1"/>
        <s v="JPZG35" u="1"/>
        <s v="RYRK33" u="1"/>
        <s v="RBTC96" u="1"/>
        <s v="PFSB87" u="1"/>
        <s v="PRHJ14" u="1"/>
        <s v="RSJL43" u="1"/>
        <s v="HRWS66" u="1"/>
        <s v="SJVT43" u="1"/>
        <s v="SLZK87" u="1"/>
        <s v="LYSW53" u="1"/>
        <s v="SLYZ40" u="1"/>
        <s v="LPXL97" u="1"/>
        <s v="HFHY93" u="1"/>
        <s v="PYDD65" u="1"/>
        <s v="PZVG79" u="1"/>
        <s v="SCWX27" u="1"/>
        <s v="LBVR67" u="1"/>
        <s v="PKBS12" u="1"/>
        <s v="SWTP75" u="1"/>
        <s v="LRWD64" u="1"/>
        <s v="SJDV48" u="1"/>
        <s v="SCZP26" u="1"/>
        <s v="KZRK80" u="1"/>
        <s v="RZCJ93" u="1"/>
        <s v="RXCG22" u="1"/>
        <s v="KWXL38" u="1"/>
        <s v="PBJC25" u="1"/>
        <s v="PFSC16" u="1"/>
        <s v="SLRJ93" u="1"/>
        <s v="KXLC73" u="1"/>
        <s v="RPZK49" u="1"/>
        <s v="SYDL45" u="1"/>
        <s v="LHCV19" u="1"/>
        <s v="RTWH37" u="1"/>
        <s v="TTVV23" u="1"/>
        <s v="JGFD64" u="1"/>
        <s v="TCTX97" u="1"/>
        <s v="SLDR66" u="1"/>
        <s v="PKHC89" u="1"/>
        <s v="RKGC62" u="1"/>
        <s v="THCY28" u="1"/>
        <s v="SXHV61" u="1"/>
        <s v="RTTZ73" u="1"/>
        <s v="PCDZ57" u="1"/>
        <s v="PPJR63" u="1"/>
        <s v="RHFJ39" u="1"/>
        <s v="TWSB37" u="1"/>
        <s v="SLYZ44" u="1"/>
        <s v="TBDD19" u="1"/>
        <s v="TKHL10" u="1"/>
        <s v="YZ7079" u="1"/>
        <s v="TGVF53" u="1"/>
        <s v="LHSD99" u="1"/>
        <s v="SJJH94" u="1"/>
        <s v="PKJP44" u="1"/>
        <s v="VPGG34" u="1"/>
        <s v="SBLD56" u="1"/>
        <s v="RCBJ98" u="1"/>
        <s v="PRVP72" u="1"/>
        <s v="TGVD10" u="1"/>
        <s v="TFGL70" u="1"/>
        <s v="TFGR40" u="1"/>
        <s v="THCY22" u="1"/>
      </sharedItems>
    </cacheField>
    <cacheField name="Condición Vehículo" numFmtId="0">
      <sharedItems containsBlank="1"/>
    </cacheField>
    <cacheField name="Color Exterior" numFmtId="0">
      <sharedItems containsBlank="1"/>
    </cacheField>
    <cacheField name="Color Interior" numFmtId="0">
      <sharedItems containsBlank="1"/>
    </cacheField>
    <cacheField name="Precio Venta Total" numFmtId="0">
      <sharedItems containsString="0" containsBlank="1" containsNumber="1" containsInteger="1" minValue="0" maxValue="65150753"/>
    </cacheField>
    <cacheField name="Estado AutoPro" numFmtId="0">
      <sharedItems containsBlank="1"/>
    </cacheField>
    <cacheField name="Días Stock" numFmtId="0">
      <sharedItems containsString="0" containsBlank="1" containsNumber="1" containsInteger="1" minValue="0" maxValue="4486" count="982">
        <n v="397"/>
        <n v="313"/>
        <n v="110"/>
        <n v="368"/>
        <n v="286"/>
        <n v="130"/>
        <n v="389"/>
        <n v="162"/>
        <n v="616"/>
        <n v="1051"/>
        <n v="262"/>
        <n v="1166"/>
        <n v="341"/>
        <n v="349"/>
        <n v="174"/>
        <n v="1411"/>
        <n v="544"/>
        <n v="144"/>
        <n v="199"/>
        <n v="180"/>
        <n v="147"/>
        <n v="728"/>
        <n v="587"/>
        <n v="393"/>
        <n v="228"/>
        <n v="323"/>
        <n v="543"/>
        <n v="698"/>
        <n v="476"/>
        <n v="223"/>
        <n v="155"/>
        <n v="217"/>
        <n v="306"/>
        <n v="533"/>
        <n v="3911"/>
        <n v="201"/>
        <n v="298"/>
        <n v="809"/>
        <n v="1538"/>
        <n v="41"/>
        <n v="357"/>
        <n v="203"/>
        <n v="326"/>
        <n v="1365"/>
        <n v="2393"/>
        <n v="322"/>
        <n v="575"/>
        <n v="1140"/>
        <n v="300"/>
        <n v="119"/>
        <n v="592"/>
        <n v="292"/>
        <n v="503"/>
        <n v="2643"/>
        <n v="67"/>
        <n v="64"/>
        <n v="77"/>
        <n v="929"/>
        <n v="271"/>
        <n v="348"/>
        <n v="538"/>
        <n v="3490"/>
        <n v="2749"/>
        <n v="3487"/>
        <n v="852"/>
        <n v="14"/>
        <n v="138"/>
        <n v="25"/>
        <n v="74"/>
        <n v="46"/>
        <n v="80"/>
        <n v="209"/>
        <n v="85"/>
        <n v="111"/>
        <n v="230"/>
        <n v="222"/>
        <n v="19"/>
        <n v="55"/>
        <n v="868"/>
        <n v="291"/>
        <n v="18"/>
        <n v="13"/>
        <n v="221"/>
        <n v="169"/>
        <n v="47"/>
        <n v="167"/>
        <n v="83"/>
        <n v="26"/>
        <n v="204"/>
        <n v="38"/>
        <n v="181"/>
        <n v="4486"/>
        <n v="6"/>
        <n v="347"/>
        <n v="91"/>
        <n v="560"/>
        <n v="108"/>
        <n v="140"/>
        <n v="328"/>
        <n v="20"/>
        <n v="1"/>
        <n v="504"/>
        <n v="250"/>
        <n v="2370"/>
        <n v="113"/>
        <n v="251"/>
        <n v="417"/>
        <n v="309"/>
        <n v="34"/>
        <n v="1281"/>
        <n v="384"/>
        <n v="54"/>
        <n v="35"/>
        <n v="112"/>
        <n v="259"/>
        <n v="4479"/>
        <n v="327"/>
        <n v="290"/>
        <n v="256"/>
        <n v="383"/>
        <n v="350"/>
        <n v="624"/>
        <n v="1597"/>
        <n v="427"/>
        <n v="2954"/>
        <n v="270"/>
        <n v="120"/>
        <n v="236"/>
        <n v="76"/>
        <n v="134"/>
        <n v="1327"/>
        <n v="1671"/>
        <n v="21"/>
        <n v="139"/>
        <n v="1560"/>
        <n v="50"/>
        <n v="33"/>
        <n v="3963"/>
        <n v="63"/>
        <n v="62"/>
        <n v="1645"/>
        <n v="231"/>
        <n v="718"/>
        <n v="960"/>
        <n v="378"/>
        <n v="343"/>
        <n v="294"/>
        <n v="403"/>
        <n v="418"/>
        <n v="176"/>
        <n v="2390"/>
        <n v="168"/>
        <n v="573"/>
        <n v="246"/>
        <n v="890"/>
        <n v="1240"/>
        <m/>
        <n v="1036" u="1"/>
        <n v="382" u="1"/>
        <n v="115" u="1"/>
        <n v="95" u="1"/>
        <n v="1151" u="1"/>
        <n v="374" u="1"/>
        <n v="601" u="1"/>
        <n v="165" u="1"/>
        <n v="3896" u="1"/>
        <n v="1350" u="1"/>
        <n v="184" u="1"/>
        <n v="572" u="1"/>
        <n v="1523" u="1"/>
        <n v="593" u="1"/>
        <n v="528" u="1"/>
        <n v="213" u="1"/>
        <n v="523" u="1"/>
        <n v="2734" u="1"/>
        <n v="52" u="1"/>
        <n v="3472" u="1"/>
        <n v="104" u="1"/>
        <n v="132" u="1"/>
        <n v="49" u="1"/>
        <n v="334" u="1"/>
        <n v="208" u="1"/>
        <n v="518" u="1"/>
        <n v="333" u="1"/>
        <n v="159" u="1"/>
        <n v="1125" u="1"/>
        <n v="3475" u="1"/>
        <n v="2628" u="1"/>
        <n v="1396" u="1"/>
        <n v="683" u="1"/>
        <n v="186" u="1"/>
        <n v="794" u="1"/>
        <n v="2378" u="1"/>
        <n v="129" u="1"/>
        <n v="283" u="1"/>
        <n v="285" u="1"/>
        <n v="277" u="1"/>
        <n v="188" u="1"/>
        <n v="461" u="1"/>
        <n v="202" u="1"/>
        <n v="529" u="1"/>
        <n v="3948" u="1"/>
        <n v="40" u="1"/>
        <n v="189" u="1"/>
        <n v="207" u="1"/>
        <n v="10" u="1"/>
        <n v="235" u="1"/>
        <n v="105" u="1"/>
        <n v="4" u="1"/>
        <n v="23" u="1"/>
        <n v="84" u="1"/>
        <n v="402" u="1"/>
        <n v="125" u="1"/>
        <n v="31" u="1"/>
        <n v="353" u="1"/>
        <n v="1630" u="1"/>
        <n v="48" u="1"/>
        <n v="59" u="1"/>
        <n v="215" u="1"/>
        <n v="32" u="1"/>
        <n v="332" u="1"/>
        <n v="335" u="1"/>
        <n v="65" u="1"/>
        <n v="458" u="1"/>
        <n v="5" u="1"/>
        <n v="1312" u="1"/>
        <n v="241" u="1"/>
        <n v="11" u="1"/>
        <n v="276" u="1"/>
        <n v="96" u="1"/>
        <n v="166" u="1"/>
        <n v="206" u="1"/>
        <n v="3" u="1"/>
        <n v="7" u="1"/>
        <n v="93" u="1"/>
        <n v="275" u="1"/>
        <n v="70" u="1"/>
        <n v="194" u="1"/>
        <n v="123" u="1"/>
        <n v="609" u="1"/>
        <n v="312" u="1"/>
        <n v="154" u="1"/>
        <n v="1582" u="1"/>
        <n v="4464" u="1"/>
        <n v="68" u="1"/>
        <n v="369" u="1"/>
        <n v="2939" u="1"/>
        <n v="1545" u="1"/>
        <n v="152" u="1"/>
        <n v="837" u="1"/>
        <n v="1266" u="1"/>
        <n v="98" u="1"/>
        <n v="4471" u="1"/>
        <n v="853" u="1"/>
        <n v="1656" u="1"/>
        <n v="412" u="1"/>
        <n v="61" u="1"/>
        <n v="545" u="1"/>
        <n v="255" u="1"/>
        <n v="124" u="1"/>
        <n v="489" u="1"/>
        <n v="97" u="1"/>
        <n v="244" u="1"/>
        <n v="2355" u="1"/>
        <n v="945" u="1"/>
        <n v="388" u="1"/>
        <n v="558" u="1"/>
        <n v="932" u="1"/>
        <n v="363" u="1"/>
        <n v="875" u="1"/>
        <n v="1225" u="1"/>
        <n v="2375" u="1"/>
        <n v="279" u="1"/>
        <n v="703" u="1"/>
        <n v="537" u="1"/>
        <n v="153" u="1"/>
        <n v="161" u="1"/>
        <n v="126" u="1"/>
        <n v="1130" u="1"/>
        <n v="1015" u="1"/>
        <n v="361" u="1"/>
        <n v="679" u="1"/>
        <n v="94" u="1"/>
        <n v="580" u="1"/>
        <n v="1375" u="1"/>
        <n v="497" u="1"/>
        <n v="507" u="1"/>
        <n v="1329" u="1"/>
        <n v="3454" u="1"/>
        <n v="2607" u="1"/>
        <n v="469" u="1"/>
        <n v="539" u="1"/>
        <n v="508" u="1"/>
        <n v="187" u="1"/>
        <n v="1502" u="1"/>
        <n v="163" u="1"/>
        <n v="3875" u="1"/>
        <n v="264" u="1"/>
        <n v="28" u="1"/>
        <n v="551" u="1"/>
        <n v="1104" u="1"/>
        <n v="305" u="1"/>
        <n v="502" u="1"/>
        <n v="662" u="1"/>
        <n v="440" u="1"/>
        <n v="3451" u="1"/>
        <n v="2357" u="1"/>
        <n v="192" u="1"/>
        <n v="2713" u="1"/>
        <n v="102" u="1"/>
        <n v="468" u="1"/>
        <n v="220" u="1"/>
        <n v="2" u="1"/>
        <n v="320" u="1"/>
        <n v="185" u="1"/>
        <n v="524" u="1"/>
        <n v="145" u="1"/>
        <n v="816" u="1"/>
        <n v="381" u="1"/>
        <n v="1291" u="1"/>
        <n v="1245" u="1"/>
        <n v="173" u="1"/>
        <n v="311" u="1"/>
        <n v="72" u="1"/>
        <n v="588" u="1"/>
        <n v="437" u="1"/>
        <n v="133" u="1"/>
        <n v="3927" u="1"/>
        <n v="314" u="1"/>
        <n v="1524" u="1"/>
        <n v="2334" u="1"/>
        <n v="44" u="1"/>
        <n v="214" u="1"/>
        <n v="832" u="1"/>
        <n v="131" u="1"/>
        <n v="284" u="1"/>
        <n v="273" u="1"/>
        <n v="4443" u="1"/>
        <n v="1609" u="1"/>
        <n v="234" u="1"/>
        <n v="39" u="1"/>
        <n v="377" u="1"/>
        <n v="27" u="1"/>
        <n v="86" u="1"/>
        <n v="103" u="1"/>
        <n v="254" u="1"/>
        <n v="200" u="1"/>
        <n v="4450" u="1"/>
        <n v="2918" u="1"/>
        <n v="1635" u="1"/>
        <n v="1561" u="1"/>
        <n v="75" u="1"/>
        <n v="391" u="1"/>
        <n v="342" u="1"/>
        <n v="2354" u="1"/>
        <n v="307" u="1"/>
        <n v="854" u="1"/>
        <n v="210" u="1"/>
        <n v="924" u="1"/>
        <n v="911" u="1"/>
        <n v="1204" u="1"/>
        <n v="367" u="1"/>
        <n v="516" u="1"/>
        <n v="258" u="1"/>
        <n v="682" u="1"/>
        <n v="597" u="1"/>
        <n v="675" u="1"/>
        <n v="1011" u="1"/>
        <n v="90" u="1"/>
        <n v="122" u="1"/>
        <n v="1126" u="1"/>
        <n v="576" u="1"/>
        <n v="1498" u="1"/>
        <n v="37" u="1"/>
        <n v="3447" u="1"/>
        <n v="1100" u="1"/>
        <n v="308" u="1"/>
        <n v="2353" u="1"/>
        <n v="266" u="1"/>
        <n v="183" u="1"/>
        <n v="658" u="1"/>
        <n v="498" u="1"/>
        <n v="2603" u="1"/>
        <n v="465" u="1"/>
        <n v="547" u="1"/>
        <n v="535" u="1"/>
        <n v="568" u="1"/>
        <n v="260" u="1"/>
        <n v="436" u="1"/>
        <n v="24" u="1"/>
        <n v="493" u="1"/>
        <n v="3871" u="1"/>
        <n v="1371" u="1"/>
        <n v="2709" u="1"/>
        <n v="301" u="1"/>
        <n v="177" u="1"/>
        <n v="252" u="1"/>
        <n v="79" u="1"/>
        <n v="107" u="1"/>
        <n v="1325" u="1"/>
        <n v="3450" u="1"/>
        <n v="4446" u="1"/>
        <n v="127" u="1"/>
        <n v="100" u="1"/>
        <n v="269" u="1"/>
        <n v="141" u="1"/>
        <n v="226" u="1"/>
        <n v="338" u="1"/>
        <n v="2914" u="1"/>
        <n v="464" u="1"/>
        <n v="316" u="1"/>
        <n v="190" u="1"/>
        <n v="287" u="1"/>
        <n v="51" u="1"/>
        <n v="812" u="1"/>
        <n v="373" u="1"/>
        <n v="1287" u="1"/>
        <n v="219" u="1"/>
        <n v="3923" u="1"/>
        <n v="4439" u="1"/>
        <n v="211" u="1"/>
        <n v="22" u="1"/>
        <n v="216" u="1"/>
        <n v="1631" u="1"/>
        <n v="828" u="1"/>
        <n v="71" u="1"/>
        <n v="1520" u="1"/>
        <n v="15" u="1"/>
        <n v="164" u="1"/>
        <n v="43" u="1"/>
        <n v="520" u="1"/>
        <n v="280" u="1"/>
        <n v="1605" u="1"/>
        <n v="433" u="1"/>
        <n v="92" u="1"/>
        <n v="99" u="1"/>
        <n v="2330" u="1"/>
        <n v="310" u="1"/>
        <n v="82" u="1"/>
        <n v="344" u="1"/>
        <n v="66" u="1"/>
        <n v="182" u="1"/>
        <n v="584" u="1"/>
        <n v="288" u="1"/>
        <n v="106" u="1"/>
        <n v="387" u="1"/>
        <n v="36" u="1"/>
        <n v="1557" u="1"/>
        <n v="1241" u="1"/>
        <n v="196" u="1"/>
        <n v="45" u="1"/>
        <n v="73" u="1"/>
        <n v="2350" u="1"/>
        <n v="1200" u="1"/>
        <n v="907" u="1"/>
        <n v="920" u="1"/>
        <n v="850" u="1"/>
        <n v="512" u="1"/>
        <n v="303" u="1"/>
        <n v="136" u="1"/>
        <n v="128" u="1"/>
        <n v="665" u="1"/>
        <n v="263" u="1"/>
        <n v="566" u="1"/>
        <n v="1001" u="1"/>
        <n v="1116" u="1"/>
        <n v="339" u="1"/>
        <n v="3440" u="1"/>
        <n v="1090" u="1"/>
        <n v="242" u="1"/>
        <n v="455" u="1"/>
        <n v="1488" u="1"/>
        <n v="69" u="1"/>
        <n v="494" u="1"/>
        <n v="488" u="1"/>
        <n v="648" u="1"/>
        <n v="248" u="1"/>
        <n v="3861" u="1"/>
        <n v="2593" u="1"/>
        <n v="426" u="1"/>
        <n v="483" u="1"/>
        <n v="1361" u="1"/>
        <n v="2699" u="1"/>
        <n v="151" u="1"/>
        <n v="178" u="1"/>
        <n v="17" u="1"/>
        <n v="3437" u="1"/>
        <n v="2343" u="1"/>
        <n v="149" u="1"/>
        <n v="1315" u="1"/>
        <n v="525" u="1"/>
        <n v="88" u="1"/>
        <n v="12" u="1"/>
        <n v="4436" u="1"/>
        <n v="30" u="1"/>
        <n v="278" u="1"/>
        <n v="423" u="1"/>
        <n v="0" u="1"/>
        <n v="297" u="1"/>
        <n v="1510" u="1"/>
        <n v="172" u="1"/>
        <n v="1621" u="1"/>
        <n v="1277" u="1"/>
        <n v="58" u="1"/>
        <n v="240" u="1"/>
        <n v="4429" u="1"/>
        <n v="454" u="1"/>
        <n v="510" u="1"/>
        <n v="171" u="1"/>
        <n v="117" u="1"/>
        <n v="56" u="1"/>
        <n v="318" u="1"/>
        <n v="2904" u="1"/>
        <n v="2320" u="1"/>
        <n v="1595" u="1"/>
        <n v="1231" u="1"/>
        <n v="1547" u="1"/>
        <n v="3913" u="1"/>
        <n v="802" u="1"/>
        <n v="818" u="1"/>
        <n v="574" u="1"/>
        <n v="89" u="1"/>
        <n v="840" u="1"/>
        <n v="2340" u="1"/>
        <n v="1190" u="1"/>
        <n v="622" u="1"/>
        <n v="118" u="1"/>
        <n v="897" u="1"/>
        <n v="910" u="1"/>
        <n v="293" u="1"/>
        <n v="997" u="1"/>
        <n v="562" u="1"/>
        <n v="1112" u="1"/>
        <n v="661" u="1"/>
        <n v="232" u="1"/>
        <n v="583" u="1"/>
        <n v="644" u="1"/>
        <n v="2339" u="1"/>
        <n v="1484" u="1"/>
        <n v="521" u="1"/>
        <n v="484" u="1"/>
        <n v="2695" u="1"/>
        <n v="1357" u="1"/>
        <n v="422" u="1"/>
        <n v="3436" u="1"/>
        <n v="490" u="1"/>
        <n v="2589" u="1"/>
        <n v="3433" u="1"/>
        <n v="479" u="1"/>
        <n v="451" u="1"/>
        <n v="238" u="1"/>
        <n v="3857" u="1"/>
        <n v="1311" u="1"/>
        <n v="101" u="1"/>
        <n v="1086" u="1"/>
        <n v="554" u="1"/>
        <n v="324" u="1"/>
        <n v="8" u="1"/>
        <n v="205" u="1"/>
        <n v="78" u="1"/>
        <n v="814" u="1"/>
        <n v="1591" u="1"/>
        <n v="150" u="1"/>
        <n v="197" u="1"/>
        <n v="570" u="1"/>
        <n v="359" u="1"/>
        <n v="329" u="1"/>
        <n v="2900" u="1"/>
        <n v="1506" u="1"/>
        <n v="302" u="1"/>
        <n v="2316" u="1"/>
        <n v="4432" u="1"/>
        <n v="237" u="1"/>
        <n v="274" u="1"/>
        <n v="1227" u="1"/>
        <n v="29" u="1"/>
        <n v="330" u="1"/>
        <n v="3909" u="1"/>
        <n v="1617" u="1"/>
        <n v="1543" u="1"/>
        <n v="4425" u="1"/>
        <n v="1273" u="1"/>
        <n v="212" u="1"/>
        <n v="9" u="1"/>
        <n v="419" u="1"/>
        <n v="450" u="1"/>
        <n v="798" u="1"/>
        <n v="57" u="1"/>
        <n v="296" u="1"/>
        <n v="506" u="1"/>
        <n v="2336" u="1"/>
        <n v="836" u="1"/>
        <n v="114" u="1"/>
        <n v="906" u="1"/>
        <n v="289" u="1"/>
        <n v="618" u="1"/>
        <n v="1186" u="1"/>
        <n v="893" u="1"/>
        <n v="364" u="1"/>
        <n v="519" u="1"/>
        <n v="552" u="1"/>
        <n v="987" u="1"/>
        <n v="325" u="1"/>
        <n v="249" u="1"/>
        <n v="1102" u="1"/>
        <n v="651" u="1"/>
        <n v="511" u="1"/>
        <n v="3423" u="1"/>
        <n v="116" u="1"/>
        <n v="1076" u="1"/>
        <n v="474" u="1"/>
        <n v="137" u="1"/>
        <n v="2579" u="1"/>
        <n v="3426" u="1"/>
        <n v="1474" u="1"/>
        <n v="135" u="1"/>
        <n v="441" u="1"/>
        <n v="3847" u="1"/>
        <n v="634" u="1"/>
        <n v="1347" u="1"/>
        <n v="2685" u="1"/>
        <n v="480" u="1"/>
        <n v="2329" u="1"/>
        <n v="1301" u="1"/>
        <n v="319" u="1"/>
        <n v="3899" u="1"/>
        <n v="195" u="1"/>
        <n v="16" u="1"/>
        <n v="1581" u="1"/>
        <n v="4422" u="1"/>
        <n v="42" u="1"/>
        <n v="804" u="1"/>
        <n v="409" u="1"/>
        <n v="1217" u="1"/>
        <n v="4415" u="1"/>
        <n v="1607" u="1"/>
        <n v="1496" u="1"/>
        <n v="2306" u="1"/>
        <n v="1263" u="1"/>
        <n v="304" u="1"/>
        <n v="496" u="1"/>
        <n v="788" u="1"/>
        <n v="1533" u="1"/>
        <n v="158" u="1"/>
        <n v="157" u="1"/>
        <n v="227" u="1"/>
        <n v="245" u="1"/>
        <n v="2890" u="1"/>
        <n v="509" u="1"/>
        <n v="608" u="1"/>
        <n v="826" u="1"/>
        <n v="354" u="1"/>
        <n v="883" u="1"/>
        <n v="2326" u="1"/>
        <n v="896" u="1"/>
        <n v="1176" u="1"/>
        <n v="980" u="1"/>
        <n v="1095" u="1"/>
        <n v="3419" u="1"/>
        <n v="2572" u="1"/>
        <n v="1340" u="1"/>
        <n v="109" u="1"/>
        <n v="472" u="1"/>
        <n v="467" u="1"/>
        <n v="146" u="1"/>
        <n v="405" u="1"/>
        <n v="1294" u="1"/>
        <n v="2678" u="1"/>
        <n v="462" u="1"/>
        <n v="1467" u="1"/>
        <n v="229" u="1"/>
        <n v="3416" u="1"/>
        <n v="3840" u="1"/>
        <n v="1069" u="1"/>
        <n v="2322" u="1"/>
        <n v="473" u="1"/>
        <n v="627" u="1"/>
        <n v="434" u="1"/>
        <n v="340" u="1"/>
        <n v="218" u="1"/>
        <n v="738" u="1"/>
        <n v="396" u="1"/>
        <n v="781" u="1"/>
        <n v="346" u="1"/>
        <n v="60" u="1"/>
        <n v="1574" u="1"/>
        <n v="797" u="1"/>
        <n v="1526" u="1"/>
        <n v="257" u="1"/>
        <n v="2883" u="1"/>
        <n v="553" u="1"/>
        <n v="1489" u="1"/>
        <n v="2299" u="1"/>
        <n v="1600" u="1"/>
        <n v="1210" u="1"/>
        <n v="1256" u="1"/>
        <n v="3892" u="1"/>
        <n v="4408" u="1"/>
        <n v="356" u="1"/>
        <n v="179" u="1"/>
        <n v="1169" u="1"/>
        <n v="481" u="1"/>
        <n v="272" u="1"/>
        <n v="175" u="1"/>
        <n v="819" u="1"/>
        <n v="876" u="1"/>
        <n v="2319" u="1"/>
        <n v="540" u="1"/>
        <n v="975" u="1"/>
        <n v="639" u="1"/>
        <n v="470" u="1"/>
        <n v="321" u="1"/>
        <n v="561" u="1"/>
        <n v="2567" u="1"/>
        <n v="3411" u="1"/>
        <n v="1289" u="1"/>
        <n v="532" u="1"/>
        <n v="457" u="1"/>
        <n v="2317" u="1"/>
        <n v="317" u="1"/>
        <n v="429" u="1"/>
        <n v="499" u="1"/>
        <n v="446" u="1"/>
        <n v="400" u="1"/>
        <n v="3414" u="1"/>
        <n v="1335" u="1"/>
        <n v="224" u="1"/>
        <n v="1462" u="1"/>
        <n v="2673" u="1"/>
        <n v="268" u="1"/>
        <n v="265" u="1"/>
        <n v="1064" u="1"/>
        <n v="3835" u="1"/>
        <n v="247" u="1"/>
        <n v="733" u="1"/>
        <n v="1569" u="1"/>
        <n v="2878" u="1"/>
        <n v="1521" u="1"/>
        <n v="233" u="1"/>
        <n v="428" u="1"/>
        <n v="3887" u="1"/>
        <n v="548" u="1"/>
        <n v="4403" u="1"/>
        <n v="1251" u="1"/>
        <n v="351" u="1"/>
        <n v="4410" u="1"/>
        <n v="792" u="1"/>
        <n v="776" u="1"/>
        <n v="160" u="1"/>
        <n v="1205" u="1"/>
        <n v="337" u="1"/>
        <n v="2294" u="1"/>
        <n v="596" u="1"/>
        <n v="267" u="1"/>
        <n v="170" u="1"/>
        <n v="1164" u="1"/>
        <n v="2314" u="1"/>
        <n v="871" u="1"/>
        <n v="969" u="1"/>
        <n v="555" u="1"/>
        <n v="633" u="1"/>
        <n v="315" u="1"/>
        <n v="534" u="1"/>
        <n v="1084" u="1"/>
        <n v="456" u="1"/>
        <n v="505" u="1"/>
        <n v="1283" u="1"/>
        <n v="2561" u="1"/>
        <n v="2311" u="1"/>
        <n v="1058" u="1"/>
        <n v="3408" u="1"/>
        <n v="3405" u="1"/>
        <n v="121" u="1"/>
        <n v="191" u="1"/>
        <n v="526" u="1"/>
        <n v="394" u="1"/>
        <n v="3829" u="1"/>
        <n v="1456" u="1"/>
        <n v="2667" u="1"/>
        <n v="727" u="1"/>
        <n v="1589" u="1"/>
        <n v="3881" u="1"/>
        <n v="331" u="1"/>
        <n v="385" u="1"/>
        <n v="1515" u="1"/>
        <n v="2872" u="1"/>
        <n v="1199" u="1"/>
        <n v="770" u="1"/>
        <n v="345" u="1"/>
        <n v="1478" u="1"/>
        <n v="87" u="1"/>
        <n v="542" u="1"/>
        <n v="1563" u="1"/>
        <n v="2288" u="1"/>
        <n v="786" u="1"/>
        <n v="478" u="1"/>
        <n v="148" u="1"/>
        <n v="4397" u="1"/>
        <n v="4404" u="1"/>
        <n v="261" u="1"/>
        <n v="865" u="1"/>
        <n v="1158" u="1"/>
        <n v="590" u="1"/>
        <n v="491" u="1"/>
        <n v="808" u="1"/>
        <n v="336" u="1"/>
        <n v="2308" u="1"/>
        <n v="630" u="1"/>
        <n v="966" u="1"/>
        <n v="1081" u="1"/>
        <n v="531" u="1"/>
        <n v="420" u="1"/>
        <n v="1453" u="1"/>
        <n v="613" u="1"/>
        <n v="2664" u="1"/>
        <n v="459" u="1"/>
        <n v="2558" u="1"/>
        <n v="448" u="1"/>
        <n v="143" u="1"/>
        <n v="1326" u="1"/>
        <n v="1280" u="1"/>
        <n v="3826" u="1"/>
        <n v="3402" u="1"/>
        <n v="1055" u="1"/>
        <n v="1242" u="1"/>
        <n v="243" u="1"/>
        <n v="2285" u="1"/>
        <n v="1196" u="1"/>
        <n v="767" u="1"/>
        <n v="53" u="1"/>
        <n v="475" u="1"/>
        <n v="4401" u="1"/>
        <n v="1475" u="1"/>
        <n v="2869" u="1"/>
        <n v="1512" u="1"/>
        <n v="783" u="1"/>
        <n v="1586" u="1"/>
        <n v="299" u="1"/>
        <n v="3878" u="1"/>
        <n v="4394" u="1"/>
        <n v="862" u="1"/>
        <n v="1155" u="1"/>
        <n v="2305" u="1"/>
        <n v="805" u="1"/>
        <n v="724" u="1"/>
        <n v="4391" u="1"/>
        <n v="4398" u="1"/>
        <n v="1509" u="1"/>
        <n v="1239" u="1"/>
        <n v="536" u="1"/>
        <n v="81" u="1"/>
        <n v="780" u="1"/>
        <n v="239" u="1"/>
        <n v="295" u="1"/>
        <n v="2282" u="1"/>
        <n v="2866" u="1"/>
        <n v="142" u="1"/>
        <n v="379" u="1"/>
        <n v="416" u="1"/>
        <n v="1583" u="1"/>
        <n v="764" u="1"/>
        <n v="1472" u="1"/>
        <n v="1193" u="1"/>
        <n v="1078" u="1"/>
        <n v="549" u="1"/>
        <n v="225" u="1"/>
        <n v="963" u="1"/>
        <n v="198" u="1"/>
        <n v="2555" u="1"/>
        <n v="487" u="1"/>
        <n v="253" u="1"/>
        <n v="3399" u="1"/>
        <n v="1450" u="1"/>
        <n v="3823" u="1"/>
        <n v="2661" u="1"/>
        <n v="610" u="1"/>
        <n v="1323" u="1"/>
        <n v="1052" u="1"/>
        <n v="445" u="1"/>
        <n v="1152" u="1"/>
        <n v="485" u="1"/>
        <n v="859" u="1"/>
        <n v="2302" u="1"/>
        <n v="721" u="1"/>
        <n v="1077" u="1"/>
        <n v="527" u="1"/>
        <n v="626" u="1"/>
        <n v="962" u="1"/>
        <n v="2304" u="1"/>
        <n v="1449" u="1"/>
        <n v="2554" u="1"/>
        <n v="2660" u="1"/>
        <n v="3822" u="1"/>
        <n v="486" u="1"/>
        <n v="3398" u="1"/>
        <n v="1276" u="1"/>
        <n v="3401" u="1"/>
        <n v="444" u="1"/>
        <n v="1322" u="1"/>
        <n v="1471" u="1"/>
        <n v="1508" u="1"/>
        <n v="2281" u="1"/>
        <n v="471" u="1"/>
        <n v="415" u="1"/>
        <n v="763" u="1"/>
        <n v="1192" u="1"/>
        <n v="1556" u="1"/>
        <n v="4390" u="1"/>
        <n v="3874" u="1"/>
        <n v="2865" u="1"/>
        <n v="1238" u="1"/>
        <n v="779" u="1"/>
        <n v="858" u="1"/>
        <n v="801" u="1"/>
        <n v="2301" u="1"/>
        <n v="463" u="1"/>
        <n v="720" u="1"/>
        <n v="4387" u="1"/>
        <n v="760" u="1"/>
        <n v="1579" u="1"/>
        <n v="1468" u="1"/>
        <n v="1189" u="1"/>
        <n v="1235" u="1"/>
        <n v="1553" u="1"/>
        <n v="1505" u="1"/>
        <n v="2862" u="1"/>
        <n v="375" u="1"/>
        <n v="2278" u="1"/>
        <n v="452" u="1"/>
        <n v="3819" u="1"/>
        <n v="3395" u="1"/>
        <n v="2657" u="1"/>
        <n v="430" u="1"/>
        <n v="1446" u="1"/>
        <n v="413" u="1"/>
        <n v="1048" u="1"/>
        <n v="2551" u="1"/>
        <n v="1319" u="1"/>
        <n v="495" u="1"/>
        <n v="606" u="1"/>
        <n v="1074" u="1"/>
        <n v="959" u="1"/>
        <n v="623" u="1"/>
        <n v="855" u="1"/>
        <n v="2298" u="1"/>
        <n v="460" u="1"/>
        <n v="1148" u="1"/>
        <n v="156" u="1"/>
        <n v="1465" u="1"/>
        <n v="773" u="1"/>
        <n v="1550" u="1"/>
        <n v="4384" u="1"/>
        <n v="2275" u="1"/>
        <n v="1232" u="1"/>
        <n v="1576" u="1"/>
        <n v="757" u="1"/>
        <n v="2859" u="1"/>
        <n v="372" u="1"/>
        <n v="3868" u="1"/>
        <n v="281" u="1"/>
        <n v="1184" u="1"/>
        <n v="407" u="1"/>
        <n v="755" u="1"/>
        <n v="376" u="1"/>
        <n v="1230" u="1"/>
        <n v="193" u="1"/>
        <n v="771" u="1"/>
        <n v="370" u="1"/>
        <n v="695" u="1"/>
        <n v="617" u="1"/>
        <n v="886" u="1"/>
        <n v="2272" u="1"/>
        <n v="2856" u="1"/>
        <n v="3865" u="1"/>
        <n v="1229" u="1"/>
        <n v="1573" u="1"/>
        <n v="4381" u="1"/>
        <n v="1499" u="1"/>
        <n v="4388" u="1"/>
        <n v="754" u="1"/>
        <n v="406" u="1"/>
        <n v="1183" u="1"/>
      </sharedItems>
    </cacheField>
    <cacheField name="Estado Dealer" numFmtId="0">
      <sharedItems containsBlank="1" count="18">
        <s v="DEVOLUCION NUEVOS DISPONIBLE"/>
        <s v="EN TALLER"/>
        <s v="TEST CAR"/>
        <s v="DEMO/INTERNO"/>
        <s v="USO GERENCIA"/>
        <s v="DISPONIBLE"/>
        <s v="EN PREPARACION"/>
        <s v="NO DISPONIBLE"/>
        <s v="DEVOLUCION NUEVOS NO DISPONIBLE"/>
        <s v="VEHICULO USO DE SERVICIO"/>
        <s v="SINIESTRADO"/>
        <s v="CON PRENDA"/>
        <s v="EN TALLER EXTERNO"/>
        <s v=""/>
        <s v="EN RESCILIACION"/>
        <s v="VEHICULO EMPRESA"/>
        <m/>
        <s v="KM 0" u="1"/>
      </sharedItems>
    </cacheField>
    <cacheField name="Bodega" numFmtId="0">
      <sharedItems containsBlank="1"/>
    </cacheField>
    <cacheField name="Equipamiento" numFmtId="0">
      <sharedItems containsBlank="1"/>
    </cacheField>
    <cacheField name="Numero Motor" numFmtId="0">
      <sharedItems containsBlank="1"/>
    </cacheField>
    <cacheField name="Numero Chasis" numFmtId="0">
      <sharedItems containsBlank="1"/>
    </cacheField>
    <cacheField name="Proveedor" numFmtId="0">
      <sharedItems containsBlank="1"/>
    </cacheField>
    <cacheField name="Fecha Disponibilidad" numFmtId="0">
      <sharedItems containsBlank="1"/>
    </cacheField>
    <cacheField name="Factura Compra" numFmtId="0">
      <sharedItems containsString="0" containsBlank="1" containsNumber="1" containsInteger="1" minValue="0" maxValue="45641330"/>
    </cacheField>
    <cacheField name="Vencimiento Documento" numFmtId="0">
      <sharedItems containsBlank="1"/>
    </cacheField>
    <cacheField name="Fecha Compra" numFmtId="0">
      <sharedItems containsBlank="1"/>
    </cacheField>
    <cacheField name="Fecha Vencto. Revisión Técnica" numFmtId="0">
      <sharedItems containsBlank="1"/>
    </cacheField>
    <cacheField name="N° Propietarios" numFmtId="0">
      <sharedItems containsString="0" containsBlank="1" containsNumber="1" containsInteger="1" minValue="0" maxValue="4"/>
    </cacheField>
    <cacheField name="Folio Retoma" numFmtId="0">
      <sharedItems containsString="0" containsBlank="1" containsNumber="1" containsInteger="1" minValue="0" maxValue="0"/>
    </cacheField>
    <cacheField name="Fecha Retoma" numFmtId="0">
      <sharedItems containsBlank="1"/>
    </cacheField>
    <cacheField name="Días Reservado" numFmtId="0">
      <sharedItems containsString="0" containsBlank="1" containsNumber="1" containsInteger="1" minValue="0" maxValue="12"/>
    </cacheField>
    <cacheField name="Precio Compra Neto" numFmtId="0">
      <sharedItems containsString="0" containsBlank="1" containsNumber="1" containsInteger="1" minValue="0" maxValue="65150753"/>
    </cacheField>
    <cacheField name="Gasto" numFmtId="0">
      <sharedItems containsString="0" containsBlank="1" containsNumber="1" containsInteger="1" minValue="0" maxValue="4016851"/>
    </cacheField>
    <cacheField name="Accesorios" numFmtId="0">
      <sharedItems containsString="0" containsBlank="1" containsNumber="1" containsInteger="1" minValue="0" maxValue="0"/>
    </cacheField>
    <cacheField name="Total Costo" numFmtId="0">
      <sharedItems containsString="0" containsBlank="1" containsNumber="1" containsInteger="1" minValue="1443780" maxValue="65150753"/>
    </cacheField>
    <cacheField name="Precio Lista" numFmtId="0">
      <sharedItems containsString="0" containsBlank="1" containsNumber="1" containsInteger="1" minValue="0" maxValue="65150753"/>
    </cacheField>
    <cacheField name="Margen" numFmtId="0">
      <sharedItems containsString="0" containsBlank="1" containsNumber="1" containsInteger="1" minValue="-39290000" maxValue="12910000"/>
    </cacheField>
    <cacheField name="Margen %" numFmtId="0">
      <sharedItems containsString="0" containsBlank="1" containsNumber="1" containsInteger="1" minValue="-3929000000" maxValue="84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x v="0"/>
    <s v="LOCAL USADOS"/>
    <n v="0"/>
    <n v="0"/>
    <s v=""/>
    <s v=""/>
    <s v=""/>
    <s v=""/>
    <s v="12-09-2025 14:53:20"/>
    <s v=""/>
    <s v="VF3VLEHT3TZ003294"/>
    <x v="0"/>
    <x v="0"/>
    <s v="New EXPERT MCA L3 Diesel 145hp MT"/>
    <s v="2PK0F3NWRKJRA0J0088"/>
    <x v="0"/>
    <n v="941"/>
    <s v="BPEFRGN001324"/>
    <x v="0"/>
    <s v="SEMINUEVO"/>
    <s v="BLANCO HIELO"/>
    <s v="POR DEFINIR"/>
    <n v="32118100"/>
    <s v="Disponible"/>
    <x v="0"/>
    <x v="0"/>
    <s v="LOCAL USADOS VEHICULOS"/>
    <s v=""/>
    <s v="101BAV4041423"/>
    <s v="VF3VLEHT3TZ003294"/>
    <s v="FORUM DISTRIBUIDORA SA"/>
    <s v="06-04-2026 0:00:00"/>
    <n v="912467"/>
    <s v="25-09-2025 0:00:00"/>
    <s v="05-10-2025 20:59:58"/>
    <s v=""/>
    <n v="0"/>
    <n v="0"/>
    <s v=""/>
    <n v="0"/>
    <n v="20512400"/>
    <n v="270449"/>
    <n v="0"/>
    <n v="20782849"/>
    <n v="26990000"/>
    <n v="6207151"/>
    <n v="23"/>
  </r>
  <r>
    <x v="0"/>
    <s v="LOCAL PEUGEOT"/>
    <n v="0"/>
    <n v="0"/>
    <s v=""/>
    <s v=""/>
    <s v=""/>
    <s v=""/>
    <s v="28-05-2026 12:41:52"/>
    <s v=""/>
    <s v="VR3KAHPY0VS001093"/>
    <x v="0"/>
    <x v="1"/>
    <s v="3008 P64 GT Hybrid 136hp AT"/>
    <s v="1PPDSYTJH7NXA0B0167"/>
    <x v="0"/>
    <n v="0"/>
    <s v="BPESTWN002855"/>
    <x v="1"/>
    <s v="SEMINUEVO"/>
    <s v="BLANCO OKENITA"/>
    <s v="POR DEFINIR"/>
    <n v="37290000"/>
    <s v="Disponible"/>
    <x v="1"/>
    <x v="1"/>
    <s v="BODEGA LOCAL PEUGEOT"/>
    <s v=""/>
    <s v="10XR050087229"/>
    <s v="VR3KAHPY0VS001093"/>
    <s v="FORUM DISTRIBUIDORA SA"/>
    <s v="28-05-2026 0:00:00"/>
    <n v="0"/>
    <s v=""/>
    <s v=""/>
    <s v=""/>
    <n v="0"/>
    <n v="0"/>
    <s v=""/>
    <n v="0"/>
    <n v="28515882"/>
    <n v="0"/>
    <n v="0"/>
    <n v="28515882"/>
    <n v="31336134"/>
    <n v="2820252"/>
    <n v="9"/>
  </r>
  <r>
    <x v="0"/>
    <s v="LOCAL PEUGEOT"/>
    <n v="0"/>
    <n v="0"/>
    <s v=""/>
    <s v=""/>
    <s v=""/>
    <s v=""/>
    <s v="06-11-2025 16:51:55"/>
    <s v=""/>
    <s v="9V8FF4HY1SA819290"/>
    <x v="0"/>
    <x v="2"/>
    <s v="LANDTREK BLUEHDI 4X4 2.2 AUT"/>
    <s v="LANDUSA"/>
    <x v="1"/>
    <n v="0"/>
    <s v="BPECMTU000007"/>
    <x v="2"/>
    <s v="USADO"/>
    <s v="BLANCO BANQUISE"/>
    <s v="POR DEFINIR"/>
    <n v="21990000"/>
    <s v="Disponible"/>
    <x v="2"/>
    <x v="2"/>
    <s v="BODEGA LOCAL PEUGEOT"/>
    <s v=""/>
    <s v="10VRAC4012986"/>
    <s v="9V8FF4HY1SA819290"/>
    <s v="ECO ARQUING LTDA"/>
    <s v="06-11-2025 0:00:00"/>
    <n v="1"/>
    <s v="06-11-2025 0:00:00"/>
    <s v="06-11-2025 16:50:16"/>
    <s v=""/>
    <n v="0"/>
    <n v="0"/>
    <s v=""/>
    <n v="0"/>
    <n v="29381100"/>
    <n v="0"/>
    <n v="0"/>
    <n v="29381100"/>
    <n v="21990000"/>
    <n v="-7391100"/>
    <n v="-3361"/>
  </r>
  <r>
    <x v="0"/>
    <s v="MEGACENTRO OVALLE"/>
    <n v="0"/>
    <n v="0"/>
    <s v=""/>
    <s v=""/>
    <s v=""/>
    <s v=""/>
    <s v="21-02-2024 15:15:59"/>
    <s v=""/>
    <s v="9V8FF4HY1RA800754"/>
    <x v="0"/>
    <x v="2"/>
    <s v="Landtrek Active BlueHDi 180 4x4 AT"/>
    <s v="2PKPEKHMQNN088"/>
    <x v="2"/>
    <n v="27913"/>
    <s v="BPECMTN000252"/>
    <x v="3"/>
    <s v="SEMINUEVO"/>
    <s v="BLANCO BANQUISE"/>
    <s v="POR DEFINIR"/>
    <n v="20990000"/>
    <s v="Disponible"/>
    <x v="3"/>
    <x v="0"/>
    <s v="MEGACENTRO OVALLE VEHICULOS"/>
    <s v=""/>
    <s v="10VRAC4002482"/>
    <s v="9V8FF4HY1RA800754"/>
    <s v="FORUM DISTRIBUIDORA SA"/>
    <s v="22-08-2025 0:00:00"/>
    <n v="781565"/>
    <s v="19-03-2024 0:00:00"/>
    <s v="20-03-2024 14:57:19"/>
    <s v=""/>
    <n v="0"/>
    <n v="0"/>
    <s v=""/>
    <n v="0"/>
    <n v="26670800"/>
    <n v="991590"/>
    <n v="0"/>
    <n v="27662390"/>
    <n v="20990000"/>
    <n v="-6672390"/>
    <n v="-3179"/>
  </r>
  <r>
    <x v="0"/>
    <s v="LOCAL USADOS"/>
    <n v="0"/>
    <n v="0"/>
    <s v=""/>
    <s v=""/>
    <s v=""/>
    <s v=""/>
    <s v="07-07-2023 13:26:15"/>
    <s v=""/>
    <s v="VR3FDAHDLP3008724"/>
    <x v="0"/>
    <x v="2"/>
    <s v="LANDTREK 4X4 1.9"/>
    <s v="LANUSA1"/>
    <x v="3"/>
    <n v="1980"/>
    <s v="BPECMTU000001"/>
    <x v="4"/>
    <s v="USADO"/>
    <s v="GRIS GRAFITO"/>
    <s v="POR DEFINIR"/>
    <n v="19490000"/>
    <s v="Disponible"/>
    <x v="4"/>
    <x v="3"/>
    <s v="LOCAL USADOS VEHICULOS"/>
    <s v=""/>
    <s v="A5D22001392"/>
    <s v="VR3FDAHDLP3008724"/>
    <s v="CONSTRUCTORA BRAP SPA"/>
    <s v="07-07-2023 0:00:00"/>
    <n v="1"/>
    <s v="07-07-2023 0:00:00"/>
    <s v="07-07-2023 13:25:46"/>
    <s v=""/>
    <n v="0"/>
    <n v="0"/>
    <s v=""/>
    <n v="0"/>
    <n v="21000000"/>
    <n v="13250"/>
    <n v="0"/>
    <n v="21013250"/>
    <n v="19490000"/>
    <n v="-1523250"/>
    <n v="-782"/>
  </r>
  <r>
    <x v="0"/>
    <s v="MEGACENTRO OVALLE"/>
    <n v="0"/>
    <n v="0"/>
    <s v=""/>
    <s v=""/>
    <s v=""/>
    <s v=""/>
    <s v="30-10-2023 16:00:03"/>
    <s v=""/>
    <s v="VR3UDYHZSRJ524567"/>
    <x v="0"/>
    <x v="3"/>
    <s v="2008 MCA Allure BlueHDi 130 EAT8"/>
    <s v="1PP1SYPMK1JRA0"/>
    <x v="2"/>
    <n v="45647"/>
    <s v="BPESTWN002279"/>
    <x v="5"/>
    <s v="SEMINUEVO"/>
    <s v="BLANCO OKENITE"/>
    <s v="POR DEFINIR"/>
    <n v="17590000"/>
    <s v="Disponible"/>
    <x v="5"/>
    <x v="2"/>
    <s v="MEGACENTRO OVALLE VEHICULOS"/>
    <s v=""/>
    <s v="10Q3DP1802788"/>
    <s v="VR3UDYHZSRJ524567"/>
    <s v="FORUM DISTRIBUIDORA SA"/>
    <s v="30-10-2023 0:00:00"/>
    <n v="781568"/>
    <s v="19-03-2024 0:00:00"/>
    <s v="20-03-2024 15:01:46"/>
    <s v=""/>
    <n v="0"/>
    <n v="0"/>
    <s v=""/>
    <n v="0"/>
    <n v="21175461"/>
    <n v="1288456"/>
    <n v="0"/>
    <n v="22463917"/>
    <n v="17590000"/>
    <n v="-4873917"/>
    <n v="-2771"/>
  </r>
  <r>
    <x v="0"/>
    <s v="LOCAL USADOS"/>
    <n v="0"/>
    <n v="0"/>
    <s v=""/>
    <s v=""/>
    <s v=""/>
    <s v=""/>
    <s v="14-08-2025 17:36:07"/>
    <s v=""/>
    <s v="VR3USHNSKSJ517115"/>
    <x v="0"/>
    <x v="3"/>
    <s v="2008 ALLURE 130 1.2"/>
    <s v="N2008USA"/>
    <x v="1"/>
    <n v="1510"/>
    <s v="BPESTWU000008"/>
    <x v="6"/>
    <s v="USADO"/>
    <s v="GRIS ARTENSE"/>
    <s v="POR DEFINIR"/>
    <n v="16990000"/>
    <s v="Disponible"/>
    <x v="6"/>
    <x v="0"/>
    <s v="LOCAL USADOS VEHICULOS"/>
    <s v=""/>
    <s v="10TMA60199560"/>
    <s v="VR3USHNSKSJ517115"/>
    <s v="JULIO CESAR GUTIERREZ VARGAS"/>
    <s v="14-08-2025 0:00:00"/>
    <n v="1"/>
    <s v="14-08-2025 0:00:00"/>
    <s v="14-08-2025 17:34:19"/>
    <s v=""/>
    <n v="0"/>
    <n v="0"/>
    <s v=""/>
    <n v="0"/>
    <n v="20390000"/>
    <n v="0"/>
    <n v="0"/>
    <n v="20390000"/>
    <n v="16990000"/>
    <n v="-3400000"/>
    <n v="-2001"/>
  </r>
  <r>
    <x v="0"/>
    <s v="LOCAL USADOS"/>
    <n v="0"/>
    <n v="0"/>
    <s v=""/>
    <s v=""/>
    <s v=""/>
    <s v=""/>
    <s v="12-09-2025 16:02:19"/>
    <s v=""/>
    <s v="VXKUSHNS5TW000787"/>
    <x v="1"/>
    <x v="4"/>
    <s v="Mokka GS Gasolina 130HP AT"/>
    <s v="1GQOSYHI21JRA033109"/>
    <x v="0"/>
    <n v="2705"/>
    <s v="BOPSTWN000228"/>
    <x v="7"/>
    <s v="SEMINUEVO"/>
    <s v="VERDE LAGUNA"/>
    <s v="POR DEFINIR"/>
    <n v="24890000"/>
    <s v="Disponible"/>
    <x v="0"/>
    <x v="0"/>
    <s v="LOCAL USADOS VEHICULOS"/>
    <s v=""/>
    <s v="10XVBB2431060"/>
    <s v="VXKUSHNS5TW000787"/>
    <s v="FORUM DISTRIBUIDORA SA"/>
    <s v="06-04-2026 0:00:00"/>
    <n v="912475"/>
    <s v="25-09-2025 0:00:00"/>
    <s v="05-10-2025 21:20:03"/>
    <s v=""/>
    <n v="0"/>
    <n v="0"/>
    <s v=""/>
    <n v="0"/>
    <n v="16665547"/>
    <n v="535096"/>
    <n v="0"/>
    <n v="17200643"/>
    <n v="20915966"/>
    <n v="3715323"/>
    <n v="1776"/>
  </r>
  <r>
    <x v="0"/>
    <s v="LOCAL SALAMANCA"/>
    <n v="0"/>
    <n v="0"/>
    <s v=""/>
    <s v=""/>
    <s v=""/>
    <s v=""/>
    <s v="24-11-2023 17:33:25"/>
    <s v=""/>
    <s v="VF3MRHNSMRS009713"/>
    <x v="0"/>
    <x v="1"/>
    <s v="Nuevo 3008 Active Pack Puretech 130"/>
    <s v="1PP8SYLNPKJMA0"/>
    <x v="2"/>
    <n v="6300"/>
    <s v="BPESTWN002313"/>
    <x v="8"/>
    <s v="SEMINUEVO"/>
    <s v="BLANCO NACARADO"/>
    <s v="POR DEFINIR"/>
    <n v="15290000"/>
    <s v="Disponible"/>
    <x v="7"/>
    <x v="0"/>
    <s v="LOCAL SALAMANCA VEHICULOS"/>
    <s v=""/>
    <s v="10Z1AJ0040015"/>
    <s v="VF3MRHNSMRS009713"/>
    <s v="FORUM DISTRIBUIDORA SA"/>
    <s v="30-09-2024 0:00:00"/>
    <n v="780304"/>
    <s v="08-03-2024 0:00:00"/>
    <s v="13-03-2024 17:49:52"/>
    <s v=""/>
    <n v="0"/>
    <n v="0"/>
    <s v=""/>
    <n v="0"/>
    <n v="19339411"/>
    <n v="2743915"/>
    <n v="0"/>
    <n v="22083326"/>
    <n v="15290000"/>
    <n v="-6793326"/>
    <n v="-4443"/>
  </r>
  <r>
    <x v="0"/>
    <s v="LOCAL PEUGEOT"/>
    <n v="0"/>
    <n v="0"/>
    <s v=""/>
    <s v=""/>
    <s v=""/>
    <s v=""/>
    <s v="03-12-2025 15:23:05"/>
    <s v=""/>
    <s v="VF3YDT6FXTMB55780"/>
    <x v="0"/>
    <x v="5"/>
    <s v="BOXER 2.2"/>
    <s v="BOXUSA1"/>
    <x v="0"/>
    <n v="2700"/>
    <s v="BPEFRGU000005"/>
    <x v="9"/>
    <s v="USADO"/>
    <s v="BLANCO HIELO"/>
    <s v="POR DEFINIR"/>
    <n v="31990000"/>
    <s v="Disponible"/>
    <x v="8"/>
    <x v="2"/>
    <s v="BODEGA LOCAL PEUGEOT"/>
    <s v=""/>
    <s v="463571691903538"/>
    <s v="VF3YDT6FXTMB55780"/>
    <s v="DAVID REINALDO RAMIREZ PEÑA Y LILLO VENTA, MANTENCION Y RECARGA DE EXTINTORES E.I.R.L"/>
    <s v="03-12-2025 0:00:00"/>
    <n v="1"/>
    <s v="03-12-2025 0:00:00"/>
    <s v="03-12-2025 15:22:45"/>
    <s v=""/>
    <n v="0"/>
    <n v="0"/>
    <s v=""/>
    <n v="0"/>
    <n v="32237100"/>
    <n v="0"/>
    <n v="0"/>
    <n v="32237100"/>
    <n v="31990000"/>
    <n v="-247100"/>
    <n v="-77"/>
  </r>
  <r>
    <x v="0"/>
    <s v="BODEGA PDI"/>
    <n v="0"/>
    <n v="0"/>
    <s v=""/>
    <s v=""/>
    <s v=""/>
    <s v=""/>
    <s v="08-05-2026 12:47:17"/>
    <s v=""/>
    <s v="VR3EDYHT4VJ003832"/>
    <x v="0"/>
    <x v="6"/>
    <s v="PARTNER MCA L2 Diesel 100hp MT"/>
    <s v="2PK95CNMNKJRA070069"/>
    <x v="0"/>
    <n v="0"/>
    <s v="BPEFRGN001371"/>
    <x v="10"/>
    <s v="SEMINUEVO"/>
    <s v="BLANCO HIELO"/>
    <s v="POR DEFINIR"/>
    <n v="24264100"/>
    <s v="Disponible"/>
    <x v="9"/>
    <x v="1"/>
    <s v="BODEGA PDI"/>
    <s v=""/>
    <s v="10Q4EU0696242"/>
    <s v="VR3EDYHT4VJ003832"/>
    <s v="FORUM DISTRIBUIDORA SA"/>
    <s v="08-05-2026 0:00:00"/>
    <n v="0"/>
    <s v=""/>
    <s v=""/>
    <s v=""/>
    <n v="0"/>
    <n v="0"/>
    <s v=""/>
    <n v="0"/>
    <n v="18351000"/>
    <n v="0"/>
    <n v="0"/>
    <n v="18351000"/>
    <n v="20390000"/>
    <n v="2039000"/>
    <n v="10"/>
  </r>
  <r>
    <x v="0"/>
    <s v="LOCAL USADOS COPIAPO"/>
    <n v="0"/>
    <n v="0"/>
    <s v=""/>
    <s v=""/>
    <s v=""/>
    <s v=""/>
    <s v="07-01-2025 15:56:46"/>
    <s v=""/>
    <s v="VR3FDAHDLN3007730"/>
    <x v="0"/>
    <x v="2"/>
    <s v="LANDTREK 4X4 1.9"/>
    <s v="LANUSA1"/>
    <x v="3"/>
    <n v="0"/>
    <s v="BPECMTU000002"/>
    <x v="11"/>
    <s v="USADO"/>
    <s v="GRIS GRAFITO"/>
    <s v="POR DEFINIR"/>
    <n v="37355481"/>
    <s v="Disponible"/>
    <x v="10"/>
    <x v="2"/>
    <s v="BODEGA VEHICULOS"/>
    <s v=""/>
    <s v="A5D22001368"/>
    <s v="VR3FDAHDLN3007730"/>
    <s v="FERNANDO GABRIEL LEIVA PANGUE"/>
    <s v="07-01-2025 0:00:00"/>
    <n v="1"/>
    <s v="07-01-2025 0:00:00"/>
    <s v="07-01-2025 15:55:41"/>
    <s v=""/>
    <n v="0"/>
    <n v="0"/>
    <s v=""/>
    <n v="0"/>
    <n v="37355481"/>
    <n v="894355"/>
    <n v="0"/>
    <n v="38249836"/>
    <n v="37355481"/>
    <n v="-894355"/>
    <n v="-239"/>
  </r>
  <r>
    <x v="1"/>
    <s v="BODEGA PDI"/>
    <n v="0"/>
    <n v="0"/>
    <s v=""/>
    <s v=""/>
    <s v=""/>
    <s v=""/>
    <s v="04-01-2019 18:31:16"/>
    <s v=""/>
    <s v="JF1GT7LL5KG071115"/>
    <x v="2"/>
    <x v="7"/>
    <s v="NEW XV 2.0I AWD CVT DYNAMIC"/>
    <s v="XV 5695"/>
    <x v="4"/>
    <n v="6400"/>
    <s v="CSUSTWN000408"/>
    <x v="12"/>
    <s v="SEMINUEVO"/>
    <s v="BLANCO CRISTAL PERLADO"/>
    <s v="POR DEFINIR"/>
    <n v="15900000"/>
    <s v="Disponible"/>
    <x v="11"/>
    <x v="4"/>
    <s v="BODEGA PDI"/>
    <s v=""/>
    <s v="CE04013"/>
    <s v="JF1GT7LL5KG071115"/>
    <s v="FORUM DISTRIBUIDORA S.A"/>
    <s v="04-11-2022 0:00:00"/>
    <n v="347702"/>
    <s v="11-01-2019 0:00:00"/>
    <s v="22-01-2019 10:34:11"/>
    <s v=""/>
    <n v="0"/>
    <n v="0"/>
    <s v=""/>
    <n v="0"/>
    <n v="12497480"/>
    <n v="3135424"/>
    <n v="0"/>
    <n v="15632904"/>
    <n v="15900000"/>
    <n v="267096"/>
    <n v="168"/>
  </r>
  <r>
    <x v="1"/>
    <s v="LOCAL USADOS"/>
    <n v="0"/>
    <n v="0"/>
    <s v=""/>
    <s v=""/>
    <s v=""/>
    <s v=""/>
    <s v="23-09-2024 10:44:44"/>
    <s v=""/>
    <s v="VF3M45GBURS003230"/>
    <x v="0"/>
    <x v="1"/>
    <s v="3008 GT HYBRID4 300 eEAT8"/>
    <s v="TCPE1"/>
    <x v="1"/>
    <n v="7735"/>
    <s v="CPESTWN000039"/>
    <x v="13"/>
    <s v="SEMINUEVO"/>
    <s v="BLANCO NACARADO"/>
    <s v="POR DEFINIR"/>
    <n v="30590000"/>
    <s v="Disponible"/>
    <x v="12"/>
    <x v="0"/>
    <s v="LOCAL USADOS VEHICULOS"/>
    <s v=""/>
    <s v="10FKBJ3063820"/>
    <s v="VF3M45GBURS003230"/>
    <s v="AUTOMOTRIZ BALMACEDA LTDA"/>
    <s v="31-03-2025 0:00:00"/>
    <n v="62327"/>
    <s v="16-10-2024 0:00:00"/>
    <s v="23-09-2024 10:44:27"/>
    <s v=""/>
    <n v="0"/>
    <n v="0"/>
    <s v=""/>
    <n v="0"/>
    <n v="38661008"/>
    <n v="876679"/>
    <n v="0"/>
    <n v="39537687"/>
    <n v="30590000"/>
    <n v="-8947687"/>
    <n v="-2925"/>
  </r>
  <r>
    <x v="1"/>
    <s v="LOCAL USADOS COPIAPO"/>
    <n v="0"/>
    <n v="0"/>
    <s v=""/>
    <s v=""/>
    <s v=""/>
    <s v=""/>
    <s v="19-03-2024 16:12:27"/>
    <s v=""/>
    <s v="VR3UPHNSSRT000881"/>
    <x v="0"/>
    <x v="8"/>
    <s v="NUEVO 208 ALLURE PACK PURETECH 130 EAT8"/>
    <s v="1PP2A5RNP1JRA0"/>
    <x v="2"/>
    <n v="2700"/>
    <s v="CPEAUTN000105"/>
    <x v="14"/>
    <s v="SEMINUEVO"/>
    <s v="BLANCO BANQUISE"/>
    <s v="POR DEFINIR"/>
    <n v="13890000"/>
    <s v="Disponible"/>
    <x v="13"/>
    <x v="0"/>
    <s v="BODEGA LOS CARRERA COPIAPO"/>
    <s v=""/>
    <s v="10TMA50142430"/>
    <s v="VR3UPHNSSRT000881"/>
    <s v="AUTOMOTRIZ BALMACEDA LTDA"/>
    <s v="15-01-2025 0:00:00"/>
    <n v="58519"/>
    <s v="22-03-2024 0:00:00"/>
    <s v="22-03-2024 17:08:45"/>
    <s v=""/>
    <n v="0"/>
    <n v="0"/>
    <s v=""/>
    <n v="0"/>
    <n v="16733445"/>
    <n v="1434077"/>
    <n v="0"/>
    <n v="18167522"/>
    <n v="13890000"/>
    <n v="-4277522"/>
    <n v="-308"/>
  </r>
  <r>
    <x v="1"/>
    <s v="MEGACENTRO OVALLE"/>
    <n v="0"/>
    <n v="0"/>
    <s v=""/>
    <s v=""/>
    <s v=""/>
    <s v=""/>
    <s v="23-09-2024 13:05:02"/>
    <s v=""/>
    <s v="VR3FPHNSLRY503209"/>
    <x v="0"/>
    <x v="9"/>
    <s v="308 Allure Puretech 130"/>
    <s v="TCPE15"/>
    <x v="1"/>
    <n v="4385"/>
    <s v="CPEAUTN000110"/>
    <x v="15"/>
    <s v="SEMINUEVO"/>
    <s v="AZUL VERTIGO"/>
    <s v="POR DEFINIR"/>
    <n v="15790000"/>
    <s v="Disponible"/>
    <x v="14"/>
    <x v="0"/>
    <s v="MEGACENTRO OVALLE VEHICULOS"/>
    <s v=""/>
    <s v="10TMAF0088739"/>
    <s v="VR3FPHNSLRY503209"/>
    <s v="AUTOMOTRIZ BALMACEDA LTDA"/>
    <s v="21-03-2025 0:00:00"/>
    <n v="62342"/>
    <s v="16-10-2024 0:00:00"/>
    <s v="23-09-2024 13:04:37"/>
    <s v=""/>
    <n v="0"/>
    <n v="0"/>
    <s v=""/>
    <n v="0"/>
    <n v="18511597"/>
    <n v="814310"/>
    <n v="0"/>
    <n v="19325907"/>
    <n v="15790000"/>
    <n v="-3535907"/>
    <n v="-2239"/>
  </r>
  <r>
    <x v="1"/>
    <s v="LOCAL USADOS"/>
    <n v="0"/>
    <n v="0"/>
    <s v=""/>
    <s v=""/>
    <s v=""/>
    <s v=""/>
    <s v="10-02-2026 13:11:35"/>
    <s v=""/>
    <s v="1FMSK7FH4PGB01645"/>
    <x v="3"/>
    <x v="10"/>
    <s v="EXPLORER 2WD 2.3 AUT"/>
    <s v="FREXPLO2WD23AT"/>
    <x v="2"/>
    <n v="0"/>
    <s v="CFOSTWU000007"/>
    <x v="16"/>
    <s v="USADO"/>
    <s v="GRIS CARBONIZADO"/>
    <s v="POR DEFINIR"/>
    <n v="49771695"/>
    <s v="Disponible"/>
    <x v="15"/>
    <x v="5"/>
    <s v="LOCAL USADOS VEHICULOS"/>
    <s v=""/>
    <s v="PGB01645"/>
    <s v="1FMSK7FH4PGB01645"/>
    <s v="OMAR ORESTES TAPIA ARAYA"/>
    <s v="10-02-2026 0:00:00"/>
    <n v="100226"/>
    <s v="10-02-2026 0:00:00"/>
    <s v="10-02-2026 13:05:26"/>
    <s v=""/>
    <n v="0"/>
    <n v="0"/>
    <s v=""/>
    <n v="0"/>
    <n v="49771695"/>
    <n v="0"/>
    <n v="0"/>
    <n v="49771695"/>
    <n v="49771695"/>
    <n v="0"/>
    <n v="0"/>
  </r>
  <r>
    <x v="1"/>
    <s v="MEGACENTRO COPIAPO"/>
    <n v="0"/>
    <n v="0"/>
    <s v=""/>
    <s v=""/>
    <s v=""/>
    <s v=""/>
    <s v="24-02-2026 16:40:04"/>
    <s v=""/>
    <s v="LJD0AA29AR0251362"/>
    <x v="4"/>
    <x v="11"/>
    <s v="SOLUTO MPI 1.4"/>
    <s v="TDYG27"/>
    <x v="2"/>
    <n v="0"/>
    <s v="CKIAUTU000006"/>
    <x v="17"/>
    <s v="USADO"/>
    <s v="PLATEADO TITANIO"/>
    <s v="POR DEFINIR"/>
    <n v="11082000"/>
    <s v="Disponible"/>
    <x v="16"/>
    <x v="2"/>
    <s v="MEGACENTRO COPIAPO VEHICULOS"/>
    <s v=""/>
    <s v="G4LCP1045504"/>
    <s v="LJD0AA29AR0251362"/>
    <s v="RODRIGO ALEJANDRO MARTINEZ DROGUETT"/>
    <s v="24-02-2026 0:00:00"/>
    <n v="1"/>
    <s v="24-02-2026 0:00:00"/>
    <s v="24-02-2026 16:38:04"/>
    <s v=""/>
    <n v="0"/>
    <n v="0"/>
    <s v=""/>
    <n v="0"/>
    <n v="11082000"/>
    <n v="0"/>
    <n v="0"/>
    <n v="11082000"/>
    <n v="11082000"/>
    <n v="0"/>
    <n v="0"/>
  </r>
  <r>
    <x v="1"/>
    <s v="MEGACENTRO LA SERENA"/>
    <n v="0"/>
    <n v="0"/>
    <s v=""/>
    <s v=""/>
    <s v=""/>
    <s v=""/>
    <s v="20-12-2022 11:10:56"/>
    <s v=""/>
    <s v="LVZBN25B5NC055182"/>
    <x v="5"/>
    <x v="12"/>
    <s v="TRUCK CS C31 1.5 I"/>
    <s v="DFSK4815"/>
    <x v="5"/>
    <n v="0"/>
    <s v="CDFCMTN000223"/>
    <x v="18"/>
    <s v="SEMINUEVO"/>
    <s v="BLANCO"/>
    <s v="POR DEFINIR"/>
    <n v="11055100"/>
    <s v="Disponible"/>
    <x v="17"/>
    <x v="6"/>
    <s v="MEGACENTRO LA SERENA VEHICULOS"/>
    <s v=""/>
    <s v="DK15-06-22314483"/>
    <s v="LVZBN25B5NC055182"/>
    <s v="SOCIEDAD HERMANAS CALLEGARI LTDA"/>
    <s v="20-12-2022 0:00:00"/>
    <n v="0"/>
    <s v="28-06-2024 9:26:00"/>
    <s v="28-06-2024 9:26:00"/>
    <s v=""/>
    <n v="0"/>
    <n v="0"/>
    <s v=""/>
    <n v="0"/>
    <n v="0"/>
    <n v="1443780"/>
    <n v="0"/>
    <n v="1443780"/>
    <n v="9290000"/>
    <n v="7846220"/>
    <n v="8446"/>
  </r>
  <r>
    <x v="1"/>
    <s v="MEGACENTRO LA SERENA"/>
    <n v="0"/>
    <n v="0"/>
    <s v=""/>
    <s v=""/>
    <s v=""/>
    <s v=""/>
    <s v="24-02-2017 18:20:22"/>
    <s v=""/>
    <s v="S/V.............."/>
    <x v="6"/>
    <x v="13"/>
    <s v="SOUL LX 1.6 MEC A/C DAB ABS 4X2"/>
    <s v="SOUL LX 1.6 MEC A/C DAB A"/>
    <x v="6"/>
    <n v="0"/>
    <s v="CKIAUTU000002"/>
    <x v="19"/>
    <s v="USADO"/>
    <s v="BLANCO CLARO"/>
    <s v="POR DEFINIR"/>
    <n v="8990000"/>
    <s v="Disponible"/>
    <x v="18"/>
    <x v="4"/>
    <s v="MEGACENTRO LA SERENA VEHICULOS"/>
    <s v=""/>
    <s v="G4FC9H422017"/>
    <s v="S/V.............."/>
    <s v="KIA CHILE S A"/>
    <s v="24-02-2017 0:00:00"/>
    <n v="142281"/>
    <s v="15-04-2009 0:00:00"/>
    <s v="24-02-2017 18:19:42"/>
    <s v=""/>
    <n v="0"/>
    <n v="0"/>
    <s v=""/>
    <n v="0"/>
    <n v="7295200"/>
    <n v="0"/>
    <n v="0"/>
    <n v="7295200"/>
    <n v="8990000"/>
    <n v="1694800"/>
    <n v="1885"/>
  </r>
  <r>
    <x v="1"/>
    <s v="MEGACENTRO OVALLE"/>
    <n v="0"/>
    <n v="0"/>
    <s v=""/>
    <s v=""/>
    <s v=""/>
    <s v=""/>
    <s v="29-09-2023 16:58:15"/>
    <s v=""/>
    <s v="VR3USHNSKRJ522822"/>
    <x v="0"/>
    <x v="3"/>
    <s v="Nuevo 2008 MCA Allure Pack Puretech 130 e6.4"/>
    <s v="NUEVO2008MCA"/>
    <x v="2"/>
    <n v="22197"/>
    <s v="CPESTWN000026"/>
    <x v="20"/>
    <s v="SEMINUEVO"/>
    <s v="BLANCO OKENITE"/>
    <s v="POR DEFINIR"/>
    <n v="14490000"/>
    <s v="Disponible"/>
    <x v="14"/>
    <x v="0"/>
    <s v="MEGACENTRO OVALLE VEHICULOS"/>
    <s v=""/>
    <s v="10TMA60163627"/>
    <s v="VR3USHNSKRJ522822"/>
    <s v="AUTOMOTRIZ BALMACEDA LTDA"/>
    <s v="21-03-2025 0:00:00"/>
    <n v="55178"/>
    <s v="29-10-2023 0:00:00"/>
    <s v="29-09-2023 16:57:28"/>
    <s v=""/>
    <n v="0"/>
    <n v="0"/>
    <s v=""/>
    <n v="0"/>
    <n v="18519784"/>
    <n v="2080236"/>
    <n v="0"/>
    <n v="20600020"/>
    <n v="14490000"/>
    <n v="-6110020"/>
    <n v="-4217"/>
  </r>
  <r>
    <x v="1"/>
    <s v="LOCAL USADOS"/>
    <n v="0"/>
    <n v="0"/>
    <s v=""/>
    <s v=""/>
    <s v=""/>
    <s v=""/>
    <s v="16-09-2025 21:38:11"/>
    <s v=""/>
    <s v="3KPFF51ABSE120765"/>
    <x v="6"/>
    <x v="14"/>
    <s v="K3 CROSS EX 1.6L 6AT"/>
    <s v="KIA 2368"/>
    <x v="0"/>
    <n v="3756"/>
    <s v="CKISTWN011896"/>
    <x v="21"/>
    <s v="SEMINUEVO"/>
    <s v="PLATEADO SUAVE"/>
    <s v="POR DEFINIR"/>
    <n v="19990000"/>
    <s v="Disponible"/>
    <x v="19"/>
    <x v="0"/>
    <s v="LOCAL USADOS VEHICULOS"/>
    <s v=""/>
    <s v="G4FGSE037043"/>
    <s v="3KPFF51ABSE120765"/>
    <s v="FORUM DISTRIBUIDORA S.A"/>
    <s v="19-03-2026 0:00:00"/>
    <n v="912269"/>
    <s v="25-09-2025 0:00:00"/>
    <s v="06-10-2025 11:32:06"/>
    <s v=""/>
    <n v="0"/>
    <n v="0"/>
    <s v=""/>
    <n v="0"/>
    <n v="14110588"/>
    <n v="731651"/>
    <n v="0"/>
    <n v="14842239"/>
    <n v="16798319"/>
    <n v="1956080"/>
    <n v="1164"/>
  </r>
  <r>
    <x v="1"/>
    <s v="MEGACENTRO LA SERENA"/>
    <n v="0"/>
    <n v="0"/>
    <s v=""/>
    <s v=""/>
    <s v=""/>
    <s v=""/>
    <s v="25-06-2019 12:09:39"/>
    <s v=""/>
    <s v="LVZKN2191KCA01945"/>
    <x v="5"/>
    <x v="15"/>
    <s v="CARGO BOX CS C21 AC"/>
    <s v="DFSK4680"/>
    <x v="4"/>
    <n v="0"/>
    <s v="CDFCMTN000065"/>
    <x v="22"/>
    <s v="SEMINUEVO"/>
    <s v="BLANCO"/>
    <s v="POR DEFINIR"/>
    <n v="8556100"/>
    <s v="Disponible"/>
    <x v="20"/>
    <x v="6"/>
    <s v="MEGACENTRO LA SERENA VEHICULOS"/>
    <s v=""/>
    <s v="DK12-05-18560291"/>
    <s v="LVZKN2191KCA01945"/>
    <s v="FORUM DISTRIBUIDORA S.A"/>
    <s v="21-06-2019 0:00:00"/>
    <n v="0"/>
    <s v="02-06-2023 11:47:00"/>
    <s v="02-06-2023 11:47:00"/>
    <s v=""/>
    <n v="0"/>
    <n v="0"/>
    <s v=""/>
    <n v="0"/>
    <n v="0"/>
    <n v="2454691"/>
    <n v="0"/>
    <n v="2454691"/>
    <n v="7190000"/>
    <n v="4735309"/>
    <n v="6586"/>
  </r>
  <r>
    <x v="1"/>
    <s v="FORD BALMACEDA"/>
    <n v="0"/>
    <n v="0"/>
    <s v=""/>
    <s v=""/>
    <s v=""/>
    <s v=""/>
    <s v="21-04-2026 12:40:27"/>
    <s v=""/>
    <s v="8AFBR01K1SJ019046"/>
    <x v="3"/>
    <x v="16"/>
    <s v="RANGER LTD 4X4 3.0 AUT"/>
    <s v="RANDEVTDXB62"/>
    <x v="0"/>
    <n v="2366"/>
    <s v="CFOCMTU000021"/>
    <x v="23"/>
    <s v="SEMINUEVO"/>
    <s v="GRIS MERCURIO"/>
    <s v="POR DEFINIR"/>
    <n v="47288100"/>
    <s v="Disponible"/>
    <x v="21"/>
    <x v="3"/>
    <s v="BODEGA FORD BALMACEDA VEHICULO"/>
    <s v=""/>
    <s v="BF2XSJ019046"/>
    <s v="8AFBR01K1SJ019046"/>
    <s v="MASTER REDES IT SPA"/>
    <s v="21-04-2026 0:00:00"/>
    <n v="202"/>
    <s v="15-04-2026 0:00:00"/>
    <s v="21-04-2026 12:37:52"/>
    <s v=""/>
    <n v="0"/>
    <n v="0"/>
    <s v=""/>
    <n v="0"/>
    <n v="39737899"/>
    <n v="0"/>
    <n v="0"/>
    <n v="39737899"/>
    <n v="47288100"/>
    <n v="7550201"/>
    <n v="1597"/>
  </r>
  <r>
    <x v="1"/>
    <s v="LOCAL USADOS"/>
    <n v="0"/>
    <n v="0"/>
    <s v=""/>
    <s v=""/>
    <s v=""/>
    <s v=""/>
    <s v="26-09-2023 16:20:52"/>
    <s v=""/>
    <s v="9V8FF4HY1PA800411"/>
    <x v="0"/>
    <x v="2"/>
    <s v="Landtrek Active BlueHDi 180 4x4 AT"/>
    <s v="2PKPEKHMQNN088"/>
    <x v="2"/>
    <n v="50982"/>
    <s v="CPECMTN000018"/>
    <x v="24"/>
    <s v="SEMINUEVO"/>
    <s v="NEGRO PERLA NERA"/>
    <s v="POR DEFINIR"/>
    <n v="20990000"/>
    <s v="Disponible"/>
    <x v="22"/>
    <x v="0"/>
    <s v="LOCAL USADOS VEHICULOS"/>
    <s v=""/>
    <s v="VRAC4001479"/>
    <s v="9V8FF4HY1PA800411"/>
    <s v="AUTOMOTRIZ BALMACEDA LTDA"/>
    <s v="25-03-2026 0:00:00"/>
    <n v="55045"/>
    <s v="26-10-2023 0:00:00"/>
    <s v="26-09-2023 16:20:37"/>
    <s v=""/>
    <n v="0"/>
    <n v="0"/>
    <s v=""/>
    <n v="0"/>
    <n v="29014497"/>
    <n v="3058563"/>
    <n v="0"/>
    <n v="32073060"/>
    <n v="20990000"/>
    <n v="-11083060"/>
    <n v="-528"/>
  </r>
  <r>
    <x v="1"/>
    <s v="LOCAL USADOS"/>
    <n v="0"/>
    <n v="0"/>
    <s v=""/>
    <s v=""/>
    <s v=""/>
    <s v=""/>
    <s v="23-09-2024 12:35:36"/>
    <s v=""/>
    <s v="9V8FF4HY1RA800621"/>
    <x v="0"/>
    <x v="2"/>
    <s v="Landtrek Active BlueHDi 180 4x4 AT"/>
    <s v="TCPE11"/>
    <x v="1"/>
    <n v="16021"/>
    <s v="CPECMTN000022"/>
    <x v="25"/>
    <s v="SEMINUEVO"/>
    <s v="GRIS ALUMINIUM"/>
    <s v="POR DEFINIR"/>
    <n v="21990000"/>
    <s v="Disponible"/>
    <x v="23"/>
    <x v="0"/>
    <s v="LOCAL USADOS VEHICULOS"/>
    <s v=""/>
    <s v="10VRAC4002600"/>
    <s v="9V8FF4HY1RA800621"/>
    <s v="AUTOMOTRIZ BALMACEDA LTDA"/>
    <s v="28-04-2025 0:00:00"/>
    <n v="62337"/>
    <s v="16-10-2024 0:00:00"/>
    <s v="23-09-2024 12:35:21"/>
    <s v=""/>
    <n v="0"/>
    <n v="0"/>
    <s v=""/>
    <n v="0"/>
    <n v="27816817"/>
    <n v="748769"/>
    <n v="0"/>
    <n v="28565586"/>
    <n v="21990000"/>
    <n v="-6575586"/>
    <n v="-299"/>
  </r>
  <r>
    <x v="1"/>
    <s v="LOCAL USADOS"/>
    <n v="0"/>
    <n v="0"/>
    <s v=""/>
    <s v=""/>
    <s v=""/>
    <s v=""/>
    <s v="03-03-2025 12:04:16"/>
    <s v=""/>
    <s v="W0VEDYHTXSN500914"/>
    <x v="1"/>
    <x v="17"/>
    <s v="COMBO MCA 1.5 TD"/>
    <s v="TCOP5"/>
    <x v="1"/>
    <n v="40200"/>
    <s v="COPFRGN000005"/>
    <x v="26"/>
    <s v="SEMINUEVO"/>
    <s v="BLANCO HIELO"/>
    <s v="POR DEFINIR"/>
    <n v="16290000"/>
    <s v="Disponible"/>
    <x v="22"/>
    <x v="0"/>
    <s v="LOCAL USADOS VEHICULOS"/>
    <s v=""/>
    <s v="10Q4EU0410660"/>
    <s v="W0VEDYHTXSN500914"/>
    <s v="AUTOMOTRIZ BALMACEDA LTDA"/>
    <s v="25-03-2026 0:00:00"/>
    <n v="65756"/>
    <s v="30-03-2025 0:00:00"/>
    <s v="03-03-2025 12:04:01"/>
    <s v=""/>
    <n v="0"/>
    <n v="0"/>
    <s v=""/>
    <n v="0"/>
    <n v="17140917"/>
    <n v="641547"/>
    <n v="0"/>
    <n v="17782464"/>
    <n v="16290000"/>
    <n v="-1492464"/>
    <n v="-916"/>
  </r>
  <r>
    <x v="1"/>
    <s v="FORD BALMACEDA"/>
    <n v="0"/>
    <n v="0"/>
    <s v=""/>
    <s v=""/>
    <s v=""/>
    <s v=""/>
    <s v="02-10-2025 16:16:27"/>
    <s v=""/>
    <s v="8AFBR01C4RJ356801"/>
    <x v="3"/>
    <x v="16"/>
    <s v="RANGER XLT 4X4 2.0 AUT"/>
    <s v="RANDEV24"/>
    <x v="2"/>
    <n v="0"/>
    <s v="CFOCMTU000013"/>
    <x v="27"/>
    <s v="USADO"/>
    <s v="ROJO BARI"/>
    <s v="POR DEFINIR"/>
    <n v="39151000"/>
    <s v="Disponible"/>
    <x v="24"/>
    <x v="2"/>
    <s v="BODEGA FORD BALMACEDA VEHICULO"/>
    <s v=""/>
    <s v="YN2X RJ356801"/>
    <s v="8AFBR01C4RJ356801"/>
    <s v="ROBERTO SANTA CRUZ ALBASINI"/>
    <s v="02-10-2025 0:00:00"/>
    <n v="977"/>
    <s v="25-11-2025 0:00:00"/>
    <s v="11-12-2025 20:57:11"/>
    <s v=""/>
    <n v="0"/>
    <n v="0"/>
    <s v=""/>
    <n v="0"/>
    <n v="32900000"/>
    <n v="0"/>
    <n v="0"/>
    <n v="32900000"/>
    <n v="39151000"/>
    <n v="6251000"/>
    <n v="1597"/>
  </r>
  <r>
    <x v="1"/>
    <s v="LOCAL USADOS COPIAPO"/>
    <n v="0"/>
    <n v="0"/>
    <s v=""/>
    <s v=""/>
    <s v=""/>
    <s v=""/>
    <s v="26-09-2023 16:17:25"/>
    <s v=""/>
    <s v="VR3EFYHT2RJ511214"/>
    <x v="0"/>
    <x v="6"/>
    <s v="PARTNER L1 BLUEHDI 100"/>
    <s v="2PK91CNMNKJRA0"/>
    <x v="2"/>
    <n v="37"/>
    <s v="CPEFRGN000010"/>
    <x v="28"/>
    <s v="SEMINUEVO"/>
    <s v="BLANCO HIELO"/>
    <s v="POR DEFINIR"/>
    <n v="17690000"/>
    <s v="Disponible"/>
    <x v="25"/>
    <x v="3"/>
    <s v="BODEGA LOS CARRERA COPIAPO"/>
    <s v=""/>
    <s v="10Q4EU0183164"/>
    <s v="VR3EFYHT2RJ511214"/>
    <s v="AUTOMOTRIZ BALMACEDA LTDA"/>
    <s v="17-02-2025 0:00:00"/>
    <n v="55056"/>
    <s v="26-10-2023 0:00:00"/>
    <s v="26-09-2023 16:17:09"/>
    <s v=""/>
    <n v="0"/>
    <n v="0"/>
    <s v=""/>
    <n v="0"/>
    <n v="16134417"/>
    <n v="1936043"/>
    <n v="0"/>
    <n v="18070460"/>
    <n v="17690000"/>
    <n v="-380460"/>
    <n v="-215"/>
  </r>
  <r>
    <x v="1"/>
    <s v="LOCAL USADOS"/>
    <n v="0"/>
    <n v="0"/>
    <s v=""/>
    <s v=""/>
    <s v=""/>
    <s v=""/>
    <s v="24-03-2025 10:49:12"/>
    <s v=""/>
    <s v="VR3USHPY7SJ528488"/>
    <x v="0"/>
    <x v="3"/>
    <s v="New 2008 MCA Allure MHEV 136 EDCT6"/>
    <s v="TCPE21"/>
    <x v="0"/>
    <n v="0"/>
    <s v="CPESTWN000078"/>
    <x v="29"/>
    <s v="SEMINUEVO"/>
    <s v="BLANCO OKENITE"/>
    <s v="POR DEFINIR"/>
    <n v="18990000"/>
    <s v="Disponible"/>
    <x v="26"/>
    <x v="7"/>
    <s v="LOCAL USADOS VEHICULOS"/>
    <s v=""/>
    <s v="10Z1AM0066166"/>
    <s v="VR3USHPY7SJ528488"/>
    <s v="AUTOMOTRIZ BALMACEDA LTDA"/>
    <s v="20-03-2025 0:00:00"/>
    <n v="66130"/>
    <s v="19-04-2025 0:00:00"/>
    <s v="24-03-2025 10:48:58"/>
    <s v=""/>
    <n v="0"/>
    <n v="0"/>
    <s v=""/>
    <n v="0"/>
    <n v="21062857"/>
    <n v="1471645"/>
    <n v="0"/>
    <n v="22534502"/>
    <n v="18990000"/>
    <n v="-3544502"/>
    <n v="-1867"/>
  </r>
  <r>
    <x v="1"/>
    <s v="MEGACENTRO COPIAPO"/>
    <n v="0"/>
    <n v="0"/>
    <s v=""/>
    <s v=""/>
    <s v=""/>
    <s v=""/>
    <s v="13-04-2026 16:02:54"/>
    <s v=""/>
    <s v="3FTTW8SA0 SRA86784"/>
    <x v="3"/>
    <x v="18"/>
    <s v="MAVERICK LARIAT BLACK 4X4 2.0 AUT"/>
    <s v="FOMALB4X420AT"/>
    <x v="0"/>
    <n v="5964"/>
    <s v="CFOCMTU000020"/>
    <x v="30"/>
    <s v="USADO"/>
    <s v="NEGRO PROFUNDO"/>
    <s v="POR DEFINIR"/>
    <n v="29990000"/>
    <s v="Disponible"/>
    <x v="27"/>
    <x v="2"/>
    <s v="MEGACENTRO COPIAPO VEHICULOS"/>
    <s v=""/>
    <s v="SRA86784"/>
    <s v="3FTTW8SA0 SRA86784"/>
    <s v="GUSTAVO ANTONIO LAZO ESPOZ"/>
    <s v="13-04-2026 0:00:00"/>
    <n v="1"/>
    <s v="13-04-2026 0:00:00"/>
    <s v="13-04-2026 16:02:26"/>
    <s v=""/>
    <n v="0"/>
    <n v="0"/>
    <s v=""/>
    <n v="0"/>
    <n v="33921345"/>
    <n v="0"/>
    <n v="0"/>
    <n v="33921345"/>
    <n v="29990000"/>
    <n v="-3931345"/>
    <n v="-1311"/>
  </r>
  <r>
    <x v="1"/>
    <s v="LOCAL USADOS"/>
    <n v="0"/>
    <n v="0"/>
    <s v=""/>
    <s v=""/>
    <s v=""/>
    <s v=""/>
    <s v="24-03-2025 10:27:56"/>
    <s v=""/>
    <s v="VR3KAHPY1SS006024"/>
    <x v="0"/>
    <x v="1"/>
    <s v="New 3008 PREMIERE MHEV 136 eDCT6"/>
    <s v="TCPE26"/>
    <x v="1"/>
    <n v="23967"/>
    <s v="CPESTWN000076"/>
    <x v="31"/>
    <s v="SEMINUEVO"/>
    <s v="NEGRO PERLA NERA"/>
    <s v="POR DEFINIR"/>
    <n v="24290000"/>
    <s v="Disponible"/>
    <x v="0"/>
    <x v="0"/>
    <s v="LOCAL USADOS VEHICULOS"/>
    <s v=""/>
    <s v="10ZA040047007"/>
    <s v="VR3KAHPY1SS006024"/>
    <s v="AUTOMOTRIZ BALMACEDA LTDA"/>
    <s v="06-04-2026 0:00:00"/>
    <n v="66117"/>
    <s v="19-04-2025 0:00:00"/>
    <s v="24-03-2025 10:27:42"/>
    <s v=""/>
    <n v="0"/>
    <n v="0"/>
    <s v=""/>
    <n v="0"/>
    <n v="25546891"/>
    <n v="1916780"/>
    <n v="0"/>
    <n v="27463671"/>
    <n v="24290000"/>
    <n v="-3173671"/>
    <n v="-1307"/>
  </r>
  <r>
    <x v="1"/>
    <s v="LOCAL USADOS"/>
    <n v="0"/>
    <n v="0"/>
    <s v=""/>
    <s v=""/>
    <s v=""/>
    <s v=""/>
    <s v="01-03-2024 9:52:37"/>
    <s v=""/>
    <s v="VR3UPHNSSRT000956"/>
    <x v="0"/>
    <x v="8"/>
    <s v="NUEVO 208 ALLURE PACK PURETECH 130 EAT8"/>
    <s v="1PP2A5RNP1JRA0"/>
    <x v="2"/>
    <n v="0"/>
    <s v="CPEAUTN000102"/>
    <x v="32"/>
    <s v="SEMINUEVO"/>
    <s v="GRIS ARTENSE"/>
    <s v="POR DEFINIR"/>
    <n v="13890000"/>
    <s v="Disponible"/>
    <x v="28"/>
    <x v="0"/>
    <s v="LOCAL USADOS VEHICULOS"/>
    <s v=""/>
    <s v="10TMA50142414"/>
    <s v="VR3UPHNSSRT000956"/>
    <s v="AUTOMOTRIZ BALMACEDA LTDA"/>
    <s v="04-02-2026 0:00:00"/>
    <n v="58195"/>
    <s v="30-03-2024 0:00:00"/>
    <s v="01-03-2024 9:52:21"/>
    <s v=""/>
    <n v="0"/>
    <n v="0"/>
    <s v=""/>
    <n v="0"/>
    <n v="16746050"/>
    <n v="1501605"/>
    <n v="0"/>
    <n v="18247655"/>
    <n v="13890000"/>
    <n v="-4357655"/>
    <n v="-3137"/>
  </r>
  <r>
    <x v="1"/>
    <s v="LOCAL CAMIONES"/>
    <n v="0"/>
    <n v="0"/>
    <s v=""/>
    <s v=""/>
    <s v=""/>
    <s v=""/>
    <s v="30-06-2022 10:01:47"/>
    <s v=""/>
    <s v="VF3YD3MFBP2U94054"/>
    <x v="0"/>
    <x v="5"/>
    <s v="Boxer Furgón L2H2 BlueHdi 160"/>
    <s v="boxer"/>
    <x v="3"/>
    <n v="0"/>
    <s v="CPEFRGN000004"/>
    <x v="33"/>
    <s v="SEMINUEVO"/>
    <s v="BLANCO HIELO"/>
    <s v="POR DEFINIR"/>
    <n v="0"/>
    <s v="Disponible"/>
    <x v="29"/>
    <x v="6"/>
    <s v="LOCAL CAMIONES VEHICULOS"/>
    <s v=""/>
    <s v="10DY2Z4100754"/>
    <s v="VF3YD3MFBP2U94054"/>
    <s v="AUTOMOTRIZ BALMACEDA LTDA"/>
    <s v="30-06-2022 0:00:00"/>
    <n v="0"/>
    <s v="15-03-2024 15:20:00"/>
    <s v="15-03-2024 15:20:00"/>
    <s v=""/>
    <n v="0"/>
    <n v="0"/>
    <s v=""/>
    <n v="0"/>
    <n v="0"/>
    <n v="3479924"/>
    <n v="0"/>
    <n v="3479924"/>
    <n v="0"/>
    <n v="-3479924"/>
    <n v="-347992400"/>
  </r>
  <r>
    <x v="1"/>
    <s v="LOCAL USADOS"/>
    <n v="0"/>
    <n v="0"/>
    <s v=""/>
    <s v=""/>
    <s v=""/>
    <s v=""/>
    <s v="01-10-2025 12:34:07"/>
    <s v=""/>
    <s v="KNAB3512A RT199134"/>
    <x v="6"/>
    <x v="19"/>
    <s v="MORNING MPI 1.2"/>
    <s v="MPI1"/>
    <x v="1"/>
    <n v="0"/>
    <s v="CKIAUTU000005"/>
    <x v="34"/>
    <s v="USADO"/>
    <s v="VERDE BOSQUE"/>
    <s v="POR DEFINIR"/>
    <n v="11490000"/>
    <s v="Disponible"/>
    <x v="30"/>
    <x v="3"/>
    <s v="LOCAL USADOS VEHICULOS"/>
    <s v=""/>
    <s v="G4LAPP262114"/>
    <s v="KNAB3512A RT199134"/>
    <s v="BENJAMIN MOISES SOTO ALFARO"/>
    <s v="01-10-2025 0:00:00"/>
    <n v="1"/>
    <s v="01-10-2025 0:00:00"/>
    <s v="01-10-2025 12:33:42"/>
    <s v=""/>
    <n v="0"/>
    <n v="0"/>
    <s v=""/>
    <n v="12"/>
    <n v="12473300"/>
    <n v="0"/>
    <n v="0"/>
    <n v="12473300"/>
    <n v="11490000"/>
    <n v="-983300"/>
    <n v="-856"/>
  </r>
  <r>
    <x v="1"/>
    <s v="LOCAL USADOS"/>
    <n v="0"/>
    <n v="0"/>
    <s v=""/>
    <s v=""/>
    <s v=""/>
    <s v=""/>
    <s v="28-02-2026 16:54:41"/>
    <s v=""/>
    <s v="8AFBR01C4SJ412077"/>
    <x v="3"/>
    <x v="16"/>
    <s v="RANGER XLT 4X4 2.0 AUT"/>
    <s v="RANDEV24"/>
    <x v="1"/>
    <n v="66000"/>
    <s v="CFOCMTU000019"/>
    <x v="35"/>
    <s v="USADO"/>
    <s v="NEGRO"/>
    <s v="POR DEFINIR"/>
    <n v="32990000"/>
    <s v="Disponible"/>
    <x v="31"/>
    <x v="2"/>
    <s v="LOCAL USADOS VEHICULOS"/>
    <s v=""/>
    <s v="YN2X SJ412077"/>
    <s v="8AFBR01C4SJ412077"/>
    <s v="TERRA ELQUI SPA"/>
    <s v="28-02-2026 0:00:00"/>
    <n v="1"/>
    <s v="28-02-2026 0:00:00"/>
    <s v="28-02-2026 16:53:37"/>
    <s v=""/>
    <n v="0"/>
    <n v="0"/>
    <s v=""/>
    <n v="0"/>
    <n v="25000000"/>
    <n v="0"/>
    <n v="0"/>
    <n v="25000000"/>
    <n v="32990000"/>
    <n v="7990000"/>
    <n v="2422"/>
  </r>
  <r>
    <x v="1"/>
    <s v="MEGACENTRO COPIAPO"/>
    <n v="0"/>
    <n v="0"/>
    <s v=""/>
    <s v=""/>
    <s v=""/>
    <s v=""/>
    <s v="03-01-2017 1:36:33"/>
    <s v=""/>
    <s v="KNCSJX76AG7995915"/>
    <x v="6"/>
    <x v="20"/>
    <s v="FRONTIER C/C 2.5 6MT"/>
    <s v="17--1336"/>
    <x v="7"/>
    <n v="0"/>
    <s v="CKICMTN001890"/>
    <x v="36"/>
    <s v="SEMINUEVO"/>
    <s v="BLANCO INVIERNO"/>
    <s v="NO DEFINIDO"/>
    <n v="15590000"/>
    <s v="Disponible"/>
    <x v="32"/>
    <x v="6"/>
    <s v="MEGACENTRO COPIAPO VEHICULOS"/>
    <s v=""/>
    <s v="D4CBF790346"/>
    <s v="KNCSJX76AG7995915"/>
    <s v="FORUM DISTRIBUIDORA S.A"/>
    <s v="31-12-2015 0:00:00"/>
    <n v="81310"/>
    <s v="31-12-2015 0:00:00"/>
    <s v="31-12-2015 0:00:00"/>
    <s v="31-12-2015 0:00:00"/>
    <n v="0"/>
    <n v="0"/>
    <s v=""/>
    <n v="0"/>
    <n v="13050001"/>
    <n v="2576087"/>
    <n v="0"/>
    <n v="15626088"/>
    <n v="13100840"/>
    <n v="-2525248"/>
    <n v="-1928"/>
  </r>
  <r>
    <x v="1"/>
    <s v="LOCAL USADOS"/>
    <n v="0"/>
    <n v="0"/>
    <s v=""/>
    <s v=""/>
    <s v=""/>
    <s v=""/>
    <s v="19-11-2025 15:16:37"/>
    <s v=""/>
    <s v="-*-+--*/+-*/*-///"/>
    <x v="3"/>
    <x v="10"/>
    <s v="EXPLORER ACTIVE 4X4 2.3 AUT"/>
    <s v="EAC4X4"/>
    <x v="1"/>
    <n v="13051"/>
    <s v="CFOSTWU000006"/>
    <x v="37"/>
    <s v="USADO"/>
    <s v="BLANCO METALICO"/>
    <s v="POR DEFINIR"/>
    <n v="38990000"/>
    <s v="Disponible"/>
    <x v="33"/>
    <x v="3"/>
    <s v="LOCAL USADOS VEHICULOS"/>
    <s v=""/>
    <s v="SGA83449"/>
    <s v="1FMUK8DH8SGA83449"/>
    <s v="ANA CRISTINA RUBIO ANTIL"/>
    <s v="19-11-2025 0:00:00"/>
    <n v="1"/>
    <s v="19-11-2025 0:00:00"/>
    <s v="19-11-2025 15:16:16"/>
    <s v=""/>
    <n v="0"/>
    <n v="0"/>
    <s v=""/>
    <n v="0"/>
    <n v="43000000"/>
    <n v="0"/>
    <n v="0"/>
    <n v="43000000"/>
    <n v="38990000"/>
    <n v="-4010000"/>
    <n v="-1028"/>
  </r>
  <r>
    <x v="1"/>
    <s v="MEGACENTRO LA SERENA"/>
    <n v="0"/>
    <n v="0"/>
    <s v=""/>
    <s v=""/>
    <s v=""/>
    <s v=""/>
    <s v="18-12-2025 16:00:51"/>
    <s v=""/>
    <s v="LJXCU2BB0THF42074"/>
    <x v="3"/>
    <x v="21"/>
    <s v="Territory Titanium 1.5 FHEV"/>
    <s v="TT12"/>
    <x v="0"/>
    <n v="0"/>
    <s v="CFOSTWN006573"/>
    <x v="38"/>
    <s v="SEMINUEVO"/>
    <s v="BLANCO PERLADO"/>
    <s v="POR DEFINIR"/>
    <n v="32590000"/>
    <s v="Disponible"/>
    <x v="34"/>
    <x v="1"/>
    <s v="MEGACENTRO LA SERENA VEHICULOS"/>
    <s v=""/>
    <s v="S8G085741"/>
    <s v="LJXCU2BB0THF42074"/>
    <s v="FORUM DISTRIBUIDORA S.A"/>
    <s v="18-12-2025 0:00:00"/>
    <n v="938997"/>
    <s v="26-12-2025 0:00:00"/>
    <s v="26-12-2025 12:36:09"/>
    <s v=""/>
    <n v="0"/>
    <n v="0"/>
    <s v=""/>
    <n v="0"/>
    <n v="24100168"/>
    <n v="703323"/>
    <n v="0"/>
    <n v="24803491"/>
    <n v="27386555"/>
    <n v="2583064"/>
    <n v="943"/>
  </r>
  <r>
    <x v="1"/>
    <s v="LOCAL USADOS"/>
    <n v="0"/>
    <n v="0"/>
    <s v=""/>
    <s v=""/>
    <s v=""/>
    <s v=""/>
    <s v="24-03-2025 11:08:12"/>
    <s v=""/>
    <s v="VXKUPHMH6S4001500"/>
    <x v="1"/>
    <x v="22"/>
    <s v="NEW CORSA MCA EDITION 1.2 MT5"/>
    <s v="TCOP7"/>
    <x v="0"/>
    <n v="3623"/>
    <s v="COPAUTN000008"/>
    <x v="39"/>
    <s v="SEMINUEVO"/>
    <s v="BLANCO BANQUISE"/>
    <s v="POR DEFINIR"/>
    <n v="13990000"/>
    <s v="Disponible"/>
    <x v="35"/>
    <x v="0"/>
    <s v="LOCAL USADOS VEHICULOS"/>
    <s v=""/>
    <s v="10XKDU0293579"/>
    <s v="VXKUPHMH6S4001500"/>
    <s v="AUTOMOTRIZ BALMACEDA LTDA"/>
    <s v="13-11-2025 0:00:00"/>
    <n v="66145"/>
    <s v="20-04-2025 0:00:00"/>
    <s v="24-03-2025 11:07:59"/>
    <s v=""/>
    <n v="0"/>
    <n v="0"/>
    <s v=""/>
    <n v="0"/>
    <n v="12713277"/>
    <n v="905340"/>
    <n v="0"/>
    <n v="13618617"/>
    <n v="13990000"/>
    <n v="371383"/>
    <n v="265"/>
  </r>
  <r>
    <x v="1"/>
    <s v="MEGACENTRO LA SERENA"/>
    <n v="0"/>
    <n v="0"/>
    <s v=""/>
    <s v=""/>
    <s v=""/>
    <s v=""/>
    <s v="13-07-2026 17:13:10"/>
    <s v=""/>
    <s v="3KPFD41ABRE059627"/>
    <x v="6"/>
    <x v="23"/>
    <s v="K3 EX 1.6L 6AT FULL"/>
    <s v="2467"/>
    <x v="1"/>
    <n v="0"/>
    <s v="CKIAUTN014864"/>
    <x v="40"/>
    <s v="SEMINUEVO"/>
    <s v="BLANCO INVIERNO"/>
    <s v="POR DEFINIR"/>
    <n v="22490000"/>
    <s v="Disponible"/>
    <x v="36"/>
    <x v="3"/>
    <s v="MEGACENTRO LA SERENA VEHICULOS"/>
    <s v=""/>
    <s v="G4FGRE043262"/>
    <s v="3KPFD41ABRE059627"/>
    <s v="CALLEGARI E HIJOS LTDA"/>
    <s v="13-07-2026 0:00:00"/>
    <n v="130726"/>
    <s v="13-07-2026 0:00:00"/>
    <s v="13-07-2026 17:12:55"/>
    <s v=""/>
    <n v="0"/>
    <n v="0"/>
    <s v=""/>
    <n v="0"/>
    <n v="17322689"/>
    <n v="0"/>
    <n v="0"/>
    <n v="17322689"/>
    <n v="18899160"/>
    <n v="1576471"/>
    <n v="834"/>
  </r>
  <r>
    <x v="1"/>
    <s v="LOCAL USADOS COPIAPO"/>
    <n v="0"/>
    <n v="0"/>
    <s v=""/>
    <s v=""/>
    <s v=""/>
    <s v=""/>
    <s v="23-09-2024 14:00:53"/>
    <s v=""/>
    <s v="VF3MRHNSMRS009717"/>
    <x v="0"/>
    <x v="1"/>
    <s v="Nuevo 3008 Active Pack Puretech 130"/>
    <s v="TCPE12"/>
    <x v="1"/>
    <n v="3150"/>
    <s v="CPESTWN000052"/>
    <x v="41"/>
    <s v="SEMINUEVO"/>
    <s v="BLANCO NACARADO"/>
    <s v="POR DEFINIR"/>
    <n v="16590000"/>
    <s v="Disponible"/>
    <x v="37"/>
    <x v="0"/>
    <s v="BODEGA LOS CARRERA COPIAPO"/>
    <s v=""/>
    <s v="10Z1AJ0040120"/>
    <s v="VF3MRHNSMRS009717"/>
    <s v="AUTOMOTRIZ BALMACEDA LTDA"/>
    <s v="05-02-2025 0:00:00"/>
    <n v="62377"/>
    <s v="17-10-2024 0:00:00"/>
    <s v="23-09-2024 14:00:21"/>
    <s v=""/>
    <n v="0"/>
    <n v="0"/>
    <s v=""/>
    <n v="0"/>
    <n v="19610840"/>
    <n v="977921"/>
    <n v="0"/>
    <n v="20588761"/>
    <n v="16590000"/>
    <n v="-3998761"/>
    <n v="-241"/>
  </r>
  <r>
    <x v="1"/>
    <s v="LOCAL USADOS"/>
    <n v="0"/>
    <n v="0"/>
    <s v=""/>
    <s v=""/>
    <s v=""/>
    <s v=""/>
    <s v="26-02-2026 9:25:15"/>
    <s v=""/>
    <s v="8AFBR01C4 SJ466852"/>
    <x v="3"/>
    <x v="16"/>
    <s v="RANGER XLT 4X4 2.0"/>
    <s v="FORANXLT4X420MT"/>
    <x v="1"/>
    <n v="28620"/>
    <s v="CFOCMTU000018"/>
    <x v="42"/>
    <s v="USADO"/>
    <s v="ROJO BARI"/>
    <s v=""/>
    <n v="32990000"/>
    <s v="Disponible"/>
    <x v="38"/>
    <x v="5"/>
    <s v="LOCAL USADOS VEHICULOS"/>
    <s v=""/>
    <s v="YN2X SJ466852"/>
    <s v="8AFBR01C4 SJ466852"/>
    <s v="NATALIA  MARGARITA BUSTOS MUÑOZ"/>
    <s v="26-02-2026 0:00:00"/>
    <n v="1"/>
    <s v="26-02-2026 0:00:00"/>
    <s v="26-02-2026 9:24:51"/>
    <s v=""/>
    <n v="0"/>
    <n v="0"/>
    <s v=""/>
    <n v="0"/>
    <n v="37000000"/>
    <n v="0"/>
    <n v="0"/>
    <n v="37000000"/>
    <n v="32990000"/>
    <n v="-4010000"/>
    <n v="-1216"/>
  </r>
  <r>
    <x v="1"/>
    <s v="LOCAL USADOS COPIAPO"/>
    <n v="0"/>
    <n v="0"/>
    <s v=""/>
    <s v=""/>
    <s v=""/>
    <s v=""/>
    <s v="03-02-2025 11:10:46"/>
    <s v=""/>
    <s v="VR3UPHMHDS5001280"/>
    <x v="0"/>
    <x v="8"/>
    <s v="Nuevo 208 MCA Active Pack Puretech 75 MT5"/>
    <s v="TCPE8"/>
    <x v="1"/>
    <n v="0"/>
    <s v="CPEAUTN000115"/>
    <x v="43"/>
    <s v="SEMINUEVO"/>
    <s v="GRIS ARTENSE"/>
    <s v="POR DEFINIR"/>
    <n v="16690000"/>
    <s v="Disponible"/>
    <x v="39"/>
    <x v="0"/>
    <s v="BODEGA LOS CARRERA COPIAPO"/>
    <s v=""/>
    <s v="10XKDU0264699"/>
    <s v="VR3UPHMHDS5001280"/>
    <s v="AUTOMOTRIZ BALMACEDA LTDA"/>
    <s v="24-04-2026 0:00:00"/>
    <n v="65154"/>
    <s v="02-03-2025 0:00:00"/>
    <s v="03-02-2025 11:10:31"/>
    <s v=""/>
    <n v="0"/>
    <n v="0"/>
    <s v=""/>
    <n v="0"/>
    <n v="12945210"/>
    <n v="923669"/>
    <n v="0"/>
    <n v="13868879"/>
    <n v="14025210"/>
    <n v="156331"/>
    <n v="111"/>
  </r>
  <r>
    <x v="1"/>
    <s v="LOCAL USADOS"/>
    <n v="0"/>
    <n v="0"/>
    <s v=""/>
    <s v=""/>
    <s v=""/>
    <s v=""/>
    <s v="31-03-2023 13:00:35"/>
    <s v=""/>
    <s v="VF3MRHNSMPS009695"/>
    <x v="0"/>
    <x v="1"/>
    <s v="Nuevo 3008 Active Pack Puretech 130"/>
    <s v="1PP8SYLNPKJMA0"/>
    <x v="5"/>
    <n v="3324"/>
    <s v="CPESTWN000014"/>
    <x v="44"/>
    <s v="SEMINUEVO"/>
    <s v="AZUL VERTIGO"/>
    <s v="POR DEFINIR"/>
    <n v="14990000"/>
    <s v="Disponible"/>
    <x v="40"/>
    <x v="0"/>
    <s v="LOCAL USADOS VEHICULOS"/>
    <s v=""/>
    <s v="10Z1AJ0014126"/>
    <s v="VF3MRHNSMPS009695"/>
    <s v="AUTOMOTRIZ BALMACEDA LTDA"/>
    <s v="02-08-2023 0:00:00"/>
    <n v="51194"/>
    <s v="30-04-2023 0:00:00"/>
    <s v="31-03-2023 13:00:23"/>
    <s v=""/>
    <n v="0"/>
    <n v="0"/>
    <s v=""/>
    <n v="0"/>
    <n v="18761887"/>
    <n v="2068289"/>
    <n v="0"/>
    <n v="20830176"/>
    <n v="14990000"/>
    <n v="-5840176"/>
    <n v="-3896"/>
  </r>
  <r>
    <x v="1"/>
    <s v="LOCAL USADOS"/>
    <n v="0"/>
    <n v="0"/>
    <s v=""/>
    <s v=""/>
    <s v=""/>
    <s v=""/>
    <s v="03-02-2025 12:01:05"/>
    <s v=""/>
    <s v="VR3USHNSSSJ519781"/>
    <x v="0"/>
    <x v="3"/>
    <s v="2008 MCA Allure Puretech 130 EAT8"/>
    <s v="TCPE25"/>
    <x v="1"/>
    <n v="0"/>
    <s v="CPESTWN000060"/>
    <x v="45"/>
    <s v="SEMINUEVO"/>
    <s v="BLANCO OKENITE"/>
    <s v="POR DEFINIR"/>
    <n v="17890000"/>
    <s v="Disponible"/>
    <x v="41"/>
    <x v="0"/>
    <s v="LOCAL USADOS VEHICULOS"/>
    <s v=""/>
    <s v="10XVBB2298505"/>
    <s v="VR3USHNSSSJ519781"/>
    <s v="AUTOMOTRIZ BALMACEDA LTDA"/>
    <s v="27-11-2025 0:00:00"/>
    <n v="65148"/>
    <s v="02-03-2025 0:00:00"/>
    <s v="03-02-2025 12:00:47"/>
    <s v=""/>
    <n v="0"/>
    <n v="0"/>
    <s v=""/>
    <n v="0"/>
    <n v="19593950"/>
    <n v="1241319"/>
    <n v="0"/>
    <n v="20835269"/>
    <n v="17890000"/>
    <n v="-2945269"/>
    <n v="-1646"/>
  </r>
  <r>
    <x v="1"/>
    <s v="LOCAL USADOS"/>
    <n v="0"/>
    <n v="0"/>
    <s v=""/>
    <s v=""/>
    <s v=""/>
    <s v=""/>
    <s v="24-03-2025 10:08:03"/>
    <s v=""/>
    <s v="VR3KAHPY1SS005755"/>
    <x v="0"/>
    <x v="1"/>
    <s v="New 3008 PREMIERE MHEV 136 eDCT6"/>
    <s v="TCPE26"/>
    <x v="1"/>
    <n v="8160"/>
    <s v="CPESTWN000072"/>
    <x v="46"/>
    <s v="SEMINUEVO"/>
    <s v="GRIS ARTENSE"/>
    <s v="POR DEFINIR"/>
    <n v="32990000"/>
    <s v="Disponible"/>
    <x v="0"/>
    <x v="0"/>
    <s v="LOCAL USADOS VEHICULOS"/>
    <s v=""/>
    <s v="10ZA040040304"/>
    <s v="VR3KAHPY1SS005755"/>
    <s v="AUTOMOTRIZ BALMACEDA LTDA"/>
    <s v="06-04-2026 0:00:00"/>
    <n v="66111"/>
    <s v="19-04-2025 0:00:00"/>
    <s v="24-03-2025 10:07:47"/>
    <s v=""/>
    <n v="0"/>
    <n v="0"/>
    <s v=""/>
    <n v="0"/>
    <n v="25546891"/>
    <n v="2425655"/>
    <n v="0"/>
    <n v="27972546"/>
    <n v="27722689"/>
    <n v="-249857"/>
    <n v="-9"/>
  </r>
  <r>
    <x v="1"/>
    <s v="Local Premium"/>
    <n v="0"/>
    <n v="0"/>
    <s v=""/>
    <s v=""/>
    <s v=""/>
    <s v=""/>
    <s v="11-12-2025 21:17:36"/>
    <s v=""/>
    <s v="8AFBR00E2RJ365404"/>
    <x v="3"/>
    <x v="16"/>
    <s v="RANGER XLS 2.0"/>
    <s v="FORANXLS20MT"/>
    <x v="2"/>
    <n v="37000"/>
    <s v="CFOCMTU000016"/>
    <x v="47"/>
    <s v="USADO"/>
    <s v="GRIS PLATA"/>
    <s v="POR DEFINIR"/>
    <n v="24990000"/>
    <s v="Disponible"/>
    <x v="42"/>
    <x v="5"/>
    <s v="LOCAL PREMIUM"/>
    <s v=""/>
    <s v="P02XRJ365404"/>
    <s v="8AFBR00E2RJ365404"/>
    <s v="SERVICIO DE INGENIERIA MANTENIMIENTO Y CONSTRUCCION SPA"/>
    <s v="21-11-2025 0:00:00"/>
    <n v="119"/>
    <s v="21-11-2025 0:00:00"/>
    <s v="11-12-2025 21:15:04"/>
    <s v=""/>
    <n v="0"/>
    <n v="0"/>
    <s v=""/>
    <n v="0"/>
    <n v="23490000"/>
    <n v="0"/>
    <n v="0"/>
    <n v="23490000"/>
    <n v="24990000"/>
    <n v="1500000"/>
    <n v="6"/>
  </r>
  <r>
    <x v="1"/>
    <s v="FORD BALMACEDA"/>
    <n v="0"/>
    <n v="0"/>
    <s v=""/>
    <s v=""/>
    <s v=""/>
    <s v=""/>
    <s v="09-10-2025 15:07:31"/>
    <s v=""/>
    <s v="8AFBR01K6SJ443936"/>
    <x v="3"/>
    <x v="16"/>
    <s v="RANGER LTD 4X4 3.0 AUT"/>
    <s v="RANDEVTDXB62"/>
    <x v="1"/>
    <n v="0"/>
    <s v="CFOCMTU000014"/>
    <x v="48"/>
    <s v="USADO"/>
    <s v="BLANCO"/>
    <s v=""/>
    <n v="46755100"/>
    <s v="Disponible"/>
    <x v="43"/>
    <x v="8"/>
    <s v="BODEGA FORD BALMACEDA VEHICULO"/>
    <s v=""/>
    <s v="BF2X SJ443936"/>
    <s v="8AFBR01K6SJ443936"/>
    <s v="BANCO DE CHILE"/>
    <s v="09-10-2025 0:00:00"/>
    <n v="45641330"/>
    <s v="25-11-2025 0:00:00"/>
    <s v="11-12-2025 20:22:57"/>
    <s v=""/>
    <n v="0"/>
    <n v="0"/>
    <s v=""/>
    <n v="0"/>
    <n v="39290000"/>
    <n v="0"/>
    <n v="0"/>
    <n v="39290000"/>
    <n v="46755100"/>
    <n v="7465100"/>
    <n v="1597"/>
  </r>
  <r>
    <x v="1"/>
    <s v="LOCAL USADOS COPIAPO"/>
    <n v="0"/>
    <n v="0"/>
    <s v=""/>
    <s v=""/>
    <s v=""/>
    <s v=""/>
    <s v="23-09-2024 11:08:50"/>
    <s v=""/>
    <s v="VF3M45GFURS009935"/>
    <x v="0"/>
    <x v="1"/>
    <s v="3008 GT Black Pack Puretech 180 EAT8"/>
    <s v="TCPE6"/>
    <x v="1"/>
    <n v="9609"/>
    <s v="CPESTWN000044"/>
    <x v="49"/>
    <s v="SEMINUEVO"/>
    <s v="BLANCO NACARADO"/>
    <s v="POR DEFINIR"/>
    <n v="25990000"/>
    <s v="Disponible"/>
    <x v="44"/>
    <x v="0"/>
    <s v="BODEGA LOS CARRERA COPIAPO"/>
    <s v=""/>
    <s v="10FKBL3135598"/>
    <s v="VF3M45GFURS009935"/>
    <s v="AUTOMOTRIZ BALMACEDA LTDA"/>
    <s v="26-03-2025 0:00:00"/>
    <n v="62332"/>
    <s v="16-10-2024 0:00:00"/>
    <s v="23-09-2024 11:08:32"/>
    <s v=""/>
    <n v="0"/>
    <n v="0"/>
    <s v=""/>
    <n v="0"/>
    <n v="25856134"/>
    <n v="1237071"/>
    <n v="0"/>
    <n v="27093205"/>
    <n v="25990000"/>
    <n v="-1103205"/>
    <n v="-424"/>
  </r>
  <r>
    <x v="1"/>
    <s v="BODEGA PDI"/>
    <n v="0"/>
    <n v="0"/>
    <s v=""/>
    <s v=""/>
    <s v=""/>
    <s v=""/>
    <s v="24-03-2025 10:57:42"/>
    <s v=""/>
    <s v="VXKUSHNSSSW001291"/>
    <x v="1"/>
    <x v="4"/>
    <s v="MOKKA ELEGANCE 1.2T AT8"/>
    <s v="TCOP6"/>
    <x v="0"/>
    <n v="0"/>
    <s v="COPSTWN000018"/>
    <x v="50"/>
    <s v="SEMINUEVO"/>
    <s v="GRIS ARTENSE"/>
    <s v="POR DEFINIR"/>
    <n v="22890000"/>
    <s v="Disponible"/>
    <x v="14"/>
    <x v="1"/>
    <s v="BODEGA PDI"/>
    <s v=""/>
    <s v="10TMA50174392"/>
    <s v="VXKUSHNSSSW001291"/>
    <s v="AUTOMOTRIZ BALMACEDA LTDA"/>
    <s v="21-03-2025 0:00:00"/>
    <n v="66147"/>
    <s v="20-04-2025 0:00:00"/>
    <s v="24-03-2025 10:57:30"/>
    <s v=""/>
    <n v="0"/>
    <n v="0"/>
    <s v=""/>
    <n v="0"/>
    <n v="17738487"/>
    <n v="1366271"/>
    <n v="0"/>
    <n v="19104758"/>
    <n v="19235294"/>
    <n v="130536"/>
    <n v="68"/>
  </r>
  <r>
    <x v="1"/>
    <s v="LOCAL USADOS"/>
    <n v="0"/>
    <n v="0"/>
    <s v=""/>
    <s v=""/>
    <s v=""/>
    <s v=""/>
    <s v="26-09-2023 16:00:18"/>
    <s v=""/>
    <s v="VR3UKZKXZRJ510097"/>
    <x v="0"/>
    <x v="3"/>
    <s v="2008 GT EV PRS"/>
    <s v="1PP1SYUESFJRA0"/>
    <x v="2"/>
    <n v="2139"/>
    <s v="CPESTWN000021"/>
    <x v="51"/>
    <s v="SEMINUEVO"/>
    <s v="BLANCO NACARADO"/>
    <s v="POR DEFINIR"/>
    <n v="20590000"/>
    <s v="Disponible"/>
    <x v="45"/>
    <x v="0"/>
    <s v="LOCAL USADOS VEHICULOS"/>
    <s v=""/>
    <s v="105TES0012261"/>
    <s v="VR3UKZKXZRJ510097"/>
    <s v="AUTOMOTRIZ BALMACEDA LTDA"/>
    <s v="17-10-2024 0:00:00"/>
    <n v="55052"/>
    <s v="26-10-2023 0:00:00"/>
    <s v="26-09-2023 16:00:03"/>
    <s v=""/>
    <n v="0"/>
    <n v="0"/>
    <s v=""/>
    <n v="0"/>
    <n v="30531382"/>
    <n v="1126665"/>
    <n v="0"/>
    <n v="31658047"/>
    <n v="20590000"/>
    <n v="-11068047"/>
    <n v="-5375"/>
  </r>
  <r>
    <x v="1"/>
    <s v="LOCAL USADOS COPIAPO"/>
    <n v="0"/>
    <n v="0"/>
    <s v=""/>
    <s v=""/>
    <s v=""/>
    <s v=""/>
    <s v="27-05-2025 17:07:51"/>
    <s v=""/>
    <s v="1FTFW5L54RFB72541"/>
    <x v="3"/>
    <x v="24"/>
    <s v="F150 CC LARIAT SPORT 4X4"/>
    <s v="F150LAR"/>
    <x v="1"/>
    <n v="0"/>
    <s v="CFOCMTU000010"/>
    <x v="52"/>
    <s v="USADO"/>
    <s v="AZUL ANTIMATERIA"/>
    <s v="POR DEFINIR"/>
    <n v="61000000"/>
    <s v="Disponible"/>
    <x v="46"/>
    <x v="2"/>
    <s v="BODEGA LOS CARRERA COPIAPO"/>
    <s v=""/>
    <s v="RFB72541"/>
    <s v="1FTFW5L54RFB72541"/>
    <s v="SOC CONSTRUCTORA LOS CIPRESES LIMITADA"/>
    <s v="27-05-2025 0:00:00"/>
    <n v="241"/>
    <s v="24-01-2025 0:00:00"/>
    <s v="27-05-2025 17:06:43"/>
    <s v=""/>
    <n v="0"/>
    <n v="0"/>
    <s v=""/>
    <n v="0"/>
    <n v="48090000"/>
    <n v="0"/>
    <n v="0"/>
    <n v="48090000"/>
    <n v="61000000"/>
    <n v="12910000"/>
    <n v="2116"/>
  </r>
  <r>
    <x v="1"/>
    <s v="Local Premium"/>
    <n v="0"/>
    <n v="0"/>
    <s v=""/>
    <s v=""/>
    <s v=""/>
    <s v=""/>
    <s v="30-06-2026 16:43:10"/>
    <s v=""/>
    <s v="8AFBR00E6RJ371870"/>
    <x v="3"/>
    <x v="16"/>
    <s v="Ranger Dsl XLS 4x2 2.0L MT"/>
    <s v="ACE4"/>
    <x v="2"/>
    <n v="33641"/>
    <s v="CFOCMTN008050"/>
    <x v="53"/>
    <s v="SEMINUEVO"/>
    <s v="GRIS PLATA"/>
    <s v="POR DEFINIR"/>
    <n v="24990000"/>
    <s v="Disponible"/>
    <x v="47"/>
    <x v="5"/>
    <s v="LOCAL PREMIUM"/>
    <s v=""/>
    <s v="P02XRJ371870"/>
    <s v="8AFBR00E6RJ371870"/>
    <s v="SERVICIO DE INGENIERIA MANTENIMIENTO Y CONSTRUCCION SPA"/>
    <s v="30-06-2026 0:00:00"/>
    <n v="129"/>
    <s v="01-04-2026 0:00:00"/>
    <s v="30-06-2026 16:42:41"/>
    <s v=""/>
    <n v="0"/>
    <n v="0"/>
    <s v=""/>
    <n v="0"/>
    <n v="23490000"/>
    <n v="0"/>
    <n v="0"/>
    <n v="23490000"/>
    <n v="24990000"/>
    <n v="1500000"/>
    <n v="6"/>
  </r>
  <r>
    <x v="1"/>
    <s v="LOCAL FCO. DE AGUIRRE"/>
    <n v="0"/>
    <n v="0"/>
    <s v=""/>
    <s v=""/>
    <s v=""/>
    <s v=""/>
    <s v="27-02-2017 9:19:21"/>
    <s v=""/>
    <s v="JMYSNCY4A8U000861"/>
    <x v="7"/>
    <x v="25"/>
    <s v="LANCER 2.0 MT R/GT"/>
    <s v="LANCER 2.0 MT R/GT"/>
    <x v="8"/>
    <n v="0"/>
    <s v="CMIAUTU000001"/>
    <x v="54"/>
    <s v="SEMINUEVO"/>
    <s v="PLATEADO"/>
    <s v="POR DEFINIR"/>
    <n v="0"/>
    <s v="Disponible"/>
    <x v="48"/>
    <x v="7"/>
    <s v="BODEGA VEHICULOS"/>
    <s v=""/>
    <s v="4B11 BP1780"/>
    <s v="JMYSNCY4A8U000861"/>
    <s v="MMC CHILE SPA"/>
    <s v="27-02-2017 0:00:00"/>
    <n v="0"/>
    <s v=""/>
    <s v=""/>
    <s v=""/>
    <n v="0"/>
    <n v="0"/>
    <s v=""/>
    <n v="0"/>
    <n v="0"/>
    <n v="1558253"/>
    <n v="0"/>
    <n v="1558253"/>
    <n v="0"/>
    <n v="-1558253"/>
    <n v="-155825300"/>
  </r>
  <r>
    <x v="1"/>
    <s v="LOCAL CAMIONES COPIAPO"/>
    <n v="0"/>
    <n v="0"/>
    <s v=""/>
    <s v=""/>
    <s v=""/>
    <s v=""/>
    <s v="18-08-2025 17:30:02"/>
    <s v=""/>
    <s v="LYTFAAB11SZ091210"/>
    <x v="8"/>
    <x v="26"/>
    <s v="LK 614"/>
    <s v="LK614 S2-S4 POT.MOTOR 140 HP"/>
    <x v="1"/>
    <n v="0"/>
    <s v="CLKCMNU000001"/>
    <x v="55"/>
    <s v="USADO"/>
    <s v="BLANCO"/>
    <s v="POR DEFINIR"/>
    <n v="26953052"/>
    <s v="Disponible"/>
    <x v="49"/>
    <x v="2"/>
    <s v="BODEGA CAMIONES COPIAPO"/>
    <s v=""/>
    <s v="D224G033732"/>
    <s v="LYTFAAB11SZ091210"/>
    <s v="JONATHAN ANDRES FARIAS HIDALGO"/>
    <s v="18-08-2025 0:00:00"/>
    <n v="1"/>
    <s v="18-08-2025 0:00:00"/>
    <s v="18-08-2025 17:28:20"/>
    <s v=""/>
    <n v="0"/>
    <n v="0"/>
    <s v=""/>
    <n v="0"/>
    <n v="26953052"/>
    <n v="0"/>
    <n v="0"/>
    <n v="26953052"/>
    <n v="26953052"/>
    <n v="0"/>
    <n v="0"/>
  </r>
  <r>
    <x v="1"/>
    <s v="HNAS. CALLEGARI COPIAPO 2"/>
    <n v="0"/>
    <n v="0"/>
    <s v=""/>
    <s v=""/>
    <s v=""/>
    <s v=""/>
    <s v="26-06-2019 12:06:29"/>
    <s v=""/>
    <s v="LVZKN2193KCA01946"/>
    <x v="5"/>
    <x v="15"/>
    <s v="CARGO BOX CS C21 AC"/>
    <s v="DFSK4680"/>
    <x v="4"/>
    <n v="0"/>
    <s v="CDFCMTN000066"/>
    <x v="56"/>
    <s v="SEMINUEVO"/>
    <s v="BLANCO"/>
    <s v="POR DEFINIR"/>
    <n v="8556100"/>
    <s v="Disponible"/>
    <x v="20"/>
    <x v="6"/>
    <s v="Bodega Vehiculo Local SK2 Copiapo"/>
    <s v=""/>
    <s v="DK12-05-18560293"/>
    <s v="LVZKN2193KCA01946"/>
    <s v="FORUM DISTRIBUIDORA S.A"/>
    <s v="21-06-2019 0:00:00"/>
    <n v="0"/>
    <s v=""/>
    <s v=""/>
    <s v=""/>
    <n v="0"/>
    <n v="0"/>
    <s v=""/>
    <n v="0"/>
    <n v="0"/>
    <n v="2502458"/>
    <n v="0"/>
    <n v="2502458"/>
    <n v="7190000"/>
    <n v="4687542"/>
    <n v="652"/>
  </r>
  <r>
    <x v="1"/>
    <s v="LOCAL USADOS COPIAPO"/>
    <n v="0"/>
    <n v="0"/>
    <s v=""/>
    <s v=""/>
    <s v=""/>
    <s v=""/>
    <s v="03-02-2025 12:12:32"/>
    <s v=""/>
    <s v="VR3KAHPY1SS006214"/>
    <x v="0"/>
    <x v="1"/>
    <s v="New 3008 PREMIERE MHEV 136 eDCT6"/>
    <s v="TCPE26"/>
    <x v="1"/>
    <n v="0"/>
    <s v="CPESTWN000063"/>
    <x v="57"/>
    <s v="SEMINUEVO"/>
    <s v="GRIS ARTENSE"/>
    <s v="POR DEFINIR"/>
    <n v="26990000"/>
    <s v="Disponible"/>
    <x v="28"/>
    <x v="0"/>
    <s v="BODEGA LOS CARRERA COPIAPO"/>
    <s v=""/>
    <s v="10ZA040054684"/>
    <s v="VR3KAHPY1SS006214"/>
    <s v="AUTOMOTRIZ BALMACEDA LTDA"/>
    <s v="04-02-2026 0:00:00"/>
    <n v="65151"/>
    <s v="02-03-2025 0:00:00"/>
    <s v="03-02-2025 12:12:18"/>
    <s v=""/>
    <n v="0"/>
    <n v="0"/>
    <s v=""/>
    <n v="0"/>
    <n v="25392269"/>
    <n v="1639523"/>
    <n v="0"/>
    <n v="27031792"/>
    <n v="26990000"/>
    <n v="-41792"/>
    <n v="-15"/>
  </r>
  <r>
    <x v="1"/>
    <s v="MEGACENTRO LA SERENA"/>
    <n v="0"/>
    <n v="0"/>
    <s v=""/>
    <s v=""/>
    <s v=""/>
    <s v=""/>
    <s v="19-05-2026 12:44:40"/>
    <s v=""/>
    <s v="1FTFW7L81RFB38787"/>
    <x v="3"/>
    <x v="27"/>
    <s v="F-150 Platinum CC 4X4 3.5L"/>
    <s v="W7E0"/>
    <x v="1"/>
    <n v="0"/>
    <s v="CFOCMTU000022"/>
    <x v="58"/>
    <s v="USADO"/>
    <s v="BLANCO AVALANCHA"/>
    <s v="POR DEFINIR"/>
    <n v="58536100"/>
    <s v="Disponible"/>
    <x v="50"/>
    <x v="2"/>
    <s v="MEGACENTRO LA SERENA VEHICULOS"/>
    <s v=""/>
    <s v="RFB38787"/>
    <s v="1FTFW7L81RFB38787"/>
    <s v="MCASA SPA"/>
    <s v="19-05-2026 0:00:00"/>
    <n v="1"/>
    <s v="19-05-2026 0:00:00"/>
    <s v="19-05-2026 12:44:06"/>
    <s v=""/>
    <n v="0"/>
    <n v="0"/>
    <s v=""/>
    <n v="0"/>
    <n v="58536100"/>
    <n v="0"/>
    <n v="0"/>
    <n v="58536100"/>
    <n v="58536100"/>
    <n v="0"/>
    <n v="0"/>
  </r>
  <r>
    <x v="1"/>
    <s v="MEGACENTRO LA SERENA"/>
    <n v="0"/>
    <n v="0"/>
    <s v=""/>
    <s v=""/>
    <s v=""/>
    <s v=""/>
    <s v="10-07-2026 19:02:55"/>
    <s v=""/>
    <s v="8AFBR01E9SJ499007"/>
    <x v="3"/>
    <x v="16"/>
    <s v="Ranger Dsl XLS 4x4 2.0L"/>
    <s v="AEE5"/>
    <x v="0"/>
    <n v="0"/>
    <s v="CFOCMTN008056"/>
    <x v="59"/>
    <s v="SEMINUEVO"/>
    <s v="BLANCO"/>
    <s v="POR DEFINIR"/>
    <n v="39638900"/>
    <s v="Disponible"/>
    <x v="51"/>
    <x v="3"/>
    <s v="MEGACENTRO LA SERENA VEHICULOS"/>
    <s v=""/>
    <s v="P02XSJ499007"/>
    <s v="8AFBR01E9SJ499007"/>
    <s v="COMERCIAL CORDOVA Y COMPAÑIA LIMITADA"/>
    <s v="10-07-2026 0:00:00"/>
    <n v="34"/>
    <s v="10-07-2026 0:00:00"/>
    <s v="10-07-2026 19:02:42"/>
    <s v=""/>
    <n v="0"/>
    <n v="0"/>
    <s v=""/>
    <n v="0"/>
    <n v="27190000"/>
    <n v="0"/>
    <n v="0"/>
    <n v="27190000"/>
    <n v="33310000"/>
    <n v="6120000"/>
    <n v="1837"/>
  </r>
  <r>
    <x v="1"/>
    <s v="HNAS. CALLEGARI COPIAPO 2"/>
    <n v="0"/>
    <n v="0"/>
    <s v=""/>
    <s v=""/>
    <s v=""/>
    <s v=""/>
    <s v="26-02-2020 16:55:36"/>
    <s v=""/>
    <s v="JMBXTGA2WKU002604"/>
    <x v="7"/>
    <x v="28"/>
    <s v="ASK 2.0 AUT"/>
    <s v="AMI7"/>
    <x v="9"/>
    <n v="0"/>
    <s v="CMISTWU000001"/>
    <x v="60"/>
    <s v="USADO"/>
    <s v="BLANCO"/>
    <s v="POR DEFINIR"/>
    <n v="12990000"/>
    <s v="Disponible"/>
    <x v="52"/>
    <x v="9"/>
    <s v="Bodega Vehiculo Local SK2 Copiapo"/>
    <s v=""/>
    <s v="4B11 AN5102"/>
    <s v="JMBXTGA2WKU002604"/>
    <s v="ANNA MACARENA PIAZZOLI WITTWER"/>
    <s v="26-02-2020 0:00:00"/>
    <n v="1"/>
    <s v="26-02-2020 0:00:00"/>
    <s v="26-02-2020 16:54:38"/>
    <s v=""/>
    <n v="0"/>
    <n v="0"/>
    <s v=""/>
    <n v="0"/>
    <n v="12990000"/>
    <n v="0"/>
    <n v="0"/>
    <n v="12990000"/>
    <n v="12990000"/>
    <n v="0"/>
    <n v="0"/>
  </r>
  <r>
    <x v="1"/>
    <s v="BODEGA PDI"/>
    <n v="0"/>
    <n v="0"/>
    <s v=""/>
    <s v=""/>
    <s v=""/>
    <s v=""/>
    <s v="31-01-2026 11:25:19"/>
    <s v=""/>
    <s v="LNBMCULK4TD263671"/>
    <x v="9"/>
    <x v="29"/>
    <s v="BJ30 LV5 AWD HEV"/>
    <s v="B-B30H"/>
    <x v="0"/>
    <n v="0"/>
    <s v="CBAICSTWN000003"/>
    <x v="61"/>
    <s v="SEMINUEVO"/>
    <s v="VERDE"/>
    <s v="POR DEFINIR"/>
    <n v="27990000"/>
    <s v="Disponible"/>
    <x v="53"/>
    <x v="7"/>
    <s v="BODEGA PDI"/>
    <s v=""/>
    <s v="A156T2H*XH04S903893*"/>
    <s v="LNBMCULK4TD263671"/>
    <s v="SOCIEDAD HERMANAS CALLEGARI LTDA"/>
    <s v="30-01-2026 0:00:00"/>
    <n v="240020"/>
    <s v="30-01-2026 0:00:00"/>
    <s v="31-01-2026 11:25:04"/>
    <s v=""/>
    <n v="0"/>
    <n v="0"/>
    <s v=""/>
    <n v="0"/>
    <n v="21210924"/>
    <n v="976055"/>
    <n v="0"/>
    <n v="22186979"/>
    <n v="23521008"/>
    <n v="1334029"/>
    <n v="567"/>
  </r>
  <r>
    <x v="1"/>
    <s v="FORD BALMACEDA"/>
    <n v="0"/>
    <n v="0"/>
    <s v=""/>
    <s v=""/>
    <s v=""/>
    <s v=""/>
    <s v="08-05-2019 12:07:51"/>
    <s v=""/>
    <s v="LVZKN2178JCA00241"/>
    <x v="5"/>
    <x v="15"/>
    <s v="CARGO BOX CS XL 1.3 DA EV"/>
    <s v="DFSK4565"/>
    <x v="4"/>
    <n v="0"/>
    <s v="CDFCMTN000063"/>
    <x v="62"/>
    <s v="SEMINUEVO"/>
    <s v="BLANCO"/>
    <s v="POR DEFINIR"/>
    <n v="6890100"/>
    <s v="Disponible"/>
    <x v="54"/>
    <x v="6"/>
    <s v="BODEGA FORD BALMACEDA VEHICULO"/>
    <s v=""/>
    <s v="BG13-2017121678"/>
    <s v="LVZKN2178JCA00241"/>
    <s v="IMPORTADORA TRENTO LTDA"/>
    <s v="07-03-2019 0:00:00"/>
    <n v="0"/>
    <s v="28-11-2024 11:48:00"/>
    <s v="28-11-2024 11:48:00"/>
    <s v=""/>
    <n v="0"/>
    <n v="0"/>
    <s v=""/>
    <n v="0"/>
    <n v="0"/>
    <n v="2624366"/>
    <n v="0"/>
    <n v="2624366"/>
    <n v="5790000"/>
    <n v="3165634"/>
    <n v="5467"/>
  </r>
  <r>
    <x v="1"/>
    <s v="LOCAL USADOS"/>
    <n v="0"/>
    <n v="0"/>
    <s v=""/>
    <s v=""/>
    <s v=""/>
    <s v=""/>
    <s v="22-09-2025 10:30:43"/>
    <s v=""/>
    <s v="KNARH81EDS5340494"/>
    <x v="6"/>
    <x v="30"/>
    <s v="SORENTO EX 3.5L GSL 8AT AWD FULL"/>
    <s v="KIA 2360"/>
    <x v="0"/>
    <n v="3478"/>
    <s v="CKISTWN011901"/>
    <x v="63"/>
    <s v="SEMINUEVO"/>
    <s v="GRIS ESTELAR"/>
    <s v="POR DEFINIR"/>
    <n v="46990000"/>
    <s v="Disponible"/>
    <x v="19"/>
    <x v="0"/>
    <s v="LOCAL USADOS VEHICULOS"/>
    <s v=""/>
    <s v="G6DURA572414"/>
    <s v="KNARH81EDS5340494"/>
    <s v="FORUM DISTRIBUIDORA S.A"/>
    <s v="19-03-2026 0:00:00"/>
    <n v="912265"/>
    <s v="25-09-2025 0:00:00"/>
    <s v="06-10-2025 11:30:04"/>
    <s v=""/>
    <n v="0"/>
    <n v="0"/>
    <s v=""/>
    <n v="0"/>
    <n v="33169412"/>
    <n v="2080269"/>
    <n v="0"/>
    <n v="35249681"/>
    <n v="39487395"/>
    <n v="4237714"/>
    <n v="1073"/>
  </r>
  <r>
    <x v="1"/>
    <s v="MEGACENTRO LA SERENA"/>
    <n v="0"/>
    <n v="0"/>
    <s v=""/>
    <s v=""/>
    <s v=""/>
    <s v=""/>
    <s v="01-07-2019 10:41:50"/>
    <s v=""/>
    <s v="LVZKN2197KCA01948"/>
    <x v="5"/>
    <x v="15"/>
    <s v="CARGO BOX CS C21 AC"/>
    <s v="DFSK4680"/>
    <x v="4"/>
    <n v="0"/>
    <s v="CDFCMTN000067"/>
    <x v="64"/>
    <s v="SEMINUEVO"/>
    <s v="BLANCO"/>
    <s v="POR DEFINIR"/>
    <n v="8556100"/>
    <s v="Disponible"/>
    <x v="20"/>
    <x v="6"/>
    <s v="MEGACENTRO LA SERENA VEHICULOS"/>
    <s v=""/>
    <s v="DK12-05-18560333"/>
    <s v="LVZKN2197KCA01948"/>
    <s v="FORUM DISTRIBUIDORA S.A"/>
    <s v="21-06-2019 0:00:00"/>
    <n v="0"/>
    <s v=""/>
    <s v=""/>
    <s v=""/>
    <n v="0"/>
    <n v="0"/>
    <s v=""/>
    <n v="0"/>
    <n v="0"/>
    <n v="2315480"/>
    <n v="0"/>
    <n v="2315480"/>
    <n v="7190000"/>
    <n v="4874520"/>
    <n v="678"/>
  </r>
  <r>
    <x v="2"/>
    <s v="LOCAL USADOS COPIAPO"/>
    <n v="0"/>
    <n v="0"/>
    <s v=""/>
    <s v=""/>
    <s v=""/>
    <s v=""/>
    <s v="28-04-2026 13:25:38"/>
    <s v=""/>
    <s v="LVVDD21B9RC025336"/>
    <x v="10"/>
    <x v="31"/>
    <s v="7 DCT 1.6 AUT"/>
    <s v="JA716ATSUMMIT"/>
    <x v="1"/>
    <n v="12000"/>
    <s v="TJAESTWU000006"/>
    <x v="65"/>
    <s v="USADO"/>
    <s v="BLANCO AURA"/>
    <s v="POR DEFINIR"/>
    <n v="19990000"/>
    <s v="Disponible"/>
    <x v="55"/>
    <x v="3"/>
    <s v="BODEGA LOS CARRERA COPIAPO"/>
    <s v="AE,CC,EE,NB,AAC,ABS,LL,VC,AISO,AAUTO,CRE,MAV,ACD,S"/>
    <s v="SQRF4J16CAMRA00471"/>
    <s v="LVVDD21B9RC025336"/>
    <s v="TRANSPORTE DOBLE C SPA"/>
    <s v="28-04-2026 0:00:00"/>
    <n v="1"/>
    <s v="28-04-2026 0:00:00"/>
    <s v="28-04-2026 13:24:50"/>
    <s v=""/>
    <n v="2"/>
    <n v="0"/>
    <s v=""/>
    <n v="0"/>
    <n v="17500000"/>
    <n v="391740"/>
    <n v="0"/>
    <n v="17891740"/>
    <n v="19990000"/>
    <n v="2098260"/>
    <n v="105"/>
  </r>
  <r>
    <x v="2"/>
    <s v="LOCAL SALAMANCA"/>
    <n v="0"/>
    <n v="0"/>
    <s v=""/>
    <s v=""/>
    <s v=""/>
    <s v=""/>
    <s v="30-04-2026 15:19:16"/>
    <s v=""/>
    <s v="LVVDB21B4 SC023313"/>
    <x v="11"/>
    <x v="32"/>
    <s v="TIGGO 3 PRO GLS 1.5 AUT"/>
    <s v="CHTIG3PRGLS15AT"/>
    <x v="0"/>
    <n v="22255"/>
    <s v="TCYSTWU000352"/>
    <x v="66"/>
    <s v="USADO"/>
    <s v="GRIS PLATA"/>
    <s v="POR DEFINIR"/>
    <n v="11690000"/>
    <s v="Disponible"/>
    <x v="56"/>
    <x v="3"/>
    <s v="BODEGA VEHICULOS"/>
    <s v=""/>
    <s v="SQRE4G15CBDRL00035"/>
    <s v="LVVDB21B4 SC023313"/>
    <s v="RUTH ESTER OSSANDON NARBONA"/>
    <s v="30-04-2026 0:00:00"/>
    <n v="1"/>
    <s v="30-04-2026 0:00:00"/>
    <s v="30-04-2026 15:17:56"/>
    <s v=""/>
    <n v="1"/>
    <n v="0"/>
    <s v=""/>
    <n v="0"/>
    <n v="10000000"/>
    <n v="279240"/>
    <n v="0"/>
    <n v="10279240"/>
    <n v="11690000"/>
    <n v="1410760"/>
    <n v="1207"/>
  </r>
  <r>
    <x v="2"/>
    <s v="LOCAL PREMIUM CAR SALES"/>
    <n v="0"/>
    <n v="0"/>
    <s v=""/>
    <s v=""/>
    <s v=""/>
    <s v=""/>
    <s v="31-07-2026 15:45:20"/>
    <s v=""/>
    <s v="3VW7B6AU8GM038142"/>
    <x v="12"/>
    <x v="33"/>
    <s v="GOLF HB 1.4 AUT"/>
    <s v="VOGOLFHB14AT"/>
    <x v="7"/>
    <n v="80000"/>
    <s v="TVOAUTU000227"/>
    <x v="67"/>
    <s v="USADO"/>
    <s v="GRIS PLATINO"/>
    <s v="POR DEFINIR"/>
    <n v="8990000"/>
    <s v="Disponible"/>
    <x v="57"/>
    <x v="4"/>
    <s v="PREMIUM CAR SALES"/>
    <s v="AE,CC,EE,ABS,LL,4AB,AC,AISO,AAUTO,MAV,ACD,DLL"/>
    <s v="CZD 221032"/>
    <s v="3VW7B6AU8GM038142"/>
    <s v="AGUSTIN ALBERTO SOLARI ALVAREZ"/>
    <s v="31-07-2026 0:00:00"/>
    <n v="1"/>
    <s v="31-07-2026 0:00:00"/>
    <s v="31-07-2026 15:37:31"/>
    <s v=""/>
    <n v="2"/>
    <n v="0"/>
    <s v=""/>
    <n v="0"/>
    <n v="6600000"/>
    <n v="228240"/>
    <n v="0"/>
    <n v="6828240"/>
    <n v="8990000"/>
    <n v="2161760"/>
    <n v="2405"/>
  </r>
  <r>
    <x v="2"/>
    <s v="MEGACENTRO OVALLE"/>
    <n v="0"/>
    <n v="0"/>
    <s v=""/>
    <s v=""/>
    <s v=""/>
    <s v=""/>
    <s v="23-02-2026 15:52:12"/>
    <s v=""/>
    <s v="MPBUR2366NX379509"/>
    <x v="3"/>
    <x v="16"/>
    <s v="RANGER RAPTOR 4X4 2.0 AUT"/>
    <s v="FRR20"/>
    <x v="5"/>
    <n v="114000"/>
    <s v="TFOCMTU001154"/>
    <x v="68"/>
    <s v="USADO"/>
    <s v="NEGRO ABSOLUTO"/>
    <s v="POR DEFINIR"/>
    <n v="30290000"/>
    <s v="Disponible"/>
    <x v="58"/>
    <x v="3"/>
    <s v="BODEGA OVALLEveih"/>
    <s v=""/>
    <s v="YN2SXM379509"/>
    <s v="MPBUR2366NX379509"/>
    <s v="SOCIEDAD AGRICOLA, GANADERA, FORESTAL Y DE TRANSPORTES SANTO TOMAS LIMITADA"/>
    <s v="23-02-2026 0:00:00"/>
    <n v="24"/>
    <s v="29-01-2026 0:00:00"/>
    <s v="18-03-2026 12:59:05"/>
    <s v=""/>
    <n v="0"/>
    <n v="0"/>
    <s v=""/>
    <n v="0"/>
    <n v="26500000"/>
    <n v="523530"/>
    <n v="0"/>
    <n v="27023530"/>
    <n v="30290000"/>
    <n v="3266470"/>
    <n v="1078"/>
  </r>
  <r>
    <x v="2"/>
    <s v="LOCAL USADOS"/>
    <n v="0"/>
    <n v="0"/>
    <s v=""/>
    <s v=""/>
    <s v=""/>
    <s v=""/>
    <s v="29-04-2025 19:05:19"/>
    <s v=""/>
    <s v="LJXCU2BB5 NTF05473"/>
    <x v="3"/>
    <x v="21"/>
    <s v="TERRITORY 1.5 AUT"/>
    <s v="FTU1"/>
    <x v="3"/>
    <n v="25200"/>
    <s v="TFOSTWU001363"/>
    <x v="69"/>
    <s v="USADO"/>
    <s v="NEGRO PANTERA"/>
    <s v="POR DEFINIR"/>
    <n v="10490000"/>
    <s v="Disponible"/>
    <x v="59"/>
    <x v="2"/>
    <s v="BODEGA VEHICULOS"/>
    <s v="AE,CC,EE,NB,AAC,ABS,LL,VC,AISO,AAUTO,CRE,MAV,ACD,S"/>
    <s v="M9G068199"/>
    <s v="LJXCU2BB5 NTF05473"/>
    <s v="JAIME NICOLAS MUÑOZ RODRIGUEZ"/>
    <s v="29-04-2025 0:00:00"/>
    <n v="1"/>
    <s v="29-04-2025 0:00:00"/>
    <s v="29-04-2025 18:59:46"/>
    <s v="30-11-2026 0:00:00"/>
    <n v="1"/>
    <n v="0"/>
    <s v=""/>
    <n v="1"/>
    <n v="10300000"/>
    <n v="280530"/>
    <n v="0"/>
    <n v="10580530"/>
    <n v="10490000"/>
    <n v="-90530"/>
    <n v="-86"/>
  </r>
  <r>
    <x v="2"/>
    <s v="LOCAL USADOS COPIAPO"/>
    <n v="0"/>
    <n v="0"/>
    <s v=""/>
    <s v=""/>
    <s v=""/>
    <s v=""/>
    <s v="02-01-2026 16:34:09"/>
    <s v=""/>
    <s v="KPTE0A1YS PP010412"/>
    <x v="13"/>
    <x v="34"/>
    <s v="TORRES 4X2 1.5"/>
    <s v="SSTO4X215MT"/>
    <x v="2"/>
    <n v="35150"/>
    <s v="TSYSTWU000339"/>
    <x v="70"/>
    <s v="USADO"/>
    <s v="AZUL METALICO"/>
    <s v="POR DEFINIR"/>
    <n v="18690000"/>
    <s v="Disponible"/>
    <x v="60"/>
    <x v="3"/>
    <s v="BODEGA LOS CARRERA COPIAPO"/>
    <s v="AE,CC,EE,NB,AAC,ABS,LL,VC,AISO,AAUTO,CRE,MAV,ACD,S"/>
    <s v="17595000015783"/>
    <s v="KPTE0A1YS PP010412"/>
    <s v="GONZALO ANTONIO DELGADO COFRÉ"/>
    <s v="02-01-2026 0:00:00"/>
    <n v="1"/>
    <s v="02-01-2026 0:00:00"/>
    <s v="02-01-2026 16:33:28"/>
    <s v=""/>
    <n v="1"/>
    <n v="0"/>
    <s v=""/>
    <n v="0"/>
    <n v="16400000"/>
    <n v="372030"/>
    <n v="0"/>
    <n v="16772030"/>
    <n v="18690000"/>
    <n v="1917970"/>
    <n v="1026"/>
  </r>
  <r>
    <x v="2"/>
    <s v="LOCAL PREMIUM CAR SALES"/>
    <n v="0"/>
    <n v="0"/>
    <s v=""/>
    <s v=""/>
    <s v=""/>
    <s v=""/>
    <s v="31-07-2026 15:12:03"/>
    <s v=""/>
    <s v="VF3M45GFU PS005512"/>
    <x v="0"/>
    <x v="35"/>
    <s v="5008 PURETECH 180 EAT8 1.6 AUT"/>
    <s v="PE5008PT16AT"/>
    <x v="3"/>
    <n v="44332"/>
    <s v="TPESTWU000469"/>
    <x v="71"/>
    <s v="USADO"/>
    <s v="BLANCO NACARADO"/>
    <s v="POR DEFINIR"/>
    <n v="19190000"/>
    <s v="Disponible"/>
    <x v="57"/>
    <x v="10"/>
    <s v="PREMIUM CAR SALES"/>
    <s v="AE,CC,EE,AAC,ABS,LL,AISO,AAUTO,CRE,MAV,ACD,SR,DLL,"/>
    <s v="10FKBL2934118"/>
    <s v="VF3M45GFU PS005512"/>
    <s v="DAVID ANDRES SEPULVEDA VARGAS"/>
    <s v="31-07-2026 0:00:00"/>
    <n v="1"/>
    <s v="31-07-2026 0:00:00"/>
    <s v="31-07-2026 15:11:39"/>
    <s v=""/>
    <n v="3"/>
    <n v="0"/>
    <s v=""/>
    <n v="0"/>
    <n v="15900000"/>
    <n v="367740"/>
    <n v="0"/>
    <n v="16267740"/>
    <n v="19190000"/>
    <n v="2922260"/>
    <n v="1523"/>
  </r>
  <r>
    <x v="2"/>
    <s v="LOCAL USADOS COPIAPO"/>
    <n v="0"/>
    <n v="0"/>
    <s v=""/>
    <s v=""/>
    <s v=""/>
    <s v=""/>
    <s v="08-08-2026 11:59:56"/>
    <s v=""/>
    <s v="KNAB3511AST340532"/>
    <x v="6"/>
    <x v="19"/>
    <s v="MORNING MPI 1.0"/>
    <s v="MMP7777"/>
    <x v="1"/>
    <n v="10000"/>
    <s v="TKIAUTU002220"/>
    <x v="72"/>
    <s v="USADO"/>
    <s v="GRIS ASTRAL"/>
    <s v="POR DEFINIR"/>
    <n v="9790000"/>
    <s v="Disponible"/>
    <x v="61"/>
    <x v="10"/>
    <s v="BODEGA LOS CARRERA COPIAPO"/>
    <s v="AE,CC,EE,2AB,ABS,AC,AISO,AAUTO,CRE,MAV,ACD,UD,DLL"/>
    <s v="G3LARP285847"/>
    <s v="KNAB3511AST340532"/>
    <s v="FRANCISCA ANDREA TRINIDAD PEÑA AGUIRRE"/>
    <s v="08-08-2026 0:00:00"/>
    <n v="1"/>
    <s v="08-08-2026 0:00:00"/>
    <s v="08-08-2026 11:59:37"/>
    <s v=""/>
    <n v="1"/>
    <n v="0"/>
    <s v=""/>
    <n v="0"/>
    <n v="8000000"/>
    <n v="0"/>
    <n v="0"/>
    <n v="8000000"/>
    <n v="9790000"/>
    <n v="1790000"/>
    <n v="1828"/>
  </r>
  <r>
    <x v="2"/>
    <s v="LOCAL USADOS"/>
    <n v="0"/>
    <n v="0"/>
    <s v=""/>
    <s v=""/>
    <s v=""/>
    <s v=""/>
    <s v="27-08-2025 14:34:07"/>
    <s v=""/>
    <s v="KL1FC1CU8GB533760"/>
    <x v="14"/>
    <x v="36"/>
    <s v="CAPTIVA LS 2.4 AT"/>
    <s v="CHCAPLS24AT"/>
    <x v="10"/>
    <n v="75000"/>
    <s v="TCHSTWU000305"/>
    <x v="73"/>
    <s v="USADO"/>
    <s v="NEGRO"/>
    <s v="POR DEFINIR"/>
    <n v="9590000"/>
    <s v="Disponible"/>
    <x v="62"/>
    <x v="2"/>
    <s v="BODEGA VEHICULOS"/>
    <s v=""/>
    <s v="LE9161750229"/>
    <s v="KL1FC1CU8GB533760"/>
    <s v="CRISTIAN OMAR MALUENDA LEON"/>
    <s v="27-08-2025 0:00:00"/>
    <n v="1"/>
    <s v="04-11-2025 23:53:00"/>
    <s v="04-11-2025 23:53:00"/>
    <s v="31-10-2025 0:00:00"/>
    <n v="1"/>
    <n v="0"/>
    <s v=""/>
    <n v="0"/>
    <n v="7300000"/>
    <n v="235530"/>
    <n v="0"/>
    <n v="7535530"/>
    <n v="9590000"/>
    <n v="2054470"/>
    <n v="2142"/>
  </r>
  <r>
    <x v="2"/>
    <s v="LOCAL PREMIUM CAR SALES"/>
    <n v="0"/>
    <n v="0"/>
    <s v=""/>
    <s v=""/>
    <s v=""/>
    <s v=""/>
    <s v="24-09-2025 17:50:46"/>
    <s v=""/>
    <s v="8AFBR01K1 RJ394381"/>
    <x v="3"/>
    <x v="16"/>
    <s v="RANGER LTD 4X4 3.0 AUT"/>
    <s v="RANGERDEV"/>
    <x v="2"/>
    <n v="69690"/>
    <s v="TFOCMTU001136"/>
    <x v="74"/>
    <s v="USADO"/>
    <s v="GRIS MERCURIO"/>
    <s v="POR DEFINIR"/>
    <n v="34990000"/>
    <s v="Disponible"/>
    <x v="63"/>
    <x v="3"/>
    <s v="PREMIUM CAR SALES"/>
    <s v="AE,CC,EE,AAC,ABS,LL,VC,AISO,AAUTO,CRE,MAV,ACD,SR,U"/>
    <s v="BF2X RJ394381"/>
    <s v="8AFBR01K1 RJ394381"/>
    <s v="DRILLING SERVICES AND SOLUTIONS SPA"/>
    <s v="24-09-2025 0:00:00"/>
    <n v="1"/>
    <s v="24-09-2025 0:00:00"/>
    <s v="24-09-2025 17:50:08"/>
    <s v=""/>
    <n v="1"/>
    <n v="0"/>
    <s v=""/>
    <n v="0"/>
    <n v="34000000"/>
    <n v="1178778"/>
    <n v="0"/>
    <n v="35178778"/>
    <n v="34990000"/>
    <n v="-188778"/>
    <n v="-54"/>
  </r>
  <r>
    <x v="2"/>
    <s v="LOCAL PREMIUM CAR SALES"/>
    <n v="0"/>
    <n v="0"/>
    <s v=""/>
    <s v=""/>
    <s v=""/>
    <s v=""/>
    <s v="22-05-2026 18:47:39"/>
    <s v=""/>
    <s v="5N1MDNR53PC279056"/>
    <x v="15"/>
    <x v="37"/>
    <s v="PATHFINDER R53 4X4 3.5 AUT"/>
    <s v="NIPATH4X435AT"/>
    <x v="2"/>
    <n v="35000"/>
    <s v="TNISTWU000612"/>
    <x v="75"/>
    <s v="USADO"/>
    <s v="GRIS VOLCANICO BI TONO"/>
    <s v="POR DEFINIR"/>
    <n v="35990000"/>
    <s v="Disponible"/>
    <x v="64"/>
    <x v="3"/>
    <s v="PREMIUM CAR SALES"/>
    <s v="AE,CC,EE,AAC,ABS,LL,VC,AISO,AAUTO,CRE,MAV,TELE,ACD"/>
    <s v="VQ35780440W"/>
    <s v="5N1MDNR53PC279056"/>
    <s v="CRISTIAN LEONARDO SALINAS ALVAREZ"/>
    <s v="22-05-2026 0:00:00"/>
    <n v="1"/>
    <s v="22-05-2026 0:00:00"/>
    <s v="22-05-2026 18:47:03"/>
    <s v=""/>
    <n v="1"/>
    <n v="0"/>
    <s v=""/>
    <n v="0"/>
    <n v="29300000"/>
    <n v="568740"/>
    <n v="0"/>
    <n v="29868740"/>
    <n v="35990000"/>
    <n v="6121260"/>
    <n v="1701"/>
  </r>
  <r>
    <x v="2"/>
    <s v="LOCAL USADOS COPIAPO"/>
    <n v="0"/>
    <n v="0"/>
    <s v=""/>
    <s v=""/>
    <s v=""/>
    <s v=""/>
    <s v="31-07-2026 18:50:04"/>
    <s v=""/>
    <s v="VR7BAHNSBPE000374"/>
    <x v="16"/>
    <x v="38"/>
    <s v="C4 1.2 AT"/>
    <s v="CIC412AT"/>
    <x v="5"/>
    <n v="38055"/>
    <s v="TCIAUTU000136"/>
    <x v="76"/>
    <s v="USADO"/>
    <s v="GRIS PLATINIUM"/>
    <s v="POR DEFINIR"/>
    <n v="14590000"/>
    <s v="Disponible"/>
    <x v="57"/>
    <x v="10"/>
    <s v="BODEGA LOS CARRERA COPIAPO"/>
    <s v="AE,CC,EE,AAC,ABS,LL,4AB,AISO,AAUTO,CRE,MAV,ACD,SR,"/>
    <s v="10TMA50081361"/>
    <s v="VR7BAHNSBPE000374"/>
    <s v="JOSE LUIS TABILO CARRASCO"/>
    <s v="31-07-2026 0:00:00"/>
    <n v="1"/>
    <s v="31-07-2026 0:00:00"/>
    <s v="31-07-2026 18:49:37"/>
    <s v=""/>
    <n v="1"/>
    <n v="0"/>
    <s v=""/>
    <n v="0"/>
    <n v="12000000"/>
    <n v="309240"/>
    <n v="0"/>
    <n v="12309240"/>
    <n v="14590000"/>
    <n v="2280760"/>
    <n v="1563"/>
  </r>
  <r>
    <x v="2"/>
    <s v="LOCAL USADOS COPIAPO"/>
    <n v="0"/>
    <n v="0"/>
    <s v=""/>
    <s v=""/>
    <s v=""/>
    <s v=""/>
    <s v="08-06-2026 16:24:40"/>
    <s v=""/>
    <s v="++*//+++///++*..."/>
    <x v="11"/>
    <x v="39"/>
    <s v="ARRIZO 5 1.5"/>
    <s v="ARR80"/>
    <x v="4"/>
    <n v="66000"/>
    <s v="TCYAUTU000148"/>
    <x v="77"/>
    <s v="USADO"/>
    <s v="PLATEADO PLATA METALICO"/>
    <s v="POR DEFINIR"/>
    <n v="5290000"/>
    <s v="Disponible"/>
    <x v="65"/>
    <x v="2"/>
    <s v="BODEGA LOS CARRERA COPIAPO"/>
    <s v="AE,CC,EE,2AB,ABS,LL,AC,AISO,AAUTO,CRE,ACD,SR,DLL"/>
    <s v="SQRE4G15BAAJJ00769"/>
    <s v="LVVDC11B0 KD014691"/>
    <s v="EGDA CAROLINA POLANCO VILCHEZ"/>
    <s v="08-06-2026 0:00:00"/>
    <n v="1"/>
    <s v="08-06-2026 0:00:00"/>
    <s v="08-06-2026 16:24:18"/>
    <s v=""/>
    <n v="2"/>
    <n v="0"/>
    <s v=""/>
    <n v="0"/>
    <n v="3900000"/>
    <n v="187740"/>
    <n v="0"/>
    <n v="4087740"/>
    <n v="5290000"/>
    <n v="1202260"/>
    <n v="2273"/>
  </r>
  <r>
    <x v="2"/>
    <s v="MEGACENTRO OVALLE"/>
    <n v="0"/>
    <n v="0"/>
    <s v=""/>
    <s v=""/>
    <s v=""/>
    <s v=""/>
    <s v="16-06-2026 11:49:08"/>
    <s v=""/>
    <s v="VR3USHNSK RJ507796"/>
    <x v="0"/>
    <x v="40"/>
    <s v="2008 PURETECH 130 1.2"/>
    <s v="2PU8"/>
    <x v="5"/>
    <n v="59539"/>
    <s v="TPESTWU000457"/>
    <x v="78"/>
    <s v="USADO"/>
    <s v="NEGRO PERLA"/>
    <s v="POR DEFINIR"/>
    <n v="11290000"/>
    <s v="Disponible"/>
    <x v="66"/>
    <x v="3"/>
    <s v="BODEGA OVALLEveih"/>
    <s v="AE,CC,EE,AAC,ABS,LL,VC,AISO,AAUTO,CRE,MAV,ACD,SR,D"/>
    <s v="10TMA60149369"/>
    <s v="VR3USHNSK RJ507796"/>
    <s v="CAROLINA MARICELA PIZARRO CASTRO"/>
    <s v="16-06-2026 0:00:00"/>
    <n v="1"/>
    <s v="16-06-2026 0:00:00"/>
    <s v="16-06-2026 11:48:31"/>
    <s v="31-01-2028 0:00:00"/>
    <n v="3"/>
    <n v="0"/>
    <s v=""/>
    <n v="0"/>
    <n v="9000000"/>
    <n v="264240"/>
    <n v="0"/>
    <n v="9264240"/>
    <n v="11290000"/>
    <n v="2025760"/>
    <n v="1794"/>
  </r>
  <r>
    <x v="2"/>
    <s v="LOCAL USADOS COPIAPO"/>
    <n v="0"/>
    <n v="0"/>
    <s v=""/>
    <s v=""/>
    <s v=""/>
    <s v=""/>
    <s v="06-02-2026 23:32:37"/>
    <s v=""/>
    <s v="98859125B TKS03533"/>
    <x v="17"/>
    <x v="41"/>
    <s v="RAMPAGE DS LARAMIE 4X4 2.0 AUT"/>
    <s v="RARAMCSLA4X420AT"/>
    <x v="1"/>
    <n v="16869"/>
    <s v="TRACMTU000050"/>
    <x v="79"/>
    <s v="USADO"/>
    <s v="PLATEADO PLATA BILLET"/>
    <s v="POR DEFINIR"/>
    <n v="31590000"/>
    <s v="Disponible"/>
    <x v="67"/>
    <x v="3"/>
    <s v="BODEGA LOS CARRERA COPIAPO"/>
    <s v="AE,CC,EE,AAC,ABS,LL,VC,AC,AISO,AAUTO,CRE,MAV,ACD,S"/>
    <s v="463495081880130"/>
    <s v="98859125B TKS03533"/>
    <s v="BERNARDO MAURICIO CORTES AVALOS"/>
    <s v="06-02-2026 0:00:00"/>
    <n v="60226"/>
    <s v="06-02-2026 0:00:00"/>
    <s v="06-02-2026 23:31:06"/>
    <s v=""/>
    <n v="0"/>
    <n v="0"/>
    <s v=""/>
    <n v="0"/>
    <n v="29000000"/>
    <n v="561030"/>
    <n v="0"/>
    <n v="29561030"/>
    <n v="31590000"/>
    <n v="2028970"/>
    <n v="642"/>
  </r>
  <r>
    <x v="2"/>
    <s v="MEGACENTRO OVALLE"/>
    <n v="0"/>
    <n v="0"/>
    <s v=""/>
    <s v=""/>
    <s v=""/>
    <s v=""/>
    <s v="31-07-2026 18:40:32"/>
    <s v=""/>
    <s v="LJXCU2BB7 PTF18583"/>
    <x v="3"/>
    <x v="21"/>
    <s v="TERRITORY 1.5 AUT"/>
    <s v="FTU1"/>
    <x v="5"/>
    <n v="14000"/>
    <s v="TFOSTWU001425"/>
    <x v="80"/>
    <s v="USADO"/>
    <s v="ROJO RUBI"/>
    <s v="POR DEFINIR"/>
    <n v="12990000"/>
    <s v="Disponible"/>
    <x v="57"/>
    <x v="10"/>
    <s v="BODEGA OVALLEveih"/>
    <s v="AE,CC,EE,AAC,ABS,LL,VC,AISO,AAUTO,CRE,MAV,ACD,SR,U"/>
    <s v="NBG099119"/>
    <s v="LJXCU2BB7 PTF18583"/>
    <s v="JULIO CESAR CERECEDA MACIAS"/>
    <s v="31-07-2026 0:00:00"/>
    <n v="1"/>
    <s v="31-07-2026 0:00:00"/>
    <s v="31-07-2026 18:40:06"/>
    <s v=""/>
    <n v="1"/>
    <n v="0"/>
    <s v=""/>
    <n v="0"/>
    <n v="11000000"/>
    <n v="294240"/>
    <n v="0"/>
    <n v="11294240"/>
    <n v="12990000"/>
    <n v="1695760"/>
    <n v="1305"/>
  </r>
  <r>
    <x v="2"/>
    <s v="LOCAL PREMIUM CAR SALES"/>
    <n v="0"/>
    <n v="0"/>
    <s v=""/>
    <s v=""/>
    <s v=""/>
    <s v=""/>
    <s v="22-06-2026 11:10:18"/>
    <s v=""/>
    <s v="MK2XTGR1WTN011282"/>
    <x v="7"/>
    <x v="42"/>
    <s v="OUTLANDER SPORT GL 1.5 AT"/>
    <s v="MIOUTSPGL15AT"/>
    <x v="0"/>
    <n v="6207"/>
    <s v="TMISTWU000375"/>
    <x v="81"/>
    <s v="USADO"/>
    <s v="BLANCO"/>
    <s v="POR DEFINIR"/>
    <n v="17490000"/>
    <s v="Disponible"/>
    <x v="68"/>
    <x v="2"/>
    <s v="PREMIUM CAR SALES"/>
    <s v="AE,CC,EE,AAC,ABS,LL,AISO,AAUTO,CRE,MAV,ACD,SR,UD,D"/>
    <s v="4A91 KDG5559"/>
    <s v="MK2XTGR1WTN011282"/>
    <s v="IVANY DEL ROSARIO ARARAT NAVA"/>
    <s v="22-06-2026 0:00:00"/>
    <n v="1"/>
    <s v="22-06-2026 0:00:00"/>
    <s v="22-06-2026 11:09:53"/>
    <s v=""/>
    <n v="1"/>
    <n v="0"/>
    <s v=""/>
    <n v="0"/>
    <n v="15000000"/>
    <n v="354240"/>
    <n v="0"/>
    <n v="15354240"/>
    <n v="17490000"/>
    <n v="2135760"/>
    <n v="1221"/>
  </r>
  <r>
    <x v="2"/>
    <s v="LOCAL USADOS"/>
    <n v="0"/>
    <n v="0"/>
    <s v=""/>
    <s v=""/>
    <s v=""/>
    <s v=""/>
    <s v="04-03-2025 17:16:08"/>
    <s v=""/>
    <s v="LVVDB21B8SD022028"/>
    <x v="18"/>
    <x v="43"/>
    <s v="C5 1.5 AUT"/>
    <s v="OMC515AT"/>
    <x v="1"/>
    <n v="1905"/>
    <s v="TOMOSTWU000003"/>
    <x v="82"/>
    <s v="USADO"/>
    <s v="BLANCO"/>
    <s v="POR DEFINIR"/>
    <n v="11290000"/>
    <s v="Disponible"/>
    <x v="69"/>
    <x v="2"/>
    <s v="BODEGA VEHICULOS"/>
    <s v="AE,CC,EE,NB,AAC,ABS,LL,AISO,AAUTO,CRE,MAV,ACD,UD,G"/>
    <s v="SQRE4T15CCHRD00089"/>
    <s v="LVVDB21B8SD022028"/>
    <s v="ANDREA ALEJANDRA LIBERON LIBERON"/>
    <s v="04-03-2025 0:00:00"/>
    <n v="1"/>
    <s v="04-03-2025 0:00:00"/>
    <s v="04-03-2025 17:00:37"/>
    <s v=""/>
    <n v="1"/>
    <n v="0"/>
    <s v=""/>
    <n v="0"/>
    <n v="10300000"/>
    <n v="280530"/>
    <n v="0"/>
    <n v="10580530"/>
    <n v="11290000"/>
    <n v="709470"/>
    <n v="628"/>
  </r>
  <r>
    <x v="2"/>
    <s v="MEGACENTRO OVALLE"/>
    <n v="0"/>
    <n v="0"/>
    <s v=""/>
    <s v=""/>
    <s v=""/>
    <s v=""/>
    <s v="02-01-2026 15:09:11"/>
    <s v=""/>
    <s v="VF3M45GZWJS004343"/>
    <x v="0"/>
    <x v="44"/>
    <s v="3008 ACTIVE 1.6"/>
    <s v="P7R9"/>
    <x v="11"/>
    <n v="95984"/>
    <s v="TPESTWU000443"/>
    <x v="83"/>
    <s v="USADO"/>
    <s v="ROJO ULTIMATE"/>
    <s v="POR DEFINIR"/>
    <n v="10490000"/>
    <s v="Disponible"/>
    <x v="60"/>
    <x v="2"/>
    <s v="BODEGA OVALLEveih"/>
    <s v="AE,CC,EE,ABS,LL,VC,AC,AISO,AAUTO,CRE,MAV,ACD,SR,UD"/>
    <s v="10FJCC2344377"/>
    <s v="VF3M45GZWJS004343"/>
    <s v="mario lagunas"/>
    <s v="02-01-2026 0:00:00"/>
    <n v="1"/>
    <s v="10-03-2026 22:23:00"/>
    <s v="10-03-2026 22:23:00"/>
    <s v="30-06-2026 0:00:00"/>
    <n v="1"/>
    <n v="0"/>
    <s v=""/>
    <n v="0"/>
    <n v="8800000"/>
    <n v="258030"/>
    <n v="0"/>
    <n v="9058030"/>
    <n v="10490000"/>
    <n v="1431970"/>
    <n v="1365"/>
  </r>
  <r>
    <x v="2"/>
    <s v="LOCAL PREMIUM CAR SALES"/>
    <n v="0"/>
    <n v="0"/>
    <s v=""/>
    <s v=""/>
    <s v=""/>
    <s v=""/>
    <s v="06-05-2026 18:11:52"/>
    <s v=""/>
    <s v="1FMCU9JZ4PUA50384"/>
    <x v="3"/>
    <x v="45"/>
    <s v="ESCAPE FHEV 2.5 AUT"/>
    <s v="FOESFEHV20AT"/>
    <x v="2"/>
    <n v="52000"/>
    <s v="TFOSTWU001410"/>
    <x v="84"/>
    <s v="USADO"/>
    <s v="AZUL ATLAS"/>
    <s v="POR DEFINIR"/>
    <n v="23590000"/>
    <s v="Disponible"/>
    <x v="70"/>
    <x v="3"/>
    <s v="PREMIUM CAR SALES"/>
    <s v="AE,CC,EE,AAC,ABS,LL,VC,SS,AISO,ACP,AAUTO,CRE,MAV,A"/>
    <s v="PUA50384"/>
    <s v="1FMCU9JZ4PUA50384"/>
    <s v="RAUL LUIS ARQUEROS ARANCIBIA"/>
    <s v="06-05-2026 0:00:00"/>
    <n v="1"/>
    <s v="06-05-2026 0:00:00"/>
    <s v="06-05-2026 18:11:32"/>
    <s v=""/>
    <n v="1"/>
    <n v="0"/>
    <s v=""/>
    <n v="0"/>
    <n v="18900000"/>
    <n v="412740"/>
    <n v="0"/>
    <n v="19312740"/>
    <n v="23590000"/>
    <n v="4277260"/>
    <n v="1813"/>
  </r>
  <r>
    <x v="2"/>
    <s v="MEGACENTRO OVALLE"/>
    <n v="0"/>
    <n v="0"/>
    <s v=""/>
    <s v=""/>
    <s v=""/>
    <s v=""/>
    <s v="18-03-2026 17:39:09"/>
    <s v=""/>
    <s v="LJNTGUC52 RN409084"/>
    <x v="5"/>
    <x v="46"/>
    <s v="D1 LUXURY 4X4 2.3"/>
    <s v="DFD1LUX4X423MT"/>
    <x v="1"/>
    <n v="37000"/>
    <s v="TDFCMTU000013"/>
    <x v="85"/>
    <s v="USADO"/>
    <s v="NEGRO"/>
    <s v="POR DEFINIR"/>
    <n v="16590000"/>
    <s v="Disponible"/>
    <x v="71"/>
    <x v="3"/>
    <s v="BODEGA OVALLEveih"/>
    <s v="AE,CC,EE,2AB,ABS,LL,VC,AC,AISO,AAUTO,CRE,MAV,ACD,S"/>
    <s v="M9T 60A Q1012197"/>
    <s v="LJNTGUC52 RN409084"/>
    <s v="FIDEL ANDRES ROJAS ARAYA"/>
    <s v="18-03-2026 0:00:00"/>
    <n v="1"/>
    <s v="18-03-2026 0:00:00"/>
    <s v="18-03-2026 17:38:43"/>
    <s v=""/>
    <n v="1"/>
    <n v="0"/>
    <s v=""/>
    <n v="0"/>
    <n v="13900000"/>
    <n v="334530"/>
    <n v="0"/>
    <n v="14234530"/>
    <n v="16590000"/>
    <n v="2355470"/>
    <n v="142"/>
  </r>
  <r>
    <x v="2"/>
    <s v="LOCAL PREMIUM CAR SALES"/>
    <n v="0"/>
    <n v="0"/>
    <s v=""/>
    <s v=""/>
    <s v=""/>
    <s v=""/>
    <s v="31-07-2026 18:01:30"/>
    <s v=""/>
    <s v="LJXCU2BB0STF20703"/>
    <x v="3"/>
    <x v="21"/>
    <s v="TERRITORY TITANIUM 1.5 AUT"/>
    <s v="PIT7"/>
    <x v="1"/>
    <n v="19088"/>
    <s v="TFOSTWU001424"/>
    <x v="86"/>
    <s v="USADO"/>
    <s v="ROJO RUBI"/>
    <s v="POR DEFINIR"/>
    <n v="18190000"/>
    <s v="Disponible"/>
    <x v="57"/>
    <x v="10"/>
    <s v="PREMIUM CAR SALES"/>
    <s v="AE,CC,EE,NB,AAC,ABS,LL,VC,AISO,AAUTO,CRE,MAV,SR,UD"/>
    <s v="R6G065623"/>
    <s v="LJXCU2BB0STF20703"/>
    <s v="JOSE ANTONIO CAPCHA QUISPE"/>
    <s v="31-07-2026 0:00:00"/>
    <n v="1"/>
    <s v="31-07-2026 0:00:00"/>
    <s v="31-07-2026 17:59:18"/>
    <s v=""/>
    <n v="1"/>
    <n v="0"/>
    <s v=""/>
    <n v="0"/>
    <n v="15000000"/>
    <n v="354240"/>
    <n v="0"/>
    <n v="15354240"/>
    <n v="18190000"/>
    <n v="2835760"/>
    <n v="1559"/>
  </r>
  <r>
    <x v="2"/>
    <s v="LOCAL PREMIUM CAR SALES"/>
    <n v="0"/>
    <n v="0"/>
    <s v=""/>
    <s v=""/>
    <s v=""/>
    <s v=""/>
    <s v="16-05-2024 13:37:55"/>
    <s v=""/>
    <s v="2FMPK4J93PBA47752"/>
    <x v="3"/>
    <x v="47"/>
    <s v="EDGE AWD 2.0 CVT"/>
    <s v="FED001"/>
    <x v="2"/>
    <n v="5000"/>
    <s v="TFOSTWU001301"/>
    <x v="87"/>
    <s v="USADO"/>
    <s v="BLANCO METALICO"/>
    <s v="POR DEFINIR"/>
    <n v="27990000"/>
    <s v="Disponible"/>
    <x v="72"/>
    <x v="3"/>
    <s v="PREMIUM CAR SALES"/>
    <s v="AE,CC,EE,AAC,ABS,LL,TC,VC,ESP,SS,AISO,ACP,AAUTO,AE"/>
    <s v="PBA47752"/>
    <s v="2FMPK4J93PBA47752"/>
    <s v="LORETO ROXANA REBOLLEDO RISSETTI"/>
    <s v="16-05-2024 0:00:00"/>
    <n v="1"/>
    <s v="28-02-2026 15:33:00"/>
    <s v="28-02-2026 15:33:00"/>
    <s v=""/>
    <n v="0"/>
    <n v="0"/>
    <s v=""/>
    <n v="0"/>
    <n v="33990000"/>
    <n v="709880"/>
    <n v="0"/>
    <n v="34699880"/>
    <n v="27990000"/>
    <n v="-6709880"/>
    <n v="-2397"/>
  </r>
  <r>
    <x v="2"/>
    <s v="LOCAL USADOS"/>
    <n v="0"/>
    <n v="0"/>
    <s v=""/>
    <s v=""/>
    <s v=""/>
    <s v=""/>
    <s v="25-07-2025 12:11:03"/>
    <s v=""/>
    <s v="3N1CN8AE1NL804585"/>
    <x v="15"/>
    <x v="48"/>
    <s v="VERSA CVT 1.6 AUT"/>
    <s v="NVC7"/>
    <x v="12"/>
    <n v="85390"/>
    <s v="TNIAUTU000640"/>
    <x v="88"/>
    <s v="USADO"/>
    <s v="PLATEADO"/>
    <s v="POR DEFINIR"/>
    <n v="9790000"/>
    <s v="Disponible"/>
    <x v="73"/>
    <x v="2"/>
    <s v="BODEGA VEHICULOS"/>
    <s v="AE,CC,EE,ABS,LL,AC,AISO,AAUTO,CRE,MAV,ACD,SR,UD,DL"/>
    <s v="HR16-332561V"/>
    <s v="3N1CN8AE1NL804585"/>
    <s v="CARLOS ALBERTO DAZA GONZALEZ"/>
    <s v="25-07-2025 0:00:00"/>
    <n v="1"/>
    <s v="25-07-2025 17:36:00"/>
    <s v="25-07-2025 17:36:00"/>
    <s v="31-10-2025 0:00:00"/>
    <n v="1"/>
    <n v="0"/>
    <s v=""/>
    <n v="0"/>
    <n v="7700000"/>
    <n v="241530"/>
    <n v="0"/>
    <n v="7941530"/>
    <n v="9790000"/>
    <n v="1848470"/>
    <n v="1888"/>
  </r>
  <r>
    <x v="2"/>
    <s v="LOCAL USADOS COPIAPO"/>
    <n v="0"/>
    <n v="0"/>
    <s v=""/>
    <s v=""/>
    <s v=""/>
    <s v=""/>
    <s v="30-04-2026 16:45:15"/>
    <s v=""/>
    <s v="9FBHSRA95LM023521"/>
    <x v="19"/>
    <x v="49"/>
    <s v="DUSTER ZEN 1.6"/>
    <s v="124FG"/>
    <x v="4"/>
    <n v="95000"/>
    <s v="TRESTWU000047"/>
    <x v="89"/>
    <s v="USADO"/>
    <s v="GRIS ESTRELLA"/>
    <s v="POR DEFINIR"/>
    <n v="7690000"/>
    <s v="Disponible"/>
    <x v="56"/>
    <x v="2"/>
    <s v="BODEGA LOS CARRERA COPIAPO"/>
    <s v="AE,CC,EE,2AB,NB,ABS,LL,AC,AISO,MAV,SR,UD,DLL"/>
    <s v="K4M2842Q234165"/>
    <s v="9FBHSRA95LM023521"/>
    <s v="MIRIAM ELIANA ROJAS PAEZ"/>
    <s v="30-04-2026 0:00:00"/>
    <n v="1"/>
    <s v="30-04-2026 0:00:00"/>
    <s v="30-04-2026 16:43:05"/>
    <s v="30-06-2026 0:00:00"/>
    <n v="1"/>
    <n v="0"/>
    <s v=""/>
    <n v="0"/>
    <n v="5800000"/>
    <n v="216240"/>
    <n v="0"/>
    <n v="6016240"/>
    <n v="7690000"/>
    <n v="1673760"/>
    <n v="2177"/>
  </r>
  <r>
    <x v="2"/>
    <s v="LOCAL PREMIUM CAR SALES"/>
    <n v="0"/>
    <n v="0"/>
    <s v=""/>
    <s v=""/>
    <s v=""/>
    <s v=""/>
    <s v="27-01-2023 10:03:02"/>
    <s v=""/>
    <s v="LJXCU2BB4MTP00962"/>
    <x v="3"/>
    <x v="21"/>
    <s v="TERRITORY 1.5 AUT"/>
    <s v="FTU1"/>
    <x v="12"/>
    <n v="26963"/>
    <s v="TFOSTWU001235"/>
    <x v="90"/>
    <s v="USADO"/>
    <s v="ROJO"/>
    <s v="POR DEFINIR"/>
    <n v="12990000"/>
    <s v="Disponible"/>
    <x v="74"/>
    <x v="2"/>
    <s v="PREMIUM CAR SALES"/>
    <s v="AE,CC,EE,NB,AAC,ABS,LL,VC,4AB,ESP,AISO,ACP,AAUTO,A"/>
    <s v="L5G014983"/>
    <s v="LJXCU2BB4MTP00962"/>
    <s v="GLADYS ISABEL CAMPOS LEDEZMA"/>
    <s v="27-01-2023 0:00:00"/>
    <n v="1"/>
    <s v="27-01-2023 0:00:00"/>
    <s v="27-01-2023 10:02:29"/>
    <s v=""/>
    <n v="0"/>
    <n v="0"/>
    <s v=""/>
    <n v="0"/>
    <n v="15500000"/>
    <n v="899467"/>
    <n v="0"/>
    <n v="16399467"/>
    <n v="12990000"/>
    <n v="-3409467"/>
    <n v="-2625"/>
  </r>
  <r>
    <x v="2"/>
    <s v="LOCAL PREMIUM CAR SALES"/>
    <n v="0"/>
    <n v="0"/>
    <s v=""/>
    <s v=""/>
    <s v=""/>
    <s v=""/>
    <s v="14-03-2023 10:52:12"/>
    <s v=""/>
    <s v="2FMPK4J94KBB16022"/>
    <x v="3"/>
    <x v="47"/>
    <s v="EDGE SEL 4X4 2.0 AUT"/>
    <s v="EDD900"/>
    <x v="9"/>
    <n v="55000"/>
    <s v="TFOSTWU001240"/>
    <x v="91"/>
    <s v="USADO"/>
    <s v="GRIS METALICO"/>
    <s v="POR DEFINIR"/>
    <n v="18490000"/>
    <s v="Disponible"/>
    <x v="75"/>
    <x v="2"/>
    <s v="PREMIUM CAR SALES"/>
    <s v="AE,CC,EE,NB,AAC,ABS,LL,TC,VC,ESP,CT,SS,AISO,ACP,AA"/>
    <s v="KBB16022"/>
    <s v="2FMPK4J94KBB16022"/>
    <s v="BARBARA YEIME CEA URRIAGA"/>
    <s v="14-03-2023 0:00:00"/>
    <n v="1"/>
    <s v="14-03-2023 0:00:00"/>
    <s v="14-03-2023 10:51:51"/>
    <s v=""/>
    <n v="0"/>
    <n v="0"/>
    <s v=""/>
    <n v="0"/>
    <n v="18000000"/>
    <n v="673380"/>
    <n v="0"/>
    <n v="18673380"/>
    <n v="18490000"/>
    <n v="-183380"/>
    <n v="-99"/>
  </r>
  <r>
    <x v="2"/>
    <s v="LOCAL PREMIUM CAR SALES"/>
    <n v="0"/>
    <n v="0"/>
    <s v=""/>
    <s v=""/>
    <s v=""/>
    <s v=""/>
    <s v="18-02-2026 10:03:09"/>
    <s v=""/>
    <s v="///-*/*-.+-*/.+//"/>
    <x v="17"/>
    <x v="41"/>
    <s v="1500 REBEL CREW DCAB 4X4 5.7 AUT"/>
    <s v="RA1500REBDC4X457AT"/>
    <x v="3"/>
    <n v="72237"/>
    <s v="TRACMTU000051"/>
    <x v="92"/>
    <s v="USADO"/>
    <s v="NEGRO METALICO"/>
    <s v="POR DEFINIR"/>
    <n v="35990000"/>
    <s v="Disponible"/>
    <x v="76"/>
    <x v="3"/>
    <s v="PREMIUM CAR SALES"/>
    <s v=""/>
    <s v="NN224561"/>
    <s v="1C6SRFLT6NN224561"/>
    <s v="SERVICIOS A LA MINERIA OMINT SPA"/>
    <s v="18-02-2026 0:00:00"/>
    <n v="1"/>
    <s v="18-02-2026 0:00:00"/>
    <s v="18-02-2026 10:02:46"/>
    <s v=""/>
    <n v="0"/>
    <n v="0"/>
    <s v=""/>
    <n v="0"/>
    <n v="30400000"/>
    <n v="582030"/>
    <n v="0"/>
    <n v="30982030"/>
    <n v="35990000"/>
    <n v="5007970"/>
    <n v="1391"/>
  </r>
  <r>
    <x v="2"/>
    <s v="LOCAL PREMIUM CAR SALES"/>
    <n v="0"/>
    <n v="0"/>
    <s v=""/>
    <s v=""/>
    <s v=""/>
    <s v=""/>
    <s v="03-10-2025 17:16:55"/>
    <s v=""/>
    <s v="/////**++**++////"/>
    <x v="20"/>
    <x v="50"/>
    <s v="CX60 PREMIUM SPORT 4X4 3.3 AUT"/>
    <s v="MZCX60PR4X433AT"/>
    <x v="1"/>
    <n v="19678"/>
    <s v="TMASTWU000104"/>
    <x v="93"/>
    <s v="USADO"/>
    <s v="ROJO CRISTAL"/>
    <s v="POR DEFINIR"/>
    <n v="36990000"/>
    <s v="Disponible"/>
    <x v="77"/>
    <x v="3"/>
    <s v="PREMIUM CAR SALES"/>
    <s v="AE,EE,AAC,ABS,LL,TC,VC,AISO,ACP,AAUTO,AELE,CRE,MAV"/>
    <s v="H3 10225780"/>
    <s v="JM7KH1HD2R1101438"/>
    <s v="ISABEL SOLEDAD CORTES DURAN"/>
    <s v="03-10-2025 0:00:00"/>
    <n v="1"/>
    <s v="06-11-2025 11:25:00"/>
    <s v="06-11-2025 11:25:00"/>
    <s v=""/>
    <n v="1"/>
    <n v="0"/>
    <s v=""/>
    <n v="0"/>
    <n v="38000000"/>
    <n v="1283058"/>
    <n v="0"/>
    <n v="39283058"/>
    <n v="36990000"/>
    <n v="-2293058"/>
    <n v="-62"/>
  </r>
  <r>
    <x v="2"/>
    <s v="LOCAL PREMIUM CAR SALES"/>
    <n v="0"/>
    <n v="0"/>
    <s v=""/>
    <s v=""/>
    <s v=""/>
    <s v=""/>
    <s v="30-05-2026 11:28:44"/>
    <s v=""/>
    <s v="WF0AXXWPMHGY88472"/>
    <x v="3"/>
    <x v="45"/>
    <s v="ESCAPE 4X4 2.0 AUT"/>
    <s v="01--ESCAUT1"/>
    <x v="11"/>
    <n v="66252"/>
    <s v="TFOSTWU001411"/>
    <x v="94"/>
    <s v="USADO"/>
    <s v="NEGRO ABSOLUTO"/>
    <s v="POR DEFINIR"/>
    <n v="10490000"/>
    <s v="Disponible"/>
    <x v="78"/>
    <x v="11"/>
    <s v="PREMIUM CAR SALES"/>
    <s v="AE,CC,EE,AAC,ABS,LL,VC,AISO,AAUTO,CRE,MAV,ACD,SR,U"/>
    <s v="HGY88472"/>
    <s v="WF0AXXWPMHGY88472"/>
    <s v="SUSAN CARMEN GLORIA HENRY HENRY"/>
    <s v="30-05-2026 0:00:00"/>
    <n v="1"/>
    <s v="30-05-2026 0:00:00"/>
    <s v="30-05-2026 11:28:08"/>
    <s v="31-10-2027 0:00:00"/>
    <n v="1"/>
    <n v="0"/>
    <s v=""/>
    <n v="0"/>
    <n v="8600000"/>
    <n v="258240"/>
    <n v="0"/>
    <n v="8858240"/>
    <n v="10490000"/>
    <n v="1631760"/>
    <n v="1556"/>
  </r>
  <r>
    <x v="2"/>
    <s v="LOCAL PREMIUM CAR SALES"/>
    <n v="0"/>
    <n v="0"/>
    <s v=""/>
    <s v=""/>
    <s v=""/>
    <s v=""/>
    <s v="03-07-2026 10:07:46"/>
    <s v=""/>
    <s v=".////+*+///++*..."/>
    <x v="3"/>
    <x v="21"/>
    <s v="TERRITORY TITANIUM 4X2 1.5 AUT"/>
    <s v="FOTETI15AT"/>
    <x v="2"/>
    <n v="42000"/>
    <s v="TFOSTWU001417"/>
    <x v="95"/>
    <s v="USADO"/>
    <s v="BLANCO METALICO"/>
    <s v="POR DEFINIR"/>
    <n v="15990000"/>
    <s v="Disponible"/>
    <x v="79"/>
    <x v="10"/>
    <s v="PREMIUM CAR SALES"/>
    <s v="AE,CC,EE,AAC,ABS,LL,VC,AISO,AAUTO,CRE,MAV,ACD,SR,U"/>
    <s v="R1G000717"/>
    <s v="LJXCU2BBXRTF55890"/>
    <s v="SEBASTIAN CERPA"/>
    <s v="03-07-2026 0:00:00"/>
    <n v="1"/>
    <s v="03-07-2026 0:00:00"/>
    <s v="03-07-2026 10:07:23"/>
    <s v=""/>
    <n v="1"/>
    <n v="0"/>
    <s v=""/>
    <n v="0"/>
    <n v="12600000"/>
    <n v="318240"/>
    <n v="0"/>
    <n v="12918240"/>
    <n v="15990000"/>
    <n v="3071760"/>
    <n v="1921"/>
  </r>
  <r>
    <x v="2"/>
    <s v="LOCAL PREMIUM CAR SALES"/>
    <n v="0"/>
    <n v="0"/>
    <s v=""/>
    <s v=""/>
    <s v=""/>
    <s v=""/>
    <s v="30-07-2026 18:58:15"/>
    <s v=""/>
    <s v="LJ166A250N4016069"/>
    <x v="21"/>
    <x v="51"/>
    <s v="JS8 TURBO 1.5"/>
    <s v="JAJS815AT"/>
    <x v="3"/>
    <n v="102547"/>
    <s v="TJASTWU000026"/>
    <x v="96"/>
    <s v="USADO"/>
    <s v="BLANCO"/>
    <s v="POR DEFINIR"/>
    <n v="10590000"/>
    <s v="Disponible"/>
    <x v="80"/>
    <x v="10"/>
    <s v="PREMIUM CAR SALES"/>
    <s v="AE,CC,EE,ABS,LL,4AB,AC,AISO,AAUTO,CRE,ACD,DLL"/>
    <s v="M3627275"/>
    <s v="LJ166A250N4016069"/>
    <s v="FRANCISCO JAVIER DIAZ MELO"/>
    <s v="30-07-2026 0:00:00"/>
    <n v="1"/>
    <s v="30-07-2026 0:00:00"/>
    <s v="30-07-2026 18:57:40"/>
    <s v=""/>
    <n v="1"/>
    <n v="0"/>
    <s v=""/>
    <n v="0"/>
    <n v="8500000"/>
    <n v="256740"/>
    <n v="0"/>
    <n v="8756740"/>
    <n v="10590000"/>
    <n v="1833260"/>
    <n v="1731"/>
  </r>
  <r>
    <x v="2"/>
    <s v="LOCAL USADOS COPIAPO"/>
    <n v="0"/>
    <n v="0"/>
    <s v=""/>
    <s v=""/>
    <s v=""/>
    <s v=""/>
    <s v="30-12-2024 11:00:44"/>
    <s v=""/>
    <s v="VR7ACYHZRLL001059"/>
    <x v="16"/>
    <x v="43"/>
    <s v="C5 AIRCROSS 1.5 AUT"/>
    <s v="7912"/>
    <x v="9"/>
    <n v="96150"/>
    <s v="TCISTWU000009"/>
    <x v="97"/>
    <s v="USADO"/>
    <s v="BLANCO"/>
    <s v="POR DEFINIR"/>
    <n v="13990000"/>
    <s v="Disponible"/>
    <x v="81"/>
    <x v="2"/>
    <s v="BODEGA LOS CARRERA COPIAPO"/>
    <s v="AE,CC,EE,NB,ABS,LL,AC,AISO,AAUTO,CRE,ACD,SR,DLL,6A"/>
    <s v="10Q3AR0085523"/>
    <s v="VR7ACYHZRLL001059"/>
    <s v="LUIS ANTONIO CASTRO BALAIC"/>
    <s v="30-12-2024 0:00:00"/>
    <n v="1"/>
    <s v="30-12-2024 0:00:00"/>
    <s v="30-12-2024 10:53:26"/>
    <s v="31-07-2025 0:00:00"/>
    <n v="3"/>
    <n v="0"/>
    <s v=""/>
    <n v="0"/>
    <n v="14190000"/>
    <n v="338880"/>
    <n v="0"/>
    <n v="14528880"/>
    <n v="13990000"/>
    <n v="-538880"/>
    <n v="-385"/>
  </r>
  <r>
    <x v="2"/>
    <s v="LOCAL PREMIUM CAR SALES"/>
    <n v="0"/>
    <n v="0"/>
    <s v=""/>
    <s v=""/>
    <s v=""/>
    <s v=""/>
    <s v="22-07-2026 11:48:43"/>
    <s v=""/>
    <s v="LZWADAGA3 PG020318"/>
    <x v="14"/>
    <x v="52"/>
    <s v="GROOVE 1.5"/>
    <s v="G1"/>
    <x v="5"/>
    <n v="52000"/>
    <s v="TCHSTWU000323"/>
    <x v="98"/>
    <s v="USADO"/>
    <s v="BLANCO"/>
    <s v="POR DEFINIR"/>
    <n v="9890000"/>
    <s v="Disponible"/>
    <x v="82"/>
    <x v="10"/>
    <s v="PREMIUM CAR SALES"/>
    <s v="AE,CC,EE,2AB,NB,ABS,LL,AC,AISO,AAUTO,CRE,MAV,ACD,U"/>
    <s v="L2B 18N71110548"/>
    <s v="LZWADAGA3 PG020318"/>
    <s v="CRISTIAN ENRIQUE PEREIRA ROJAS"/>
    <s v="22-07-2026 0:00:00"/>
    <n v="1"/>
    <s v="22-07-2026 0:00:00"/>
    <s v="22-07-2026 11:48:00"/>
    <s v=""/>
    <n v="1"/>
    <n v="0"/>
    <s v=""/>
    <n v="0"/>
    <n v="8100000"/>
    <n v="250740"/>
    <n v="0"/>
    <n v="8350740"/>
    <n v="9890000"/>
    <n v="1539260"/>
    <n v="1556"/>
  </r>
  <r>
    <x v="2"/>
    <s v="LOCAL SALAMANCA"/>
    <n v="0"/>
    <n v="0"/>
    <s v=""/>
    <s v=""/>
    <s v=""/>
    <s v=""/>
    <s v="02-10-2025 17:10:39"/>
    <s v=""/>
    <s v="9V8FF4HY1RA800991"/>
    <x v="0"/>
    <x v="2"/>
    <s v="LANDTREK BLUEHDI 4X4 2.2 AUT"/>
    <s v="PELANHDI4X422AT"/>
    <x v="1"/>
    <n v="5800"/>
    <s v="TPECMTU000016"/>
    <x v="99"/>
    <s v="USADO"/>
    <s v="GRIS ALUMINIUM"/>
    <s v="POR DEFINIR"/>
    <n v="20990000"/>
    <s v="Disponible"/>
    <x v="24"/>
    <x v="3"/>
    <s v="BODEGA VEHICULOS"/>
    <s v="AE,CC,EE,AAC,ABS,LL,VC,AISO,AAUTO,CRE,MAV,ACD,SR,U"/>
    <s v="10VRAC4002861"/>
    <s v="9V8FF4HY1RA800991"/>
    <s v="JONATHAN JAVIER LARA BARRAZA"/>
    <s v="02-10-2025 0:00:00"/>
    <n v="1"/>
    <s v="02-10-2025 0:00:00"/>
    <s v="02-10-2025 17:09:54"/>
    <s v=""/>
    <n v="1"/>
    <n v="0"/>
    <s v=""/>
    <n v="0"/>
    <n v="27929100"/>
    <n v="918614"/>
    <n v="0"/>
    <n v="28847714"/>
    <n v="20990000"/>
    <n v="-7857714"/>
    <n v="-3744"/>
  </r>
  <r>
    <x v="2"/>
    <s v="MEGACENTRO OVALLE"/>
    <n v="0"/>
    <n v="0"/>
    <s v=""/>
    <s v=""/>
    <s v=""/>
    <s v=""/>
    <s v="22-04-2026 17:42:39"/>
    <s v=""/>
    <s v="KMHJB81DB RU268314"/>
    <x v="22"/>
    <x v="53"/>
    <s v="TUCSON NX4 2.0 AUT"/>
    <s v="HT01"/>
    <x v="2"/>
    <n v="25840"/>
    <s v="THYSTWU000553"/>
    <x v="100"/>
    <s v="USADO"/>
    <s v="NEGRO"/>
    <s v="POR DEFINIR"/>
    <n v="19990000"/>
    <s v="Disponible"/>
    <x v="83"/>
    <x v="3"/>
    <s v="BODEGA OVALLEveih"/>
    <s v="AE,CC,EE,AAC,ABS,LL,AISO,AAUTO,CRE,MAV,ACD,SR,UD,D"/>
    <s v="G4NLPU935907"/>
    <s v="KMHJB81DB RU268314"/>
    <s v="SAMUEL ALEJANDRO PULGAR LOPEZ"/>
    <s v="22-04-2026 0:00:00"/>
    <n v="1"/>
    <s v="22-04-2026 0:00:00"/>
    <s v="22-04-2026 17:42:12"/>
    <s v=""/>
    <n v="1"/>
    <n v="0"/>
    <s v=""/>
    <n v="0"/>
    <n v="17200000"/>
    <n v="387240"/>
    <n v="0"/>
    <n v="17587240"/>
    <n v="19990000"/>
    <n v="2402760"/>
    <n v="1202"/>
  </r>
  <r>
    <x v="2"/>
    <s v="LOCAL PREMIUM CAR SALES"/>
    <n v="0"/>
    <n v="0"/>
    <s v=""/>
    <s v=""/>
    <s v=""/>
    <s v=""/>
    <s v="03-10-2025 18:06:52"/>
    <s v=""/>
    <s v="////////******++."/>
    <x v="22"/>
    <x v="53"/>
    <s v="SANTA FE MX5 GDI 4X4 2.5 AUT"/>
    <s v="HYSTF4X425AT"/>
    <x v="1"/>
    <n v="17000"/>
    <s v="THYSTWU000544"/>
    <x v="101"/>
    <s v="USADO"/>
    <s v="PLATEADO PLATA"/>
    <s v="POR DEFINIR"/>
    <n v="32990000"/>
    <s v="Disponible"/>
    <x v="77"/>
    <x v="3"/>
    <s v="PREMIUM CAR SALES"/>
    <s v="AE,CC,EE,ABS,LL,VC,AC,AISO,CRE,MAV,ACD,SR,DLL,6AB,"/>
    <s v="G4KNRA851884"/>
    <s v="KMHP281JD RU030971"/>
    <s v="RODOLFO ANDRES SALGADO MARILEO"/>
    <s v="03-10-2025 0:00:00"/>
    <n v="1"/>
    <s v="03-10-2025 0:00:00"/>
    <s v="03-10-2025 18:06:12"/>
    <s v=""/>
    <n v="2"/>
    <n v="0"/>
    <s v=""/>
    <n v="0"/>
    <n v="28700000"/>
    <n v="1053703"/>
    <n v="0"/>
    <n v="29753703"/>
    <n v="32990000"/>
    <n v="3236297"/>
    <n v="981"/>
  </r>
  <r>
    <x v="2"/>
    <s v="LOCAL PREMIUM CAR SALES"/>
    <n v="0"/>
    <n v="0"/>
    <s v=""/>
    <s v=""/>
    <s v=""/>
    <s v=""/>
    <s v="30-05-2025 23:11:48"/>
    <s v=""/>
    <s v="/////+++++****..."/>
    <x v="15"/>
    <x v="54"/>
    <s v="QASHQAI TURBO 1.3"/>
    <s v="ASTR77"/>
    <x v="5"/>
    <n v="45836"/>
    <s v="TNISTWU000581"/>
    <x v="102"/>
    <s v="USADO"/>
    <s v="GRIS METALICO"/>
    <s v="POR DEFINIR"/>
    <n v="17290000"/>
    <s v="Disponible"/>
    <x v="84"/>
    <x v="3"/>
    <s v="PREMIUM CAR SALES"/>
    <s v="AE,CC,EE,2AB,ABS,LL,VC,AC,AISO,AAUTO,CRE,SR,UD,DLL"/>
    <s v="HR13510927A"/>
    <s v="SJNTAAJ12PA169942"/>
    <s v="RODRIGO ANDRES LEDESMA RITCHIE"/>
    <s v="30-05-2025 0:00:00"/>
    <n v="1"/>
    <s v="30-05-2025 0:00:00"/>
    <s v="30-05-2025 23:10:29"/>
    <s v=""/>
    <n v="1"/>
    <n v="0"/>
    <s v=""/>
    <n v="0"/>
    <n v="17500000"/>
    <n v="598467"/>
    <n v="0"/>
    <n v="18098467"/>
    <n v="17290000"/>
    <n v="-808467"/>
    <n v="-468"/>
  </r>
  <r>
    <x v="2"/>
    <s v="LOCAL USADOS COPIAPO"/>
    <n v="0"/>
    <n v="0"/>
    <s v=""/>
    <s v=""/>
    <s v=""/>
    <s v=""/>
    <s v="30-03-2026 13:25:15"/>
    <s v=""/>
    <s v="VF3MCYHZUNL000473"/>
    <x v="0"/>
    <x v="35"/>
    <s v="5008 BLUEHDI 130 1.5 AUT"/>
    <s v="5008BH130"/>
    <x v="12"/>
    <n v="77000"/>
    <s v="TPESTWU000450"/>
    <x v="103"/>
    <s v="USADO"/>
    <s v="GRIS PLATINIUM"/>
    <s v="POR DEFINIR"/>
    <n v="16490000"/>
    <s v="Disponible"/>
    <x v="85"/>
    <x v="3"/>
    <s v="BODEGA LOS CARRERA COPIAPO"/>
    <s v="AE,CC,EE,AAC,ABS,LL,VC,AISO,AAUTO,CRE,MAV,ACD,SR,U"/>
    <s v="10Q3EJ1170226"/>
    <s v="VF3MCYHZUNL000473"/>
    <s v="JESSICA ALEJANDRA MELLA TAPIA"/>
    <s v="30-03-2026 0:00:00"/>
    <n v="1"/>
    <s v="30-03-2026 0:00:00"/>
    <s v="30-03-2026 13:24:46"/>
    <s v=""/>
    <n v="1"/>
    <n v="0"/>
    <s v=""/>
    <n v="0"/>
    <n v="14600000"/>
    <n v="348240"/>
    <n v="0"/>
    <n v="14948240"/>
    <n v="16490000"/>
    <n v="1541760"/>
    <n v="935"/>
  </r>
  <r>
    <x v="2"/>
    <s v="LOCAL USADOS COPIAPO"/>
    <n v="0"/>
    <n v="0"/>
    <s v=""/>
    <s v=""/>
    <s v=""/>
    <s v=""/>
    <s v="18-03-2026 11:24:08"/>
    <s v=""/>
    <s v="JMYXTGM4W NZ000993"/>
    <x v="7"/>
    <x v="55"/>
    <s v="OUTLANDER GL 2.5 AUT"/>
    <s v="MIOUTGL25AT"/>
    <x v="5"/>
    <n v="44000"/>
    <s v="TMISTWU000370"/>
    <x v="104"/>
    <s v="USADO"/>
    <s v="AZUL METALICO"/>
    <s v="POR DEFINIR"/>
    <n v="18190000"/>
    <s v="Disponible"/>
    <x v="71"/>
    <x v="12"/>
    <s v="BODEGA LOS CARRERA COPIAPO"/>
    <s v="AE,CC,EE,AAC,ABS,LL,VC,AISO,AAUTO,CRE,MAV,ACD,SR,U"/>
    <s v="PR25 251342"/>
    <s v="JMYXTGM4W NZ000993"/>
    <s v="DANIELA ALEJANDRA DONAIRE FREDES"/>
    <s v="18-03-2026 0:00:00"/>
    <n v="1"/>
    <s v="18-03-2026 0:00:00"/>
    <s v="18-03-2026 11:23:40"/>
    <s v="30-11-2027 0:00:00"/>
    <n v="1"/>
    <n v="0"/>
    <s v=""/>
    <n v="0"/>
    <n v="15200000"/>
    <n v="354030"/>
    <n v="0"/>
    <n v="15554030"/>
    <n v="18190000"/>
    <n v="2635970"/>
    <n v="1449"/>
  </r>
  <r>
    <x v="2"/>
    <s v="LOCAL PREMIUM CAR SALES"/>
    <n v="0"/>
    <n v="0"/>
    <s v=""/>
    <s v=""/>
    <s v=""/>
    <s v=""/>
    <s v="22-06-2026 11:30:26"/>
    <s v=""/>
    <s v="1FMUK8DH3 SGA72696"/>
    <x v="3"/>
    <x v="10"/>
    <s v="EXPLORER ACTIVE 4X4 2.3 AUT"/>
    <s v="EAC4X4"/>
    <x v="1"/>
    <n v="43000"/>
    <s v="TFOSTWU001414"/>
    <x v="105"/>
    <s v="USADO"/>
    <s v="AZUL VAPORIZADO"/>
    <s v="POR DEFINIR"/>
    <n v="36990000"/>
    <s v="Disponible"/>
    <x v="68"/>
    <x v="2"/>
    <s v="PREMIUM CAR SALES"/>
    <s v="AE,CC,EE,AAC,ABS,LL,VC,AISO,AAUTO,CRE,MAV,ACD,SR,U"/>
    <s v="SGA72696"/>
    <s v="1FMUK8DH3 SGA72696"/>
    <s v="LA AVICOLA LIMITADA"/>
    <s v="22-06-2026 0:00:00"/>
    <n v="1"/>
    <s v="22-06-2026 0:00:00"/>
    <s v="22-06-2026 11:30:05"/>
    <s v=""/>
    <n v="1"/>
    <n v="0"/>
    <s v=""/>
    <n v="0"/>
    <n v="30000000"/>
    <n v="579240"/>
    <n v="0"/>
    <n v="30579240"/>
    <n v="36990000"/>
    <n v="6410760"/>
    <n v="1733"/>
  </r>
  <r>
    <x v="2"/>
    <s v="LOCAL PDI"/>
    <n v="0"/>
    <n v="0"/>
    <s v=""/>
    <s v=""/>
    <s v=""/>
    <s v=""/>
    <s v="03-01-2017 1:36:33"/>
    <s v=""/>
    <s v="KNCSJX76AF7939699"/>
    <x v="6"/>
    <x v="20"/>
    <s v="FRONTIER C/C 2.5 6MT"/>
    <s v="17--1336"/>
    <x v="7"/>
    <n v="0"/>
    <s v="TKICMTN000002"/>
    <x v="106"/>
    <s v="USADO"/>
    <s v="BLANCO INVIERNO"/>
    <s v="NO DEFINIDO"/>
    <n v="14800000"/>
    <s v="Disponible"/>
    <x v="86"/>
    <x v="13"/>
    <s v="BODEGA PDI"/>
    <s v=""/>
    <s v="D4CBF677399"/>
    <s v="KNCSJX76AF7939699"/>
    <s v="SERVICIOS DE INGENIERIA Y MINERIA SPA"/>
    <s v="09-11-2015 0:00:00"/>
    <n v="23832"/>
    <s v="10-11-2015 0:00:00"/>
    <s v="12-11-2020 15:42:13"/>
    <s v="09-11-2015 0:00:00"/>
    <n v="0"/>
    <n v="0"/>
    <s v=""/>
    <n v="0"/>
    <n v="323597"/>
    <n v="3165631"/>
    <n v="0"/>
    <n v="3489228"/>
    <n v="14800000"/>
    <n v="11310772"/>
    <n v="7642"/>
  </r>
  <r>
    <x v="2"/>
    <s v="LOCAL PREMIUM CAR SALES"/>
    <n v="0"/>
    <n v="0"/>
    <s v=""/>
    <s v=""/>
    <s v=""/>
    <s v=""/>
    <s v="23-06-2026 13:21:58"/>
    <s v=""/>
    <s v="/////+++//+++*..+"/>
    <x v="23"/>
    <x v="56"/>
    <s v="JIMNY 4X4 1.5 AT"/>
    <s v="SUJIM4X415AT"/>
    <x v="0"/>
    <n v="4000"/>
    <s v="TSZSTWU000472"/>
    <x v="107"/>
    <s v="USADO"/>
    <s v="VERDE OSCURO"/>
    <s v="POR DEFINIR"/>
    <n v="17990000"/>
    <s v="Disponible"/>
    <x v="87"/>
    <x v="3"/>
    <s v="PREMIUM CAR SALES"/>
    <s v="AE,CC,EE,NB,ABS,LL,AC,AISO,AAUTO,CRE,MAV,ACD,UD,DL"/>
    <s v="K15B-1374987"/>
    <s v="JS3JB74V1 T5103191"/>
    <s v="LILIANA HAYDEE ROJO PIZARRO"/>
    <s v="23-06-2026 0:00:00"/>
    <n v="1"/>
    <s v="23-06-2026 0:00:00"/>
    <s v="23-06-2026 13:18:48"/>
    <s v=""/>
    <n v="1"/>
    <n v="0"/>
    <s v=""/>
    <n v="0"/>
    <n v="15000000"/>
    <n v="354240"/>
    <n v="0"/>
    <n v="15354240"/>
    <n v="17990000"/>
    <n v="2635760"/>
    <n v="1465"/>
  </r>
  <r>
    <x v="2"/>
    <s v="LOCAL USADOS COPIAPO"/>
    <n v="0"/>
    <n v="0"/>
    <s v=""/>
    <s v=""/>
    <s v=""/>
    <s v=""/>
    <s v="30-05-2026 11:24:30"/>
    <s v=""/>
    <s v="JN1KC4E26 P9020038"/>
    <x v="15"/>
    <x v="57"/>
    <s v="URVAN 4X2 2.5"/>
    <s v="NIUR01"/>
    <x v="5"/>
    <n v="71248"/>
    <s v="TNIFRGU000002"/>
    <x v="108"/>
    <s v="USADO"/>
    <s v="BLANCO"/>
    <s v="POR DEFINIR"/>
    <n v="19990000"/>
    <s v="Disponible"/>
    <x v="78"/>
    <x v="3"/>
    <s v="BODEGA LOS CARRERA COPIAPO"/>
    <s v="AE,CC,EE,2AB,ABS,AC,AISO,AAUTO,CRE,ACD,DLL"/>
    <s v="YD25113544B"/>
    <s v="JN1KC4E26 P9020038"/>
    <s v="INVERSIONES SEYMAQ ATACAMA LIMITADA"/>
    <s v="30-05-2026 0:00:00"/>
    <n v="1"/>
    <s v="30-05-2026 0:00:00"/>
    <s v="30-05-2026 11:24:09"/>
    <s v="31-08-2027 0:00:00"/>
    <n v="3"/>
    <n v="0"/>
    <s v=""/>
    <n v="0"/>
    <n v="15500000"/>
    <n v="361740"/>
    <n v="0"/>
    <n v="15861740"/>
    <n v="19990000"/>
    <n v="4128260"/>
    <n v="2065"/>
  </r>
  <r>
    <x v="2"/>
    <s v="MEGACENTRO OVALLE"/>
    <n v="0"/>
    <n v="0"/>
    <s v=""/>
    <s v=""/>
    <s v=""/>
    <s v=""/>
    <s v="30-09-2025 19:19:30"/>
    <s v=""/>
    <s v="VF3MRHNSM PS004241"/>
    <x v="0"/>
    <x v="44"/>
    <s v="3008 PURETECH 1.2L"/>
    <s v="3P1L"/>
    <x v="5"/>
    <n v="45360"/>
    <s v="TPESTWU000424"/>
    <x v="109"/>
    <s v="USADO"/>
    <s v="BLANCO NACARADO"/>
    <s v="POR DEFINIR"/>
    <n v="13990000"/>
    <s v="Disponible"/>
    <x v="88"/>
    <x v="3"/>
    <s v="BODEGA OVALLEveih"/>
    <s v="AE,CC,EE,AAC,ABS,LL,VC,AISO,AAUTO,CRE,MAV,SR,UD,DL"/>
    <s v="10TMAF0001673"/>
    <s v="VF3MRHNSM PS004241"/>
    <s v="CECILIA BEATRIZ TAPIA CASTRO"/>
    <s v="30-09-2025 0:00:00"/>
    <n v="1"/>
    <s v="06-11-2025 11:46:00"/>
    <s v="06-11-2025 11:46:00"/>
    <s v="31-07-2027 0:00:00"/>
    <n v="1"/>
    <n v="0"/>
    <s v=""/>
    <n v="0"/>
    <n v="12100000"/>
    <n v="307530"/>
    <n v="0"/>
    <n v="12407530"/>
    <n v="13990000"/>
    <n v="1582470"/>
    <n v="1131"/>
  </r>
  <r>
    <x v="2"/>
    <s v="LOCAL USADOS"/>
    <n v="0"/>
    <n v="0"/>
    <s v=""/>
    <s v=""/>
    <s v=""/>
    <s v=""/>
    <s v="08-06-2022 9:26:11"/>
    <s v=""/>
    <s v="1C4RJFAM4DC548094"/>
    <x v="24"/>
    <x v="58"/>
    <s v="GRAND CHEROKEE LAREDO 4X4 3.0 AUT"/>
    <s v="MIP"/>
    <x v="13"/>
    <n v="160000"/>
    <s v="TJESTWU000395"/>
    <x v="110"/>
    <s v="USADO"/>
    <s v="GRIS GRAFITO"/>
    <s v="POR DEFINIR"/>
    <n v="11490000"/>
    <s v="Disponible"/>
    <x v="89"/>
    <x v="4"/>
    <s v="BODEGA VEHICULOS"/>
    <s v="CC,EE,2AB,NB,AAC,ABS,LL,VC,ESP,CT,AELE,CRE,MAV,ACD"/>
    <s v="DC548094"/>
    <s v="1C4RJFAM4DC548094"/>
    <s v="ERICK DARNEY VERGARA ROJAS"/>
    <s v="08-06-2022 0:00:00"/>
    <n v="1"/>
    <s v="08-06-2022 0:00:00"/>
    <s v="08-06-2022 9:25:50"/>
    <s v=""/>
    <n v="0"/>
    <n v="0"/>
    <s v=""/>
    <n v="0"/>
    <n v="13800000"/>
    <n v="513046"/>
    <n v="0"/>
    <n v="14313046"/>
    <n v="11490000"/>
    <n v="-2823046"/>
    <n v="-2457"/>
  </r>
  <r>
    <x v="2"/>
    <s v="LOCAL USADOS COPIAPO"/>
    <n v="0"/>
    <n v="0"/>
    <s v=""/>
    <s v=""/>
    <s v=""/>
    <s v=""/>
    <s v="28-11-2025 12:40:34"/>
    <s v=""/>
    <s v="SJNTAAJ12 PA121164"/>
    <x v="15"/>
    <x v="54"/>
    <s v="QASHQAI TURBO 1.3"/>
    <s v="ASTR77"/>
    <x v="5"/>
    <n v="45000"/>
    <s v="TNISTWU000600"/>
    <x v="111"/>
    <s v="USADO"/>
    <s v="BLANCO PERLA"/>
    <s v="POR DEFINIR"/>
    <n v="17390000"/>
    <s v="Disponible"/>
    <x v="90"/>
    <x v="3"/>
    <s v="BODEGA LOS CARRERA COPIAPO"/>
    <s v="AE,CC,EE,ABS,LL,VC,AC,AISO,AAUTO,CRE,MAV,ACD,SR,UD"/>
    <s v="HR13460529A"/>
    <s v="SJNTAAJ12 PA121164"/>
    <s v="PATRICIA JESUS PAYACAN PALACIOS"/>
    <s v="28-11-2025 0:00:00"/>
    <n v="1"/>
    <s v="04-06-2026 9:56:00"/>
    <s v="04-06-2026 9:56:00"/>
    <s v="30-06-2026 0:00:00"/>
    <n v="1"/>
    <n v="0"/>
    <s v=""/>
    <n v="0"/>
    <n v="15400000"/>
    <n v="566967"/>
    <n v="0"/>
    <n v="15966967"/>
    <n v="17390000"/>
    <n v="1423033"/>
    <n v="818"/>
  </r>
  <r>
    <x v="2"/>
    <s v="MEGACENTRO OVALLE"/>
    <n v="0"/>
    <n v="0"/>
    <s v=""/>
    <s v=""/>
    <s v=""/>
    <s v=""/>
    <s v="16-06-2026 12:02:27"/>
    <s v=""/>
    <s v="//+//+++////+*..."/>
    <x v="0"/>
    <x v="40"/>
    <s v="2008 PURETECH 130 EAT8 1.2 AUT"/>
    <s v="PP2"/>
    <x v="3"/>
    <n v="63400"/>
    <s v="TPESTWU000458"/>
    <x v="112"/>
    <s v="USADO"/>
    <s v="BLANCO NACARADO"/>
    <s v="POR DEFINIR"/>
    <n v="12190000"/>
    <s v="Disponible"/>
    <x v="66"/>
    <x v="12"/>
    <s v="BODEGA OVALLEveih"/>
    <s v="AE,CC,EE,AAC,ABS,LL,VC,AISO,AAUTO,MAV,ACD,SR,DLL,6"/>
    <s v="10Z1AF0195937"/>
    <s v="VR3USHNSS PJ502364"/>
    <s v="EUGENIA PAOLA COS LIRA"/>
    <s v="16-06-2026 0:00:00"/>
    <n v="1"/>
    <s v="16-06-2026 0:00:00"/>
    <s v="16-06-2026 11:56:14"/>
    <s v="30-11-2027 0:00:00"/>
    <n v="2"/>
    <n v="0"/>
    <s v=""/>
    <n v="0"/>
    <n v="9700000"/>
    <n v="274740"/>
    <n v="0"/>
    <n v="9974740"/>
    <n v="12190000"/>
    <n v="2215260"/>
    <n v="1817"/>
  </r>
  <r>
    <x v="2"/>
    <s v="LOCAL USADOS COPIAPO"/>
    <n v="0"/>
    <n v="0"/>
    <s v=""/>
    <s v=""/>
    <s v=""/>
    <s v=""/>
    <s v="28-01-2026 17:28:07"/>
    <s v=""/>
    <s v="1FMCU0BZ6NUB03562"/>
    <x v="3"/>
    <x v="45"/>
    <s v="ESCAPE FHEV 2.5 AUT"/>
    <s v="FOESFEHV20AT"/>
    <x v="5"/>
    <n v="45000"/>
    <s v="TFOSTWU001396"/>
    <x v="113"/>
    <s v="USADO"/>
    <s v="BLANCO METALICO"/>
    <s v="POR DEFINIR"/>
    <n v="19990000"/>
    <s v="Disponible"/>
    <x v="91"/>
    <x v="3"/>
    <s v="BODEGA LOS CARRERA COPIAPO"/>
    <s v="AE,CC,EE,AAC,ABS,LL,AISO,AAUTO,CRE,MAV,ACD,SR,UD,D"/>
    <s v="NUB03562"/>
    <s v="1FMCU0BZ6NUB03562"/>
    <s v="SOCIEDAD COMERCIAL HERMANOS GODOY ARAYA SPA"/>
    <s v="28-01-2026 0:00:00"/>
    <n v="1"/>
    <s v="28-01-2026 0:00:00"/>
    <s v="28-01-2026 17:22:31"/>
    <s v=""/>
    <n v="1"/>
    <n v="0"/>
    <s v=""/>
    <n v="0"/>
    <n v="17500000"/>
    <n v="388530"/>
    <n v="0"/>
    <n v="17888530"/>
    <n v="19990000"/>
    <n v="2101470"/>
    <n v="1051"/>
  </r>
  <r>
    <x v="2"/>
    <s v="LOCAL USADOS"/>
    <n v="0"/>
    <n v="0"/>
    <s v=""/>
    <s v=""/>
    <s v=""/>
    <s v=""/>
    <s v="28-02-2026 11:42:29"/>
    <s v=""/>
    <s v="1FM5K8FH7KGA98168"/>
    <x v="3"/>
    <x v="10"/>
    <s v="EXPLORER LTD 4X4 2.3 AUT"/>
    <s v="EXPUS1"/>
    <x v="9"/>
    <n v="84600"/>
    <s v="TFOSTWU001401"/>
    <x v="114"/>
    <s v="USADO"/>
    <s v="BLANCO METAL"/>
    <s v="POR DEFINIR"/>
    <n v="22990000"/>
    <s v="Disponible"/>
    <x v="31"/>
    <x v="2"/>
    <s v="BODEGA VEHICULOS"/>
    <s v=""/>
    <s v="KGA98168"/>
    <s v="1FM5K8FH7KGA98168"/>
    <s v="CLAUDIO VALENZUELA CELIS"/>
    <s v="28-02-2026 0:00:00"/>
    <n v="1"/>
    <s v="28-02-2026 0:00:00"/>
    <s v="28-02-2026 11:42:08"/>
    <s v=""/>
    <n v="0"/>
    <n v="0"/>
    <s v=""/>
    <n v="0"/>
    <n v="17000000"/>
    <n v="381030"/>
    <n v="0"/>
    <n v="17381030"/>
    <n v="22990000"/>
    <n v="5608970"/>
    <n v="244"/>
  </r>
  <r>
    <x v="2"/>
    <s v="LOCAL USADOS"/>
    <n v="0"/>
    <n v="0"/>
    <s v=""/>
    <s v=""/>
    <s v=""/>
    <s v=""/>
    <s v="20-03-2020 12:53:54"/>
    <s v=""/>
    <s v="KNAPB811BE7498300"/>
    <x v="6"/>
    <x v="59"/>
    <s v="SPORTAGE LX 4X4 2.0 AUT"/>
    <s v="17--0120"/>
    <x v="14"/>
    <n v="83000"/>
    <s v="TKISTWU001135"/>
    <x v="115"/>
    <s v="USADO"/>
    <s v="ROJO ORANGE"/>
    <s v="POR DEFINIR"/>
    <n v="8490000"/>
    <s v="Disponible"/>
    <x v="92"/>
    <x v="7"/>
    <s v="BODEGA VEHICULOS"/>
    <s v=""/>
    <s v="G4KDDH424564"/>
    <s v="KNAPB811BE7498300"/>
    <s v="IMPORTADORA TRENTO LTDA"/>
    <s v="20-03-2020 0:00:00"/>
    <n v="1"/>
    <s v="13-04-2020 0:00:00"/>
    <s v="13-04-2020 10:05:55"/>
    <s v=""/>
    <n v="0"/>
    <n v="0"/>
    <s v=""/>
    <n v="0"/>
    <n v="0"/>
    <n v="2523835"/>
    <n v="0"/>
    <n v="2523835"/>
    <n v="8490000"/>
    <n v="5966165"/>
    <n v="7027"/>
  </r>
  <r>
    <x v="2"/>
    <s v="LOCAL USADOS COPIAPO"/>
    <n v="0"/>
    <n v="0"/>
    <s v=""/>
    <s v=""/>
    <s v=""/>
    <s v=""/>
    <s v="02-10-2025 16:52:58"/>
    <s v=""/>
    <s v="VR3KAHPY6 SS009601"/>
    <x v="0"/>
    <x v="44"/>
    <s v="3008 ALLURE 1.2 AUT"/>
    <s v="3008ALLUSA"/>
    <x v="1"/>
    <n v="4687"/>
    <s v="TPESTWU000425"/>
    <x v="116"/>
    <s v="USADO"/>
    <s v="GRIS ARTENSE"/>
    <s v="POR DEFINIR"/>
    <n v="23890000"/>
    <s v="Disponible"/>
    <x v="24"/>
    <x v="3"/>
    <s v="BODEGA LOS CARRERA COPIAPO"/>
    <s v="AE,CC,EE,AAC,ABS,LL,AISO,AAUTO,CRE,MAV,ACD,SR,UD,D"/>
    <s v="10ZA040090603"/>
    <s v="VR3KAHPY6 SS009601"/>
    <s v="PEDRO ANDRES NARVAEZ FLORES"/>
    <s v="02-10-2025 0:00:00"/>
    <n v="1"/>
    <s v="02-10-2025 0:00:00"/>
    <s v="02-10-2025 16:52:06"/>
    <s v=""/>
    <n v="1"/>
    <n v="0"/>
    <s v=""/>
    <n v="0"/>
    <n v="28490000"/>
    <n v="914223"/>
    <n v="0"/>
    <n v="29404223"/>
    <n v="23890000"/>
    <n v="-5514223"/>
    <n v="-2308"/>
  </r>
  <r>
    <x v="2"/>
    <s v="LOCAL PREMIUM CAR SALES"/>
    <n v="0"/>
    <n v="0"/>
    <s v=""/>
    <s v=""/>
    <s v=""/>
    <s v=""/>
    <s v="27-06-2026 12:46:52"/>
    <s v=""/>
    <s v="3FTTW8E31PRA29529"/>
    <x v="3"/>
    <x v="18"/>
    <s v="MAVERICK LARIAT 2.5 AUT"/>
    <s v="FOMALA25ATFHEV"/>
    <x v="1"/>
    <n v="31490"/>
    <s v="TFOCMTU001164"/>
    <x v="117"/>
    <s v="USADO"/>
    <s v="PLATEADO METALICO"/>
    <s v="POR DEFINIR"/>
    <n v="25990000"/>
    <s v="Disponible"/>
    <x v="93"/>
    <x v="3"/>
    <s v="PREMIUM CAR SALES"/>
    <s v="AE,CC,EE,AAC,ABS,LL,ESP,AISO,AAUTO,CRE,MAV,ACD,SR,"/>
    <s v="PRA29529"/>
    <s v="3FTTW8E31PRA29529"/>
    <s v="RVR LIMITADA"/>
    <s v="27-06-2026 0:00:00"/>
    <n v="1"/>
    <s v="27-06-2026 0:00:00"/>
    <s v="27-06-2026 12:46:07"/>
    <s v=""/>
    <n v="1"/>
    <n v="0"/>
    <s v=""/>
    <n v="0"/>
    <n v="22500000"/>
    <n v="466740"/>
    <n v="0"/>
    <n v="22966740"/>
    <n v="25990000"/>
    <n v="3023260"/>
    <n v="1163"/>
  </r>
  <r>
    <x v="2"/>
    <s v="LOCAL PREMIUM CAR SALES"/>
    <n v="0"/>
    <n v="0"/>
    <s v=""/>
    <s v=""/>
    <s v=""/>
    <s v=""/>
    <s v="08-01-2026 15:20:40"/>
    <s v=""/>
    <s v="LGXC74C40R0005634"/>
    <x v="25"/>
    <x v="60"/>
    <s v="SONG PLUS 4X2 1.5 AUT"/>
    <s v="BYSONP15AT"/>
    <x v="2"/>
    <n v="30000"/>
    <s v="TBYSTWU000006"/>
    <x v="118"/>
    <s v="USADO"/>
    <s v="ROJO"/>
    <s v="POR DEFINIR"/>
    <n v="20990000"/>
    <s v="Disponible"/>
    <x v="94"/>
    <x v="3"/>
    <s v="PREMIUM CAR SALES"/>
    <s v="AE,CC,EE,AAC,ABS,LL,AISO,AAUTO,CRE,MAV,SR,UD,DLL,6"/>
    <s v="BYD472QA S23333377"/>
    <s v="LGXC74C40R0005634"/>
    <s v="EMILIO ANDRES ORDENES ROJAS"/>
    <s v="08-01-2026 0:00:00"/>
    <n v="1"/>
    <s v="08-01-2026 0:00:00"/>
    <s v="08-01-2026 15:16:26"/>
    <s v=""/>
    <n v="1"/>
    <n v="0"/>
    <s v=""/>
    <n v="0"/>
    <n v="20000000"/>
    <n v="524003"/>
    <n v="0"/>
    <n v="20524003"/>
    <n v="20990000"/>
    <n v="465997"/>
    <n v="222"/>
  </r>
  <r>
    <x v="2"/>
    <s v="LOCAL USADOS COPIAPO"/>
    <n v="0"/>
    <n v="0"/>
    <s v=""/>
    <s v=""/>
    <s v=""/>
    <s v=""/>
    <s v="27-06-2026 13:46:34"/>
    <s v=""/>
    <s v="8ADUPHMEA RG501107"/>
    <x v="0"/>
    <x v="61"/>
    <s v="208 STYLE PURETECH 75 1.2"/>
    <s v="22PT"/>
    <x v="5"/>
    <n v="26000"/>
    <s v="TPEAUTU001172"/>
    <x v="119"/>
    <s v="USADO"/>
    <s v="BLANCO NACARADO"/>
    <s v="POR DEFINIR"/>
    <n v="8990000"/>
    <s v="Disponible"/>
    <x v="93"/>
    <x v="3"/>
    <s v="BODEGA LOS CARRERA COPIAPO"/>
    <s v="AE,CC,EE,ABS,LL,4AB,AC,AISO,AAUTO,CRE,ACD,SR,UD,DL"/>
    <s v="10VQAC0011686"/>
    <s v="8ADUPHMEA RG501107"/>
    <s v="CARLOS ROBERTO OVIEDO ALARCON"/>
    <s v="27-06-2026 0:00:00"/>
    <n v="1"/>
    <s v="27-06-2026 0:00:00"/>
    <s v="27-06-2026 13:46:01"/>
    <s v=""/>
    <n v="1"/>
    <n v="0"/>
    <s v=""/>
    <n v="0"/>
    <n v="7150000"/>
    <n v="236490"/>
    <n v="0"/>
    <n v="7386490"/>
    <n v="8990000"/>
    <n v="1603510"/>
    <n v="1784"/>
  </r>
  <r>
    <x v="2"/>
    <s v="LOCAL PREMIUM CAR SALES"/>
    <n v="0"/>
    <n v="0"/>
    <s v=""/>
    <s v=""/>
    <s v=""/>
    <s v=""/>
    <s v="06-04-2026 15:27:31"/>
    <s v=""/>
    <s v="LPE19W2A6TF007924"/>
    <x v="25"/>
    <x v="62"/>
    <s v="SHARK 1.5 AUT"/>
    <s v="BYDSHA15AT"/>
    <x v="1"/>
    <n v="20000"/>
    <s v="TBYCMTU000001"/>
    <x v="120"/>
    <s v="USADO"/>
    <s v="BLANCO"/>
    <s v="POR DEFINIR"/>
    <n v="36990000"/>
    <s v="Disponible"/>
    <x v="0"/>
    <x v="3"/>
    <s v="PREMIUM CAR SALES"/>
    <s v="AE,CC,EE,NB,AAC,ABS,LL,TC,AISO,AAUTO,CRE,ACD,SR,UD"/>
    <s v="BYD476ZQFT25007008"/>
    <s v="LPE19W2A6TF007924"/>
    <s v="SEGURIDAD PRIVADA Y ASEO INDUSTRIAL GUILLERMO DE JESUS NEIRA ARAYA SPA . ."/>
    <s v="06-04-2026 0:00:00"/>
    <n v="1"/>
    <s v="06-04-2026 0:00:00"/>
    <s v="06-04-2026 15:26:56"/>
    <s v=""/>
    <n v="1"/>
    <n v="0"/>
    <s v=""/>
    <n v="0"/>
    <n v="31627180"/>
    <n v="603648"/>
    <n v="0"/>
    <n v="32230828"/>
    <n v="36990000"/>
    <n v="4759172"/>
    <n v="1287"/>
  </r>
  <r>
    <x v="2"/>
    <s v="LOCAL PREMIUM CAR SALES"/>
    <n v="0"/>
    <n v="0"/>
    <s v=""/>
    <s v=""/>
    <s v=""/>
    <s v=""/>
    <s v="30-04-2024 14:05:18"/>
    <s v=""/>
    <s v="*/+--....../*...."/>
    <x v="12"/>
    <x v="63"/>
    <s v="AMAROK DCAB TDI DOHC 4X4 2.0 AUT"/>
    <s v="VWA44"/>
    <x v="5"/>
    <n v="15600"/>
    <s v="TVOCMTU000037"/>
    <x v="121"/>
    <s v="USADO"/>
    <s v="GRIS INDIO METALIZADO"/>
    <s v="POR DEFINIR"/>
    <n v="33190000"/>
    <s v="Disponible"/>
    <x v="95"/>
    <x v="4"/>
    <s v="PREMIUM CAR SALES"/>
    <s v="AE,CC,EE,NB,AAC,ABS,LL,TC,VC,ESP,SS,AISO,AAUTO,CRE"/>
    <s v="CSH 255654"/>
    <s v="WV1ZZZ2HZPA010091"/>
    <s v="INMOBILIA ROJAS ALVAREZ LTDA"/>
    <s v="30-04-2024 0:00:00"/>
    <n v="1"/>
    <s v="12-05-2025 17:38:00"/>
    <s v="12-05-2025 17:38:00"/>
    <s v=""/>
    <n v="0"/>
    <n v="0"/>
    <s v=""/>
    <n v="0"/>
    <n v="28500000"/>
    <n v="1097663"/>
    <n v="0"/>
    <n v="29597663"/>
    <n v="33190000"/>
    <n v="3592337"/>
    <n v="1082"/>
  </r>
  <r>
    <x v="2"/>
    <s v="LOCAL PREMIUM CAR SALES"/>
    <n v="0"/>
    <n v="0"/>
    <s v=""/>
    <s v=""/>
    <s v=""/>
    <s v=""/>
    <s v="06-04-2026 13:31:44"/>
    <s v=""/>
    <s v="VF3M45GYWPS011277"/>
    <x v="0"/>
    <x v="44"/>
    <s v="3008 THP 165HP 1.6 AUT"/>
    <s v="PE3008AT"/>
    <x v="5"/>
    <n v="63000"/>
    <s v="TPESTWU000452"/>
    <x v="122"/>
    <s v="USADO"/>
    <s v="BLANCO NACARADO"/>
    <s v="POR DEFINIR"/>
    <n v="16490000"/>
    <s v="Disponible"/>
    <x v="0"/>
    <x v="3"/>
    <s v="PREMIUM CAR SALES"/>
    <s v="AE,CC,EE,AAC,ABS,LL,VC,AISO,AAUTO,CRE,MAV,ACD,SR,U"/>
    <s v="10FJCX3008191"/>
    <s v="VF3M45GYWPS011277"/>
    <s v="MARIO ANDRES TABILO ABARCA"/>
    <s v="06-04-2026 0:00:00"/>
    <n v="1"/>
    <s v="06-04-2026 0:00:00"/>
    <s v="06-04-2026 13:30:57"/>
    <s v="30-06-2027 0:00:00"/>
    <n v="1"/>
    <n v="0"/>
    <s v=""/>
    <n v="0"/>
    <n v="14000000"/>
    <n v="339240"/>
    <n v="0"/>
    <n v="14339240"/>
    <n v="16490000"/>
    <n v="2150760"/>
    <n v="1304"/>
  </r>
  <r>
    <x v="2"/>
    <s v="LOCAL PREMIUM CAR SALES"/>
    <n v="0"/>
    <n v="0"/>
    <s v=""/>
    <s v=""/>
    <s v=""/>
    <s v=""/>
    <s v="18-03-2026 18:56:36"/>
    <s v=""/>
    <s v="8AFAR22Z9PJ320092"/>
    <x v="3"/>
    <x v="16"/>
    <s v="RANGER XLT 2.5"/>
    <s v="01--TFOCMTU216"/>
    <x v="5"/>
    <n v="70000"/>
    <s v="TFOCMTU001157"/>
    <x v="123"/>
    <s v="USADO"/>
    <s v="BLANCO"/>
    <s v="POR DEFINIR"/>
    <n v="16990000"/>
    <s v="Disponible"/>
    <x v="71"/>
    <x v="3"/>
    <s v="PREMIUM CAR SALES"/>
    <s v="AE,CC,EE,AAC,ABS,LL,VC,AISO,AAUTO,CRE,MAV,ACD,SR,D"/>
    <s v="EV2S PJ320092"/>
    <s v="8AFAR22Z9PJ320092"/>
    <s v="EVENTOS GUAYACAN SPA"/>
    <s v="18-03-2026 0:00:00"/>
    <n v="1"/>
    <s v="31-07-2026 12:21:00"/>
    <s v="31-07-2026 12:21:00"/>
    <s v="30-04-2026 0:00:00"/>
    <n v="1"/>
    <n v="0"/>
    <s v=""/>
    <n v="0"/>
    <n v="14500000"/>
    <n v="343530"/>
    <n v="0"/>
    <n v="14843530"/>
    <n v="16990000"/>
    <n v="2146470"/>
    <n v="1263"/>
  </r>
  <r>
    <x v="2"/>
    <s v="LOCAL PREMIUM CAR SALES"/>
    <n v="0"/>
    <n v="0"/>
    <s v=""/>
    <s v=""/>
    <s v=""/>
    <s v=""/>
    <s v="01-04-2026 12:48:10"/>
    <s v=""/>
    <s v="1GNSK7KC8 KR384750"/>
    <x v="14"/>
    <x v="64"/>
    <s v="TAHOE 4X4 5.3 AUT"/>
    <s v="CHTAH4X453AT"/>
    <x v="9"/>
    <n v="85300"/>
    <s v="TCHSTWU000319"/>
    <x v="124"/>
    <s v="USADO"/>
    <s v="GRIS METALICO"/>
    <s v="POR DEFINIR"/>
    <n v="28990000"/>
    <s v="Disponible"/>
    <x v="96"/>
    <x v="3"/>
    <s v="PREMIUM CAR SALES"/>
    <s v="AE,CC,EE,AAC,ABS,LL,TC,VC,AISO,AAUTO,CRE,MAV,ACD,S"/>
    <s v="CKR384750"/>
    <s v="1GNSK7KC8 KR384750"/>
    <s v="RAUL EDUARDO HUERTA DIAZ"/>
    <s v="01-04-2026 0:00:00"/>
    <n v="1"/>
    <s v="01-04-2026 0:00:00"/>
    <s v="01-04-2026 12:45:35"/>
    <s v="30-09-2026 0:00:00"/>
    <n v="3"/>
    <n v="0"/>
    <s v=""/>
    <n v="0"/>
    <n v="24500000"/>
    <n v="496740"/>
    <n v="0"/>
    <n v="24996740"/>
    <n v="28990000"/>
    <n v="3993260"/>
    <n v="1377"/>
  </r>
  <r>
    <x v="2"/>
    <s v="LOCAL PREMIUM CAR SALES"/>
    <n v="0"/>
    <n v="0"/>
    <s v=""/>
    <s v=""/>
    <s v=""/>
    <s v=""/>
    <s v="03-07-2026 18:49:38"/>
    <s v=""/>
    <s v="LJ12EKR21P4701008"/>
    <x v="21"/>
    <x v="65"/>
    <s v="JS3 1.6"/>
    <s v="J3333"/>
    <x v="3"/>
    <n v="48094"/>
    <s v="TJAAUTU000018"/>
    <x v="125"/>
    <s v="USADO"/>
    <s v="BLANCO"/>
    <s v="POR DEFINIR"/>
    <n v="8290000"/>
    <s v="Disponible"/>
    <x v="79"/>
    <x v="3"/>
    <s v="PREMIUM CAR SALES"/>
    <s v="AE,CC,EE,2AB,NB,ABS,LL,AC,AISO,AAUTO,CRE,MAV,SR,UD"/>
    <s v="N3302686"/>
    <s v="LJ12EKR21P4701008"/>
    <s v="YOSELYN MACARENA PEREIRA CONTRERAS"/>
    <s v="03-07-2026 0:00:00"/>
    <n v="1"/>
    <s v="03-07-2026 0:00:00"/>
    <s v="03-07-2026 18:48:57"/>
    <s v=""/>
    <n v="1"/>
    <n v="0"/>
    <s v=""/>
    <n v="0"/>
    <n v="6000000"/>
    <n v="219240"/>
    <n v="0"/>
    <n v="6219240"/>
    <n v="8290000"/>
    <n v="2070760"/>
    <n v="2498"/>
  </r>
  <r>
    <x v="2"/>
    <s v="LOCAL PREMIUM CAR SALES"/>
    <n v="0"/>
    <n v="0"/>
    <s v=""/>
    <s v=""/>
    <s v=""/>
    <s v=""/>
    <s v="30-10-2025 16:09:38"/>
    <s v=""/>
    <s v="1FTFW1RG1KFC72541"/>
    <x v="3"/>
    <x v="24"/>
    <s v="F150 RAPTOR 4X4 3.5 AUT"/>
    <s v="FRK7"/>
    <x v="9"/>
    <n v="97261"/>
    <s v="TFOCMTU001137"/>
    <x v="126"/>
    <s v="USADO"/>
    <s v="BLANCO OXFOR"/>
    <s v="POR DEFINIR"/>
    <n v="45990000"/>
    <s v="Disponible"/>
    <x v="97"/>
    <x v="11"/>
    <s v="PREMIUM CAR SALES"/>
    <s v="AE,CC,EE,AAC,ABS,TC,VC,AISO,AAUTO,CRE,MAV,ACD,SR,U"/>
    <s v="KFC72541"/>
    <s v="1FTFW1RG1KFC72541"/>
    <s v="ARRIAGADA DIAZ MANUEL ANTONIO Y PINTO OÑATE MARIA BELEN LTDA"/>
    <s v="30-10-2025 0:00:00"/>
    <n v="1"/>
    <s v="25-02-2026 10:09:00"/>
    <s v="25-02-2026 10:09:00"/>
    <s v="30-04-2026 0:00:00"/>
    <n v="1"/>
    <n v="0"/>
    <s v=""/>
    <n v="0"/>
    <n v="34200000"/>
    <n v="639030"/>
    <n v="0"/>
    <n v="34839030"/>
    <n v="45990000"/>
    <n v="11150970"/>
    <n v="2425"/>
  </r>
  <r>
    <x v="2"/>
    <s v="LOCAL PREMIUM CAR SALES"/>
    <n v="0"/>
    <n v="0"/>
    <s v=""/>
    <s v=""/>
    <s v=""/>
    <s v=""/>
    <s v="24-06-2026 18:46:03"/>
    <s v=""/>
    <s v="JN1TBAT32 PW008658"/>
    <x v="15"/>
    <x v="66"/>
    <s v="X TRAIL T32 CVT 2.5 AUT"/>
    <s v="XTCV2"/>
    <x v="5"/>
    <n v="74175"/>
    <s v="TNISTWU000616"/>
    <x v="127"/>
    <s v="USADO"/>
    <s v="BLANCO PERLA"/>
    <s v="POR DEFINIR"/>
    <n v="16990000"/>
    <s v="Disponible"/>
    <x v="98"/>
    <x v="2"/>
    <s v="PREMIUM CAR SALES"/>
    <s v="AE,CC,EE,ABS,LL,VC,AC,AISO,AAUTO,CRE,MAV,SR,DLL,6A"/>
    <s v="QR25766515M"/>
    <s v="JN1TBAT32 PW008658"/>
    <s v="JUDITH SOLANGE CORDOVA INOSTROZA"/>
    <s v="24-06-2026 0:00:00"/>
    <n v="1"/>
    <s v="24-06-2026 0:00:00"/>
    <s v="24-06-2026 18:45:17"/>
    <s v=""/>
    <n v="2"/>
    <n v="0"/>
    <s v=""/>
    <n v="0"/>
    <n v="13500000"/>
    <n v="331740"/>
    <n v="0"/>
    <n v="13831740"/>
    <n v="16990000"/>
    <n v="3158260"/>
    <n v="1859"/>
  </r>
  <r>
    <x v="2"/>
    <s v="LOCAL USADOS"/>
    <n v="0"/>
    <n v="0"/>
    <s v=""/>
    <s v=""/>
    <s v=""/>
    <s v=""/>
    <s v="10-11-2025 18:59:30"/>
    <s v=""/>
    <s v="//.//+++/+/++*..."/>
    <x v="10"/>
    <x v="31"/>
    <s v="7 DCT FWD 1.6 AUT"/>
    <s v="JE7AWD16AT"/>
    <x v="1"/>
    <n v="10200"/>
    <s v="TJAESTWU000001"/>
    <x v="128"/>
    <s v="USADO"/>
    <s v="ROJO NEGRO RUBI"/>
    <s v="POR DEFINIR"/>
    <n v="16490000"/>
    <s v="Disponible"/>
    <x v="99"/>
    <x v="14"/>
    <s v="BODEGA VEHICULOS"/>
    <s v="AE,CC,EE,AAC,ABS,LL,AISO,AAUTO,CRE,MAV,ACD,SR,UD,D"/>
    <s v="SQRF4J16CAMPM02301"/>
    <s v="LVVDB21B5 RC012704"/>
    <s v="LEONARDO JORGE ESTEBAN BOLTON MONTALVA"/>
    <s v="10-11-2025 0:00:00"/>
    <n v="1"/>
    <s v="10-11-2025 0:00:00"/>
    <s v="10-11-2025 18:58:34"/>
    <s v=""/>
    <n v="1"/>
    <n v="0"/>
    <s v=""/>
    <n v="0"/>
    <n v="15500000"/>
    <n v="358530"/>
    <n v="0"/>
    <n v="15858530"/>
    <n v="16490000"/>
    <n v="631470"/>
    <n v="383"/>
  </r>
  <r>
    <x v="2"/>
    <s v="MEGACENTRO COPIAPO"/>
    <n v="0"/>
    <n v="0"/>
    <s v=""/>
    <s v=""/>
    <s v=""/>
    <s v=""/>
    <s v="03-01-2017 1:36:33"/>
    <s v=""/>
    <s v="LGHT12177E9700276"/>
    <x v="5"/>
    <x v="67"/>
    <s v="CARGO BOX XL 1.3"/>
    <s v="2012--CARGOBOX1"/>
    <x v="14"/>
    <n v="0"/>
    <s v="TDFCMTU000004"/>
    <x v="129"/>
    <s v="USADO"/>
    <s v="BLANCO"/>
    <s v="NO DEFINIDO"/>
    <n v="4867100"/>
    <s v="Disponible"/>
    <x v="100"/>
    <x v="6"/>
    <s v="BOD. Veh. MEGA COPIAPO"/>
    <s v=""/>
    <s v="EQ474I-3013074677"/>
    <s v="LGHT12177E9700276"/>
    <s v="SOCIEDAD HERMANAS CALLEGARI LTDA"/>
    <s v="11-06-2014 0:00:00"/>
    <n v="0"/>
    <s v=""/>
    <s v=""/>
    <s v="11-06-2014 0:00:00"/>
    <n v="0"/>
    <n v="0"/>
    <s v=""/>
    <n v="0"/>
    <n v="108561"/>
    <n v="3090141"/>
    <n v="0"/>
    <n v="3198702"/>
    <n v="4867100"/>
    <n v="1668398"/>
    <n v="3428"/>
  </r>
  <r>
    <x v="2"/>
    <s v="LOCAL USADOS COPIAPO"/>
    <n v="0"/>
    <n v="0"/>
    <s v=""/>
    <s v=""/>
    <s v=""/>
    <s v=""/>
    <s v="15-03-2022 11:58:49"/>
    <s v=""/>
    <s v="KPTG0B1TSFP339581"/>
    <x v="13"/>
    <x v="68"/>
    <s v="REXTON 2.0"/>
    <s v="05--12345678"/>
    <x v="15"/>
    <n v="169000"/>
    <s v="TSYSTWU000306"/>
    <x v="130"/>
    <s v="USADO"/>
    <s v="NEGRO"/>
    <s v="POR DEFINIR"/>
    <n v="8490000"/>
    <s v="Disponible"/>
    <x v="101"/>
    <x v="4"/>
    <s v="BODEGA LOS CARRERA COPIAPO"/>
    <s v="AE,CC,2AB,NB,ABS,AC,AISO,CRE,MAV"/>
    <s v="67196010530787"/>
    <s v="KPTG0B1TSFP339581"/>
    <s v="ALEJANDRA DEL CARMEN URTUBIA MENDIETA"/>
    <s v="15-03-2022 0:00:00"/>
    <n v="1"/>
    <s v="15-03-2022 0:00:00"/>
    <s v="15-03-2022 11:58:28"/>
    <s v=""/>
    <n v="0"/>
    <n v="0"/>
    <s v=""/>
    <n v="0"/>
    <n v="10500000"/>
    <n v="461694"/>
    <n v="0"/>
    <n v="10961694"/>
    <n v="8490000"/>
    <n v="-2471694"/>
    <n v="-2911"/>
  </r>
  <r>
    <x v="2"/>
    <s v="LOCAL PREMIUM CAR SALES"/>
    <n v="0"/>
    <n v="0"/>
    <s v=""/>
    <s v=""/>
    <s v=""/>
    <s v=""/>
    <s v="23-12-2025 18:40:06"/>
    <s v=""/>
    <s v="1C6RR7LG8 NS154084"/>
    <x v="17"/>
    <x v="41"/>
    <s v="1500 CREW CAB SPORT DCAB 4X4 3.6 AT"/>
    <s v="RA1500CRSPDC4X436AT"/>
    <x v="5"/>
    <n v="33892"/>
    <s v="TRACMTU000047"/>
    <x v="131"/>
    <s v="USADO"/>
    <s v="BLANCO"/>
    <s v="POR DEFINIR"/>
    <n v="29490000"/>
    <s v="Disponible"/>
    <x v="102"/>
    <x v="3"/>
    <s v="PREMIUM CAR SALES"/>
    <s v="AE,CC,EE,NB,AAC,ABS,LL,VC,AISO,AAUTO,CRE,MAV,ACD,S"/>
    <s v="NS154084"/>
    <s v="1C6RR7LG8 NS154084"/>
    <s v="MIXY GRACIELA CORNEJO BASTIAS SOCIEDAD GASTRONOMICA E.I.R.L"/>
    <s v="23-12-2025 0:00:00"/>
    <n v="1"/>
    <s v="23-12-2025 0:00:00"/>
    <s v="23-12-2025 18:39:16"/>
    <s v="30-06-2027 0:00:00"/>
    <n v="1"/>
    <n v="0"/>
    <s v=""/>
    <n v="0"/>
    <n v="26200000"/>
    <n v="519030"/>
    <n v="0"/>
    <n v="26719030"/>
    <n v="29490000"/>
    <n v="2770970"/>
    <n v="94"/>
  </r>
  <r>
    <x v="2"/>
    <s v="LOCAL PREMIUM CAR SALES"/>
    <n v="0"/>
    <n v="0"/>
    <s v=""/>
    <s v=""/>
    <s v=""/>
    <s v=""/>
    <s v="18-02-2026 9:30:32"/>
    <s v=""/>
    <s v="1FMCU0BZ6 NUB02251"/>
    <x v="3"/>
    <x v="45"/>
    <s v="ESCAPE FHEV 2.5 AUT"/>
    <s v="FOESFEHV20AT"/>
    <x v="5"/>
    <n v="80000"/>
    <s v="TFOSTWU001399"/>
    <x v="132"/>
    <s v="USADO"/>
    <s v="GRIS"/>
    <s v="POR DEFINIR"/>
    <n v="19290000"/>
    <s v="Disponible"/>
    <x v="76"/>
    <x v="3"/>
    <s v="PREMIUM CAR SALES"/>
    <s v="AE,CC,EE,AAC,ABS,LL,VC,ESP,SS,AISO,ACP,AAUTO,CRE,M"/>
    <s v="NUB02251"/>
    <s v="1FMCU0BZ6 NUB02251"/>
    <s v="KARLA NIKOL FLORES CASTILLO"/>
    <s v="18-02-2026 0:00:00"/>
    <n v="1"/>
    <s v="18-02-2026 0:00:00"/>
    <s v="18-02-2026 9:30:04"/>
    <s v=""/>
    <n v="0"/>
    <n v="0"/>
    <s v=""/>
    <n v="0"/>
    <n v="15400000"/>
    <n v="357030"/>
    <n v="0"/>
    <n v="15757030"/>
    <n v="19290000"/>
    <n v="3532970"/>
    <n v="1832"/>
  </r>
  <r>
    <x v="2"/>
    <s v="LOCAL PREMIUM CAR SALES"/>
    <n v="0"/>
    <n v="0"/>
    <s v=""/>
    <s v=""/>
    <s v=""/>
    <s v=""/>
    <s v="07-01-2026 10:30:07"/>
    <s v=""/>
    <s v="MPBAR2F18 PX515886"/>
    <x v="3"/>
    <x v="16"/>
    <s v="RANGER RAPTOR 4X4 3.0 AT"/>
    <s v="FORNGRP30AT"/>
    <x v="2"/>
    <n v="30900"/>
    <s v="TFOCMTU001149"/>
    <x v="133"/>
    <s v="USADO"/>
    <s v="NARANJO NARANJA TIERRA"/>
    <s v="POR DEFINIR"/>
    <n v="43990000"/>
    <s v="Disponible"/>
    <x v="103"/>
    <x v="3"/>
    <s v="PREMIUM CAR SALES"/>
    <s v="AE,CC,EE,NB,AAC,ABS,LL,VC,AISO,AAUTO,CRE,MAV,ACD,S"/>
    <s v="DD2XPX515886"/>
    <s v="MPBAR2F18 PX515886"/>
    <s v="SERVICIOS ASEO AMC SPA"/>
    <s v="07-01-2026 0:00:00"/>
    <n v="1"/>
    <s v="07-01-2026 0:00:00"/>
    <s v="09-04-2026 10:27:26"/>
    <s v=""/>
    <n v="1"/>
    <n v="0"/>
    <s v=""/>
    <n v="0"/>
    <n v="39300000"/>
    <n v="718740"/>
    <n v="0"/>
    <n v="40018740"/>
    <n v="43990000"/>
    <n v="3971260"/>
    <n v="903"/>
  </r>
  <r>
    <x v="2"/>
    <s v="LOCAL USADOS COPIAPO"/>
    <n v="0"/>
    <n v="0"/>
    <s v=""/>
    <s v=""/>
    <s v=""/>
    <s v=""/>
    <s v="19-12-2025 10:02:31"/>
    <s v=""/>
    <s v="8AFBR00E1RJ404211"/>
    <x v="3"/>
    <x v="16"/>
    <s v="RANGER XLS 2.0"/>
    <s v="FORANXLS20MT"/>
    <x v="1"/>
    <n v="34500"/>
    <s v="TFOCMTU001145"/>
    <x v="134"/>
    <s v="USADO"/>
    <s v="BLANCO"/>
    <s v="POR DEFINIR"/>
    <n v="29490000"/>
    <s v="Disponible"/>
    <x v="104"/>
    <x v="3"/>
    <s v="BODEGA LOS CARRERA COPIAPO"/>
    <s v="AE,CC,EE,AAC,ABS,LL,VC,ESP,AISO,AAUTO,CRE,MAV,SR,U"/>
    <s v="P02X RJ404211"/>
    <s v="8AFBR00E1RJ404211"/>
    <s v="MATIAS OLAZO SPA"/>
    <s v="19-12-2025 0:00:00"/>
    <n v="1"/>
    <s v="19-12-2025 0:00:00"/>
    <s v="19-12-2025 9:51:58"/>
    <s v=""/>
    <n v="1"/>
    <n v="0"/>
    <s v=""/>
    <n v="0"/>
    <n v="27000000"/>
    <n v="531030"/>
    <n v="0"/>
    <n v="27531030"/>
    <n v="29490000"/>
    <n v="1958970"/>
    <n v="664"/>
  </r>
  <r>
    <x v="2"/>
    <s v="LOCAL PREMIUM CAR SALES"/>
    <n v="0"/>
    <n v="0"/>
    <s v=""/>
    <s v=""/>
    <s v=""/>
    <s v=""/>
    <s v="27-06-2026 13:10:51"/>
    <s v=""/>
    <s v="8AFAR23WX PJ298172"/>
    <x v="3"/>
    <x v="16"/>
    <s v="RANGER DCAB 4X4 3.2 AUT"/>
    <s v="785463"/>
    <x v="5"/>
    <n v="101000"/>
    <s v="TFOCMTU001165"/>
    <x v="135"/>
    <s v="USADO"/>
    <s v="GRIS MERCURIO"/>
    <s v="POR DEFINIR"/>
    <n v="24990000"/>
    <s v="Disponible"/>
    <x v="93"/>
    <x v="3"/>
    <s v="PREMIUM CAR SALES"/>
    <s v="AE,CC,EE,ABS,LL,VC,AC,AISO,AAUTO,CRE,MAV,ACD,SR,UD"/>
    <s v="SA2SPJ298172"/>
    <s v="8AFAR23WX PJ298172"/>
    <s v="AGRICOLA LAS DOS MARIAS S.A."/>
    <s v="27-06-2026 0:00:00"/>
    <n v="1"/>
    <s v="27-06-2026 0:00:00"/>
    <s v="27-06-2026 13:07:30"/>
    <s v=""/>
    <n v="1"/>
    <n v="0"/>
    <s v=""/>
    <n v="0"/>
    <n v="19700000"/>
    <n v="424740"/>
    <n v="0"/>
    <n v="20124740"/>
    <n v="24990000"/>
    <n v="4865260"/>
    <n v="1947"/>
  </r>
  <r>
    <x v="2"/>
    <s v="LOCAL PREMIUM CAR SALES"/>
    <n v="0"/>
    <n v="0"/>
    <s v=""/>
    <s v=""/>
    <s v=""/>
    <s v=""/>
    <s v="07-01-2026 16:22:02"/>
    <s v=""/>
    <s v="/**//+.+///++*..."/>
    <x v="22"/>
    <x v="53"/>
    <s v="SANTA FE MX5 GDI 2.5 AUT"/>
    <s v="HYSTFMX525AT"/>
    <x v="2"/>
    <n v="58500"/>
    <s v="THYSTWU000548"/>
    <x v="136"/>
    <s v="USADO"/>
    <s v="PLATEADO PLATA"/>
    <s v="POR DEFINIR"/>
    <n v="26390000"/>
    <s v="Disponible"/>
    <x v="103"/>
    <x v="3"/>
    <s v="PREMIUM CAR SALES"/>
    <s v="AE,CC,EE,ABS,LL,TC,VC,AC,AISO,ACP,AAUTO,CRE,MAV,AC"/>
    <s v="G4KNRA734924"/>
    <s v="KMHP281JBRU017462"/>
    <s v="MARIA PAZ GONZALEZ ARAYA"/>
    <s v="07-01-2026 0:00:00"/>
    <n v="1"/>
    <s v="07-01-2026 0:00:00"/>
    <s v="07-01-2026 16:21:28"/>
    <s v=""/>
    <n v="1"/>
    <n v="0"/>
    <s v=""/>
    <n v="0"/>
    <n v="23500000"/>
    <n v="903834"/>
    <n v="0"/>
    <n v="24403834"/>
    <n v="26390000"/>
    <n v="1986166"/>
    <n v="753"/>
  </r>
  <r>
    <x v="2"/>
    <s v="LOCAL USADOS COPIAPO"/>
    <n v="0"/>
    <n v="0"/>
    <s v=""/>
    <s v=""/>
    <s v=""/>
    <s v=""/>
    <s v="02-07-2026 18:47:50"/>
    <s v=""/>
    <s v="LJ12EKR22P4702331"/>
    <x v="21"/>
    <x v="65"/>
    <s v="JS3 1.6"/>
    <s v="J3333"/>
    <x v="5"/>
    <n v="29000"/>
    <s v="TJAAUTU000017"/>
    <x v="137"/>
    <s v="USADO"/>
    <s v="BLANCO"/>
    <s v="POR DEFINIR"/>
    <n v="8790000"/>
    <s v="Disponible"/>
    <x v="105"/>
    <x v="3"/>
    <s v="BODEGA LOS CARRERA COPIAPO"/>
    <s v="AE,CC,EE,2AB,ABS,AC,AISO,AAUTO,DLL"/>
    <s v="N3312945"/>
    <s v="LJ12EKR22P4702331"/>
    <s v="CECILIA DEL PILAR MARTINEZ DIAZ"/>
    <s v="02-07-2026 0:00:00"/>
    <n v="1"/>
    <s v="02-07-2026 0:00:00"/>
    <s v="02-07-2026 18:47:19"/>
    <s v=""/>
    <n v="1"/>
    <n v="0"/>
    <s v=""/>
    <n v="0"/>
    <n v="7200000"/>
    <n v="237240"/>
    <n v="0"/>
    <n v="7437240"/>
    <n v="8790000"/>
    <n v="1352760"/>
    <n v="1539"/>
  </r>
  <r>
    <x v="2"/>
    <s v="LOCAL PREMIUM CAR SALES"/>
    <n v="0"/>
    <n v="0"/>
    <s v=""/>
    <s v=""/>
    <s v=""/>
    <s v=""/>
    <s v="30-07-2026 19:21:11"/>
    <s v=""/>
    <s v="1FTFW1E53MFD11881"/>
    <x v="3"/>
    <x v="24"/>
    <s v="F150 LARIAT LUXURY 4X4 5.0L AUT"/>
    <s v="F150AUT"/>
    <x v="3"/>
    <n v="72706"/>
    <s v="TFOCMTU001168"/>
    <x v="138"/>
    <s v="USADO"/>
    <s v="NEGRO UNIVERSO"/>
    <s v="POR DEFINIR"/>
    <n v="35990000"/>
    <s v="Disponible"/>
    <x v="80"/>
    <x v="10"/>
    <s v="PREMIUM CAR SALES"/>
    <s v="AE,CC,EE,AAC,ABS,LL,VC,AISO,AAUTO,CRE,MAV,ACD,SR,D"/>
    <s v="MFD11881"/>
    <s v="1FTFW1E53MFD11881"/>
    <s v="FELIPE ANDRES CARVAJAL MOLINA"/>
    <s v="30-07-2026 0:00:00"/>
    <n v="1"/>
    <s v="30-07-2026 0:00:00"/>
    <s v="30-07-2026 19:20:51"/>
    <s v=""/>
    <n v="3"/>
    <n v="0"/>
    <s v=""/>
    <n v="0"/>
    <n v="29200000"/>
    <n v="567240"/>
    <n v="0"/>
    <n v="29767240"/>
    <n v="35990000"/>
    <n v="6222760"/>
    <n v="1729"/>
  </r>
  <r>
    <x v="2"/>
    <s v="LOCAL PREMIUM CAR SALES"/>
    <n v="0"/>
    <n v="0"/>
    <s v=""/>
    <s v=""/>
    <s v=""/>
    <s v=""/>
    <s v="08-08-2026 12:05:04"/>
    <s v=""/>
    <s v="LVZA53P95 NA118160"/>
    <x v="5"/>
    <x v="69"/>
    <s v="SUV 560 1.8"/>
    <s v="DF707"/>
    <x v="3"/>
    <n v="37000"/>
    <s v="TDFSTWU000057"/>
    <x v="139"/>
    <s v="USADO"/>
    <s v="BLANCO"/>
    <s v="POR DEFINIR"/>
    <n v="7990000"/>
    <s v="Disponible"/>
    <x v="61"/>
    <x v="10"/>
    <s v="PREMIUM CAR SALES"/>
    <s v="AE,CC,EE,2AB,ABS,LL,AC,AISO,AAUTO,ACD,SR,UD,DLL"/>
    <s v="SFG18-22326312"/>
    <s v="LVZA53P95 NA118160"/>
    <s v="MAURICIO NICOLAS SEPULVEDA ROJAS"/>
    <s v="08-08-2026 0:00:00"/>
    <n v="1"/>
    <s v="08-08-2026 0:00:00"/>
    <s v="08-08-2026 12:04:31"/>
    <s v=""/>
    <n v="1"/>
    <n v="0"/>
    <s v=""/>
    <n v="0"/>
    <n v="6500000"/>
    <n v="0"/>
    <n v="0"/>
    <n v="6500000"/>
    <n v="7990000"/>
    <n v="1490000"/>
    <n v="1865"/>
  </r>
  <r>
    <x v="2"/>
    <s v="LOCAL USADOS COPIAPO"/>
    <n v="0"/>
    <n v="0"/>
    <s v=""/>
    <s v=""/>
    <s v=""/>
    <s v=""/>
    <s v="30-12-2025 10:51:56"/>
    <s v=""/>
    <s v="MA1VE2RJC M6E84266"/>
    <x v="26"/>
    <x v="70"/>
    <s v="KUV 100 HATCH BACK 1.2"/>
    <s v="MAKUV100HB12MT"/>
    <x v="3"/>
    <n v="0"/>
    <s v="TMHAUTU000006"/>
    <x v="140"/>
    <s v="USADO"/>
    <s v="BLANCO"/>
    <s v="POR DEFINIR"/>
    <n v="6390000"/>
    <s v="Disponible"/>
    <x v="106"/>
    <x v="2"/>
    <s v="BODEGA LOS CARRERA COPIAPO"/>
    <s v="AE,CC,AC,AISO,ACD"/>
    <s v="RJMZE50719"/>
    <s v="MA1VE2RJC M6E84266"/>
    <s v="FRANK EDWARD ECHANDIA HERNÁNDEZ"/>
    <s v="30-12-2025 0:00:00"/>
    <n v="1"/>
    <s v="30-12-2025 0:00:00"/>
    <s v="30-12-2025 10:51:21"/>
    <s v=""/>
    <n v="0"/>
    <n v="0"/>
    <s v=""/>
    <n v="0"/>
    <n v="8137896"/>
    <n v="248098"/>
    <n v="0"/>
    <n v="8385994"/>
    <n v="6390000"/>
    <n v="-1995994"/>
    <n v="-3124"/>
  </r>
  <r>
    <x v="2"/>
    <s v="LOCAL USADOS COPIAPO"/>
    <n v="0"/>
    <n v="0"/>
    <s v=""/>
    <s v=""/>
    <s v=""/>
    <s v=""/>
    <s v="06-04-2026 14:59:49"/>
    <s v=""/>
    <s v="9V8FF4HY1 RA800320"/>
    <x v="0"/>
    <x v="2"/>
    <s v="LANDTREK BLUEHDI 4X4 2.2 AUT"/>
    <s v="PELNDDHI4X422AT"/>
    <x v="2"/>
    <n v="29570"/>
    <s v="TPECMTU000018"/>
    <x v="141"/>
    <s v="USADO"/>
    <s v="GRIS ALUMINIUM"/>
    <s v="POR DEFINIR"/>
    <n v="19990000"/>
    <s v="Disponible"/>
    <x v="0"/>
    <x v="3"/>
    <s v="BODEGA LOS CARRERA COPIAPO"/>
    <s v="AE,CC,EE,NB,AAC,ABS,LL,VC,AISO,AAUTO,CRE,ACD,SR,UD"/>
    <s v="10VRAC4001968"/>
    <s v="9V8FF4HY1 RA800320"/>
    <s v="RODRIGO ALEJANDRO FUENTES ARAYA"/>
    <s v="06-04-2026 0:00:00"/>
    <n v="1"/>
    <s v="06-04-2026 0:00:00"/>
    <s v="06-04-2026 14:59:18"/>
    <s v=""/>
    <n v="1"/>
    <n v="0"/>
    <s v=""/>
    <n v="0"/>
    <n v="16000000"/>
    <n v="369240"/>
    <n v="0"/>
    <n v="16369240"/>
    <n v="19990000"/>
    <n v="3620760"/>
    <n v="1811"/>
  </r>
  <r>
    <x v="2"/>
    <s v="MEGACENTRO OVALLE"/>
    <n v="0"/>
    <n v="0"/>
    <s v=""/>
    <s v=""/>
    <s v=""/>
    <s v=""/>
    <s v="31-07-2026 18:45:47"/>
    <s v=""/>
    <s v="VF3MCYHZ4SS002342"/>
    <x v="0"/>
    <x v="44"/>
    <s v="3008 BLUE HDI 130 EAT8 1.5 AUT"/>
    <s v="3008 BH4"/>
    <x v="2"/>
    <n v="72000"/>
    <s v="TPESTWU000470"/>
    <x v="142"/>
    <s v="USADO"/>
    <s v="BLANCO NACARADO"/>
    <s v="POR DEFINIR"/>
    <n v="16990000"/>
    <s v="Disponible"/>
    <x v="57"/>
    <x v="10"/>
    <s v="BODEGA OVALLEveih"/>
    <s v="AE,CC,EE,AAC,ABS,VC,AISO,AAUTO,CRE,MAV,SR,UD,DLL,6"/>
    <s v="10Q3EJ1917759"/>
    <s v="VF3MCYHZ4SS002342"/>
    <s v="JUAN PABLO PEÑA GAMBOA"/>
    <s v="31-07-2026 0:00:00"/>
    <n v="1"/>
    <s v="31-07-2026 0:00:00"/>
    <s v="31-07-2026 18:45:28"/>
    <s v=""/>
    <n v="1"/>
    <n v="0"/>
    <s v=""/>
    <n v="0"/>
    <n v="14250000"/>
    <n v="342990"/>
    <n v="0"/>
    <n v="14592990"/>
    <n v="16990000"/>
    <n v="2397010"/>
    <n v="1411"/>
  </r>
  <r>
    <x v="2"/>
    <s v="LOCAL PREMIUM CAR SALES"/>
    <n v="0"/>
    <n v="0"/>
    <s v=""/>
    <s v=""/>
    <s v=""/>
    <s v=""/>
    <s v="18-05-2026 12:54:42"/>
    <s v=""/>
    <s v="LVZZU3P96SCB03062"/>
    <x v="5"/>
    <x v="71"/>
    <s v="500 1.5 CVT"/>
    <s v="US500"/>
    <x v="1"/>
    <n v="6443"/>
    <s v="TDFAUTU000002"/>
    <x v="143"/>
    <s v="USADO"/>
    <s v="BLANCO"/>
    <s v="POR DEFINIR"/>
    <n v="11290000"/>
    <s v="Disponible"/>
    <x v="107"/>
    <x v="2"/>
    <s v="PREMIUM CAR SALES"/>
    <s v="AE,CC,EE,ABS,LL,AC,AISO,AAUTO,CRE,MAV,ACD,SR,UD,DL"/>
    <s v="SFG15A 24402834"/>
    <s v="LVZZU3P96SCB03062"/>
    <s v="JOSE MIGUEL NUÑEZ ALVARADO"/>
    <s v="18-05-2026 0:00:00"/>
    <n v="1"/>
    <s v="18-05-2026 0:00:00"/>
    <s v="18-05-2026 12:54:06"/>
    <s v=""/>
    <n v="1"/>
    <n v="0"/>
    <s v=""/>
    <n v="0"/>
    <n v="9000000"/>
    <n v="264240"/>
    <n v="0"/>
    <n v="9264240"/>
    <n v="11290000"/>
    <n v="2025760"/>
    <n v="1794"/>
  </r>
  <r>
    <x v="2"/>
    <s v="LOCAL PREMIUM CAR SALES"/>
    <n v="0"/>
    <n v="0"/>
    <s v=""/>
    <s v=""/>
    <s v=""/>
    <s v=""/>
    <s v="30-07-2026 19:11:59"/>
    <s v=""/>
    <s v="VF3MCYHZU RS010153"/>
    <x v="0"/>
    <x v="44"/>
    <s v="3008 BLUE HDI 130 EAT8 1.5 AUT"/>
    <s v="3008 BH4"/>
    <x v="2"/>
    <n v="22000"/>
    <s v="TPESTWU000468"/>
    <x v="144"/>
    <s v="USADO"/>
    <s v="GRIS PLATINIUM"/>
    <s v="POR DEFINIR"/>
    <n v="21690000"/>
    <s v="Disponible"/>
    <x v="80"/>
    <x v="10"/>
    <s v="PREMIUM CAR SALES"/>
    <s v="AE,CC,EE,AAC,ABS,LL,VC,AISO,AAUTO,CRE,MAV,ACD,SR,U"/>
    <s v="10Q3EJ1827524"/>
    <s v="VF3MCYHZU RS010153"/>
    <s v="PATRICIO EDUARDO VALENZUELA QUIÑONES"/>
    <s v="30-07-2026 0:00:00"/>
    <n v="1"/>
    <s v="30-07-2026 0:00:00"/>
    <s v="30-07-2026 19:10:49"/>
    <s v=""/>
    <n v="1"/>
    <n v="0"/>
    <s v=""/>
    <n v="0"/>
    <n v="18400000"/>
    <n v="405240"/>
    <n v="0"/>
    <n v="18805240"/>
    <n v="21690000"/>
    <n v="2884760"/>
    <n v="133"/>
  </r>
  <r>
    <x v="2"/>
    <s v="MEGACENTRO OVALLE"/>
    <n v="0"/>
    <n v="0"/>
    <s v=""/>
    <s v=""/>
    <s v=""/>
    <s v=""/>
    <s v="29-07-2025 17:36:47"/>
    <s v=""/>
    <s v="//////////+++..*+"/>
    <x v="0"/>
    <x v="35"/>
    <s v="5008 PURETECH 180 EAT8 1.6 AUT"/>
    <s v="PE5008PT16AT"/>
    <x v="5"/>
    <n v="28000"/>
    <s v="TPESTWU000414"/>
    <x v="145"/>
    <s v="USADO"/>
    <s v="GRIS PLATINIUM"/>
    <s v="POR DEFINIR"/>
    <n v="19990000"/>
    <s v="Disponible"/>
    <x v="108"/>
    <x v="3"/>
    <s v="BODEGA OVALLEveih"/>
    <s v="AE,CC,EE,AAC,ABS,LL,VC,AISO,AAUTO,CRE,MAV,ACD,SR,U"/>
    <s v="10FKBL3036897"/>
    <s v="VF3M45GFURS001123"/>
    <s v="AMEL  RUBENICA MICHELANGELLI ROJAS"/>
    <s v="29-07-2025 0:00:00"/>
    <n v="1"/>
    <s v="29-07-2025 0:00:00"/>
    <s v="29-07-2025 17:19:27"/>
    <s v="31-07-2026 0:00:00"/>
    <n v="1"/>
    <n v="0"/>
    <s v=""/>
    <n v="0"/>
    <n v="20600000"/>
    <n v="435030"/>
    <n v="0"/>
    <n v="21035030"/>
    <n v="19990000"/>
    <n v="-1045030"/>
    <n v="-523"/>
  </r>
  <r>
    <x v="2"/>
    <s v="LOCAL USADOS COPIAPO"/>
    <n v="0"/>
    <n v="0"/>
    <s v=""/>
    <s v=""/>
    <s v=""/>
    <s v=""/>
    <s v="14-07-2026 19:10:54"/>
    <s v=""/>
    <s v="VF3M45GFRLL009224"/>
    <x v="0"/>
    <x v="35"/>
    <s v="5008 PURETECH 180 1.6 AUT"/>
    <s v="PE5008PUR16AT"/>
    <x v="9"/>
    <n v="55000"/>
    <s v="TPESTWU000465"/>
    <x v="146"/>
    <s v="USADO"/>
    <s v="GRIS PLATINUM"/>
    <s v="POR DEFINIR"/>
    <n v="15990000"/>
    <s v="Disponible"/>
    <x v="109"/>
    <x v="10"/>
    <s v="BODEGA LOS CARRERA COPIAPO"/>
    <s v="AE,CC,EE,AAC,ABS,LL,VC,AISO,AAUTO,CRE,ACD,SR,DLL,6"/>
    <s v="10FKBA2636915"/>
    <s v="VF3M45GFRLL009224"/>
    <s v="MARIO DARIO MUÑOZ MERCADO"/>
    <s v="14-07-2026 0:00:00"/>
    <n v="1"/>
    <s v="03-08-2026 16:44:00"/>
    <s v="03-08-2026 16:44:00"/>
    <s v=""/>
    <n v="3"/>
    <n v="0"/>
    <s v=""/>
    <n v="0"/>
    <n v="12600000"/>
    <n v="318240"/>
    <n v="0"/>
    <n v="12918240"/>
    <n v="15990000"/>
    <n v="3071760"/>
    <n v="1921"/>
  </r>
  <r>
    <x v="2"/>
    <s v="LOCAL SALAMANCA"/>
    <n v="0"/>
    <n v="0"/>
    <s v=""/>
    <s v=""/>
    <s v=""/>
    <s v=""/>
    <s v="16-05-2026 13:31:20"/>
    <s v=""/>
    <s v="/////+/+///++*.*."/>
    <x v="21"/>
    <x v="72"/>
    <s v="JS4 LUXURY HB 1.5"/>
    <s v="JAJS4LUX15MT"/>
    <x v="2"/>
    <n v="8249"/>
    <s v="TJASTWU000025"/>
    <x v="147"/>
    <s v="USADO"/>
    <s v="ROJO"/>
    <s v="POR DEFINIR"/>
    <n v="10490000"/>
    <s v="Disponible"/>
    <x v="110"/>
    <x v="3"/>
    <s v="BODEGA VEHICULOS"/>
    <s v="AE,CC,EE,AAC,ABS,LL,AISO,AAUTO,CRE,MAV,SR,UD,DLL,6"/>
    <s v="R3305832"/>
    <s v="LJ12EKS31S4700355"/>
    <s v="ANDREA CAROLINA VILCHES ABARCA"/>
    <s v="16-05-2026 0:00:00"/>
    <n v="1"/>
    <s v="16-05-2026 0:00:00"/>
    <s v="16-05-2026 13:29:04"/>
    <s v=""/>
    <n v="1"/>
    <n v="0"/>
    <s v=""/>
    <n v="0"/>
    <n v="8500000"/>
    <n v="256740"/>
    <n v="0"/>
    <n v="8756740"/>
    <n v="10490000"/>
    <n v="1733260"/>
    <n v="1652"/>
  </r>
  <r>
    <x v="2"/>
    <s v="LOCAL USADOS COPIAPO"/>
    <n v="0"/>
    <n v="0"/>
    <s v=""/>
    <s v=""/>
    <s v=""/>
    <s v=""/>
    <s v="30-04-2026 16:15:08"/>
    <s v=""/>
    <s v="LGWEE4A59PK600630"/>
    <x v="27"/>
    <x v="73"/>
    <s v="JOLION TURBO DCT 1.5 AUT"/>
    <s v="HAJOL15AT"/>
    <x v="3"/>
    <n v="58239"/>
    <s v="THASTWU000023"/>
    <x v="148"/>
    <s v="USADO"/>
    <s v="ROJO"/>
    <s v="POR DEFINIR"/>
    <n v="12490000"/>
    <s v="Disponible"/>
    <x v="56"/>
    <x v="3"/>
    <s v="BODEGA LOS CARRERA COPIAPO"/>
    <s v="AE,CC,EE,AAC,ABS,LL,VC,AISO,AAUTO,CRE,MAV,ACD,SR,U"/>
    <s v="GW4G15K21499027556"/>
    <s v="LGWEE4A59PK600630"/>
    <s v="MARIA JOSE CASTILLO ARAYA"/>
    <s v="30-04-2026 0:00:00"/>
    <n v="1"/>
    <s v="30-04-2026 0:00:00"/>
    <s v="30-04-2026 16:09:10"/>
    <s v=""/>
    <n v="1"/>
    <n v="0"/>
    <s v=""/>
    <n v="0"/>
    <n v="10100000"/>
    <n v="280740"/>
    <n v="0"/>
    <n v="10380740"/>
    <n v="12490000"/>
    <n v="2109260"/>
    <n v="1689"/>
  </r>
  <r>
    <x v="2"/>
    <s v="LOCAL USADOS COPIAPO"/>
    <n v="0"/>
    <n v="0"/>
    <s v=""/>
    <s v=""/>
    <s v=""/>
    <s v=""/>
    <s v="27-06-2026 13:42:32"/>
    <s v=""/>
    <s v="98867545CKKJ03908"/>
    <x v="24"/>
    <x v="74"/>
    <s v="ALL NEW COMPASS SPORT LX 2.4"/>
    <s v="CVN"/>
    <x v="4"/>
    <n v="44500"/>
    <s v="TJESTWU000442"/>
    <x v="149"/>
    <s v="USADO"/>
    <s v="PLATEADO"/>
    <s v="POR DEFINIR"/>
    <n v="10490000"/>
    <s v="Disponible"/>
    <x v="93"/>
    <x v="10"/>
    <s v="BODEGA LOS CARRERA COPIAPO"/>
    <s v="AE,CC,EE,ABS,LL,4AB,AC,AISO,AAUTO,CRE,ACD,SR,UD,DL"/>
    <s v="318025"/>
    <s v="98867545CKKJ03908"/>
    <s v="RODRIGO ALEXIS REHBEIN PARRA"/>
    <s v="27-06-2026 0:00:00"/>
    <n v="1"/>
    <s v="27-06-2026 0:00:00"/>
    <s v="27-06-2026 13:42:06"/>
    <s v=""/>
    <n v="1"/>
    <n v="0"/>
    <s v=""/>
    <n v="0"/>
    <n v="9500000"/>
    <n v="271740"/>
    <n v="0"/>
    <n v="9771740"/>
    <n v="10490000"/>
    <n v="718260"/>
    <n v="685"/>
  </r>
  <r>
    <x v="2"/>
    <s v="LOCAL PREMIUM CAR SALES"/>
    <n v="0"/>
    <n v="0"/>
    <s v=""/>
    <s v=""/>
    <s v=""/>
    <s v=""/>
    <s v="29-04-2026 14:50:28"/>
    <s v=""/>
    <s v="JM7DM2W7AS0309501"/>
    <x v="20"/>
    <x v="75"/>
    <s v="CX30 4X2 2.0 AUT"/>
    <s v="MACX3020AT"/>
    <x v="1"/>
    <n v="39700"/>
    <s v="TMASTWU000106"/>
    <x v="150"/>
    <s v="USADO"/>
    <s v="AZUL OSCURO METALIZADO"/>
    <s v="POR DEFINIR"/>
    <n v="20990000"/>
    <s v="Disponible"/>
    <x v="111"/>
    <x v="3"/>
    <s v="PREMIUM CAR SALES"/>
    <s v="AE,CC,EE,AAC,ABS,LL,VC,AISO,ACP,AAUTO,CRE,MAV,ACD,"/>
    <s v="PE 22028517"/>
    <s v="JM7DM2W7AS0309501"/>
    <s v="COMPAÑÍA DE ASISTENCIA MEDICA DOMICILIARIA A INSTITUCIONES PÚBL"/>
    <s v="29-04-2026 0:00:00"/>
    <n v="1"/>
    <s v="29-04-2026 0:00:00"/>
    <s v="29-04-2026 14:49:51"/>
    <s v=""/>
    <n v="1"/>
    <n v="0"/>
    <s v=""/>
    <n v="0"/>
    <n v="18300000"/>
    <n v="403740"/>
    <n v="0"/>
    <n v="18703740"/>
    <n v="20990000"/>
    <n v="2286260"/>
    <n v="1089"/>
  </r>
  <r>
    <x v="2"/>
    <s v="LOCAL PREMIUM CAR SALES"/>
    <n v="0"/>
    <n v="0"/>
    <s v=""/>
    <s v=""/>
    <s v=""/>
    <s v=""/>
    <s v="13-07-2026 18:19:46"/>
    <s v=""/>
    <s v="LS5A3ABE6ND912896"/>
    <x v="28"/>
    <x v="76"/>
    <s v="CS15 HB 4X2 1.5"/>
    <s v="CHCS1515MT"/>
    <x v="12"/>
    <n v="90000"/>
    <s v="TCGAUTU000015"/>
    <x v="151"/>
    <s v="USADO"/>
    <s v="PLATEADO PLATA"/>
    <s v="POR DEFINIR"/>
    <n v="7290000"/>
    <s v="Disponible"/>
    <x v="36"/>
    <x v="2"/>
    <s v="PREMIUM CAR SALES"/>
    <s v="AE,CC,EE,ABS,LL,4AB,AC,AISO,AAUTO,CRE,MAV,SR,UD,DL"/>
    <s v="JL473QFM3CAA518587"/>
    <s v="LS5A3ABE6ND912896"/>
    <s v="PATRICIO ANDRES ORTIZ AGUIRRE"/>
    <s v="13-07-2026 0:00:00"/>
    <n v="1"/>
    <s v="13-07-2026 0:00:00"/>
    <s v="13-07-2026 18:19:08"/>
    <s v=""/>
    <n v="1"/>
    <n v="0"/>
    <s v=""/>
    <n v="0"/>
    <n v="5200000"/>
    <n v="207240"/>
    <n v="0"/>
    <n v="5407240"/>
    <n v="7290000"/>
    <n v="1882760"/>
    <n v="2583"/>
  </r>
  <r>
    <x v="2"/>
    <s v="LOCAL PREMIUM CAR SALES"/>
    <n v="0"/>
    <n v="0"/>
    <s v=""/>
    <s v=""/>
    <s v=""/>
    <s v=""/>
    <s v="22-07-2026 10:15:17"/>
    <s v=""/>
    <s v="8AFAR22Z0 PJ292909"/>
    <x v="3"/>
    <x v="16"/>
    <s v="RANGER XLT M 4X2 2.5"/>
    <s v="FORANXLT25MT"/>
    <x v="2"/>
    <n v="45600"/>
    <s v="TFOCMTU001166"/>
    <x v="152"/>
    <s v="USADO"/>
    <s v="BLANCO"/>
    <s v="POR DEFINIR"/>
    <n v="19790000"/>
    <s v="Disponible"/>
    <x v="82"/>
    <x v="10"/>
    <s v="PREMIUM CAR SALES"/>
    <s v="AE,CC,EE,2AB,NB,ABS,LL,VC,AC,AISO,AAUTO,MAV,ACD,SR"/>
    <s v="EV2S PJ292909"/>
    <s v="8AFAR22Z0 PJ292909"/>
    <s v="EMPRESA ELECTRICA ARAYA LOPEZ LIMITADA"/>
    <s v="22-07-2026 0:00:00"/>
    <n v="1"/>
    <s v="22-07-2026 0:00:00"/>
    <s v="22-07-2026 10:10:29"/>
    <s v=""/>
    <n v="1"/>
    <n v="0"/>
    <s v=""/>
    <n v="0"/>
    <n v="16350000"/>
    <n v="374490"/>
    <n v="0"/>
    <n v="16724490"/>
    <n v="19790000"/>
    <n v="3065510"/>
    <n v="1549"/>
  </r>
  <r>
    <x v="2"/>
    <s v="LOCAL PREMIUM CAR SALES"/>
    <n v="0"/>
    <n v="0"/>
    <s v=""/>
    <s v=""/>
    <s v=""/>
    <s v=""/>
    <s v="29-11-2025 11:09:26"/>
    <s v=""/>
    <s v="VF3M45GYW PS010176"/>
    <x v="0"/>
    <x v="44"/>
    <s v="3008 THP 165HP 1.6 AUT"/>
    <s v="PE3008AT"/>
    <x v="5"/>
    <n v="25000"/>
    <s v="TPESTWU000438"/>
    <x v="153"/>
    <s v="USADO"/>
    <s v="ROJO ULTIMATE"/>
    <s v="POR DEFINIR"/>
    <n v="16990000"/>
    <s v="Disponible"/>
    <x v="112"/>
    <x v="3"/>
    <s v="PREMIUM CAR SALES"/>
    <s v="AE,CC,EE,AAC,ABS,LL,AISO,AAUTO,CRE,MAV,ACD,SR,UD,D"/>
    <s v="10FJCX3000757"/>
    <s v="VF3M45GYW PS010176"/>
    <s v="MARCELO SEBASTIAN GARRIDO JERALDO"/>
    <s v="29-11-2025 0:00:00"/>
    <n v="1"/>
    <s v="08-01-2026 18:02:00"/>
    <s v="08-01-2026 18:02:00"/>
    <s v="30-06-2027 0:00:00"/>
    <n v="3"/>
    <n v="0"/>
    <s v=""/>
    <n v="0"/>
    <n v="16000000"/>
    <n v="366030"/>
    <n v="0"/>
    <n v="16366030"/>
    <n v="16990000"/>
    <n v="623970"/>
    <n v="367"/>
  </r>
  <r>
    <x v="2"/>
    <s v="LOCAL VALLENAR"/>
    <n v="0"/>
    <n v="0"/>
    <s v=""/>
    <s v=""/>
    <s v=""/>
    <s v=""/>
    <s v="16-06-2026 11:24:56"/>
    <s v=""/>
    <s v="//../+*+///++*..."/>
    <x v="14"/>
    <x v="36"/>
    <s v="CAPTIVA 1.5 AT"/>
    <s v="CTV7"/>
    <x v="2"/>
    <n v="12000"/>
    <s v="TCHSTWU000322"/>
    <x v="154"/>
    <s v="USADO"/>
    <s v="BLANCO"/>
    <s v="POR DEFINIR"/>
    <n v="14590000"/>
    <s v="Disponible"/>
    <x v="66"/>
    <x v="10"/>
    <s v="LOCAL VALLENAR"/>
    <s v="AE,CC,EE,ABS,4AB,AC,AISO,AAUTO,CRE,MAV,ACD,SR,DLL"/>
    <s v="LJO 18P10620606"/>
    <s v="LZWADAGA8PB061976"/>
    <s v="CLAUDIA CRISTINA SOTO GONZALEZ"/>
    <s v="16-06-2026 0:00:00"/>
    <n v="1"/>
    <s v="16-06-2026 0:00:00"/>
    <s v="16-06-2026 11:24:29"/>
    <s v=""/>
    <n v="1"/>
    <n v="0"/>
    <s v=""/>
    <n v="8"/>
    <n v="12400000"/>
    <n v="315240"/>
    <n v="0"/>
    <n v="12715240"/>
    <n v="14590000"/>
    <n v="1874760"/>
    <n v="1285"/>
  </r>
  <r>
    <x v="2"/>
    <s v="LOCAL PREMIUM CAR SALES"/>
    <n v="0"/>
    <n v="0"/>
    <s v=""/>
    <s v=""/>
    <s v=""/>
    <s v=""/>
    <s v="01-07-2026 13:00:51"/>
    <s v=""/>
    <s v="JTMZ43FV0RD173765"/>
    <x v="29"/>
    <x v="77"/>
    <s v="RAV4 CVT 2.0"/>
    <s v="KLP7"/>
    <x v="2"/>
    <n v="56985"/>
    <s v="TTOSTWU000261"/>
    <x v="155"/>
    <s v="USADO"/>
    <s v="BLANCO"/>
    <s v="POR DEFINIR"/>
    <n v="20290000"/>
    <s v="Disponible"/>
    <x v="113"/>
    <x v="12"/>
    <s v="PREMIUM CAR SALES"/>
    <s v="AE,CC,EE,ABS,LL,AC,AISO,AAUTO,CRE,MAV,ACD,SR,UD,DL"/>
    <s v="M20AV658263"/>
    <s v="JTMZ43FV0RD173765"/>
    <s v="FRANCSICO ANTONIO HERRERA MAYORGA"/>
    <s v="01-07-2026 0:00:00"/>
    <n v="1"/>
    <s v="01-07-2026 0:00:00"/>
    <s v="01-07-2026 13:00:24"/>
    <s v=""/>
    <n v="1"/>
    <n v="0"/>
    <s v=""/>
    <n v="0"/>
    <n v="17000000"/>
    <n v="384240"/>
    <n v="0"/>
    <n v="17384240"/>
    <n v="20290000"/>
    <n v="2905760"/>
    <n v="1432"/>
  </r>
  <r>
    <x v="2"/>
    <s v="LOCAL USADOS COPIAPO"/>
    <n v="0"/>
    <n v="0"/>
    <s v=""/>
    <s v=""/>
    <s v=""/>
    <s v=""/>
    <s v="22-01-2026 12:55:07"/>
    <s v=""/>
    <s v="KNARH81BHR5259144"/>
    <x v="6"/>
    <x v="30"/>
    <s v="SORENTO 8DCT 4WD 2.2 AUT"/>
    <s v="KISO4WD2.2AT"/>
    <x v="2"/>
    <n v="37000"/>
    <s v="TKISTWU001330"/>
    <x v="156"/>
    <s v="USADO"/>
    <s v="GRIS ACERO"/>
    <s v="POR DEFINIR"/>
    <n v="33490000"/>
    <s v="Disponible"/>
    <x v="114"/>
    <x v="3"/>
    <s v="BODEGA LOS CARRERA COPIAPO"/>
    <s v="AE,CC,EE,AAC,ABS,LL,TC,VC,AISO,AAUTO,CRE,MAV,ACD,S"/>
    <s v="D4HEPH357028"/>
    <s v="KNARH81BHR5259144"/>
    <s v="OPERACIONES JORGE ALEJANDRO VARAS VARAS E.I.R.L"/>
    <s v="22-01-2026 0:00:00"/>
    <n v="1"/>
    <s v="22-01-2026 0:00:00"/>
    <s v="22-01-2026 12:54:40"/>
    <s v=""/>
    <n v="1"/>
    <n v="0"/>
    <s v=""/>
    <n v="0"/>
    <n v="28000000"/>
    <n v="1142194"/>
    <n v="0"/>
    <n v="29142194"/>
    <n v="33490000"/>
    <n v="4347806"/>
    <n v="1298"/>
  </r>
  <r>
    <x v="2"/>
    <s v="LOCAL PREMIUM CAR SALES"/>
    <n v="0"/>
    <n v="0"/>
    <s v=""/>
    <s v=""/>
    <s v=""/>
    <s v=""/>
    <s v="23-10-2025 13:59:01"/>
    <s v=""/>
    <s v="/////+*+///++*..."/>
    <x v="14"/>
    <x v="78"/>
    <s v="SILVERADO CC LTZ 4X4 3.0 AUT"/>
    <s v="SIL4X4"/>
    <x v="5"/>
    <n v="44495"/>
    <s v="TCHCMTU000483"/>
    <x v="157"/>
    <s v="USADO"/>
    <s v="NEGRO"/>
    <s v="POR DEFINIR"/>
    <n v="49990000"/>
    <s v="Disponible"/>
    <x v="115"/>
    <x v="3"/>
    <s v="PREMIUM CAR SALES"/>
    <s v=""/>
    <s v="LM2 TNG625504"/>
    <s v="3GCUD9ET6 NG625504"/>
    <s v="IMPORTADORA TRENTO LTDA"/>
    <s v="23-10-2025 0:00:00"/>
    <n v="1"/>
    <s v="20-11-2025 0:00:00"/>
    <s v="20-11-2025 19:37:03"/>
    <s v=""/>
    <n v="4"/>
    <n v="0"/>
    <s v=""/>
    <n v="0"/>
    <n v="48000000"/>
    <n v="846030"/>
    <n v="0"/>
    <n v="48846030"/>
    <n v="49990000"/>
    <n v="1143970"/>
    <n v="229"/>
  </r>
  <r>
    <x v="2"/>
    <s v="LOCAL PREMIUM CAR SALES"/>
    <n v="0"/>
    <n v="0"/>
    <s v=""/>
    <s v=""/>
    <s v=""/>
    <s v=""/>
    <s v="13-07-2026 18:26:33"/>
    <s v=""/>
    <s v="VF3MCYHZU RS000914"/>
    <x v="0"/>
    <x v="35"/>
    <s v="5008 BLUEHDI 130 1.5 AUT"/>
    <s v="5008BH130"/>
    <x v="5"/>
    <n v="47000"/>
    <s v="TPESTWU000462"/>
    <x v="158"/>
    <s v="USADO"/>
    <s v="GRIS ARTENSE"/>
    <s v="POR DEFINIR"/>
    <n v="21390000"/>
    <s v="Disponible"/>
    <x v="36"/>
    <x v="3"/>
    <s v="PREMIUM CAR SALES"/>
    <s v="AE,EE,2AB,AAC,ABS,LL,AISO,AAUTO,CRE,MAV,ACD,SR,UD,"/>
    <s v="10Q4EP0189027"/>
    <s v="VF3MCYHZU RS000914"/>
    <s v="NELLY ELISABETH ELGUETA ARAYA"/>
    <s v="13-07-2026 0:00:00"/>
    <n v="1"/>
    <s v="13-07-2026 0:00:00"/>
    <s v="13-07-2026 18:25:48"/>
    <s v=""/>
    <n v="1"/>
    <n v="0"/>
    <s v=""/>
    <n v="0"/>
    <n v="18000000"/>
    <n v="399240"/>
    <n v="0"/>
    <n v="18399240"/>
    <n v="21390000"/>
    <n v="2990760"/>
    <n v="1398"/>
  </r>
  <r>
    <x v="2"/>
    <s v="LOCAL VALLENAR"/>
    <n v="0"/>
    <n v="0"/>
    <s v=""/>
    <s v=""/>
    <s v=""/>
    <s v=""/>
    <s v="06-04-2026 12:02:41"/>
    <s v=""/>
    <s v="LVVDB21B5SC004219"/>
    <x v="10"/>
    <x v="31"/>
    <s v="7 DCT FWD 1.6 AUT"/>
    <s v="JE7AWD16AT"/>
    <x v="0"/>
    <n v="6400"/>
    <s v="TJAESTWU000004"/>
    <x v="159"/>
    <s v="USADO"/>
    <s v="GRIS ARTEMIS"/>
    <s v="POR DEFINIR"/>
    <n v="16490000"/>
    <s v="Disponible"/>
    <x v="0"/>
    <x v="3"/>
    <s v="LOCAL VALLENAR"/>
    <s v="AE,CC,EE,AAC,ABS,LL,TC,AISO,AAUTO,CRE,MAV,ACD,SR,U"/>
    <s v="SQRF4J16CAHRE00160"/>
    <s v="LVVDB21B5 SC004219"/>
    <s v="JOSE LUIS ALE DAIRE CALLEGARI"/>
    <s v="06-04-2026 0:00:00"/>
    <n v="1"/>
    <s v="06-04-2026 0:00:00"/>
    <s v="06-04-2026 12:01:30"/>
    <s v=""/>
    <n v="1"/>
    <n v="0"/>
    <s v=""/>
    <n v="0"/>
    <n v="14500000"/>
    <n v="346740"/>
    <n v="0"/>
    <n v="14846740"/>
    <n v="16490000"/>
    <n v="1643260"/>
    <n v="997"/>
  </r>
  <r>
    <x v="2"/>
    <s v="LOCAL USADOS"/>
    <n v="0"/>
    <n v="0"/>
    <s v=""/>
    <s v=""/>
    <s v=""/>
    <s v=""/>
    <s v="03-01-2017 1:36:33"/>
    <s v=""/>
    <s v="LGHT12173E9700288"/>
    <x v="5"/>
    <x v="67"/>
    <s v="CARGO BOX XL 1.3"/>
    <s v="2012--CARGOBOX1"/>
    <x v="14"/>
    <n v="0"/>
    <s v="TDFCMTU000001"/>
    <x v="160"/>
    <s v="USADO"/>
    <s v="BLANCO"/>
    <s v="NO DEFINIDO"/>
    <n v="3490000"/>
    <s v="Disponible"/>
    <x v="116"/>
    <x v="6"/>
    <s v="BODEGA VEHICULOS"/>
    <s v=""/>
    <s v="EQ474I-3013074700"/>
    <s v="LGHT12173E9700288"/>
    <s v="SOCIEDAD HERMANAS CALLEGARI LTDA"/>
    <s v="04-06-2014 0:00:00"/>
    <n v="0"/>
    <s v=""/>
    <s v=""/>
    <s v="04-06-2014 0:00:00"/>
    <n v="0"/>
    <n v="0"/>
    <s v=""/>
    <n v="0"/>
    <n v="82597"/>
    <n v="4016851"/>
    <n v="0"/>
    <n v="4099448"/>
    <n v="3490000"/>
    <n v="-609448"/>
    <n v="-1746"/>
  </r>
  <r>
    <x v="2"/>
    <s v="LOCAL PREMIUM CAR SALES"/>
    <n v="0"/>
    <n v="0"/>
    <s v=""/>
    <s v=""/>
    <s v=""/>
    <s v=""/>
    <s v="22-07-2026 10:40:46"/>
    <s v=""/>
    <s v="8AFAR23X5 PJ321429"/>
    <x v="3"/>
    <x v="16"/>
    <s v="RANGER XL M 4X4 2.2"/>
    <s v="FRR01"/>
    <x v="2"/>
    <n v="38300"/>
    <s v="TFOCMTU001167"/>
    <x v="161"/>
    <s v="USADO"/>
    <s v="BLANCO"/>
    <s v="POR DEFINIR"/>
    <n v="21990000"/>
    <s v="Disponible"/>
    <x v="82"/>
    <x v="3"/>
    <s v="PREMIUM CAR SALES"/>
    <s v="AE,CC,EE,2AB,ABS,LL,VC,AC,AISO,AAUTO,MAV,SR,UD,DLL"/>
    <s v="QJ2W PJ321429"/>
    <s v="8AFAR23X5 PJ321429"/>
    <s v="EMPRESA ELECTRICA ARAYA LOPEZ LIMITADA"/>
    <s v="22-07-2026 0:00:00"/>
    <n v="1"/>
    <s v="22-07-2026 0:00:00"/>
    <s v="22-07-2026 10:28:38"/>
    <s v=""/>
    <n v="1"/>
    <n v="0"/>
    <s v=""/>
    <n v="0"/>
    <n v="18000000"/>
    <n v="399240"/>
    <n v="0"/>
    <n v="18399240"/>
    <n v="21990000"/>
    <n v="3590760"/>
    <n v="1633"/>
  </r>
  <r>
    <x v="2"/>
    <s v="LOCAL PREMIUM CAR SALES"/>
    <n v="0"/>
    <n v="0"/>
    <s v=""/>
    <s v=""/>
    <s v=""/>
    <s v=""/>
    <s v="03-07-2026 12:13:56"/>
    <s v=""/>
    <s v="LJD5AA19BR0097097"/>
    <x v="6"/>
    <x v="79"/>
    <s v="SELTOS EX TURBO GDI 1.4 AUT"/>
    <s v="KISELEXT14AT"/>
    <x v="2"/>
    <n v="67616"/>
    <s v="TKISTWU001342"/>
    <x v="162"/>
    <s v="USADO"/>
    <s v="PLATEADO RESPLANDECIENTE"/>
    <s v="POR DEFINIR"/>
    <n v="16990000"/>
    <s v="Disponible"/>
    <x v="79"/>
    <x v="3"/>
    <s v="PREMIUM CAR SALES"/>
    <s v="AE,CC,EE,AAC,ABS,LL,AISO,AAUTO,CRE,MAV,ACD,SR,UD,D"/>
    <s v="G4LDP1021579"/>
    <s v="LJD5AA19BR0097097"/>
    <s v="CLAUDIO FRANCISCO MONTECINOS ARCOS"/>
    <s v="03-07-2026 0:00:00"/>
    <n v="1"/>
    <s v="03-07-2026 0:00:00"/>
    <s v="03-07-2026 12:13:01"/>
    <s v=""/>
    <n v="1"/>
    <n v="0"/>
    <s v=""/>
    <n v="0"/>
    <n v="13750000"/>
    <n v="335490"/>
    <n v="0"/>
    <n v="14085490"/>
    <n v="16990000"/>
    <n v="2904510"/>
    <n v="171"/>
  </r>
  <r>
    <x v="2"/>
    <s v="LOCAL PDI"/>
    <n v="0"/>
    <n v="0"/>
    <s v=""/>
    <s v=""/>
    <s v=""/>
    <s v=""/>
    <s v="14-08-2018 18:36:12"/>
    <s v=""/>
    <s v="KNABE511AET622431"/>
    <x v="6"/>
    <x v="19"/>
    <s v="MORNING LX 1.0"/>
    <s v="17--1416E4"/>
    <x v="14"/>
    <n v="50000"/>
    <s v="TKIAUTU001659"/>
    <x v="163"/>
    <s v="USADO"/>
    <s v="ROJO SIGNAL"/>
    <s v="POR DEFINIR"/>
    <n v="4390000"/>
    <s v="Disponible"/>
    <x v="117"/>
    <x v="13"/>
    <s v="BODEGA PDI"/>
    <s v=""/>
    <s v="G3LADP101529"/>
    <s v="KNABE511AET622431"/>
    <s v="JUAN CARLOS MORALES GODOY"/>
    <s v="14-08-2018 0:00:00"/>
    <n v="0"/>
    <s v=""/>
    <s v=""/>
    <s v=""/>
    <n v="0"/>
    <n v="0"/>
    <s v=""/>
    <n v="1"/>
    <n v="0"/>
    <n v="1812732"/>
    <n v="0"/>
    <n v="1812732"/>
    <n v="4390000"/>
    <n v="2577268"/>
    <n v="5871"/>
  </r>
  <r>
    <x v="2"/>
    <s v="LOCAL PREMIUM CAR SALES"/>
    <n v="0"/>
    <n v="0"/>
    <s v=""/>
    <s v=""/>
    <s v=""/>
    <s v=""/>
    <s v="22-07-2026 16:29:47"/>
    <s v=""/>
    <s v="KMHSU81CAJU819741"/>
    <x v="22"/>
    <x v="53"/>
    <s v="SANTA FE GLS 2.4"/>
    <s v="20--THYSTF001"/>
    <x v="11"/>
    <n v="68000"/>
    <s v="THYSTWU000555"/>
    <x v="164"/>
    <s v="USADO"/>
    <s v="BLANCO"/>
    <s v="POR DEFINIR"/>
    <n v="11990000"/>
    <s v="Disponible"/>
    <x v="82"/>
    <x v="10"/>
    <s v="PREMIUM CAR SALES"/>
    <s v="AE,CC,EE,ABS,LL,4AB,AC,AISO,AAUTO,CRE,MAV,ACD,SR,D"/>
    <s v="G4KEHA985578"/>
    <s v="KMHSU81CAJU819741"/>
    <s v="PAULINA ANDREA OÑATE ORTUVIA"/>
    <s v="22-07-2026 0:00:00"/>
    <n v="1"/>
    <s v="22-07-2026 0:00:00"/>
    <s v="22-07-2026 16:29:21"/>
    <s v=""/>
    <n v="3"/>
    <n v="0"/>
    <s v=""/>
    <n v="0"/>
    <n v="9200000"/>
    <n v="267240"/>
    <n v="0"/>
    <n v="9467240"/>
    <n v="11990000"/>
    <n v="2522760"/>
    <n v="2104"/>
  </r>
  <r>
    <x v="2"/>
    <s v="LOCAL PREMIUM CAR SALES"/>
    <n v="0"/>
    <n v="0"/>
    <s v=""/>
    <s v=""/>
    <s v=""/>
    <s v=""/>
    <s v="31-07-2026 16:57:15"/>
    <s v=""/>
    <s v="KPT40A1XS PP085674"/>
    <x v="13"/>
    <x v="80"/>
    <s v="NEW REXTON LX 4X4 2.0 AUT"/>
    <s v="SSNREXLX4X42.0AT"/>
    <x v="5"/>
    <n v="31000"/>
    <s v="TSYSTWU000344"/>
    <x v="165"/>
    <s v="USADO"/>
    <s v="BLANCO PERLA"/>
    <s v="POR DEFINIR"/>
    <n v="19990000"/>
    <s v="Disponible"/>
    <x v="57"/>
    <x v="10"/>
    <s v="PREMIUM CAR SALES"/>
    <s v="AE,CC,EE,AAC,ABS,LL,AISO,AAUTO,CRE,MAV,ACD,SR,DLL,"/>
    <s v="174950 19CN0017"/>
    <s v="KPT40A1XS PP085674"/>
    <s v="NELSON FERNANDO ARACENA GOMEZ"/>
    <s v="31-07-2026 0:00:00"/>
    <n v="1"/>
    <s v="31-07-2026 0:00:00"/>
    <s v="31-07-2026 16:56:56"/>
    <s v=""/>
    <n v="1"/>
    <n v="0"/>
    <s v=""/>
    <n v="0"/>
    <n v="16000000"/>
    <n v="369240"/>
    <n v="0"/>
    <n v="16369240"/>
    <n v="19990000"/>
    <n v="3620760"/>
    <n v="1811"/>
  </r>
  <r>
    <x v="2"/>
    <s v="LOCAL USADOS"/>
    <n v="0"/>
    <n v="0"/>
    <s v=""/>
    <s v=""/>
    <s v=""/>
    <s v=""/>
    <s v="17-02-2022 15:53:19"/>
    <s v=""/>
    <s v="VF3M45GZWJS004469"/>
    <x v="0"/>
    <x v="44"/>
    <s v="3008 ALLURE 1.6 AT"/>
    <s v="PALL7"/>
    <x v="11"/>
    <n v="120000"/>
    <s v="TPESTWU000279"/>
    <x v="166"/>
    <s v="USADO"/>
    <s v="GRIS HURRICANE"/>
    <s v="POR DEFINIR"/>
    <n v="14390000"/>
    <s v="Disponible"/>
    <x v="118"/>
    <x v="2"/>
    <s v="BODEGA VEHICULOS"/>
    <s v="AE,CC,EE,2AB,NB,AAC,ABS,LL,TC,VC,4AB,ESP,CT,SS,AIS"/>
    <s v="10FJCC2346652"/>
    <s v="VF3M45GZWJS004469"/>
    <s v="OSCAR ARMANDO PIZARRO BEMBOW"/>
    <s v="17-02-2022 0:00:00"/>
    <n v="1"/>
    <s v="29-04-2022 19:24:00"/>
    <s v="29-04-2022 19:24:00"/>
    <s v=""/>
    <n v="0"/>
    <n v="0"/>
    <s v=""/>
    <n v="0"/>
    <n v="17650000"/>
    <n v="753678"/>
    <n v="0"/>
    <n v="18403678"/>
    <n v="14390000"/>
    <n v="-4013678"/>
    <n v="-2789"/>
  </r>
  <r>
    <x v="2"/>
    <s v="LOCAL USADOS"/>
    <n v="0"/>
    <n v="0"/>
    <s v=""/>
    <s v=""/>
    <s v=""/>
    <s v=""/>
    <s v="04-02-2026 12:44:44"/>
    <s v=""/>
    <s v="3N1AB7AE8LY202955"/>
    <x v="15"/>
    <x v="81"/>
    <s v="SENTRA 1.8 AT"/>
    <s v="NISEN18AT"/>
    <x v="9"/>
    <n v="96000"/>
    <s v="TNIAUTU000649"/>
    <x v="167"/>
    <s v="USADO"/>
    <s v="BLANCO PERLA"/>
    <s v="POR DEFINIR"/>
    <n v="10990000"/>
    <s v="Disponible"/>
    <x v="28"/>
    <x v="3"/>
    <s v="BODEGA VEHICULOS"/>
    <s v="AE,CC,EE,NB,ABS,LL,4AB,AC,AISO,AAUTO,ACD,DLL"/>
    <s v="MRA8720448J"/>
    <s v="3N1AB7AE8LY202955"/>
    <s v="RUPERTO ALEJANDRO GALLEGOS GUTIERREZ"/>
    <s v="04-02-2026 0:00:00"/>
    <n v="1"/>
    <s v="09-07-2026 17:20:00"/>
    <s v="09-07-2026 17:20:00"/>
    <s v="31-05-2026 0:00:00"/>
    <n v="4"/>
    <n v="0"/>
    <s v=""/>
    <n v="0"/>
    <n v="8500000"/>
    <n v="253530"/>
    <n v="0"/>
    <n v="8753530"/>
    <n v="10990000"/>
    <n v="2236470"/>
    <n v="2035"/>
  </r>
  <r>
    <x v="2"/>
    <s v="LOCAL PREMIUM CAR SALES"/>
    <n v="0"/>
    <n v="0"/>
    <s v=""/>
    <s v=""/>
    <s v=""/>
    <s v=""/>
    <s v="08-08-2026 11:46:21"/>
    <s v=""/>
    <s v="JS2ZC13S0P6400011"/>
    <x v="23"/>
    <x v="82"/>
    <s v="SWIFT DIT HB 1.0"/>
    <s v="SUSWIFHB10"/>
    <x v="5"/>
    <n v="44860"/>
    <s v="TSZSTWU000474"/>
    <x v="168"/>
    <s v="USADO"/>
    <s v="BLANCO PERLA"/>
    <s v="POR DEFINIR"/>
    <n v="11290000"/>
    <s v="Disponible"/>
    <x v="61"/>
    <x v="3"/>
    <s v="PREMIUM CAR SALES"/>
    <s v=""/>
    <s v="K10C-1305740"/>
    <s v="JS2ZC13S0P6400011"/>
    <s v="LARRY PEREZ"/>
    <s v="08-08-2026 0:00:00"/>
    <n v="1"/>
    <s v="08-08-2026 0:00:00"/>
    <s v="08-08-2026 11:44:36"/>
    <s v=""/>
    <n v="2"/>
    <n v="0"/>
    <s v=""/>
    <n v="0"/>
    <n v="9500000"/>
    <n v="0"/>
    <n v="0"/>
    <n v="9500000"/>
    <n v="11290000"/>
    <n v="1790000"/>
    <n v="1585"/>
  </r>
  <r>
    <x v="2"/>
    <s v="LOCAL PREMIUM CAR SALES"/>
    <n v="0"/>
    <n v="0"/>
    <s v=""/>
    <s v=""/>
    <s v=""/>
    <s v=""/>
    <s v="27-06-2026 12:56:37"/>
    <s v=""/>
    <s v="JF1BT9LL3 MG008084"/>
    <x v="2"/>
    <x v="83"/>
    <s v="OUTBACK 4X4 2.5 AT"/>
    <s v="SUOUTB25AT4X4"/>
    <x v="3"/>
    <n v="82000"/>
    <s v="TSUSTWU000400"/>
    <x v="169"/>
    <s v="USADO"/>
    <s v="VERDE OTOÑO METALICO"/>
    <s v="POR DEFINIR"/>
    <n v="23290000"/>
    <s v="Disponible"/>
    <x v="93"/>
    <x v="2"/>
    <s v="PREMIUM CAR SALES"/>
    <s v="AE,CC,EE,ABS,LL,VC,AC,AISO,AAUTO,CRE,MAV,ACD,SR,UD"/>
    <s v="YP41888"/>
    <s v="JF1BT9LL3 MG008084"/>
    <s v="MIGUEL ALBERTO ZULETA CERECEDA"/>
    <s v="27-06-2026 0:00:00"/>
    <n v="1"/>
    <s v="31-07-2026 12:35:00"/>
    <s v="31-07-2026 12:35:00"/>
    <s v=""/>
    <n v="1"/>
    <n v="0"/>
    <s v=""/>
    <n v="0"/>
    <n v="19200000"/>
    <n v="417240"/>
    <n v="0"/>
    <n v="19617240"/>
    <n v="23290000"/>
    <n v="3672760"/>
    <n v="1577"/>
  </r>
  <r>
    <x v="2"/>
    <s v="LOCAL PREMIUM CAR SALES"/>
    <n v="0"/>
    <n v="0"/>
    <s v=""/>
    <s v=""/>
    <s v=""/>
    <s v=""/>
    <s v="30-07-2026 19:26:27"/>
    <s v=""/>
    <s v="LNNBBDEE9 TD126827"/>
    <x v="11"/>
    <x v="84"/>
    <s v="TIGGO 8 PRO MAX GLX 1.5 AUT"/>
    <s v="CHTI8PMGLX15AUT"/>
    <x v="0"/>
    <n v="3500"/>
    <s v="TCYSTWU000362"/>
    <x v="170"/>
    <s v="USADO"/>
    <s v="GRIS BAMBOO"/>
    <s v="POR DEFINIR"/>
    <n v="26990000"/>
    <s v="Disponible"/>
    <x v="80"/>
    <x v="10"/>
    <s v="PREMIUM CAR SALES"/>
    <s v="AE,CC,EE,AAC,ABS,LL,VC,AISO,AAUTO,CRE,MAV,ACD,SR,U"/>
    <s v="SQRH4J15DFTB60007"/>
    <s v="LNNBBDEE9 TD126827"/>
    <s v="EDITH MAGDALENA ALIAGA BONILLA"/>
    <s v="30-07-2026 0:00:00"/>
    <n v="1"/>
    <s v="30-07-2026 0:00:00"/>
    <s v="30-07-2026 19:24:33"/>
    <s v=""/>
    <n v="1"/>
    <n v="0"/>
    <s v=""/>
    <n v="0"/>
    <n v="22500000"/>
    <n v="466740"/>
    <n v="0"/>
    <n v="22966740"/>
    <n v="26990000"/>
    <n v="4023260"/>
    <n v="1491"/>
  </r>
  <r>
    <x v="2"/>
    <s v="LOCAL PREMIUM CAR SALES"/>
    <n v="0"/>
    <n v="0"/>
    <s v=""/>
    <s v=""/>
    <s v=""/>
    <s v=""/>
    <s v="04-02-2026 12:30:05"/>
    <s v=""/>
    <s v="LVVDB21B8 ND055115"/>
    <x v="11"/>
    <x v="85"/>
    <s v="TIGGO 7 GLX CVT PRO 1.5 AUT"/>
    <s v="T7PRODEV"/>
    <x v="3"/>
    <n v="56079"/>
    <s v="TCYSTWU000340"/>
    <x v="171"/>
    <s v="USADO"/>
    <s v="BLANCO METALIZADO"/>
    <s v="POR DEFINIR"/>
    <n v="11990000"/>
    <s v="Disponible"/>
    <x v="28"/>
    <x v="2"/>
    <s v="PREMIUM CAR SALES"/>
    <s v="AE,CC,EE,AAC,ABS,LL,AISO,AAUTO,CRE,MAV,TELE,ACD,SR"/>
    <s v="SQRE4T15CAPNA00418"/>
    <s v="LVVDB21B8 ND055115"/>
    <s v="MARIA ANTONIETA DEL CARMEN WHITTAKER ROA"/>
    <s v="04-02-2026 0:00:00"/>
    <n v="1"/>
    <s v="23-05-2026 12:34:00"/>
    <s v="23-05-2026 12:34:00"/>
    <s v="31-10-2026 0:00:00"/>
    <n v="1"/>
    <n v="0"/>
    <s v=""/>
    <n v="1"/>
    <n v="10000000"/>
    <n v="276030"/>
    <n v="0"/>
    <n v="10276030"/>
    <n v="11990000"/>
    <n v="1713970"/>
    <n v="1429"/>
  </r>
  <r>
    <x v="2"/>
    <s v="LOCAL PREMIUM CAR SALES"/>
    <n v="0"/>
    <n v="0"/>
    <s v=""/>
    <s v=""/>
    <s v=""/>
    <s v=""/>
    <s v="30-07-2026 19:04:00"/>
    <s v=""/>
    <s v="VR3UDYHZS PJ521699"/>
    <x v="0"/>
    <x v="40"/>
    <s v="2008 BLUE HDI 130 EAT8 1.5 AUT"/>
    <s v="2008BH130"/>
    <x v="5"/>
    <n v="56423"/>
    <s v="TPESTWU000467"/>
    <x v="172"/>
    <s v="USADO"/>
    <s v="GRIS PLATINIUM"/>
    <s v="POR DEFINIR"/>
    <n v="14490000"/>
    <s v="Disponible"/>
    <x v="80"/>
    <x v="10"/>
    <s v="PREMIUM CAR SALES"/>
    <s v="AE,CC,EE,AAC,ABS,LL,AISO,AAUTO,CRE,MAV,ACD,SR,UD,D"/>
    <s v="10Q3DP1568966"/>
    <s v="VR3UDYHZS PJ521699"/>
    <s v="FELIPE JAVIER CARRASCO FLEITE"/>
    <s v="30-07-2026 0:00:00"/>
    <n v="1"/>
    <s v="30-07-2026 0:00:00"/>
    <s v="30-07-2026 19:03:33"/>
    <s v=""/>
    <n v="1"/>
    <n v="0"/>
    <s v=""/>
    <n v="0"/>
    <n v="12000000"/>
    <n v="309240"/>
    <n v="0"/>
    <n v="12309240"/>
    <n v="14490000"/>
    <n v="2180760"/>
    <n v="1505"/>
  </r>
  <r>
    <x v="2"/>
    <s v="LOCAL USADOS COPIAPO"/>
    <n v="0"/>
    <n v="0"/>
    <s v=""/>
    <s v=""/>
    <s v=""/>
    <s v=""/>
    <s v="03-07-2026 10:13:37"/>
    <s v=""/>
    <s v="/////+++*./++*..."/>
    <x v="20"/>
    <x v="86"/>
    <s v="NEW CX 5 R 2.0 AT"/>
    <s v="MANECX520AT"/>
    <x v="3"/>
    <n v="80925"/>
    <s v="TMASTWU000107"/>
    <x v="173"/>
    <s v="USADO"/>
    <s v="PLATEADO PLATA METALIZADO"/>
    <s v="POR DEFINIR"/>
    <n v="16990000"/>
    <s v="Disponible"/>
    <x v="79"/>
    <x v="10"/>
    <s v="BODEGA LOS CARRERA COPIAPO"/>
    <s v="AE,CC,EE,AAC,ABS,LL,VC,AISO,AAUTO,CRE,MAV,ACD,SR,U"/>
    <s v="PE 21654797"/>
    <s v="JM7KF2W76N0693317"/>
    <s v="ANABEL JOSÉ LOPETEGUI GONZALEZ"/>
    <s v="03-07-2026 0:00:00"/>
    <n v="1"/>
    <s v="03-08-2026 16:37:00"/>
    <s v="03-08-2026 16:37:00"/>
    <s v=""/>
    <n v="1"/>
    <n v="0"/>
    <s v=""/>
    <n v="0"/>
    <n v="14000000"/>
    <n v="339240"/>
    <n v="0"/>
    <n v="14339240"/>
    <n v="16990000"/>
    <n v="2650760"/>
    <n v="156"/>
  </r>
  <r>
    <x v="2"/>
    <s v="LOCAL PREMIUM CAR SALES"/>
    <n v="0"/>
    <n v="0"/>
    <s v=""/>
    <s v=""/>
    <s v=""/>
    <s v=""/>
    <s v="28-04-2026 11:00:49"/>
    <s v=""/>
    <s v="/////+/+///++*..."/>
    <x v="0"/>
    <x v="2"/>
    <s v="LANDTREK BLUEHDI 4X4 2.2 AUT"/>
    <s v="PELANHDI4X422AT"/>
    <x v="2"/>
    <n v="81000"/>
    <s v="TPECMTU000019"/>
    <x v="174"/>
    <s v="USADO"/>
    <s v="BLANCO BANQUISE"/>
    <s v="POR DEFINIR"/>
    <n v="18990000"/>
    <s v="Disponible"/>
    <x v="55"/>
    <x v="3"/>
    <s v="PREMIUM CAR SALES"/>
    <s v="AE,CC,EE,AAC,ABS,LL,VC,AISO,AAUTO,CRE,MAV,ACD,SR,U"/>
    <s v="10VRAC4001684"/>
    <s v="9V8FF4HY1 PA800951"/>
    <s v="SAFETY CIRCLE SERVICIOS INTEGRALES SPA"/>
    <s v="28-04-2026 0:00:00"/>
    <n v="1"/>
    <s v="28-04-2026 0:00:00"/>
    <s v="28-04-2026 11:00:18"/>
    <s v=""/>
    <n v="1"/>
    <n v="0"/>
    <s v=""/>
    <n v="0"/>
    <n v="15500000"/>
    <n v="361740"/>
    <n v="0"/>
    <n v="15861740"/>
    <n v="18990000"/>
    <n v="3128260"/>
    <n v="1647"/>
  </r>
  <r>
    <x v="2"/>
    <s v="LOCAL USADOS COPIAPO"/>
    <n v="0"/>
    <n v="0"/>
    <s v=""/>
    <s v=""/>
    <s v=""/>
    <s v=""/>
    <s v="22-10-2025 9:20:00"/>
    <s v=""/>
    <s v="LVVDB11B7 MD082945"/>
    <x v="11"/>
    <x v="87"/>
    <s v="TIGGO 3 1.5"/>
    <s v="T315"/>
    <x v="12"/>
    <n v="40095"/>
    <s v="TCYSTWU000320"/>
    <x v="175"/>
    <s v="USADO"/>
    <s v="AZUL METALIZADO"/>
    <s v="POR DEFINIR"/>
    <n v="8190000"/>
    <s v="Disponible"/>
    <x v="119"/>
    <x v="14"/>
    <s v="BODEGA LOS CARRERA COPIAPO"/>
    <s v="AE,CC,EE,ABS,LL,4AB,AC,AISO,AAUTO,CRE,ACD,SR,UD,DL"/>
    <s v="SQRE4G15BATMC00062"/>
    <s v="LVVDB11B7 MD082945"/>
    <s v="MILENKA SUSANA NEGRON CABALLERO"/>
    <s v="22-10-2025 0:00:00"/>
    <n v="1"/>
    <s v="22-10-2025 0:00:00"/>
    <s v="22-10-2025 9:19:18"/>
    <s v="30-04-2026 0:00:00"/>
    <n v="1"/>
    <n v="0"/>
    <s v=""/>
    <n v="0"/>
    <n v="6200000"/>
    <n v="219030"/>
    <n v="0"/>
    <n v="6419030"/>
    <n v="8190000"/>
    <n v="1770970"/>
    <n v="2162"/>
  </r>
  <r>
    <x v="2"/>
    <s v="LOCAL PREMIUM CAR SALES"/>
    <n v="0"/>
    <n v="0"/>
    <s v=""/>
    <s v=""/>
    <s v=""/>
    <s v=""/>
    <s v="01-04-2026 18:18:58"/>
    <s v=""/>
    <s v="VF3MCYHZUSL001353"/>
    <x v="0"/>
    <x v="35"/>
    <s v="5008 BLUEHDI 130 1.5 AUT"/>
    <s v="5008BH130"/>
    <x v="1"/>
    <n v="20000"/>
    <s v="TPESTWU000451"/>
    <x v="176"/>
    <s v="USADO"/>
    <s v="BLANCO NACARADO"/>
    <s v="POR DEFINIR"/>
    <n v="25990000"/>
    <s v="Disponible"/>
    <x v="96"/>
    <x v="3"/>
    <s v="PREMIUM CAR SALES"/>
    <s v="AE,CC,EE,AAC,ABS,LL,VC,AISO,ACP,AAUTO,CRE,MAV,ACD,"/>
    <s v="10Q3EJ1989595"/>
    <s v="VF3MCYHZUSL001353"/>
    <s v="CAMILA MONSERRAT COLLAO CASTILLO"/>
    <s v="01-04-2026 0:00:00"/>
    <n v="1"/>
    <s v="01-04-2026 0:00:00"/>
    <s v="01-04-2026 18:18:30"/>
    <s v=""/>
    <n v="1"/>
    <n v="0"/>
    <s v=""/>
    <n v="0"/>
    <n v="23500000"/>
    <n v="481740"/>
    <n v="0"/>
    <n v="23981740"/>
    <n v="25990000"/>
    <n v="2008260"/>
    <n v="773"/>
  </r>
  <r>
    <x v="2"/>
    <s v="LOCAL PREMIUM CAR SALES"/>
    <n v="0"/>
    <n v="0"/>
    <s v=""/>
    <s v=""/>
    <s v=""/>
    <s v=""/>
    <s v="25-05-2026 10:42:35"/>
    <s v=""/>
    <s v="LVTDD24B3 PD064404"/>
    <x v="30"/>
    <x v="88"/>
    <s v="VX UNLIMITED 4X4 2.0 AUT"/>
    <s v="EXVXUN4X420AT"/>
    <x v="1"/>
    <n v="44200"/>
    <s v="TEXESTWU000006"/>
    <x v="177"/>
    <s v="USADO"/>
    <s v="BLANCO QUARTZ"/>
    <s v="POR DEFINIR"/>
    <n v="28990000"/>
    <s v="Disponible"/>
    <x v="120"/>
    <x v="3"/>
    <s v="PREMIUM CAR SALES"/>
    <s v="AE,CC,EE,AAC,ABS,LL,AISO,AAUTO,CRE,MAV,ACD,SR,UD,D"/>
    <s v="SQRF4J20CADNK03753"/>
    <s v="LVTDD24B3 PD064404"/>
    <s v="MICHEL ALEJANDRO PEMJEAN GALLEGUILLOS"/>
    <s v="25-05-2026 0:00:00"/>
    <n v="1"/>
    <s v="25-05-2026 0:00:00"/>
    <s v="25-05-2026 10:39:17"/>
    <s v=""/>
    <n v="1"/>
    <n v="0"/>
    <s v=""/>
    <n v="0"/>
    <n v="22000000"/>
    <n v="459240"/>
    <n v="0"/>
    <n v="22459240"/>
    <n v="28990000"/>
    <n v="6530760"/>
    <n v="2253"/>
  </r>
  <r>
    <x v="2"/>
    <s v="LOCAL USADOS"/>
    <n v="0"/>
    <n v="0"/>
    <s v=""/>
    <s v=""/>
    <s v=""/>
    <s v=""/>
    <s v="04-05-2026 17:27:55"/>
    <s v=""/>
    <s v="/..+/+++///++*..."/>
    <x v="16"/>
    <x v="89"/>
    <s v="C3 AIRCROSS 1.2 AUT"/>
    <s v="CR566"/>
    <x v="4"/>
    <n v="72580"/>
    <s v="TCIAUTU000131"/>
    <x v="178"/>
    <s v="USADO"/>
    <s v="GRIS SATINADO T BLANCO"/>
    <s v="POR DEFINIR"/>
    <n v="9290000"/>
    <s v="Disponible"/>
    <x v="121"/>
    <x v="2"/>
    <s v="BODEGA VEHICULOS"/>
    <s v="AE,CC,EE,2AB,ABS,LL,AC,AISO,AAUTO,MAV,ACD,DLL"/>
    <s v="10XK132270863"/>
    <s v="VF72RHNZWJ4344809"/>
    <s v="MYRIAM LORENA ALVAREZ DIAZ"/>
    <s v="04-05-2026 0:00:00"/>
    <n v="1"/>
    <s v="04-05-2026 0:00:00"/>
    <s v="04-05-2026 17:22:16"/>
    <s v=""/>
    <n v="4"/>
    <n v="0"/>
    <s v=""/>
    <n v="0"/>
    <n v="8300000"/>
    <n v="253740"/>
    <n v="0"/>
    <n v="8553740"/>
    <n v="9290000"/>
    <n v="736260"/>
    <n v="793"/>
  </r>
  <r>
    <x v="2"/>
    <s v="LOCAL PREMIUM CAR SALES"/>
    <n v="0"/>
    <n v="0"/>
    <s v=""/>
    <s v=""/>
    <s v=""/>
    <s v=""/>
    <s v="18-02-2026 9:46:22"/>
    <s v=""/>
    <s v="KNACP81EG P5055975"/>
    <x v="6"/>
    <x v="90"/>
    <s v="NIRO HEV DCT GDI 1.6 AUT"/>
    <s v="KINIRO16AT"/>
    <x v="2"/>
    <n v="43000"/>
    <s v="TKISTWU001335"/>
    <x v="179"/>
    <s v="USADO"/>
    <s v="BLANCO INVIERNO"/>
    <s v="POR DEFINIR"/>
    <n v="19990000"/>
    <s v="Disponible"/>
    <x v="76"/>
    <x v="3"/>
    <s v="PREMIUM CAR SALES"/>
    <s v="AE,CC,EE,AAC,ABS,LL,AISO,AAUTO,CRE,MAV,SR,DLL,6AB"/>
    <s v="G4LLNS082877"/>
    <s v="KNACP81EG P5055975"/>
    <s v="MARY CARMEN ALFARO AHUMADA"/>
    <s v="18-02-2026 0:00:00"/>
    <n v="1"/>
    <s v="18-02-2026 0:00:00"/>
    <s v="18-02-2026 9:45:23"/>
    <s v=""/>
    <n v="0"/>
    <n v="0"/>
    <s v=""/>
    <n v="0"/>
    <n v="17750000"/>
    <n v="392280"/>
    <n v="0"/>
    <n v="18142280"/>
    <n v="19990000"/>
    <n v="1847720"/>
    <n v="924"/>
  </r>
  <r>
    <x v="2"/>
    <s v="LOCAL PREMIUM CAR SALES"/>
    <n v="0"/>
    <n v="0"/>
    <s v=""/>
    <s v=""/>
    <s v=""/>
    <s v=""/>
    <s v="02-05-2022 18:10:07"/>
    <s v=""/>
    <s v="VF3MCYHZRLS003227"/>
    <x v="0"/>
    <x v="44"/>
    <s v="3008 BLUE HDI HP 1.5 AUT"/>
    <s v="PCM10"/>
    <x v="9"/>
    <n v="31000"/>
    <s v="TPESTWU000283"/>
    <x v="180"/>
    <s v="USADO"/>
    <s v="BLANCO NACARADO"/>
    <s v="POR DEFINIR"/>
    <n v="14990000"/>
    <s v="Disponible"/>
    <x v="122"/>
    <x v="2"/>
    <s v="PREMIUM CAR SALES"/>
    <s v="AE,CC,EE,NB,ABS,LL,AC,AISO,AAUTO,CRE,ACD,SR,DLL,6A"/>
    <s v="10Q3BC0371833"/>
    <s v="VF3MCYHZRLS003227"/>
    <s v="PRUDENCIA LEONELLY VALDIVIA PLAZA"/>
    <s v="02-05-2022 0:00:00"/>
    <n v="1"/>
    <s v="26-02-2025 17:20:00"/>
    <s v="26-02-2025 17:20:00"/>
    <s v=""/>
    <n v="0"/>
    <n v="0"/>
    <s v=""/>
    <n v="7"/>
    <n v="20000000"/>
    <n v="1051072"/>
    <n v="0"/>
    <n v="21051072"/>
    <n v="14990000"/>
    <n v="-6061072"/>
    <n v="-4043"/>
  </r>
  <r>
    <x v="2"/>
    <s v="MEGACENTRO OVALLE"/>
    <n v="0"/>
    <n v="0"/>
    <s v=""/>
    <s v=""/>
    <s v=""/>
    <s v=""/>
    <s v="27-05-2026 17:54:58"/>
    <s v=""/>
    <s v="JF1SK7LL5RG259442"/>
    <x v="2"/>
    <x v="91"/>
    <s v="FORESTER 4X4 2.0 AT"/>
    <s v="SF99"/>
    <x v="2"/>
    <n v="76000"/>
    <s v="TSUSTWU000399"/>
    <x v="181"/>
    <s v="USADO"/>
    <s v="PLATEADO HIELO CLARO"/>
    <s v="POR DEFINIR"/>
    <n v="23990000"/>
    <s v="Disponible"/>
    <x v="123"/>
    <x v="3"/>
    <s v="BODEGA OVALLEveih"/>
    <s v="AE,CC,EE,NB,AAC,ABS,LL,VC,AISO,AAUTO,CRE,MAV,ACD,S"/>
    <s v="YX96759"/>
    <s v="JF1SK7LL5RG259442"/>
    <s v="EDUARDO ENRIQUE ANTIQUERA ANTIQUERA"/>
    <s v="27-05-2026 0:00:00"/>
    <n v="1"/>
    <s v="27-05-2026 0:00:00"/>
    <s v="27-05-2026 17:50:26"/>
    <s v=""/>
    <n v="1"/>
    <n v="0"/>
    <s v=""/>
    <n v="0"/>
    <n v="19000000"/>
    <n v="414240"/>
    <n v="0"/>
    <n v="19414240"/>
    <n v="23990000"/>
    <n v="4575760"/>
    <n v="1907"/>
  </r>
  <r>
    <x v="2"/>
    <s v="LOCAL PREMIUM CAR SALES"/>
    <n v="0"/>
    <n v="0"/>
    <s v=""/>
    <s v=""/>
    <s v=""/>
    <s v=""/>
    <s v="08-08-2026 12:17:35"/>
    <s v=""/>
    <s v="3N1CN8AE6 PL800549"/>
    <x v="15"/>
    <x v="48"/>
    <s v="VERSA CVT 1.6 AUT"/>
    <s v="NVC7"/>
    <x v="3"/>
    <n v="68878"/>
    <s v="TNIAUTU000652"/>
    <x v="182"/>
    <s v="USADO"/>
    <s v="BLANCO PERLA"/>
    <s v="POR DEFINIR"/>
    <n v="10390000"/>
    <s v="Disponible"/>
    <x v="61"/>
    <x v="10"/>
    <s v="PREMIUM CAR SALES"/>
    <s v="AE,CC,EE,ABS,LL,4AB,AC,AISO,AAUTO,CRE,MAV,ACD,SR,U"/>
    <s v="HR16-535227V"/>
    <s v="3N1CN8AE6 PL800549"/>
    <s v="HECTOR EDUARDO AZOCAR VENEGAS"/>
    <s v="08-08-2026 0:00:00"/>
    <n v="1"/>
    <s v="08-08-2026 0:00:00"/>
    <s v="08-08-2026 12:17:09"/>
    <s v=""/>
    <n v="1"/>
    <n v="0"/>
    <s v=""/>
    <n v="0"/>
    <n v="8600000"/>
    <n v="0"/>
    <n v="0"/>
    <n v="8600000"/>
    <n v="10390000"/>
    <n v="1790000"/>
    <n v="1723"/>
  </r>
  <r>
    <x v="2"/>
    <s v="LOCAL PREMIUM CAR SALES"/>
    <n v="0"/>
    <n v="0"/>
    <s v=""/>
    <s v=""/>
    <s v=""/>
    <s v=""/>
    <s v="27-06-2026 13:30:50"/>
    <s v=""/>
    <s v="///*/+/+///++*..."/>
    <x v="15"/>
    <x v="48"/>
    <s v="VERSA 4X2 1.6 AUT"/>
    <s v="NIVER16AT"/>
    <x v="2"/>
    <n v="28600"/>
    <s v="TNIAUTU000651"/>
    <x v="183"/>
    <s v="USADO"/>
    <s v="AZUL OSCURO METALICO"/>
    <s v="POR DEFINIR"/>
    <n v="11990000"/>
    <s v="Disponible"/>
    <x v="93"/>
    <x v="4"/>
    <s v="PREMIUM CAR SALES"/>
    <s v="AE,CC,EE,ABS,LL,AC,AISO,AAUTO,ACD,SR,DLL,6AB"/>
    <s v="HR16-793642V"/>
    <s v="3N1CN8AE7RL805875"/>
    <s v="JUAN FERNANDO RAMOS LIZAMA"/>
    <s v="27-06-2026 0:00:00"/>
    <n v="1"/>
    <s v="27-06-2026 0:00:00"/>
    <s v="27-06-2026 13:30:30"/>
    <s v=""/>
    <n v="2"/>
    <n v="0"/>
    <s v=""/>
    <n v="0"/>
    <n v="10000000"/>
    <n v="279240"/>
    <n v="0"/>
    <n v="10279240"/>
    <n v="11990000"/>
    <n v="1710760"/>
    <n v="1427"/>
  </r>
  <r>
    <x v="2"/>
    <s v="LOCAL USADOS COPIAPO"/>
    <n v="0"/>
    <n v="0"/>
    <s v=""/>
    <s v=""/>
    <s v=""/>
    <s v=""/>
    <s v="15-07-2025 13:46:05"/>
    <s v=""/>
    <s v="KPT60A1USMP040811"/>
    <x v="13"/>
    <x v="92"/>
    <s v="NEW KORANDO 1.6"/>
    <s v="NK80"/>
    <x v="12"/>
    <n v="75000"/>
    <s v="TSYSTWU000337"/>
    <x v="184"/>
    <s v="USADO"/>
    <s v="BLANCO"/>
    <s v="POR DEFINIR"/>
    <n v="12990000"/>
    <s v="Disponible"/>
    <x v="124"/>
    <x v="2"/>
    <s v="BODEGA LOS CARRERA COPIAPO"/>
    <s v="AE,CC,EE,ABS,LL,VC,4AB,AC,AISO,AAUTO,CRE,SR,DLL"/>
    <s v="67391002105133"/>
    <s v="KPT60A1USMP040811"/>
    <s v="CAROLINA MARICELA PIZARRO CASTRO"/>
    <s v="15-07-2025 0:00:00"/>
    <n v="1"/>
    <s v="15-07-2025 0:00:00"/>
    <s v="15-07-2025 13:45:17"/>
    <s v="30-04-2026 0:00:00"/>
    <n v="2"/>
    <n v="0"/>
    <s v=""/>
    <n v="0"/>
    <n v="11000000"/>
    <n v="443877"/>
    <n v="0"/>
    <n v="11443877"/>
    <n v="12990000"/>
    <n v="1546123"/>
    <n v="119"/>
  </r>
  <r>
    <x v="2"/>
    <s v="LOCAL USADOS COPIAPO"/>
    <n v="0"/>
    <n v="0"/>
    <s v=""/>
    <s v=""/>
    <s v=""/>
    <s v=""/>
    <s v="28-08-2025 17:50:15"/>
    <s v=""/>
    <s v="VR3FDAHDE P3009377"/>
    <x v="0"/>
    <x v="2"/>
    <s v="LANDTREK 1.9"/>
    <s v="L666MT"/>
    <x v="5"/>
    <n v="67000"/>
    <s v="TPECMTU000014"/>
    <x v="185"/>
    <s v="USADO"/>
    <s v="BLANCO"/>
    <s v="POR DEFINIR"/>
    <n v="13750000"/>
    <s v="Disponible"/>
    <x v="125"/>
    <x v="14"/>
    <s v="BODEGA LOS CARRERA COPIAPO"/>
    <s v="AE,CC,EE,ABS,VC,AC,AISO,AAUTO,CRE,MAV,ACD,SR,UD,DL"/>
    <s v="A5D22003815"/>
    <s v="VR3FDAHDE P3009377"/>
    <s v="DANIEL ALEJANDRO RODRIGUEZ LETELIER"/>
    <s v="28-08-2025 0:00:00"/>
    <n v="1"/>
    <s v="28-08-2025 0:00:00"/>
    <s v="28-08-2025 17:49:40"/>
    <s v=""/>
    <n v="1"/>
    <n v="0"/>
    <s v=""/>
    <n v="0"/>
    <n v="14000000"/>
    <n v="336030"/>
    <n v="0"/>
    <n v="14336030"/>
    <n v="13750000"/>
    <n v="-586030"/>
    <n v="-426"/>
  </r>
  <r>
    <x v="2"/>
    <s v="LOCAL PREMIUM CAR SALES"/>
    <n v="0"/>
    <n v="0"/>
    <s v=""/>
    <s v=""/>
    <s v=""/>
    <s v=""/>
    <s v="23-07-2026 17:30:30"/>
    <s v=""/>
    <s v="/////+*+//..+*..."/>
    <x v="31"/>
    <x v="93"/>
    <s v="ZS 1.5L AUT"/>
    <s v="MGZSFL15AT"/>
    <x v="2"/>
    <n v="35000"/>
    <s v="TMGSTWU000061"/>
    <x v="186"/>
    <s v="USADO"/>
    <s v="BLANCO"/>
    <s v="POR DEFINIR"/>
    <n v="9490000"/>
    <s v="Disponible"/>
    <x v="126"/>
    <x v="3"/>
    <s v="PREMIUM CAR SALES"/>
    <s v=""/>
    <s v="15S4C8FGNB020830"/>
    <s v="LSJW74U36PZ084069"/>
    <s v="VIVANET SPA"/>
    <s v="23-07-2026 0:00:00"/>
    <n v="1"/>
    <s v="03-08-2026 16:34:00"/>
    <s v="03-08-2026 16:34:00"/>
    <s v=""/>
    <n v="1"/>
    <n v="0"/>
    <s v=""/>
    <n v="0"/>
    <n v="7200000"/>
    <n v="237240"/>
    <n v="0"/>
    <n v="7437240"/>
    <n v="9490000"/>
    <n v="2052760"/>
    <n v="2163"/>
  </r>
  <r>
    <x v="2"/>
    <s v="LOCAL PREMIUM CAR SALES"/>
    <n v="0"/>
    <n v="0"/>
    <s v=""/>
    <s v=""/>
    <s v=""/>
    <s v=""/>
    <s v="03-07-2026 10:47:40"/>
    <s v=""/>
    <s v="W0V7D9EB1N4000192"/>
    <x v="1"/>
    <x v="94"/>
    <s v="CROSSLAND MT6 1.2T"/>
    <s v="OPCROSS12TMT"/>
    <x v="12"/>
    <n v="46000"/>
    <s v="TOPSTWU000017"/>
    <x v="187"/>
    <s v="USADO"/>
    <s v="BLANCO JADE"/>
    <s v="POR DEFINIR"/>
    <n v="8490000"/>
    <s v="Disponible"/>
    <x v="79"/>
    <x v="2"/>
    <s v="PREMIUM CAR SALES"/>
    <s v="AE,CC,EE,ABS,LL,4AB,AC,AISO,AAUTO,ACD,SR,DLL"/>
    <s v="10Z1AB0053282"/>
    <s v="W0V7D9EB1N4000192"/>
    <s v="MANUEL ANTONIO HUERTA LAYANA"/>
    <s v="03-07-2026 0:00:00"/>
    <n v="1"/>
    <s v="03-07-2026 0:00:00"/>
    <s v="03-07-2026 10:46:23"/>
    <s v=""/>
    <n v="1"/>
    <n v="0"/>
    <s v=""/>
    <n v="0"/>
    <n v="5000000"/>
    <n v="204240"/>
    <n v="0"/>
    <n v="5204240"/>
    <n v="8490000"/>
    <n v="3285760"/>
    <n v="387"/>
  </r>
  <r>
    <x v="2"/>
    <s v="MEGACENTRO OVALLE"/>
    <n v="0"/>
    <n v="0"/>
    <s v=""/>
    <s v=""/>
    <s v=""/>
    <s v=""/>
    <s v="03-07-2026 10:40:50"/>
    <s v=""/>
    <s v="KNAB3512A ST387629"/>
    <x v="6"/>
    <x v="19"/>
    <s v="MORNING MPI 1.2"/>
    <s v="MPI1"/>
    <x v="1"/>
    <n v="41752"/>
    <s v="TKIAUTU002219"/>
    <x v="188"/>
    <s v="USADO"/>
    <s v="GRIS ASTRAL"/>
    <s v="POR DEFINIR"/>
    <n v="9990000"/>
    <s v="Disponible"/>
    <x v="79"/>
    <x v="3"/>
    <s v="BODEGA OVALLEveih"/>
    <s v="AE,CC,EE,2AB,ABS,AC,AISO,AAUTO,MAV,ACD,SR,UD,DLL"/>
    <s v="G4LASP091669"/>
    <s v="KNAB3512A ST387629"/>
    <s v="CARLA ALEJANDRA AGUIRRE LABARCA"/>
    <s v="03-07-2026 0:00:00"/>
    <n v="1"/>
    <s v="03-08-2026 16:36:00"/>
    <s v="03-08-2026 16:36:00"/>
    <s v=""/>
    <n v="1"/>
    <n v="0"/>
    <s v=""/>
    <n v="0"/>
    <n v="7900000"/>
    <n v="247740"/>
    <n v="0"/>
    <n v="8147740"/>
    <n v="9990000"/>
    <n v="1842260"/>
    <n v="1844"/>
  </r>
  <r>
    <x v="2"/>
    <s v="LOCAL PREMIUM CAR SALES"/>
    <n v="0"/>
    <n v="0"/>
    <s v=""/>
    <s v=""/>
    <s v=""/>
    <s v=""/>
    <s v="31-07-2026 18:32:08"/>
    <s v=""/>
    <s v="///./+++**/++*..."/>
    <x v="9"/>
    <x v="95"/>
    <s v="X55 1.5T"/>
    <s v="BAX5515TMT"/>
    <x v="5"/>
    <n v="24304"/>
    <s v="TBAICSTWU000013"/>
    <x v="189"/>
    <s v="USADO"/>
    <s v="BLANCO"/>
    <s v="POR DEFINIR"/>
    <n v="8890000"/>
    <s v="Disponible"/>
    <x v="57"/>
    <x v="10"/>
    <s v="PREMIUM CAR SALES"/>
    <s v="AE,CC,EE,2AB,ABS,AC,AISO,AAUTO,ACD,SR,DLL"/>
    <s v="EM04N011032"/>
    <s v="LNBSCUAH3 PR180997"/>
    <s v="YERKO FERNANDO FLORES ORTIZ"/>
    <s v="31-07-2026 0:00:00"/>
    <n v="0"/>
    <s v=""/>
    <s v=""/>
    <s v=""/>
    <n v="2"/>
    <n v="0"/>
    <s v=""/>
    <n v="0"/>
    <n v="7200000"/>
    <n v="237240"/>
    <n v="0"/>
    <n v="7437240"/>
    <n v="8890000"/>
    <n v="1452760"/>
    <n v="1634"/>
  </r>
  <r>
    <x v="2"/>
    <s v="LOCAL USADOS COPIAPO"/>
    <n v="0"/>
    <n v="0"/>
    <s v=""/>
    <s v=""/>
    <s v=""/>
    <s v=""/>
    <s v="12-09-2025 18:26:55"/>
    <s v=""/>
    <s v="*---****.../*...."/>
    <x v="21"/>
    <x v="96"/>
    <s v="T8 PRO TM 4X4 2.0"/>
    <s v="JAT8PRO4X420MT"/>
    <x v="5"/>
    <n v="40695"/>
    <s v="TJACMTU000006"/>
    <x v="190"/>
    <s v="USADO"/>
    <s v="GRIS"/>
    <s v="POR DEFINIR"/>
    <n v="12790000"/>
    <s v="Disponible"/>
    <x v="127"/>
    <x v="2"/>
    <s v="BODEGA LOS CARRERA COPIAPO"/>
    <s v=""/>
    <s v="N4127324"/>
    <s v="LJ11PABD8 PC091786"/>
    <s v="CARLOS GABRIEL ROMERO PINO"/>
    <s v="12-09-2025 0:00:00"/>
    <n v="1"/>
    <s v="12-09-2025 0:00:00"/>
    <s v="12-09-2025 18:26:22"/>
    <s v=""/>
    <n v="3"/>
    <n v="0"/>
    <s v=""/>
    <n v="0"/>
    <n v="10600000"/>
    <n v="285030"/>
    <n v="0"/>
    <n v="10885030"/>
    <n v="12790000"/>
    <n v="1904970"/>
    <n v="1489"/>
  </r>
  <r>
    <x v="2"/>
    <s v="LOCAL PREMIUM CAR SALES"/>
    <n v="0"/>
    <n v="0"/>
    <s v=""/>
    <s v=""/>
    <s v=""/>
    <s v=""/>
    <s v="30-10-2025 18:48:57"/>
    <s v=""/>
    <s v="1FTFW1RGXKFC93274"/>
    <x v="3"/>
    <x v="24"/>
    <s v="F150 RAPTOR 4X4 3.5 AUT"/>
    <s v="FRK7"/>
    <x v="9"/>
    <n v="80000"/>
    <s v="TFOCMTU001138"/>
    <x v="191"/>
    <s v="USADO"/>
    <s v="BLANCO OXFORD"/>
    <s v="POR DEFINIR"/>
    <n v="45990000"/>
    <s v="Disponible"/>
    <x v="97"/>
    <x v="3"/>
    <s v="PREMIUM CAR SALES"/>
    <s v="AE,CC,EE,AAC,ABS,LL,TC,VC,SS,AISO,AAUTO,CRE,MAV,AC"/>
    <s v="KFC93274"/>
    <s v="1FTFW1RGXKFC93274"/>
    <s v="ARRIAGADA DIAZ MANUEL ANTONIO Y PINTO OÑATE MARIA BELEN LTDA"/>
    <s v="30-10-2025 0:00:00"/>
    <n v="1"/>
    <s v="31-03-2026 10:59:00"/>
    <s v="31-03-2026 10:59:00"/>
    <s v="31-01-2026 0:00:00"/>
    <n v="2"/>
    <n v="0"/>
    <s v=""/>
    <n v="0"/>
    <n v="37200000"/>
    <n v="684030"/>
    <n v="0"/>
    <n v="37884030"/>
    <n v="45990000"/>
    <n v="8105970"/>
    <n v="1763"/>
  </r>
  <r>
    <x v="2"/>
    <s v="LOCAL PREMIUM CAR SALES"/>
    <n v="0"/>
    <n v="0"/>
    <s v=""/>
    <s v=""/>
    <s v=""/>
    <s v=""/>
    <s v="15-07-2026 18:14:11"/>
    <s v=""/>
    <s v="1FMCU0MZ6 PUA51737"/>
    <x v="3"/>
    <x v="45"/>
    <s v="ESCAPE DURA D4 2.5 AUT"/>
    <s v="FOESD425AT"/>
    <x v="2"/>
    <n v="27891"/>
    <s v="TFOSTWU001419"/>
    <x v="192"/>
    <s v="USADO"/>
    <s v="AZUL ATLAS"/>
    <s v="POR DEFINIR"/>
    <n v="21990000"/>
    <s v="Disponible"/>
    <x v="128"/>
    <x v="10"/>
    <s v="PREMIUM CAR SALES"/>
    <s v="AE,CC,EE,AAC,ABS,LL,VC,ESP,AISO,ACP,AAUTO,CRE,ACD,"/>
    <s v="PUA51737"/>
    <s v="1FMCU0MZ6 PUA51737"/>
    <s v="SEBASTIAN VICENTE ALATA ALEGRE"/>
    <s v="15-07-2026 0:00:00"/>
    <n v="1"/>
    <s v="15-07-2026 0:00:00"/>
    <s v="15-07-2026 18:13:45"/>
    <s v=""/>
    <n v="1"/>
    <n v="0"/>
    <s v=""/>
    <n v="0"/>
    <n v="18750000"/>
    <n v="410490"/>
    <n v="0"/>
    <n v="19160490"/>
    <n v="21990000"/>
    <n v="2829510"/>
    <n v="1287"/>
  </r>
  <r>
    <x v="2"/>
    <s v="MEGACENTRO OVALLE"/>
    <n v="0"/>
    <n v="0"/>
    <s v=""/>
    <s v=""/>
    <s v=""/>
    <s v=""/>
    <s v="27-07-2026 12:17:36"/>
    <s v=""/>
    <s v="/////+++//.++*..."/>
    <x v="16"/>
    <x v="89"/>
    <s v="C3 PURETECH 4X2 1.2"/>
    <s v="CIC3PT12"/>
    <x v="2"/>
    <n v="16831"/>
    <s v="TCIAUTU000134"/>
    <x v="193"/>
    <s v="USADO"/>
    <s v="GRIS ARTENSE BLANCO"/>
    <s v="POR DEFINIR"/>
    <n v="8190000"/>
    <s v="Disponible"/>
    <x v="129"/>
    <x v="10"/>
    <s v="BODEGA OVALLEveih"/>
    <s v="AE,CC,EE,2AB,ABS,LL,AC,AISO,AAUTO,CRE,MAV,ACD,SR,U"/>
    <s v="10VQAC0016124"/>
    <s v="935CCHMEE RB514821"/>
    <s v="RENATO EUGENIO ROJAS HIDALGO"/>
    <s v="27-07-2026 0:00:00"/>
    <n v="1"/>
    <s v="03-08-2026 16:40:00"/>
    <s v="03-08-2026 16:40:00"/>
    <s v=""/>
    <n v="1"/>
    <n v="0"/>
    <s v=""/>
    <n v="0"/>
    <n v="6650000"/>
    <n v="228990"/>
    <n v="0"/>
    <n v="6878990"/>
    <n v="8190000"/>
    <n v="1311010"/>
    <n v="1601"/>
  </r>
  <r>
    <x v="2"/>
    <s v="LOCAL PREMIUM CAR SALES"/>
    <n v="0"/>
    <n v="0"/>
    <s v=""/>
    <s v=""/>
    <s v=""/>
    <s v=""/>
    <s v="31-07-2026 18:20:39"/>
    <s v=""/>
    <s v="SJNTAAJ12SA464098"/>
    <x v="15"/>
    <x v="54"/>
    <s v="QASHQAI TURBO 1.3"/>
    <s v="ASTR77"/>
    <x v="2"/>
    <n v="26279"/>
    <s v="TNISTWU000618"/>
    <x v="194"/>
    <s v="USADO"/>
    <s v="PLATEADO SATIN"/>
    <s v="POR DEFINIR"/>
    <n v="19290000"/>
    <s v="Disponible"/>
    <x v="57"/>
    <x v="10"/>
    <s v="PREMIUM CAR SALES"/>
    <s v="AE,CC,EE,AAC,ABS,LL,VC,4AB,AISO,AAUTO,CRE,MAV,ACD,"/>
    <s v="HR13693149A"/>
    <s v="SJNTAAJ12SA464098"/>
    <s v="PABLO JOSE ROBERTO GORMAZ AVILLA"/>
    <s v="31-07-2026 0:00:00"/>
    <n v="1"/>
    <s v="31-07-2026 0:00:00"/>
    <s v="31-07-2026 18:13:15"/>
    <s v=""/>
    <n v="1"/>
    <n v="0"/>
    <s v=""/>
    <n v="0"/>
    <n v="17000000"/>
    <n v="0"/>
    <n v="0"/>
    <n v="17000000"/>
    <n v="19290000"/>
    <n v="2290000"/>
    <n v="1187"/>
  </r>
  <r>
    <x v="2"/>
    <s v="LOCAL PREMIUM CAR SALES"/>
    <n v="0"/>
    <n v="0"/>
    <s v=""/>
    <s v=""/>
    <s v=""/>
    <s v=""/>
    <s v="31-07-2026 15:20:43"/>
    <s v=""/>
    <s v="LVVDB21B4 SD047234"/>
    <x v="18"/>
    <x v="43"/>
    <s v="C5 1.6 AUT"/>
    <s v="OMOC516AT"/>
    <x v="1"/>
    <n v="7991"/>
    <s v="TOMOSTWU000012"/>
    <x v="195"/>
    <s v="USADO"/>
    <s v="GRIS OSCURO C ROKO"/>
    <s v="POR DEFINIR"/>
    <n v="15290000"/>
    <s v="Disponible"/>
    <x v="57"/>
    <x v="10"/>
    <s v="PREMIUM CAR SALES"/>
    <s v="AE,CC,EE,AAC,ABS,LL,4AB,AISO,AAUTO,CRE,MAV,SR,UD,D"/>
    <s v="SQRF4J16BJRL00006"/>
    <s v="LVVDB21B4 SD047234"/>
    <s v="JORGE ARAYA TORO"/>
    <s v="31-07-2026 0:00:00"/>
    <n v="1"/>
    <s v="31-07-2026 0:00:00"/>
    <s v="31-07-2026 15:20:11"/>
    <s v=""/>
    <n v="1"/>
    <n v="0"/>
    <s v=""/>
    <n v="0"/>
    <n v="13800000"/>
    <n v="336240"/>
    <n v="0"/>
    <n v="14136240"/>
    <n v="15290000"/>
    <n v="1153760"/>
    <n v="755"/>
  </r>
  <r>
    <x v="2"/>
    <s v="LOCAL USADOS COPIAPO"/>
    <n v="0"/>
    <n v="0"/>
    <s v=""/>
    <s v=""/>
    <s v=""/>
    <s v=""/>
    <s v="13-11-2025 16:08:09"/>
    <s v=""/>
    <s v="VF3MCYHZU PS006748"/>
    <x v="0"/>
    <x v="35"/>
    <s v="5008 BLUEHDI 130 1.5 AUT"/>
    <s v="5008BH130"/>
    <x v="5"/>
    <n v="66999"/>
    <s v="TPESTWU000433"/>
    <x v="196"/>
    <s v="USADO"/>
    <s v="BLANCO NACARADO"/>
    <s v="POR DEFINIR"/>
    <n v="22690000"/>
    <s v="Disponible"/>
    <x v="35"/>
    <x v="3"/>
    <s v="BODEGA LOS CARRERA COPIAPO"/>
    <s v="AE,CC,EE,AAC,ABS,LL,VC,AISO,AAUTO,CRE,MAV,ACD,SR,U"/>
    <s v="10Q4EP0125437"/>
    <s v="VF3MCYHZU PS006748"/>
    <s v="YOANA ELENA ROJAS HENRIQUEZ"/>
    <s v="13-11-2025 0:00:00"/>
    <n v="1"/>
    <s v="04-06-2026 10:00:00"/>
    <s v="04-06-2026 10:00:00"/>
    <s v="30-06-2027 0:00:00"/>
    <n v="1"/>
    <n v="0"/>
    <s v=""/>
    <n v="0"/>
    <n v="19800000"/>
    <n v="423030"/>
    <n v="0"/>
    <n v="20223030"/>
    <n v="22690000"/>
    <n v="2466970"/>
    <n v="1087"/>
  </r>
  <r>
    <x v="2"/>
    <s v="LOCAL PREMIUM CAR SALES"/>
    <n v="0"/>
    <n v="0"/>
    <s v=""/>
    <s v=""/>
    <s v=""/>
    <s v=""/>
    <s v="30-07-2026 19:07:16"/>
    <s v=""/>
    <s v="///..+++///++*.*."/>
    <x v="32"/>
    <x v="97"/>
    <s v="Q2 35 TFSI 1.4 AUT"/>
    <s v="AQ21"/>
    <x v="5"/>
    <n v="58362"/>
    <s v="TAUSTWU000012"/>
    <x v="197"/>
    <s v="USADO"/>
    <s v="AZUL NAVARRA"/>
    <s v="POR DEFINIR"/>
    <n v="20990000"/>
    <s v="Disponible"/>
    <x v="80"/>
    <x v="3"/>
    <s v="PREMIUM CAR SALES"/>
    <s v="AE,CC,EE,AAC,ABS,LL,4AB,AISO,CRE,MAV,ACD,SR,DLL"/>
    <s v="DJK 098538"/>
    <s v="WAUZZZGA0 PA018614"/>
    <s v="WILSON JESUS PALMA GUERRERO"/>
    <s v="30-07-2026 0:00:00"/>
    <n v="1"/>
    <s v="30-07-2026 0:00:00"/>
    <s v="30-07-2026 19:06:57"/>
    <s v=""/>
    <n v="3"/>
    <n v="0"/>
    <s v=""/>
    <n v="0"/>
    <n v="16500000"/>
    <n v="376740"/>
    <n v="0"/>
    <n v="16876740"/>
    <n v="20990000"/>
    <n v="4113260"/>
    <n v="196"/>
  </r>
  <r>
    <x v="2"/>
    <s v="LOCAL PREMIUM CAR SALES"/>
    <n v="0"/>
    <n v="0"/>
    <s v=""/>
    <s v=""/>
    <s v=""/>
    <s v=""/>
    <s v="02-09-2025 15:11:09"/>
    <s v=""/>
    <s v="KMFYFX71AMU043854"/>
    <x v="22"/>
    <x v="98"/>
    <s v="US4 CRDI 6MT 2.2"/>
    <s v="HYSTAMTDSL"/>
    <x v="3"/>
    <n v="28000"/>
    <s v="THYFRGU000001"/>
    <x v="198"/>
    <s v="USADO"/>
    <s v="BLANCO"/>
    <s v="POR DEFINIR"/>
    <n v="21500000"/>
    <s v="Disponible"/>
    <x v="130"/>
    <x v="3"/>
    <s v="PREMIUM CAR SALES"/>
    <s v="AE,CC,EE,2AB,ABS,AC,AISO,AAUTO,MAV,ACD,UD,DLL"/>
    <s v="D4HBNU232537"/>
    <s v="KMFYFX71AMU043854"/>
    <s v="ELISEO SERGIO GAJARDO VALDERRAMA"/>
    <s v="02-09-2025 0:00:00"/>
    <n v="1"/>
    <s v="02-09-2025 0:00:00"/>
    <s v="02-09-2025 15:10:43"/>
    <s v="28-02-2027 0:00:00"/>
    <n v="1"/>
    <n v="0"/>
    <s v=""/>
    <n v="0"/>
    <n v="20000000"/>
    <n v="426030"/>
    <n v="0"/>
    <n v="20426030"/>
    <n v="21500000"/>
    <n v="1073970"/>
    <n v="5"/>
  </r>
  <r>
    <x v="2"/>
    <s v="LOCAL USADOS"/>
    <n v="0"/>
    <n v="0"/>
    <s v=""/>
    <s v=""/>
    <s v=""/>
    <s v=""/>
    <s v="05-02-2026 13:04:12"/>
    <s v=""/>
    <s v="VF3M45GFUPS010582"/>
    <x v="0"/>
    <x v="35"/>
    <s v="5008 PURETECH 180 EAT8 1.6 AUT"/>
    <s v="PE5008PT16AT"/>
    <x v="5"/>
    <n v="76000"/>
    <s v="TPESTWU000446"/>
    <x v="199"/>
    <s v="USADO"/>
    <s v="GRIS ARTENSE"/>
    <s v="POR DEFINIR"/>
    <n v="19290000"/>
    <s v="Disponible"/>
    <x v="131"/>
    <x v="3"/>
    <s v="BODEGA VEHICULOS"/>
    <s v="AE,CC,EE,AAC,ABS,LL,VC,AISO,AAUTO,CRE,MAV,ACD,SR,U"/>
    <s v="10FKBL3003916"/>
    <s v="VF3M45GFUPS010582"/>
    <s v="JOHNNY SEBASTIAN DIAZ ZAMORANO"/>
    <s v="05-02-2026 0:00:00"/>
    <n v="1"/>
    <s v="05-02-2026 0:00:00"/>
    <s v="05-02-2026 13:00:32"/>
    <s v="30-09-2027 0:00:00"/>
    <n v="1"/>
    <n v="0"/>
    <s v=""/>
    <n v="0"/>
    <n v="16500000"/>
    <n v="373530"/>
    <n v="0"/>
    <n v="16873530"/>
    <n v="19290000"/>
    <n v="2416470"/>
    <n v="1253"/>
  </r>
  <r>
    <x v="2"/>
    <s v="LOCAL SALAMANCA"/>
    <n v="0"/>
    <n v="0"/>
    <s v=""/>
    <s v=""/>
    <s v=""/>
    <s v=""/>
    <s v="02-07-2026 17:59:50"/>
    <s v=""/>
    <s v="/////+/*/..++*..."/>
    <x v="16"/>
    <x v="89"/>
    <s v="C3 PURETECH 4X2 1.2"/>
    <s v="CIC3PT12"/>
    <x v="2"/>
    <n v="36000"/>
    <s v="TCIAUTU000133"/>
    <x v="200"/>
    <s v="USADO"/>
    <s v="GRIS GRAFITO NEGRO"/>
    <s v="POR DEFINIR"/>
    <n v="7990000"/>
    <s v="Disponible"/>
    <x v="105"/>
    <x v="12"/>
    <s v="BODEGA VEHICULOS"/>
    <s v="AE,CC,EE,2AB,ABS,LL,AC,AISO,AAUTO,MAV,ACD,SR,UD,DL"/>
    <s v="10VQAC0012540"/>
    <s v="935CCHMEERB508295"/>
    <s v="JHEAN FRANCO DURAN MUÑOZ"/>
    <s v="02-07-2026 0:00:00"/>
    <n v="1"/>
    <s v="02-07-2026 0:00:00"/>
    <s v="02-07-2026 17:59:08"/>
    <s v=""/>
    <n v="1"/>
    <n v="0"/>
    <s v=""/>
    <n v="0"/>
    <n v="6200000"/>
    <n v="222240"/>
    <n v="0"/>
    <n v="6422240"/>
    <n v="7990000"/>
    <n v="1567760"/>
    <n v="1962"/>
  </r>
  <r>
    <x v="2"/>
    <s v="LOCAL USADOS COPIAPO"/>
    <n v="0"/>
    <n v="0"/>
    <s v=""/>
    <s v=""/>
    <s v=""/>
    <s v=""/>
    <s v="01-06-2026 17:51:47"/>
    <s v=""/>
    <s v="LS4ASJ2E2NA986230"/>
    <x v="28"/>
    <x v="99"/>
    <s v="CX70 T 1.5 AUT"/>
    <s v=""/>
    <x v="3"/>
    <n v="75000"/>
    <s v="TCGSTWU000033"/>
    <x v="201"/>
    <s v="USADO"/>
    <s v="BLANCO"/>
    <s v="POR DEFINIR"/>
    <n v="9490000"/>
    <s v="Disponible"/>
    <x v="132"/>
    <x v="3"/>
    <s v="BODEGA LOS CARRERA COPIAPO"/>
    <s v="AE,CC,EE,NB,ABS,LL,4AB,AC,AISO,AAUTO,CRE,MAV,ACD,S"/>
    <s v="JL476ZQCCMCRB001989"/>
    <s v="LS4ASJ2E2NA986230"/>
    <s v="ISMAEL ENRIQUE OLIVARES RAMOS"/>
    <s v="01-06-2026 0:00:00"/>
    <n v="1"/>
    <s v="01-06-2026 0:00:00"/>
    <s v="01-06-2026 17:36:46"/>
    <s v=""/>
    <n v="1"/>
    <n v="0"/>
    <s v=""/>
    <n v="0"/>
    <n v="7100000"/>
    <n v="235740"/>
    <n v="0"/>
    <n v="7335740"/>
    <n v="9490000"/>
    <n v="2154260"/>
    <n v="227"/>
  </r>
  <r>
    <x v="3"/>
    <s v="MEGACENTRO OVALLE"/>
    <n v="0"/>
    <n v="0"/>
    <s v=""/>
    <s v=""/>
    <s v=""/>
    <s v=""/>
    <s v="23-03-2026 13:14:32"/>
    <s v=""/>
    <s v="LETEDDE10 TH000572"/>
    <x v="33"/>
    <x v="100"/>
    <s v="REMAX CRDI DC 4X4 2.5"/>
    <s v="VPDX23"/>
    <x v="0"/>
    <n v="748"/>
    <s v="HJIMCMTU000001"/>
    <x v="202"/>
    <s v="USADO"/>
    <s v="BLANCO"/>
    <s v="POR DEFINIR"/>
    <n v="14990000"/>
    <s v="Disponible"/>
    <x v="133"/>
    <x v="12"/>
    <s v="MEGACENTRO OVALLE VEHICULOS"/>
    <s v=""/>
    <s v="25-40021061"/>
    <s v="LETEDDE10 TH000572"/>
    <s v="JOSE LUIS SANTANA VARAS"/>
    <s v="23-03-2026 0:00:00"/>
    <n v="1"/>
    <s v="23-03-2026 0:00:00"/>
    <s v="23-03-2026 13:14:14"/>
    <s v=""/>
    <n v="0"/>
    <n v="0"/>
    <s v=""/>
    <n v="0"/>
    <n v="14500000"/>
    <n v="0"/>
    <n v="0"/>
    <n v="14500000"/>
    <n v="14990000"/>
    <n v="490000"/>
    <n v="327"/>
  </r>
  <r>
    <x v="3"/>
    <s v="LOCAL FCO. DE AGUIRRE"/>
    <n v="0"/>
    <n v="0"/>
    <s v=""/>
    <s v=""/>
    <s v=""/>
    <s v=""/>
    <s v="02-03-2020 13:27:28"/>
    <s v=""/>
    <s v="9BD2655A4K9110835"/>
    <x v="17"/>
    <x v="101"/>
    <s v="VAN 700 RAPID 1.4L ST"/>
    <s v="265.5A4.0.1"/>
    <x v="9"/>
    <n v="0"/>
    <s v="HRAFRGN000042"/>
    <x v="203"/>
    <s v="SEMINUEVO"/>
    <s v="BLANCO BANCHISA"/>
    <s v="POR DEFINIR"/>
    <n v="14863100"/>
    <s v="Disponible"/>
    <x v="134"/>
    <x v="6"/>
    <s v="BODEGA VEHICULOS SK"/>
    <s v=""/>
    <s v="3316213"/>
    <s v="9BD2655A4K9110835"/>
    <s v="SERVICIOS DE INGENIERIA Y MINERIA SPA"/>
    <s v="29-02-2020 0:00:00"/>
    <n v="165313"/>
    <s v="30-03-2020 0:00:00"/>
    <s v="02-03-2020 13:26:57"/>
    <s v=""/>
    <n v="0"/>
    <n v="0"/>
    <s v=""/>
    <n v="0"/>
    <n v="6854706"/>
    <n v="2676883"/>
    <n v="0"/>
    <n v="9531589"/>
    <n v="12490000"/>
    <n v="2958411"/>
    <n v="2369"/>
  </r>
  <r>
    <x v="3"/>
    <s v="LOCAL PREMIUM CAR SALES"/>
    <n v="0"/>
    <n v="0"/>
    <s v=""/>
    <s v=""/>
    <s v=""/>
    <s v=""/>
    <s v="22-05-2024 9:35:25"/>
    <s v=""/>
    <s v="LVVDB21B8RC025253"/>
    <x v="10"/>
    <x v="31"/>
    <s v="J7 1.6T PRIME"/>
    <s v="T7160NPZKJW0011"/>
    <x v="2"/>
    <n v="10171"/>
    <s v="HJAESTWN000002"/>
    <x v="204"/>
    <s v="SEMINUEVO"/>
    <s v="BLANCO"/>
    <s v="POR DEFINIR"/>
    <n v="18090000"/>
    <s v="Disponible"/>
    <x v="49"/>
    <x v="3"/>
    <s v="Bodeha Vehiculos Premium"/>
    <s v=""/>
    <s v="SQRF4J16CAMPM02602"/>
    <s v="LVVDB21B8RC025253"/>
    <s v="CALLEGARI E HIJOS LTDA"/>
    <s v="18-08-2025 0:00:00"/>
    <n v="277781"/>
    <s v="21-06-2024 0:00:00"/>
    <s v="22-05-2024 9:35:11"/>
    <s v=""/>
    <n v="0"/>
    <n v="0"/>
    <s v=""/>
    <n v="0"/>
    <n v="17583866"/>
    <n v="1418899"/>
    <n v="0"/>
    <n v="19002765"/>
    <n v="18090000"/>
    <n v="-912765"/>
    <n v="-505"/>
  </r>
  <r>
    <x v="3"/>
    <s v="LOCAL MITSUBISHI"/>
    <n v="0"/>
    <n v="0"/>
    <s v=""/>
    <s v=""/>
    <s v=""/>
    <s v=""/>
    <s v="07-10-2025 11:14:44"/>
    <s v=""/>
    <s v="KPT60A1USNP068927"/>
    <x v="13"/>
    <x v="92"/>
    <s v="NEW KORANDO GLX 1.6"/>
    <s v="NKOR1"/>
    <x v="5"/>
    <n v="0"/>
    <s v="HSYSTWU000006"/>
    <x v="205"/>
    <s v="USADO"/>
    <s v="GRIS PLATINO"/>
    <s v="POR DEFINIR"/>
    <n v="22563664"/>
    <s v="Disponible"/>
    <x v="135"/>
    <x v="2"/>
    <s v="Bodega BYD Vehiculos"/>
    <s v=""/>
    <s v="67391000017590"/>
    <s v="KPT60A1USNP068927"/>
    <s v="BEATRIZ CAROL MORALES PIZARRO"/>
    <s v="07-10-2025 0:00:00"/>
    <n v="1"/>
    <s v="07-10-2025 0:00:00"/>
    <s v="07-10-2025 11:14:20"/>
    <s v=""/>
    <n v="0"/>
    <n v="0"/>
    <s v=""/>
    <n v="0"/>
    <n v="22563664"/>
    <n v="0"/>
    <n v="0"/>
    <n v="22563664"/>
    <n v="22563664"/>
    <n v="0"/>
    <n v="0"/>
  </r>
  <r>
    <x v="3"/>
    <s v="MEGACENTRO OVALLE"/>
    <n v="0"/>
    <n v="0"/>
    <s v=""/>
    <s v=""/>
    <s v=""/>
    <s v=""/>
    <s v="19-02-2025 16:35:35"/>
    <s v=""/>
    <s v="KPT60A1USPP074881"/>
    <x v="13"/>
    <x v="92"/>
    <s v="NEW KORANDO GLX 1.6 AUT"/>
    <s v="NKOUSA"/>
    <x v="2"/>
    <n v="0"/>
    <s v="HSYSTWU000002"/>
    <x v="206"/>
    <s v="USADO"/>
    <s v="GRIS PLATINO"/>
    <s v="POR DEFINIR"/>
    <n v="24957854"/>
    <s v="Disponible"/>
    <x v="136"/>
    <x v="2"/>
    <s v="MEGACENTRO OVALLE VEHICULOS"/>
    <s v=""/>
    <s v="67391002105291"/>
    <s v="KPT60A1USPP074881"/>
    <s v="COMERCIAL SANTA MARTA SPA"/>
    <s v="19-02-2025 0:00:00"/>
    <n v="190225"/>
    <s v="20-02-2025 0:00:00"/>
    <s v="20-02-2025 9:49:48"/>
    <s v=""/>
    <n v="0"/>
    <n v="0"/>
    <s v=""/>
    <n v="0"/>
    <n v="24957854"/>
    <n v="0"/>
    <n v="0"/>
    <n v="24957854"/>
    <n v="24957854"/>
    <n v="0"/>
    <n v="0"/>
  </r>
  <r>
    <x v="3"/>
    <s v="LOCAL USADOS COPIAPO"/>
    <n v="0"/>
    <n v="0"/>
    <s v=""/>
    <s v=""/>
    <s v=""/>
    <s v=""/>
    <s v="08-04-2024 17:58:00"/>
    <s v=""/>
    <s v="LMGAT1357P1227841"/>
    <x v="34"/>
    <x v="102"/>
    <s v="GS4 POWER 1.5"/>
    <s v="GADEVOLUC"/>
    <x v="5"/>
    <n v="3400"/>
    <s v="HGCSTWU000001"/>
    <x v="207"/>
    <s v="USADO"/>
    <s v="GRIS GRAFITO"/>
    <s v="POR DEFINIR"/>
    <n v="21408969"/>
    <s v="Disponible"/>
    <x v="137"/>
    <x v="8"/>
    <s v="VEHICULOS LOS CARRERA"/>
    <s v=""/>
    <s v="G120374"/>
    <s v="LMGAT1357P1227841"/>
    <s v="BRAULIO PATRICIO BAEZ GUZMÁN"/>
    <s v="08-04-2024 0:00:00"/>
    <n v="1"/>
    <s v="08-04-2024 0:00:00"/>
    <s v="08-04-2024 17:57:12"/>
    <s v=""/>
    <n v="0"/>
    <n v="0"/>
    <s v=""/>
    <n v="0"/>
    <n v="21408968"/>
    <n v="367754"/>
    <n v="0"/>
    <n v="21776722"/>
    <n v="21408969"/>
    <n v="-367753"/>
    <n v="-172"/>
  </r>
  <r>
    <x v="3"/>
    <s v="LOCAL CAMIONES"/>
    <n v="0"/>
    <n v="0"/>
    <s v=""/>
    <s v=""/>
    <s v=""/>
    <s v=""/>
    <s v="24-07-2025 12:10:22"/>
    <s v=""/>
    <s v="KMFHE17SPNC060850"/>
    <x v="22"/>
    <x v="103"/>
    <s v="MIGHTY EX6 DLX"/>
    <s v="EX6USADO"/>
    <x v="3"/>
    <n v="0"/>
    <s v="HHYCMNU000001"/>
    <x v="208"/>
    <s v="USADO"/>
    <s v="BLANCO"/>
    <s v="POR DEFINIR"/>
    <n v="37000000"/>
    <s v="Disponible"/>
    <x v="138"/>
    <x v="2"/>
    <s v="LOCAL CAMIONES VEHICULOS"/>
    <s v=""/>
    <s v="D4CCMD003077"/>
    <s v="KMFHE17SPNC060850"/>
    <s v="CONSTRUCTORA JULIO Y ORQUERA LIMITADA"/>
    <s v="24-07-2025 0:00:00"/>
    <n v="885"/>
    <s v="18-07-2025 0:00:00"/>
    <s v="01-08-2025 12:19:25"/>
    <s v=""/>
    <n v="0"/>
    <n v="0"/>
    <s v=""/>
    <n v="0"/>
    <n v="31092437"/>
    <n v="0"/>
    <n v="0"/>
    <n v="31092437"/>
    <n v="37000000"/>
    <n v="5907563"/>
    <n v="1597"/>
  </r>
  <r>
    <x v="3"/>
    <s v="MEGACENTRO OVALLE"/>
    <n v="0"/>
    <n v="0"/>
    <s v=""/>
    <s v=""/>
    <s v=""/>
    <s v=""/>
    <s v="02-09-2025 17:15:33"/>
    <s v=""/>
    <s v="LVVDB11B4RD950441"/>
    <x v="11"/>
    <x v="32"/>
    <s v="TIGGO 3 PRO GLX 1.5"/>
    <s v="CHT3PROUSA"/>
    <x v="2"/>
    <n v="0"/>
    <s v="HCYSTWU000008"/>
    <x v="209"/>
    <s v="USADO"/>
    <s v="GRIS GRAFITO OSCURO"/>
    <s v="POR DEFINIR"/>
    <n v="11990000"/>
    <s v="Disponible"/>
    <x v="130"/>
    <x v="3"/>
    <s v="MEGACENTRO OVALLE VEHICULOS"/>
    <s v=""/>
    <s v="SQRE4G15CBCNJ00621"/>
    <s v="LVVDB11B4RD950441"/>
    <s v="KARINA DEL ROSARIO MENDEZ MATURANA"/>
    <s v="02-09-2025 0:00:00"/>
    <n v="1"/>
    <s v="02-09-2025 0:00:00"/>
    <s v="02-09-2025 17:13:51"/>
    <s v=""/>
    <n v="0"/>
    <n v="0"/>
    <s v=""/>
    <n v="0"/>
    <n v="11990000"/>
    <n v="0"/>
    <n v="0"/>
    <n v="11990000"/>
    <n v="11990000"/>
    <n v="0"/>
    <n v="0"/>
  </r>
  <r>
    <x v="3"/>
    <s v="LOCAL FCO. DE AGUIRRE"/>
    <n v="0"/>
    <n v="0"/>
    <s v=""/>
    <s v=""/>
    <s v=""/>
    <s v=""/>
    <s v="31-03-2026 20:59:31"/>
    <s v=""/>
    <s v="1C6RRFFG3SN542548"/>
    <x v="17"/>
    <x v="41"/>
    <s v="1500 BIG HORN 4X4 3.6 AT"/>
    <s v="R1500USA"/>
    <x v="1"/>
    <n v="0"/>
    <s v="HRACMTU000002"/>
    <x v="210"/>
    <s v="USADO"/>
    <s v="PLATEADO"/>
    <s v="POR DEFINIR"/>
    <n v="65150753"/>
    <s v="Disponible"/>
    <x v="139"/>
    <x v="2"/>
    <s v="BODEGA VEHICULOS SK"/>
    <s v=""/>
    <s v="SN542548"/>
    <s v="1C6RRFFG3SN542548"/>
    <s v="CRISTIAN ALEJANDRO CASTRO CASTRO"/>
    <s v="31-03-2026 0:00:00"/>
    <n v="1"/>
    <s v="31-03-2026 0:00:00"/>
    <s v="01-04-2026 11:19:13"/>
    <s v=""/>
    <n v="0"/>
    <n v="0"/>
    <s v=""/>
    <n v="0"/>
    <n v="65150753"/>
    <n v="0"/>
    <n v="0"/>
    <n v="65150753"/>
    <n v="65150753"/>
    <n v="0"/>
    <n v="0"/>
  </r>
  <r>
    <x v="3"/>
    <s v="LOCAL CAMIONES"/>
    <n v="0"/>
    <n v="0"/>
    <s v=""/>
    <s v=""/>
    <s v=""/>
    <s v=""/>
    <s v="12-01-2026 9:47:01"/>
    <s v=""/>
    <s v="JHHZCT2F6SK021683"/>
    <x v="35"/>
    <x v="104"/>
    <s v="XZU 917"/>
    <s v="XXZZUU1"/>
    <x v="1"/>
    <n v="0"/>
    <s v="HHICMNU000002"/>
    <x v="211"/>
    <s v="USADO"/>
    <s v="BLANCO"/>
    <s v="POR DEFINIR"/>
    <n v="38000000"/>
    <s v="Disponible"/>
    <x v="140"/>
    <x v="5"/>
    <s v="LOCAL CAMIONES VEHICULOS"/>
    <s v=""/>
    <s v="N04C WM17926"/>
    <s v="JHHZCT2F6SK021683"/>
    <s v="HECTOR DEL TRANSITO ARDILES BERRIOS"/>
    <s v="12-01-2026 0:00:00"/>
    <n v="8134"/>
    <s v="22-12-2025 0:00:00"/>
    <s v="12-01-2026 9:46:31"/>
    <s v=""/>
    <n v="0"/>
    <n v="0"/>
    <s v=""/>
    <n v="0"/>
    <n v="37656800"/>
    <n v="0"/>
    <n v="0"/>
    <n v="37656800"/>
    <n v="38000000"/>
    <n v="343200"/>
    <n v="9"/>
  </r>
  <r>
    <x v="3"/>
    <s v="LOCAL USADOS COPIAPO"/>
    <n v="0"/>
    <n v="0"/>
    <s v=""/>
    <s v=""/>
    <s v=""/>
    <s v=""/>
    <s v="30-01-2025 17:42:18"/>
    <s v=""/>
    <s v="LJ11PABE4SC024216"/>
    <x v="21"/>
    <x v="96"/>
    <s v="T8 PRO 2.0T 4X4 DSL AT ADVANCE"/>
    <s v="T8PRO4X4AT-ADV"/>
    <x v="1"/>
    <n v="12507"/>
    <s v="HJACMTN000005"/>
    <x v="212"/>
    <s v="SEMINUEVO"/>
    <s v="BLANCO"/>
    <s v="POR DEFINIR"/>
    <n v="18990000"/>
    <s v="Disponible"/>
    <x v="39"/>
    <x v="0"/>
    <s v="VEHICULOS LOS CARRERA"/>
    <s v=""/>
    <s v="R4133090"/>
    <s v="LJ11PABE4SC024216"/>
    <s v="FORUM DISTRIBUIDORA S.A"/>
    <s v="24-04-2026 0:00:00"/>
    <n v="850048"/>
    <s v="12-02-2025 0:00:00"/>
    <s v="17-02-2025 9:46:40"/>
    <s v=""/>
    <n v="0"/>
    <n v="0"/>
    <s v=""/>
    <n v="0"/>
    <n v="13434000"/>
    <n v="630975"/>
    <n v="0"/>
    <n v="14064975"/>
    <n v="18990000"/>
    <n v="4925025"/>
    <n v="2593"/>
  </r>
  <r>
    <x v="3"/>
    <s v="LOCAL MITSUBISHI"/>
    <n v="0"/>
    <n v="0"/>
    <s v=""/>
    <s v=""/>
    <s v=""/>
    <s v=""/>
    <s v="01-02-2024 15:41:27"/>
    <s v=""/>
    <s v="LC0CE4CB4R0001691"/>
    <x v="25"/>
    <x v="105"/>
    <s v="YUAN PLUS EV GS"/>
    <s v="BYD005"/>
    <x v="2"/>
    <n v="15100"/>
    <s v="HBYSTWN000006"/>
    <x v="213"/>
    <s v="SEMINUEVO"/>
    <s v="GRIS"/>
    <s v="POR DEFINIR"/>
    <n v="19790000"/>
    <s v="Disponible"/>
    <x v="141"/>
    <x v="0"/>
    <s v="MEGACENTRO LA SERENA VEHICULOS"/>
    <s v=""/>
    <s v="TZ200XSQ 2G3016118"/>
    <s v="LC0CE4CB4R0001691"/>
    <s v="BANSA SANTANDER S A"/>
    <s v="29-01-2024 0:00:00"/>
    <n v="0"/>
    <s v=""/>
    <s v=""/>
    <s v=""/>
    <n v="0"/>
    <n v="0"/>
    <s v=""/>
    <n v="0"/>
    <n v="30243697"/>
    <n v="847880"/>
    <n v="0"/>
    <n v="31091577"/>
    <n v="19790000"/>
    <n v="-11301577"/>
    <n v="-5711"/>
  </r>
  <r>
    <x v="3"/>
    <s v="LOCAL FCO. DE AGUIRRE"/>
    <n v="0"/>
    <n v="0"/>
    <s v=""/>
    <s v=""/>
    <s v=""/>
    <s v=""/>
    <s v="30-01-2024 8:44:10"/>
    <s v=""/>
    <s v="98859125BRKR63812"/>
    <x v="17"/>
    <x v="106"/>
    <s v="RAMPAGE LARAMIE 2.0"/>
    <s v="RAMPAGE2"/>
    <x v="2"/>
    <n v="40010"/>
    <s v="HRACMTN000465"/>
    <x v="214"/>
    <s v="SEMINUEVO"/>
    <s v="GRIS PIEDRA"/>
    <s v="POR DEFINIR"/>
    <n v="31990000"/>
    <s v="Disponible"/>
    <x v="142"/>
    <x v="0"/>
    <s v="BODEGA VEHICULOS SK"/>
    <s v=""/>
    <s v="463495081373172"/>
    <s v="98859125BRKR63812"/>
    <s v="BANSA SANTANDER S A"/>
    <s v="11-02-2024 0:00:00"/>
    <n v="267021"/>
    <s v="02-02-2024 0:00:00"/>
    <s v="05-02-2024 8:49:10"/>
    <s v=""/>
    <n v="0"/>
    <n v="0"/>
    <s v=""/>
    <n v="0"/>
    <n v="29750700"/>
    <n v="2559508"/>
    <n v="0"/>
    <n v="32310208"/>
    <n v="31990000"/>
    <n v="-320208"/>
    <n v="-1"/>
  </r>
  <r>
    <x v="3"/>
    <s v="LOCAL PREMIUM CAR SALES"/>
    <n v="0"/>
    <n v="0"/>
    <s v=""/>
    <s v=""/>
    <s v=""/>
    <s v=""/>
    <s v="18-11-2024 13:01:10"/>
    <s v=""/>
    <s v="LVVDB21B6RC034677"/>
    <x v="10"/>
    <x v="31"/>
    <s v="J7 1.6T PRIME"/>
    <s v="JAETC1"/>
    <x v="1"/>
    <n v="8508"/>
    <s v="HJAESTWN000004"/>
    <x v="215"/>
    <s v="SEMINUEVO"/>
    <s v="BLANCO"/>
    <s v="POR DEFINIR"/>
    <n v="17990000"/>
    <s v="Disponible"/>
    <x v="49"/>
    <x v="0"/>
    <s v="Bodeha Vehiculos Premium"/>
    <s v=""/>
    <s v="SQRF4J16CAHRB00038"/>
    <s v="LVVDB21B6RC034677"/>
    <s v="CALLEGARI E HIJOS LTDA"/>
    <s v="18-08-2025 0:00:00"/>
    <n v="290264"/>
    <s v="18-12-2024 0:00:00"/>
    <s v="18-11-2024 13:00:56"/>
    <s v=""/>
    <n v="0"/>
    <n v="0"/>
    <s v=""/>
    <n v="0"/>
    <n v="17732643"/>
    <n v="1035113"/>
    <n v="0"/>
    <n v="18767756"/>
    <n v="17990000"/>
    <n v="-777756"/>
    <n v="-432"/>
  </r>
  <r>
    <x v="3"/>
    <s v="LOCAL PREMIUM CAR SALES"/>
    <n v="0"/>
    <n v="0"/>
    <s v=""/>
    <s v=""/>
    <s v=""/>
    <s v=""/>
    <s v="23-04-2025 14:32:46"/>
    <s v=""/>
    <s v="LNNBBDEE0SC041105"/>
    <x v="10"/>
    <x v="31"/>
    <s v="J7 1.5T PHEV"/>
    <s v="T7160F5"/>
    <x v="1"/>
    <n v="0"/>
    <s v="HJAESTWN000005"/>
    <x v="216"/>
    <s v="SEMINUEVO"/>
    <s v="PLATEADO TECHO NEGRO"/>
    <s v="POR DEFINIR"/>
    <n v="21490000"/>
    <s v="Disponible"/>
    <x v="130"/>
    <x v="0"/>
    <s v="Bodeha Vehiculos Premium"/>
    <s v=""/>
    <s v="SQRH4J15ABRM01262"/>
    <s v="LNNBBDEE0SC041105"/>
    <s v="CALLEGARI E HIJOS LTDA"/>
    <s v="02-09-2025 0:00:00"/>
    <n v="301777"/>
    <s v="23-05-2025 0:00:00"/>
    <s v="23-04-2025 14:32:30"/>
    <s v=""/>
    <n v="0"/>
    <n v="0"/>
    <s v=""/>
    <n v="0"/>
    <n v="23227563"/>
    <n v="0"/>
    <n v="0"/>
    <n v="23227563"/>
    <n v="21490000"/>
    <n v="-1737563"/>
    <n v="-809"/>
  </r>
  <r>
    <x v="3"/>
    <s v="LOCAL USADOS COPIAPO"/>
    <n v="0"/>
    <n v="0"/>
    <s v=""/>
    <s v=""/>
    <s v=""/>
    <s v=""/>
    <s v="24-04-2023 12:56:28"/>
    <s v=""/>
    <s v="LSJZ14U68LS016383"/>
    <x v="31"/>
    <x v="107"/>
    <s v="NEW 3  1.5"/>
    <s v="9001--GJHGFJHUUY44"/>
    <x v="9"/>
    <n v="10500"/>
    <s v="HMGAUTU000001"/>
    <x v="217"/>
    <s v="USADO"/>
    <s v="ROJO"/>
    <s v="POR DEFINIR"/>
    <n v="8990000"/>
    <s v="Disponible"/>
    <x v="143"/>
    <x v="4"/>
    <s v="VEHICULOS LOS CARRERA"/>
    <s v=""/>
    <s v="15S4C5SGKA051248"/>
    <s v="LSJZ14U68LS016383"/>
    <s v="MANUEL ALEJANDRO PEREZ ESPINOZA"/>
    <s v="24-04-2023 0:00:00"/>
    <n v="1"/>
    <s v="24-04-2023 0:00:00"/>
    <s v="24-04-2023 12:55:24"/>
    <s v=""/>
    <n v="0"/>
    <n v="0"/>
    <s v=""/>
    <n v="0"/>
    <n v="10356480"/>
    <n v="72666"/>
    <n v="0"/>
    <n v="10429146"/>
    <n v="8990000"/>
    <n v="-1439146"/>
    <n v="-1601"/>
  </r>
  <r>
    <x v="3"/>
    <s v="BODEGA PDI"/>
    <n v="0"/>
    <n v="0"/>
    <s v=""/>
    <s v=""/>
    <s v=""/>
    <s v=""/>
    <s v="05-02-2024 14:29:38"/>
    <s v=""/>
    <s v="LGXC74C49R0009519"/>
    <x v="25"/>
    <x v="60"/>
    <s v="SONG PLUS GS"/>
    <s v="BYD008"/>
    <x v="2"/>
    <n v="19482"/>
    <s v="HBYSTWN000007"/>
    <x v="218"/>
    <s v="SEMINUEVO"/>
    <s v="AZUL"/>
    <s v="POR DEFINIR"/>
    <n v="28990000"/>
    <s v="Disponible"/>
    <x v="144"/>
    <x v="0"/>
    <s v="BODEGA PDI"/>
    <s v=""/>
    <s v="BYD472QA S23815583"/>
    <s v="LGXC74C49R0009519"/>
    <s v="BANSA SANTANDER S A"/>
    <s v="08-08-2025 0:00:00"/>
    <n v="0"/>
    <s v=""/>
    <s v=""/>
    <s v=""/>
    <n v="0"/>
    <n v="0"/>
    <s v=""/>
    <n v="0"/>
    <n v="29403361"/>
    <n v="1237255"/>
    <n v="0"/>
    <n v="30640616"/>
    <n v="28990000"/>
    <n v="-1650616"/>
    <n v="-569"/>
  </r>
  <r>
    <x v="3"/>
    <s v="LOCAL FCO. DE AGUIRRE"/>
    <n v="0"/>
    <n v="0"/>
    <s v=""/>
    <s v=""/>
    <s v=""/>
    <s v=""/>
    <s v="12-03-2025 10:43:54"/>
    <s v=""/>
    <s v="9BD376B33 RYB21012"/>
    <x v="36"/>
    <x v="108"/>
    <s v="FASTBACK IMPETUS 1.0 AUT"/>
    <s v="FI1.0AUT"/>
    <x v="5"/>
    <n v="11258"/>
    <s v="HFIAUTU000003"/>
    <x v="219"/>
    <s v="USADO"/>
    <s v="BLANCO BANCHISA"/>
    <s v="POR DEFINIR"/>
    <n v="22990000"/>
    <s v="Disponible"/>
    <x v="145"/>
    <x v="3"/>
    <s v="BODEGA VEHICULOS SK"/>
    <s v=""/>
    <s v="463479781044477"/>
    <s v="9BD376B33 RYB21012"/>
    <s v="CARLA MARGARITA ROJAS ARAYA"/>
    <s v="12-03-2025 0:00:00"/>
    <n v="1"/>
    <s v="10-12-2025 11:17:00"/>
    <s v="10-12-2025 11:17:00"/>
    <s v=""/>
    <n v="0"/>
    <n v="0"/>
    <s v=""/>
    <n v="0"/>
    <n v="22990000"/>
    <n v="20000"/>
    <n v="0"/>
    <n v="23010000"/>
    <n v="22990000"/>
    <n v="-20000"/>
    <n v="-9"/>
  </r>
  <r>
    <x v="3"/>
    <s v="LOCAL CAMIONES COPIAPO"/>
    <n v="0"/>
    <n v="0"/>
    <s v=""/>
    <s v=""/>
    <s v=""/>
    <s v=""/>
    <s v="25-11-2025 15:24:48"/>
    <s v=""/>
    <s v="KMJHG17HPHC072574"/>
    <x v="22"/>
    <x v="109"/>
    <s v="COUNTY 4.0"/>
    <s v="COUS10"/>
    <x v="10"/>
    <n v="200000"/>
    <s v="HHYBUSU000001"/>
    <x v="220"/>
    <s v="USADO"/>
    <s v="BLANCO"/>
    <s v="POR DEFINIR"/>
    <n v="17690000"/>
    <s v="Disponible"/>
    <x v="146"/>
    <x v="2"/>
    <s v="BODEGA CAMIONES COPIAPO"/>
    <s v=""/>
    <s v="D4GAGJ202676"/>
    <s v="KMJHG17HPHC072574"/>
    <s v="ARRIAGADA DIAZ MANUEL ANTONIO Y PINTO OÑATE MARIA BELEN LTDA"/>
    <s v="25-11-2025 0:00:00"/>
    <n v="3384"/>
    <s v="10-11-2025 0:00:00"/>
    <s v="25-11-2025 15:24:04"/>
    <s v=""/>
    <n v="0"/>
    <n v="0"/>
    <s v=""/>
    <n v="0"/>
    <n v="12605042"/>
    <n v="0"/>
    <n v="0"/>
    <n v="12605042"/>
    <n v="17690000"/>
    <n v="5084958"/>
    <n v="2874"/>
  </r>
  <r>
    <x v="3"/>
    <s v="LOCAL FCO. DE AGUIRRE"/>
    <n v="0"/>
    <n v="0"/>
    <s v=""/>
    <s v=""/>
    <s v=""/>
    <s v=""/>
    <s v="02-10-2024 11:40:07"/>
    <s v=""/>
    <s v="LMGHT1L88R3062334"/>
    <x v="34"/>
    <x v="110"/>
    <s v="EMZOOM 1.5T AT GL R-Style"/>
    <s v="GAC7151HCW6A-1"/>
    <x v="1"/>
    <n v="0"/>
    <s v="HGCSTWN000240"/>
    <x v="221"/>
    <s v="SEMINUEVO"/>
    <s v="AZUL"/>
    <s v="POR DEFINIR"/>
    <n v="19990000"/>
    <s v="Disponible"/>
    <x v="147"/>
    <x v="0"/>
    <s v="BODEGA VEHICULOS SK"/>
    <s v=""/>
    <s v="K321917"/>
    <s v="LMGHT1L88R3062334"/>
    <s v="BANSA SANTANDER S A"/>
    <s v="27-09-2024 0:00:00"/>
    <n v="352208"/>
    <s v="19-11-2024 0:00:00"/>
    <s v="27-11-2024 14:42:09"/>
    <s v=""/>
    <n v="0"/>
    <n v="0"/>
    <s v=""/>
    <n v="0"/>
    <n v="15454453"/>
    <n v="1405310"/>
    <n v="0"/>
    <n v="16859763"/>
    <n v="16798319"/>
    <n v="-61444"/>
    <n v="-37"/>
  </r>
  <r>
    <x v="3"/>
    <s v="LOCAL PREMIUM CAR SALES"/>
    <n v="0"/>
    <n v="0"/>
    <s v=""/>
    <s v=""/>
    <s v=""/>
    <s v=""/>
    <s v="04-09-2024 15:47:32"/>
    <s v=""/>
    <s v="LVVDB21B9SD021759"/>
    <x v="18"/>
    <x v="43"/>
    <s v="C5 1.5T CVT LUXURY"/>
    <s v="TC2"/>
    <x v="1"/>
    <n v="9892"/>
    <s v="HOMOSTWN000005"/>
    <x v="222"/>
    <s v="SEMINUEVO"/>
    <s v="NEGRO"/>
    <s v="POR DEFINIR"/>
    <n v="15990000"/>
    <s v="Disponible"/>
    <x v="49"/>
    <x v="0"/>
    <s v="Bodeha Vehiculos Premium"/>
    <s v=""/>
    <s v="SQRE4T15CCHRD00296"/>
    <s v="LVVDB21B9SD021759"/>
    <s v="CALLEGARI E HIJOS LTDA"/>
    <s v="18-08-2025 0:00:00"/>
    <n v="285230"/>
    <s v="04-09-2024 0:00:00"/>
    <s v="04-09-2024 15:47:12"/>
    <s v=""/>
    <n v="0"/>
    <n v="0"/>
    <s v=""/>
    <n v="0"/>
    <n v="13950252"/>
    <n v="1098407"/>
    <n v="0"/>
    <n v="15048659"/>
    <n v="15990000"/>
    <n v="941341"/>
    <n v="589"/>
  </r>
  <r>
    <x v="4"/>
    <m/>
    <m/>
    <m/>
    <m/>
    <m/>
    <m/>
    <m/>
    <m/>
    <m/>
    <m/>
    <x v="37"/>
    <x v="111"/>
    <m/>
    <m/>
    <x v="16"/>
    <m/>
    <m/>
    <x v="223"/>
    <m/>
    <m/>
    <m/>
    <m/>
    <m/>
    <x v="148"/>
    <x v="15"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s v="LOCAL USADOS"/>
    <n v="0"/>
    <n v="0"/>
    <s v=""/>
    <s v=""/>
    <s v=""/>
    <s v=""/>
    <s v="14-08-2025 17:36:07"/>
    <s v=""/>
    <s v="VR3USHNSKSJ517115"/>
    <x v="0"/>
    <x v="0"/>
    <x v="0"/>
    <s v="N2008USA"/>
    <x v="0"/>
    <x v="0"/>
    <s v="BPESTWU000008"/>
    <x v="0"/>
    <s v="USADO"/>
    <s v="GRIS ARTENSE"/>
    <s v="POR DEFINIR"/>
    <n v="16990000"/>
    <s v="Disponible"/>
    <x v="0"/>
    <x v="0"/>
    <s v="LOCAL USADOS VEHICULOS"/>
    <s v=""/>
    <s v="10TMA60199560"/>
    <s v="VR3USHNSKSJ517115"/>
    <s v="JULIO CESAR GUTIERREZ VARGAS"/>
    <s v="14-08-2025 0:00:00"/>
    <n v="1"/>
    <s v="14-08-2025 0:00:00"/>
    <s v="14-08-2025 17:34:19"/>
    <s v=""/>
    <n v="0"/>
    <n v="0"/>
    <s v=""/>
    <n v="0"/>
    <n v="20390000"/>
    <n v="0"/>
    <n v="0"/>
    <n v="20390000"/>
    <n v="16990000"/>
    <n v="-3400000"/>
    <n v="-2001"/>
  </r>
  <r>
    <x v="0"/>
    <s v="LOCAL PEUGEOT"/>
    <n v="0"/>
    <n v="0"/>
    <s v=""/>
    <s v=""/>
    <s v=""/>
    <s v=""/>
    <s v="06-11-2025 16:51:55"/>
    <s v=""/>
    <s v="9V8FF4HY1SA819290"/>
    <x v="0"/>
    <x v="1"/>
    <x v="1"/>
    <s v="LANDUSA"/>
    <x v="0"/>
    <x v="1"/>
    <s v="BPECMTU000007"/>
    <x v="1"/>
    <s v="USADO"/>
    <s v="BLANCO BANQUISE"/>
    <s v="POR DEFINIR"/>
    <n v="21990000"/>
    <s v="Disponible"/>
    <x v="1"/>
    <x v="1"/>
    <s v="BODEGA LOCAL PEUGEOT"/>
    <s v=""/>
    <s v="10VRAC4012986"/>
    <s v="9V8FF4HY1SA819290"/>
    <s v="ECO ARQUING LTDA"/>
    <s v="06-11-2025 0:00:00"/>
    <n v="1"/>
    <s v="06-11-2025 0:00:00"/>
    <s v="06-11-2025 16:50:16"/>
    <s v=""/>
    <n v="0"/>
    <n v="0"/>
    <s v=""/>
    <n v="0"/>
    <n v="29381100"/>
    <n v="0"/>
    <n v="0"/>
    <n v="29381100"/>
    <n v="21990000"/>
    <n v="-7391100"/>
    <n v="-3361"/>
  </r>
  <r>
    <x v="0"/>
    <s v="LOCAL PEUGEOT"/>
    <n v="0"/>
    <n v="0"/>
    <s v=""/>
    <s v=""/>
    <s v=""/>
    <s v=""/>
    <s v="28-05-2026 12:41:52"/>
    <s v=""/>
    <s v="VR3KAHPY0VS001093"/>
    <x v="0"/>
    <x v="2"/>
    <x v="2"/>
    <s v="1PPDSYTJH7NXA0B0167"/>
    <x v="1"/>
    <x v="1"/>
    <s v="BPESTWN002855"/>
    <x v="2"/>
    <s v="SEMINUEVO"/>
    <s v="BLANCO OKENITA"/>
    <s v="POR DEFINIR"/>
    <n v="37290000"/>
    <s v="Disponible"/>
    <x v="2"/>
    <x v="2"/>
    <s v="BODEGA LOCAL PEUGEOT"/>
    <s v=""/>
    <s v="10XR050087229"/>
    <s v="VR3KAHPY0VS001093"/>
    <s v="FORUM DISTRIBUIDORA SA"/>
    <s v="28-05-2026 0:00:00"/>
    <n v="0"/>
    <s v=""/>
    <s v=""/>
    <s v=""/>
    <n v="0"/>
    <n v="0"/>
    <s v=""/>
    <n v="0"/>
    <n v="28515882"/>
    <n v="1030553"/>
    <n v="0"/>
    <n v="29546435"/>
    <n v="31336134"/>
    <n v="1789699"/>
    <n v="571"/>
  </r>
  <r>
    <x v="0"/>
    <s v="LOCAL PEUGEOT"/>
    <n v="0"/>
    <n v="0"/>
    <s v=""/>
    <s v=""/>
    <s v=""/>
    <s v=""/>
    <s v="12-09-2025 15:00:44"/>
    <s v=""/>
    <s v="VR3EBYHZ9TJ514671"/>
    <x v="0"/>
    <x v="3"/>
    <x v="3"/>
    <s v="1PK9CLTMK1JRA070059"/>
    <x v="1"/>
    <x v="1"/>
    <s v="BPESTWN002704"/>
    <x v="3"/>
    <s v="SEMINUEVO"/>
    <s v="GRIS ARTENSE"/>
    <s v="POR DEFINIR"/>
    <n v="26390000"/>
    <s v="Disponible"/>
    <x v="3"/>
    <x v="3"/>
    <s v="BODEGA LOCAL PEUGEOT"/>
    <s v=""/>
    <s v="10Q4EP0347273"/>
    <s v="VR3EBYHZ9TJ514671"/>
    <s v="FORUM DISTRIBUIDORA SA"/>
    <s v="12-09-2025 0:00:00"/>
    <n v="912478"/>
    <s v="25-09-2025 0:00:00"/>
    <s v="05-10-2025 21:25:13"/>
    <s v=""/>
    <n v="0"/>
    <n v="0"/>
    <s v=""/>
    <n v="0"/>
    <n v="18211764"/>
    <n v="826449"/>
    <n v="0"/>
    <n v="19038213"/>
    <n v="22176471"/>
    <n v="3138258"/>
    <n v="1415"/>
  </r>
  <r>
    <x v="0"/>
    <s v="LOCAL PEUGEOT"/>
    <n v="0"/>
    <n v="0"/>
    <s v=""/>
    <s v=""/>
    <s v=""/>
    <s v=""/>
    <s v="03-12-2025 15:23:05"/>
    <s v=""/>
    <s v="VF3YDT6FXTMB55780"/>
    <x v="0"/>
    <x v="4"/>
    <x v="4"/>
    <s v="BOXUSA1"/>
    <x v="1"/>
    <x v="2"/>
    <s v="BPEFRGU000005"/>
    <x v="4"/>
    <s v="USADO"/>
    <s v="BLANCO HIELO"/>
    <s v="POR DEFINIR"/>
    <n v="31990000"/>
    <s v="Disponible"/>
    <x v="4"/>
    <x v="1"/>
    <s v="BODEGA LOCAL PEUGEOT"/>
    <s v=""/>
    <s v="463571691903538"/>
    <s v="VF3YDT6FXTMB55780"/>
    <s v="DAVID REINALDO RAMIREZ PEÑA Y LILLO VENTA, MANTENCION Y RECARGA DE EXTINTORES E.I.R.L"/>
    <s v="03-12-2025 0:00:00"/>
    <n v="1"/>
    <s v="03-12-2025 0:00:00"/>
    <s v="03-12-2025 15:22:45"/>
    <s v=""/>
    <n v="0"/>
    <n v="0"/>
    <s v=""/>
    <n v="0"/>
    <n v="32237100"/>
    <n v="0"/>
    <n v="0"/>
    <n v="32237100"/>
    <n v="31990000"/>
    <n v="-247100"/>
    <n v="-77"/>
  </r>
  <r>
    <x v="0"/>
    <s v="BODEGA PDI"/>
    <n v="0"/>
    <n v="0"/>
    <s v=""/>
    <s v=""/>
    <s v=""/>
    <s v=""/>
    <s v="08-05-2026 12:47:17"/>
    <s v=""/>
    <s v="VR3EDYHT4VJ003832"/>
    <x v="0"/>
    <x v="5"/>
    <x v="5"/>
    <s v="2PK95CNMNKJRA070069"/>
    <x v="1"/>
    <x v="1"/>
    <s v="BPEFRGN001371"/>
    <x v="5"/>
    <s v="SEMINUEVO"/>
    <s v="BLANCO HIELO"/>
    <s v="POR DEFINIR"/>
    <n v="24264100"/>
    <s v="Disponible"/>
    <x v="5"/>
    <x v="2"/>
    <s v="BODEGA PDI"/>
    <s v=""/>
    <s v="10Q4EU0696242"/>
    <s v="VR3EDYHT4VJ003832"/>
    <s v="FORUM DISTRIBUIDORA SA"/>
    <s v="08-05-2026 0:00:00"/>
    <n v="0"/>
    <s v=""/>
    <s v=""/>
    <s v=""/>
    <n v="0"/>
    <n v="0"/>
    <s v=""/>
    <n v="0"/>
    <n v="18351000"/>
    <n v="0"/>
    <n v="0"/>
    <n v="18351000"/>
    <n v="20390000"/>
    <n v="2039000"/>
    <n v="10"/>
  </r>
  <r>
    <x v="0"/>
    <s v="MEGACENTRO OVALLE"/>
    <n v="0"/>
    <n v="0"/>
    <s v=""/>
    <s v=""/>
    <s v=""/>
    <s v=""/>
    <s v="21-02-2024 15:15:59"/>
    <s v=""/>
    <s v="9V8FF4HY1RA800754"/>
    <x v="0"/>
    <x v="1"/>
    <x v="6"/>
    <s v="2PKPEKHMQNN088"/>
    <x v="2"/>
    <x v="3"/>
    <s v="BPECMTN000252"/>
    <x v="6"/>
    <s v="SEMINUEVO"/>
    <s v="BLANCO BANQUISE"/>
    <s v="POR DEFINIR"/>
    <n v="20990000"/>
    <s v="Disponible"/>
    <x v="6"/>
    <x v="3"/>
    <s v="MEGACENTRO OVALLE VEHICULOS"/>
    <s v=""/>
    <s v="10VRAC4002482"/>
    <s v="9V8FF4HY1RA800754"/>
    <s v="FORUM DISTRIBUIDORA SA"/>
    <s v="22-08-2025 0:00:00"/>
    <n v="781565"/>
    <s v="19-03-2024 0:00:00"/>
    <s v="20-03-2024 14:57:19"/>
    <s v=""/>
    <n v="0"/>
    <n v="0"/>
    <s v=""/>
    <n v="0"/>
    <n v="26670800"/>
    <n v="991590"/>
    <n v="0"/>
    <n v="27662390"/>
    <n v="20990000"/>
    <n v="-6672390"/>
    <n v="-3179"/>
  </r>
  <r>
    <x v="0"/>
    <s v="LOCAL USADOS"/>
    <n v="0"/>
    <n v="0"/>
    <s v=""/>
    <s v=""/>
    <s v=""/>
    <s v=""/>
    <s v="12-09-2025 16:02:19"/>
    <s v=""/>
    <s v="VXKUSHNS5TW000787"/>
    <x v="1"/>
    <x v="6"/>
    <x v="7"/>
    <s v="1GQOSYHI21JRA033109"/>
    <x v="1"/>
    <x v="4"/>
    <s v="BOPSTWN000228"/>
    <x v="7"/>
    <s v="SEMINUEVO"/>
    <s v="VERDE LAGUNA"/>
    <s v="POR DEFINIR"/>
    <n v="24890000"/>
    <s v="Disponible"/>
    <x v="7"/>
    <x v="3"/>
    <s v="LOCAL USADOS VEHICULOS"/>
    <s v=""/>
    <s v="10XVBB2431060"/>
    <s v="VXKUSHNS5TW000787"/>
    <s v="FORUM DISTRIBUIDORA SA"/>
    <s v="06-04-2026 0:00:00"/>
    <n v="912475"/>
    <s v="25-09-2025 0:00:00"/>
    <s v="05-10-2025 21:20:03"/>
    <s v=""/>
    <n v="0"/>
    <n v="0"/>
    <s v=""/>
    <n v="0"/>
    <n v="16665547"/>
    <n v="535096"/>
    <n v="0"/>
    <n v="17200643"/>
    <n v="20915966"/>
    <n v="3715323"/>
    <n v="1776"/>
  </r>
  <r>
    <x v="0"/>
    <s v="LOCAL USADOS COPIAPO"/>
    <n v="0"/>
    <n v="0"/>
    <s v=""/>
    <s v=""/>
    <s v=""/>
    <s v=""/>
    <s v="07-01-2025 15:56:46"/>
    <s v=""/>
    <s v="VR3FDAHDLN3007730"/>
    <x v="0"/>
    <x v="1"/>
    <x v="8"/>
    <s v="LANUSA1"/>
    <x v="3"/>
    <x v="1"/>
    <s v="BPECMTU000002"/>
    <x v="8"/>
    <s v="USADO"/>
    <s v="GRIS GRAFITO"/>
    <s v="POR DEFINIR"/>
    <n v="37355481"/>
    <s v="Disponible"/>
    <x v="8"/>
    <x v="1"/>
    <s v="BODEGA VEHICULOS"/>
    <s v=""/>
    <s v="A5D22001368"/>
    <s v="VR3FDAHDLN3007730"/>
    <s v="FERNANDO GABRIEL LEIVA PANGUE"/>
    <s v="07-01-2025 0:00:00"/>
    <n v="1"/>
    <s v="07-01-2025 0:00:00"/>
    <s v="07-01-2025 15:55:41"/>
    <s v=""/>
    <n v="0"/>
    <n v="0"/>
    <s v=""/>
    <n v="0"/>
    <n v="37355481"/>
    <n v="894355"/>
    <n v="0"/>
    <n v="38249836"/>
    <n v="37355481"/>
    <n v="-894355"/>
    <n v="-239"/>
  </r>
  <r>
    <x v="0"/>
    <s v="MEGACENTRO OVALLE"/>
    <n v="0"/>
    <n v="0"/>
    <s v=""/>
    <s v=""/>
    <s v=""/>
    <s v=""/>
    <s v="30-10-2023 16:00:03"/>
    <s v=""/>
    <s v="VR3UDYHZSRJ524567"/>
    <x v="0"/>
    <x v="0"/>
    <x v="9"/>
    <s v="1PP1SYPMK1JRA0"/>
    <x v="2"/>
    <x v="5"/>
    <s v="BPESTWN002279"/>
    <x v="9"/>
    <s v="SEMINUEVO"/>
    <s v="BLANCO OKENITE"/>
    <s v="POR DEFINIR"/>
    <n v="17590000"/>
    <s v="Disponible"/>
    <x v="9"/>
    <x v="1"/>
    <s v="MEGACENTRO OVALLE VEHICULOS"/>
    <s v=""/>
    <s v="10Q3DP1802788"/>
    <s v="VR3UDYHZSRJ524567"/>
    <s v="FORUM DISTRIBUIDORA SA"/>
    <s v="30-10-2023 0:00:00"/>
    <n v="781568"/>
    <s v="19-03-2024 0:00:00"/>
    <s v="20-03-2024 15:01:46"/>
    <s v=""/>
    <n v="0"/>
    <n v="0"/>
    <s v=""/>
    <n v="0"/>
    <n v="21175461"/>
    <n v="1288456"/>
    <n v="0"/>
    <n v="22463917"/>
    <n v="17590000"/>
    <n v="-4873917"/>
    <n v="-2771"/>
  </r>
  <r>
    <x v="0"/>
    <s v="BODEGA PDI"/>
    <n v="0"/>
    <n v="0"/>
    <s v=""/>
    <s v=""/>
    <s v=""/>
    <s v=""/>
    <s v="12-09-2025 15:22:18"/>
    <s v=""/>
    <s v="VXKUPHNKXT4000863"/>
    <x v="1"/>
    <x v="7"/>
    <x v="10"/>
    <s v="1GJOA5HL71J0A0F0018"/>
    <x v="1"/>
    <x v="1"/>
    <s v="BOPAUTN000108"/>
    <x v="10"/>
    <s v="SEMINUEVO"/>
    <s v="GRIS GSE"/>
    <s v="POR DEFINIR"/>
    <n v="18690000"/>
    <s v="Disponible"/>
    <x v="3"/>
    <x v="3"/>
    <s v="BODEGA PDI"/>
    <s v=""/>
    <s v="10XVBB2453272"/>
    <s v="VXKUPHNKXT4000863"/>
    <s v="FORUM DISTRIBUIDORA SA"/>
    <s v="12-09-2025 0:00:00"/>
    <n v="912470"/>
    <s v="25-09-2025 0:00:00"/>
    <s v="05-10-2025 21:09:55"/>
    <s v=""/>
    <n v="0"/>
    <n v="0"/>
    <s v=""/>
    <n v="0"/>
    <n v="13236975"/>
    <n v="460637"/>
    <n v="0"/>
    <n v="13697612"/>
    <n v="15705882"/>
    <n v="2008270"/>
    <n v="1279"/>
  </r>
  <r>
    <x v="0"/>
    <s v="MEGACENTRO OVALLE"/>
    <n v="0"/>
    <n v="0"/>
    <s v=""/>
    <s v=""/>
    <s v=""/>
    <s v=""/>
    <s v="27-12-2025 22:18:45"/>
    <s v=""/>
    <s v="VR3KAHPY3TS012523"/>
    <x v="0"/>
    <x v="2"/>
    <x v="2"/>
    <s v="1PPDSYTJH7NXA0B0167"/>
    <x v="1"/>
    <x v="1"/>
    <s v="BPESTWN002763"/>
    <x v="11"/>
    <s v="SEMINUEVO"/>
    <s v="GRIS ARTENSE"/>
    <s v="POR DEFINIR"/>
    <n v="37290000"/>
    <s v="Disponible"/>
    <x v="10"/>
    <x v="4"/>
    <s v="MEGACENTRO OVALLE VEHICULOS"/>
    <s v=""/>
    <s v="10XR050002280"/>
    <s v="VR3KAHPY3TS012523"/>
    <s v="FORUM DISTRIBUIDORA SA"/>
    <s v="27-12-2025 0:00:00"/>
    <n v="0"/>
    <s v=""/>
    <s v=""/>
    <s v=""/>
    <n v="0"/>
    <n v="0"/>
    <s v=""/>
    <n v="0"/>
    <n v="28983865"/>
    <n v="1338304"/>
    <n v="0"/>
    <n v="30322169"/>
    <n v="31336134"/>
    <n v="1013965"/>
    <n v="324"/>
  </r>
  <r>
    <x v="0"/>
    <s v="LOCAL PEUGEOT"/>
    <n v="0"/>
    <n v="0"/>
    <s v=""/>
    <s v=""/>
    <s v=""/>
    <s v=""/>
    <s v="12-09-2025 14:24:14"/>
    <s v=""/>
    <s v="VR3USHNS6SJ525435"/>
    <x v="0"/>
    <x v="0"/>
    <x v="11"/>
    <s v="1PP1SYHM6KJR2PG0000"/>
    <x v="1"/>
    <x v="1"/>
    <s v="BPESTWN002701"/>
    <x v="12"/>
    <s v="SEMINUEVO"/>
    <s v="BLANCO OKENITE"/>
    <s v="POR DEFINIR"/>
    <n v="21090000"/>
    <s v="Disponible"/>
    <x v="3"/>
    <x v="3"/>
    <s v="BODEGA LOCAL PEUGEOT"/>
    <s v=""/>
    <s v="10TMA60220138"/>
    <s v="VR3USHNS6SJ525435"/>
    <s v="FORUM DISTRIBUIDORA SA"/>
    <s v="12-09-2025 0:00:00"/>
    <n v="912464"/>
    <s v="25-09-2025 0:00:00"/>
    <s v="05-10-2025 20:51:32"/>
    <s v=""/>
    <n v="0"/>
    <n v="0"/>
    <s v=""/>
    <n v="0"/>
    <n v="14312605"/>
    <n v="409055"/>
    <n v="0"/>
    <n v="14721660"/>
    <n v="17722689"/>
    <n v="3001029"/>
    <n v="1693"/>
  </r>
  <r>
    <x v="0"/>
    <s v="LOCAL USADOS"/>
    <n v="0"/>
    <n v="0"/>
    <s v=""/>
    <s v=""/>
    <s v=""/>
    <s v=""/>
    <s v="07-07-2023 13:26:15"/>
    <s v=""/>
    <s v="VR3FDAHDLP3008724"/>
    <x v="0"/>
    <x v="1"/>
    <x v="8"/>
    <s v="LANUSA1"/>
    <x v="3"/>
    <x v="6"/>
    <s v="BPECMTU000001"/>
    <x v="13"/>
    <s v="USADO"/>
    <s v="GRIS GRAFITO"/>
    <s v="POR DEFINIR"/>
    <n v="19490000"/>
    <s v="Disponible"/>
    <x v="11"/>
    <x v="5"/>
    <s v="LOCAL USADOS VEHICULOS"/>
    <s v=""/>
    <s v="A5D22001392"/>
    <s v="VR3FDAHDLP3008724"/>
    <s v="CONSTRUCTORA BRAP SPA"/>
    <s v="07-07-2023 0:00:00"/>
    <n v="1"/>
    <s v="07-07-2023 0:00:00"/>
    <s v="07-07-2023 13:25:46"/>
    <s v=""/>
    <n v="0"/>
    <n v="0"/>
    <s v=""/>
    <n v="0"/>
    <n v="21000000"/>
    <n v="13250"/>
    <n v="0"/>
    <n v="21013250"/>
    <n v="19490000"/>
    <n v="-1523250"/>
    <n v="-782"/>
  </r>
  <r>
    <x v="1"/>
    <s v="FORD BALMACEDA"/>
    <n v="0"/>
    <n v="0"/>
    <s v=""/>
    <s v=""/>
    <s v=""/>
    <s v=""/>
    <s v="09-10-2025 15:07:31"/>
    <s v=""/>
    <s v="8AFBR01K6SJ443936"/>
    <x v="2"/>
    <x v="8"/>
    <x v="12"/>
    <s v="RANDEVTDXB62"/>
    <x v="0"/>
    <x v="1"/>
    <s v="CFOCMTU000014"/>
    <x v="14"/>
    <s v="SEMINUEVO"/>
    <s v="BLANCO"/>
    <s v=""/>
    <n v="0"/>
    <s v="Disponible"/>
    <x v="12"/>
    <x v="6"/>
    <s v="BODEGA FORD BALMACEDA VEHICULO"/>
    <s v=""/>
    <s v="BF2X SJ443936"/>
    <s v="8AFBR01K6SJ443936"/>
    <s v="BANCO DE CHILE"/>
    <s v="09-10-2025 0:00:00"/>
    <n v="45641330"/>
    <s v="25-11-2025 0:00:00"/>
    <s v="11-12-2025 20:22:57"/>
    <s v=""/>
    <n v="0"/>
    <n v="0"/>
    <s v=""/>
    <n v="0"/>
    <n v="39290000"/>
    <n v="0"/>
    <n v="0"/>
    <n v="39290000"/>
    <n v="0"/>
    <n v="-39290000"/>
    <n v="-3929000000"/>
  </r>
  <r>
    <x v="1"/>
    <s v="LOCAL USADOS"/>
    <n v="0"/>
    <n v="0"/>
    <s v=""/>
    <s v=""/>
    <s v=""/>
    <s v=""/>
    <s v="01-10-2025 12:34:07"/>
    <s v=""/>
    <s v="KNAB3512A RT199134"/>
    <x v="3"/>
    <x v="9"/>
    <x v="13"/>
    <s v="MPI1"/>
    <x v="0"/>
    <x v="1"/>
    <s v="CKIAUTU000005"/>
    <x v="15"/>
    <s v="USADO"/>
    <s v="VERDE BOSQUE"/>
    <s v="POR DEFINIR"/>
    <n v="11490000"/>
    <s v="Disponible"/>
    <x v="13"/>
    <x v="1"/>
    <s v="LOCAL USADOS VEHICULOS"/>
    <s v=""/>
    <s v="G4LAPP262114"/>
    <s v="KNAB3512A RT199134"/>
    <s v="BENJAMIN MOISES SOTO ALFARO"/>
    <s v="01-10-2025 0:00:00"/>
    <n v="1"/>
    <s v="01-10-2025 0:00:00"/>
    <s v="01-10-2025 12:33:42"/>
    <s v=""/>
    <n v="0"/>
    <n v="0"/>
    <s v=""/>
    <n v="12"/>
    <n v="12473300"/>
    <n v="0"/>
    <n v="0"/>
    <n v="12473300"/>
    <n v="11490000"/>
    <n v="-983300"/>
    <n v="-856"/>
  </r>
  <r>
    <x v="1"/>
    <s v="LOCAL USADOS"/>
    <n v="0"/>
    <n v="0"/>
    <s v=""/>
    <s v=""/>
    <s v=""/>
    <s v=""/>
    <s v="26-09-2023 16:20:52"/>
    <s v=""/>
    <s v="9V8FF4HY1PA800411"/>
    <x v="0"/>
    <x v="1"/>
    <x v="6"/>
    <s v="2PKPEKHMQNN088"/>
    <x v="2"/>
    <x v="7"/>
    <s v="CPECMTN000018"/>
    <x v="16"/>
    <s v="SEMINUEVO"/>
    <s v="NEGRO PERLA NERA"/>
    <s v="POR DEFINIR"/>
    <n v="20990000"/>
    <s v="Disponible"/>
    <x v="14"/>
    <x v="3"/>
    <s v="LOCAL USADOS VEHICULOS"/>
    <s v=""/>
    <s v="VRAC4001479"/>
    <s v="9V8FF4HY1PA800411"/>
    <s v="AUTOMOTRIZ BALMACEDA LTDA"/>
    <s v="25-03-2026 0:00:00"/>
    <n v="55045"/>
    <s v="26-10-2023 0:00:00"/>
    <s v="26-09-2023 16:20:37"/>
    <s v=""/>
    <n v="0"/>
    <n v="0"/>
    <s v=""/>
    <n v="0"/>
    <n v="29014497"/>
    <n v="3058563"/>
    <n v="0"/>
    <n v="32073060"/>
    <n v="20990000"/>
    <n v="-11083060"/>
    <n v="-528"/>
  </r>
  <r>
    <x v="1"/>
    <s v="LOCAL USADOS"/>
    <n v="0"/>
    <n v="0"/>
    <s v=""/>
    <s v=""/>
    <s v=""/>
    <s v=""/>
    <s v="24-03-2025 10:27:56"/>
    <s v=""/>
    <s v="VR3KAHPY1SS006024"/>
    <x v="0"/>
    <x v="2"/>
    <x v="14"/>
    <s v="TCPE26"/>
    <x v="0"/>
    <x v="8"/>
    <s v="CPESTWN000076"/>
    <x v="17"/>
    <s v="SEMINUEVO"/>
    <s v="NEGRO PERLA NERA"/>
    <s v="POR DEFINIR"/>
    <n v="24290000"/>
    <s v="Disponible"/>
    <x v="7"/>
    <x v="3"/>
    <s v="LOCAL USADOS VEHICULOS"/>
    <s v=""/>
    <s v="10ZA040047007"/>
    <s v="VR3KAHPY1SS006024"/>
    <s v="AUTOMOTRIZ BALMACEDA LTDA"/>
    <s v="06-04-2026 0:00:00"/>
    <n v="66117"/>
    <s v="19-04-2025 0:00:00"/>
    <s v="24-03-2025 10:27:42"/>
    <s v=""/>
    <n v="0"/>
    <n v="0"/>
    <s v=""/>
    <n v="0"/>
    <n v="25546891"/>
    <n v="1916780"/>
    <n v="0"/>
    <n v="27463671"/>
    <n v="24290000"/>
    <n v="-3173671"/>
    <n v="-1307"/>
  </r>
  <r>
    <x v="1"/>
    <s v="BODEGA PDI"/>
    <n v="0"/>
    <n v="0"/>
    <s v=""/>
    <s v=""/>
    <s v=""/>
    <s v=""/>
    <s v="04-01-2019 18:31:16"/>
    <s v=""/>
    <s v="JF1GT7LL5KG071115"/>
    <x v="4"/>
    <x v="10"/>
    <x v="15"/>
    <s v="XV 5695"/>
    <x v="4"/>
    <x v="9"/>
    <s v="CSUSTWN000408"/>
    <x v="18"/>
    <s v="SEMINUEVO"/>
    <s v="BLANCO CRISTAL PERLADO"/>
    <s v="POR DEFINIR"/>
    <n v="15900000"/>
    <s v="Disponible"/>
    <x v="15"/>
    <x v="7"/>
    <s v="BODEGA PDI"/>
    <s v=""/>
    <s v="CE04013"/>
    <s v="JF1GT7LL5KG071115"/>
    <s v="FORUM DISTRIBUIDORA S.A"/>
    <s v="04-11-2022 0:00:00"/>
    <n v="347702"/>
    <s v="11-01-2019 0:00:00"/>
    <s v="22-01-2019 10:34:11"/>
    <s v=""/>
    <n v="0"/>
    <n v="0"/>
    <s v=""/>
    <n v="0"/>
    <n v="12497480"/>
    <n v="3135424"/>
    <n v="0"/>
    <n v="15632904"/>
    <n v="15900000"/>
    <n v="267096"/>
    <n v="168"/>
  </r>
  <r>
    <x v="1"/>
    <s v="BODEGA PDI"/>
    <n v="0"/>
    <n v="0"/>
    <s v=""/>
    <s v=""/>
    <s v=""/>
    <s v=""/>
    <s v="24-03-2025 10:46:04"/>
    <s v=""/>
    <s v="VR3EDYHT7TN500055"/>
    <x v="0"/>
    <x v="5"/>
    <x v="16"/>
    <s v="TCPE7"/>
    <x v="1"/>
    <x v="1"/>
    <s v="CPEFRGN000018"/>
    <x v="19"/>
    <s v="SEMINUEVO"/>
    <s v="BLANCO BLANC ICY"/>
    <s v="POR DEFINIR"/>
    <n v="22717100"/>
    <s v="Disponible"/>
    <x v="16"/>
    <x v="3"/>
    <s v="BODEGA PDI"/>
    <s v=""/>
    <s v="10Q4EU0479175"/>
    <s v="VR3EDYHT7TN500055"/>
    <s v="AUTOMOTRIZ BALMACEDA LTDA"/>
    <s v="20-03-2025 0:00:00"/>
    <n v="66129"/>
    <s v="19-04-2025 0:00:00"/>
    <s v="24-03-2025 10:45:51"/>
    <s v=""/>
    <n v="0"/>
    <n v="0"/>
    <s v=""/>
    <n v="0"/>
    <n v="17413917"/>
    <n v="1073628"/>
    <n v="0"/>
    <n v="18487545"/>
    <n v="19090000"/>
    <n v="602455"/>
    <n v="316"/>
  </r>
  <r>
    <x v="1"/>
    <s v="LOCAL USADOS COPIAPO"/>
    <n v="0"/>
    <n v="0"/>
    <s v=""/>
    <s v=""/>
    <s v=""/>
    <s v=""/>
    <s v="03-02-2025 11:10:46"/>
    <s v=""/>
    <s v="VR3UPHMHDS5001280"/>
    <x v="0"/>
    <x v="11"/>
    <x v="17"/>
    <s v="TCPE8"/>
    <x v="0"/>
    <x v="1"/>
    <s v="CPEAUTN000115"/>
    <x v="20"/>
    <s v="SEMINUEVO"/>
    <s v="GRIS ARTENSE"/>
    <s v="POR DEFINIR"/>
    <n v="16690000"/>
    <s v="Disponible"/>
    <x v="17"/>
    <x v="3"/>
    <s v="BODEGA LOS CARRERA COPIAPO"/>
    <s v=""/>
    <s v="10XKDU0264699"/>
    <s v="VR3UPHMHDS5001280"/>
    <s v="AUTOMOTRIZ BALMACEDA LTDA"/>
    <s v="24-04-2026 0:00:00"/>
    <n v="65154"/>
    <s v="02-03-2025 0:00:00"/>
    <s v="03-02-2025 11:10:31"/>
    <s v=""/>
    <n v="0"/>
    <n v="0"/>
    <s v=""/>
    <n v="0"/>
    <n v="12945210"/>
    <n v="923669"/>
    <n v="0"/>
    <n v="13868879"/>
    <n v="14025210"/>
    <n v="156331"/>
    <n v="111"/>
  </r>
  <r>
    <x v="1"/>
    <s v="MEGACENTRO OVALLE"/>
    <n v="0"/>
    <n v="0"/>
    <s v=""/>
    <s v=""/>
    <s v=""/>
    <s v=""/>
    <s v="24-03-2025 10:03:39"/>
    <s v=""/>
    <s v="VR3KAHPY1SS006126"/>
    <x v="0"/>
    <x v="2"/>
    <x v="14"/>
    <s v="TCPE26"/>
    <x v="1"/>
    <x v="1"/>
    <s v="CPESTWN000071"/>
    <x v="21"/>
    <s v="SEMINUEVO"/>
    <s v="BLANCO OKENITE"/>
    <s v="POR DEFINIR"/>
    <n v="32990000"/>
    <s v="Disponible"/>
    <x v="16"/>
    <x v="3"/>
    <s v="MEGACENTRO OVALLE VEHICULOS"/>
    <s v=""/>
    <s v="10ZA040054673"/>
    <s v="VR3KAHPY1SS006126"/>
    <s v="AUTOMOTRIZ BALMACEDA LTDA"/>
    <s v="20-03-2025 0:00:00"/>
    <n v="66110"/>
    <s v="19-04-2025 0:00:00"/>
    <s v="24-03-2025 10:03:23"/>
    <s v=""/>
    <n v="0"/>
    <n v="0"/>
    <s v=""/>
    <n v="0"/>
    <n v="25546891"/>
    <n v="1916780"/>
    <n v="0"/>
    <n v="27463671"/>
    <n v="27722689"/>
    <n v="259018"/>
    <n v="93"/>
  </r>
  <r>
    <x v="1"/>
    <s v="LOCAL USADOS"/>
    <n v="0"/>
    <n v="0"/>
    <s v=""/>
    <s v=""/>
    <s v=""/>
    <s v=""/>
    <s v="28-02-2026 16:54:41"/>
    <s v=""/>
    <s v="8AFBR01C4SJ412077"/>
    <x v="2"/>
    <x v="8"/>
    <x v="18"/>
    <s v="RANDEV24"/>
    <x v="0"/>
    <x v="10"/>
    <s v="CFOCMTU000019"/>
    <x v="22"/>
    <s v="USADO"/>
    <s v="NEGRO"/>
    <s v="POR DEFINIR"/>
    <n v="32990000"/>
    <s v="Disponible"/>
    <x v="18"/>
    <x v="1"/>
    <s v="LOCAL USADOS VEHICULOS"/>
    <s v=""/>
    <s v="YN2X SJ412077"/>
    <s v="8AFBR01C4SJ412077"/>
    <s v="TERRA ELQUI SPA"/>
    <s v="28-02-2026 0:00:00"/>
    <n v="1"/>
    <s v="28-02-2026 0:00:00"/>
    <s v="28-02-2026 16:53:37"/>
    <s v=""/>
    <n v="0"/>
    <n v="0"/>
    <s v=""/>
    <n v="0"/>
    <n v="25000000"/>
    <n v="0"/>
    <n v="0"/>
    <n v="25000000"/>
    <n v="32990000"/>
    <n v="7990000"/>
    <n v="2422"/>
  </r>
  <r>
    <x v="1"/>
    <s v="LOCAL USADOS"/>
    <n v="0"/>
    <n v="0"/>
    <s v=""/>
    <s v=""/>
    <s v=""/>
    <s v=""/>
    <s v="16-09-2025 21:38:11"/>
    <s v=""/>
    <s v="3KPFF51ABSE120765"/>
    <x v="3"/>
    <x v="12"/>
    <x v="19"/>
    <s v="KIA 2368"/>
    <x v="1"/>
    <x v="11"/>
    <s v="CKISTWN011896"/>
    <x v="23"/>
    <s v="SEMINUEVO"/>
    <s v="PLATEADO SUAVE"/>
    <s v="POR DEFINIR"/>
    <n v="19990000"/>
    <s v="Disponible"/>
    <x v="19"/>
    <x v="3"/>
    <s v="LOCAL USADOS VEHICULOS"/>
    <s v=""/>
    <s v="G4FGSE037043"/>
    <s v="3KPFF51ABSE120765"/>
    <s v="FORUM DISTRIBUIDORA S.A"/>
    <s v="19-03-2026 0:00:00"/>
    <n v="912269"/>
    <s v="25-09-2025 0:00:00"/>
    <s v="06-10-2025 11:32:06"/>
    <s v=""/>
    <n v="0"/>
    <n v="0"/>
    <s v=""/>
    <n v="0"/>
    <n v="14110588"/>
    <n v="731651"/>
    <n v="0"/>
    <n v="14842239"/>
    <n v="16798319"/>
    <n v="1956080"/>
    <n v="1164"/>
  </r>
  <r>
    <x v="1"/>
    <s v="FORD BALMACEDA"/>
    <n v="0"/>
    <n v="0"/>
    <s v=""/>
    <s v=""/>
    <s v=""/>
    <s v=""/>
    <s v="21-04-2026 12:40:27"/>
    <s v=""/>
    <s v="8AFBR01K1SJ019046"/>
    <x v="2"/>
    <x v="8"/>
    <x v="12"/>
    <s v="RANDEVTDXB62"/>
    <x v="1"/>
    <x v="12"/>
    <s v="CFOCMTU000021"/>
    <x v="24"/>
    <s v="SEMINUEVO"/>
    <s v="GRIS MERCURIO"/>
    <s v="POR DEFINIR"/>
    <n v="42900000"/>
    <s v="Disponible"/>
    <x v="20"/>
    <x v="8"/>
    <s v="BODEGA FORD BALMACEDA VEHICULO"/>
    <s v=""/>
    <s v="BF2XSJ019046"/>
    <s v="8AFBR01K1SJ019046"/>
    <s v="MASTER REDES IT SPA"/>
    <s v="21-04-2026 0:00:00"/>
    <n v="202"/>
    <s v="15-04-2026 0:00:00"/>
    <s v="21-04-2026 12:37:52"/>
    <s v=""/>
    <n v="0"/>
    <n v="0"/>
    <s v=""/>
    <n v="0"/>
    <n v="39737899"/>
    <n v="0"/>
    <n v="0"/>
    <n v="39737899"/>
    <n v="42900000"/>
    <n v="3162101"/>
    <n v="737"/>
  </r>
  <r>
    <x v="1"/>
    <s v="MEGACENTRO OVALLE"/>
    <n v="0"/>
    <n v="0"/>
    <s v=""/>
    <s v=""/>
    <s v=""/>
    <s v=""/>
    <s v="23-09-2024 13:25:20"/>
    <s v=""/>
    <s v="VR3EDYHT2SJ514486"/>
    <x v="0"/>
    <x v="5"/>
    <x v="16"/>
    <s v="TCPE7"/>
    <x v="0"/>
    <x v="1"/>
    <s v="CPEFRGN000016"/>
    <x v="25"/>
    <s v="SEMINUEVO"/>
    <s v="BLANCO HIELO"/>
    <s v="POR DEFINIR"/>
    <n v="22717100"/>
    <s v="Disponible"/>
    <x v="21"/>
    <x v="3"/>
    <s v="MEGACENTRO OVALLE VEHICULOS"/>
    <s v=""/>
    <s v="10Q4EU0366595"/>
    <s v="VR3EDYHT2SJ514486"/>
    <s v="AUTOMOTRIZ BALMACEDA LTDA"/>
    <s v="17-09-2024 0:00:00"/>
    <n v="62373"/>
    <s v="17-10-2024 0:00:00"/>
    <s v="23-09-2024 13:25:03"/>
    <s v=""/>
    <n v="0"/>
    <n v="0"/>
    <s v=""/>
    <n v="0"/>
    <n v="17322917"/>
    <n v="440794"/>
    <n v="0"/>
    <n v="17763711"/>
    <n v="19090000"/>
    <n v="1326289"/>
    <n v="695"/>
  </r>
  <r>
    <x v="1"/>
    <s v="LOCAL USADOS"/>
    <n v="0"/>
    <n v="0"/>
    <s v=""/>
    <s v=""/>
    <s v=""/>
    <s v=""/>
    <s v="24-03-2025 10:08:03"/>
    <s v=""/>
    <s v="VR3KAHPY1SS005755"/>
    <x v="0"/>
    <x v="2"/>
    <x v="14"/>
    <s v="TCPE26"/>
    <x v="0"/>
    <x v="13"/>
    <s v="CPESTWN000072"/>
    <x v="26"/>
    <s v="SEMINUEVO"/>
    <s v="GRIS ARTENSE"/>
    <s v="POR DEFINIR"/>
    <n v="32990000"/>
    <s v="Disponible"/>
    <x v="7"/>
    <x v="3"/>
    <s v="LOCAL USADOS VEHICULOS"/>
    <s v=""/>
    <s v="10ZA040040304"/>
    <s v="VR3KAHPY1SS005755"/>
    <s v="AUTOMOTRIZ BALMACEDA LTDA"/>
    <s v="06-04-2026 0:00:00"/>
    <n v="66111"/>
    <s v="19-04-2025 0:00:00"/>
    <s v="24-03-2025 10:07:47"/>
    <s v=""/>
    <n v="0"/>
    <n v="0"/>
    <s v=""/>
    <n v="0"/>
    <n v="25546891"/>
    <n v="2425655"/>
    <n v="0"/>
    <n v="27972546"/>
    <n v="27722689"/>
    <n v="-249857"/>
    <n v="-9"/>
  </r>
  <r>
    <x v="1"/>
    <s v="LOCAL USADOS COPIAPO"/>
    <n v="0"/>
    <n v="0"/>
    <s v=""/>
    <s v=""/>
    <s v=""/>
    <s v=""/>
    <s v="23-09-2024 14:00:53"/>
    <s v=""/>
    <s v="VF3MRHNSMRS009717"/>
    <x v="0"/>
    <x v="2"/>
    <x v="20"/>
    <s v="TCPE12"/>
    <x v="0"/>
    <x v="14"/>
    <s v="CPESTWN000052"/>
    <x v="27"/>
    <s v="SEMINUEVO"/>
    <s v="BLANCO NACARADO"/>
    <s v="POR DEFINIR"/>
    <n v="16590000"/>
    <s v="Disponible"/>
    <x v="22"/>
    <x v="3"/>
    <s v="BODEGA LOS CARRERA COPIAPO"/>
    <s v=""/>
    <s v="10Z1AJ0040120"/>
    <s v="VF3MRHNSMRS009717"/>
    <s v="AUTOMOTRIZ BALMACEDA LTDA"/>
    <s v="05-02-2025 0:00:00"/>
    <n v="62377"/>
    <s v="17-10-2024 0:00:00"/>
    <s v="23-09-2024 14:00:21"/>
    <s v=""/>
    <n v="0"/>
    <n v="0"/>
    <s v=""/>
    <n v="0"/>
    <n v="19610840"/>
    <n v="977921"/>
    <n v="0"/>
    <n v="20588761"/>
    <n v="16590000"/>
    <n v="-3998761"/>
    <n v="-241"/>
  </r>
  <r>
    <x v="1"/>
    <s v="LOCAL CAMIONES COPIAPO"/>
    <n v="0"/>
    <n v="0"/>
    <s v=""/>
    <s v=""/>
    <s v=""/>
    <s v=""/>
    <s v="18-08-2025 17:30:02"/>
    <s v=""/>
    <s v="LYTFAAB11SZ091210"/>
    <x v="5"/>
    <x v="13"/>
    <x v="21"/>
    <s v="LK614 S2-S4 POT.MOTOR 140 HP"/>
    <x v="0"/>
    <x v="1"/>
    <s v="CLKCMNU000001"/>
    <x v="28"/>
    <s v="USADO"/>
    <s v="BLANCO"/>
    <s v="POR DEFINIR"/>
    <n v="26953052"/>
    <s v="Disponible"/>
    <x v="23"/>
    <x v="1"/>
    <s v="BODEGA CAMIONES COPIAPO"/>
    <s v=""/>
    <s v="D224G033732"/>
    <s v="LYTFAAB11SZ091210"/>
    <s v="JONATHAN ANDRES FARIAS HIDALGO"/>
    <s v="18-08-2025 0:00:00"/>
    <n v="1"/>
    <s v="18-08-2025 0:00:00"/>
    <s v="18-08-2025 17:28:20"/>
    <s v=""/>
    <n v="0"/>
    <n v="0"/>
    <s v=""/>
    <n v="0"/>
    <n v="26953052"/>
    <n v="0"/>
    <n v="0"/>
    <n v="26953052"/>
    <n v="26953052"/>
    <n v="0"/>
    <n v="0"/>
  </r>
  <r>
    <x v="1"/>
    <s v="LOCAL USADOS"/>
    <n v="0"/>
    <n v="0"/>
    <s v=""/>
    <s v=""/>
    <s v=""/>
    <s v=""/>
    <s v="31-01-2026 11:21:40"/>
    <s v=""/>
    <s v="LNBMCUAK7TT189882"/>
    <x v="6"/>
    <x v="14"/>
    <x v="22"/>
    <s v="B-X7EX"/>
    <x v="1"/>
    <x v="15"/>
    <s v="CBAICSTWN000002"/>
    <x v="29"/>
    <s v="SEMINUEVO"/>
    <s v="PLATEADO NEGRO"/>
    <s v="POR DEFINIR"/>
    <n v="22490000"/>
    <s v="Disponible"/>
    <x v="24"/>
    <x v="6"/>
    <s v="LOCAL USADOS VEHICULOS"/>
    <s v=""/>
    <s v="A156T2H*XD01S113135*"/>
    <s v="LNBMCUAK7TT189882"/>
    <s v="SOCIEDAD HERMANAS CALLEGARI LTDA"/>
    <s v="30-01-2026 0:00:00"/>
    <n v="240019"/>
    <s v="30-01-2026 0:00:00"/>
    <s v="31-01-2026 11:21:21"/>
    <s v=""/>
    <n v="0"/>
    <n v="0"/>
    <s v=""/>
    <n v="0"/>
    <n v="19320168"/>
    <n v="1021094"/>
    <n v="0"/>
    <n v="20341262"/>
    <n v="22490000"/>
    <n v="2148738"/>
    <n v="955"/>
  </r>
  <r>
    <x v="1"/>
    <s v="LOCAL GILDEMEISTER COPIAPO"/>
    <n v="0"/>
    <n v="0"/>
    <s v=""/>
    <s v=""/>
    <s v=""/>
    <s v=""/>
    <s v="27-10-2025 10:11:12"/>
    <s v=""/>
    <s v="LJ11PABD3SC023162"/>
    <x v="7"/>
    <x v="15"/>
    <x v="23"/>
    <s v="T820T4X4MT-COM"/>
    <x v="1"/>
    <x v="16"/>
    <s v="CJACMTN000001"/>
    <x v="30"/>
    <s v="SEMINUEVO"/>
    <s v="GRIS"/>
    <s v="POR DEFINIR"/>
    <n v="21051100"/>
    <s v="Disponible"/>
    <x v="25"/>
    <x v="6"/>
    <s v="LOCAL GILDEMEISTER CPP AUTOS"/>
    <s v=""/>
    <s v="R4133378"/>
    <s v="LJ11PABD3SC023162"/>
    <s v="SOCIEDAD HERMANAS CALLEGARI LTDA"/>
    <s v="27-10-2025 0:00:00"/>
    <n v="235452"/>
    <s v="27-10-2025 0:00:00"/>
    <s v="27-10-2025 10:10:59"/>
    <s v=""/>
    <n v="0"/>
    <n v="0"/>
    <s v=""/>
    <n v="0"/>
    <n v="16316817"/>
    <n v="188715"/>
    <n v="0"/>
    <n v="16505532"/>
    <n v="17690000"/>
    <n v="1184468"/>
    <n v="67"/>
  </r>
  <r>
    <x v="1"/>
    <s v="MEGACENTRO OVALLE"/>
    <n v="0"/>
    <n v="0"/>
    <s v=""/>
    <s v=""/>
    <s v=""/>
    <s v=""/>
    <s v="29-09-2023 16:58:15"/>
    <s v=""/>
    <s v="VR3USHNSKRJ522822"/>
    <x v="0"/>
    <x v="0"/>
    <x v="24"/>
    <s v="NUEVO2008MCA"/>
    <x v="2"/>
    <x v="17"/>
    <s v="CPESTWN000026"/>
    <x v="31"/>
    <s v="SEMINUEVO"/>
    <s v="BLANCO OKENITE"/>
    <s v="POR DEFINIR"/>
    <n v="14490000"/>
    <s v="Disponible"/>
    <x v="26"/>
    <x v="3"/>
    <s v="MEGACENTRO OVALLE VEHICULOS"/>
    <s v=""/>
    <s v="10TMA60163627"/>
    <s v="VR3USHNSKRJ522822"/>
    <s v="AUTOMOTRIZ BALMACEDA LTDA"/>
    <s v="21-03-2025 0:00:00"/>
    <n v="55178"/>
    <s v="29-10-2023 0:00:00"/>
    <s v="29-09-2023 16:57:28"/>
    <s v=""/>
    <n v="0"/>
    <n v="0"/>
    <s v=""/>
    <n v="0"/>
    <n v="18519784"/>
    <n v="2080236"/>
    <n v="0"/>
    <n v="20600020"/>
    <n v="14490000"/>
    <n v="-6110020"/>
    <n v="-4217"/>
  </r>
  <r>
    <x v="1"/>
    <s v="BODEGA PDI"/>
    <n v="0"/>
    <n v="0"/>
    <s v=""/>
    <s v=""/>
    <s v=""/>
    <s v=""/>
    <s v="24-03-2025 10:57:42"/>
    <s v=""/>
    <s v="VXKUSHNSSSW001291"/>
    <x v="1"/>
    <x v="6"/>
    <x v="25"/>
    <s v="TCOP6"/>
    <x v="1"/>
    <x v="1"/>
    <s v="COPSTWN000018"/>
    <x v="32"/>
    <s v="SEMINUEVO"/>
    <s v="GRIS ARTENSE"/>
    <s v="POR DEFINIR"/>
    <n v="22890000"/>
    <s v="Disponible"/>
    <x v="26"/>
    <x v="2"/>
    <s v="BODEGA PDI"/>
    <s v=""/>
    <s v="10TMA50174392"/>
    <s v="VXKUSHNSSSW001291"/>
    <s v="AUTOMOTRIZ BALMACEDA LTDA"/>
    <s v="21-03-2025 0:00:00"/>
    <n v="66147"/>
    <s v="20-04-2025 0:00:00"/>
    <s v="24-03-2025 10:57:30"/>
    <s v=""/>
    <n v="0"/>
    <n v="0"/>
    <s v=""/>
    <n v="0"/>
    <n v="17738487"/>
    <n v="1366271"/>
    <n v="0"/>
    <n v="19104758"/>
    <n v="19235294"/>
    <n v="130536"/>
    <n v="68"/>
  </r>
  <r>
    <x v="1"/>
    <s v="LOCAL USADOS"/>
    <n v="0"/>
    <n v="0"/>
    <s v=""/>
    <s v=""/>
    <s v=""/>
    <s v=""/>
    <s v="26-09-2023 16:00:18"/>
    <s v=""/>
    <s v="VR3UKZKXZRJ510097"/>
    <x v="0"/>
    <x v="0"/>
    <x v="26"/>
    <s v="1PP1SYUESFJRA0"/>
    <x v="2"/>
    <x v="18"/>
    <s v="CPESTWN000021"/>
    <x v="33"/>
    <s v="SEMINUEVO"/>
    <s v="BLANCO NACARADO"/>
    <s v="POR DEFINIR"/>
    <n v="20590000"/>
    <s v="Disponible"/>
    <x v="27"/>
    <x v="3"/>
    <s v="LOCAL USADOS VEHICULOS"/>
    <s v=""/>
    <s v="105TES0012261"/>
    <s v="VR3UKZKXZRJ510097"/>
    <s v="AUTOMOTRIZ BALMACEDA LTDA"/>
    <s v="17-10-2024 0:00:00"/>
    <n v="55052"/>
    <s v="26-10-2023 0:00:00"/>
    <s v="26-09-2023 16:00:03"/>
    <s v=""/>
    <n v="0"/>
    <n v="0"/>
    <s v=""/>
    <n v="0"/>
    <n v="30531382"/>
    <n v="1126665"/>
    <n v="0"/>
    <n v="31658047"/>
    <n v="20590000"/>
    <n v="-11068047"/>
    <n v="-5375"/>
  </r>
  <r>
    <x v="1"/>
    <s v="LOCAL USADOS COPIAPO"/>
    <n v="0"/>
    <n v="0"/>
    <s v=""/>
    <s v=""/>
    <s v=""/>
    <s v=""/>
    <s v="27-05-2025 17:07:51"/>
    <s v=""/>
    <s v="1FTFW5L54RFB72541"/>
    <x v="2"/>
    <x v="16"/>
    <x v="27"/>
    <s v="F150LAR"/>
    <x v="0"/>
    <x v="1"/>
    <s v="CFOCMTU000010"/>
    <x v="34"/>
    <s v="USADO"/>
    <s v="AZUL ANTIMATERIA"/>
    <s v="POR DEFINIR"/>
    <n v="61000000"/>
    <s v="Disponible"/>
    <x v="28"/>
    <x v="1"/>
    <s v="BODEGA LOS CARRERA COPIAPO"/>
    <s v=""/>
    <s v="RFB72541"/>
    <s v="1FTFW5L54RFB72541"/>
    <s v="SOC CONSTRUCTORA LOS CIPRESES LIMITADA"/>
    <s v="27-05-2025 0:00:00"/>
    <n v="241"/>
    <s v="24-01-2025 0:00:00"/>
    <s v="27-05-2025 17:06:43"/>
    <s v=""/>
    <n v="0"/>
    <n v="0"/>
    <s v=""/>
    <n v="0"/>
    <n v="48090000"/>
    <n v="0"/>
    <n v="0"/>
    <n v="48090000"/>
    <n v="61000000"/>
    <n v="12910000"/>
    <n v="2116"/>
  </r>
  <r>
    <x v="1"/>
    <s v="LOCAL USADOS"/>
    <n v="0"/>
    <n v="0"/>
    <s v=""/>
    <s v=""/>
    <s v=""/>
    <s v=""/>
    <s v="01-03-2024 9:52:37"/>
    <s v=""/>
    <s v="VR3UPHNSSRT000956"/>
    <x v="0"/>
    <x v="11"/>
    <x v="28"/>
    <s v="1PP2A5RNP1JRA0"/>
    <x v="2"/>
    <x v="1"/>
    <s v="CPEAUTN000102"/>
    <x v="35"/>
    <s v="SEMINUEVO"/>
    <s v="GRIS ARTENSE"/>
    <s v="POR DEFINIR"/>
    <n v="13890000"/>
    <s v="Disponible"/>
    <x v="29"/>
    <x v="3"/>
    <s v="LOCAL USADOS VEHICULOS"/>
    <s v=""/>
    <s v="10TMA50142414"/>
    <s v="VR3UPHNSSRT000956"/>
    <s v="AUTOMOTRIZ BALMACEDA LTDA"/>
    <s v="04-02-2026 0:00:00"/>
    <n v="58195"/>
    <s v="30-03-2024 0:00:00"/>
    <s v="01-03-2024 9:52:21"/>
    <s v=""/>
    <n v="0"/>
    <n v="0"/>
    <s v=""/>
    <n v="0"/>
    <n v="16746050"/>
    <n v="1501605"/>
    <n v="0"/>
    <n v="18247655"/>
    <n v="13890000"/>
    <n v="-4357655"/>
    <n v="-3137"/>
  </r>
  <r>
    <x v="1"/>
    <s v="MEGACENTRO COPIAPO"/>
    <n v="0"/>
    <n v="0"/>
    <s v=""/>
    <s v=""/>
    <s v=""/>
    <s v=""/>
    <s v="13-04-2026 16:02:54"/>
    <s v=""/>
    <s v="3FTTW8SA0 SRA86784"/>
    <x v="2"/>
    <x v="17"/>
    <x v="29"/>
    <s v="FOMALB4X420AT"/>
    <x v="1"/>
    <x v="19"/>
    <s v="CFOCMTU000020"/>
    <x v="36"/>
    <s v="USADO"/>
    <s v="NEGRO PROFUNDO"/>
    <s v="POR DEFINIR"/>
    <n v="29990000"/>
    <s v="Disponible"/>
    <x v="30"/>
    <x v="1"/>
    <s v="MEGACENTRO COPIAPO VEHICULOS"/>
    <s v=""/>
    <s v="SRA86784"/>
    <s v="3FTTW8SA0 SRA86784"/>
    <s v="GUSTAVO ANTONIO LAZO ESPOZ"/>
    <s v="13-04-2026 0:00:00"/>
    <n v="1"/>
    <s v="13-04-2026 0:00:00"/>
    <s v="13-04-2026 16:02:26"/>
    <s v=""/>
    <n v="0"/>
    <n v="0"/>
    <s v=""/>
    <n v="0"/>
    <n v="33921345"/>
    <n v="0"/>
    <n v="0"/>
    <n v="33921345"/>
    <n v="29990000"/>
    <n v="-3931345"/>
    <n v="-1311"/>
  </r>
  <r>
    <x v="1"/>
    <s v="LOCAL USADOS"/>
    <n v="0"/>
    <n v="0"/>
    <s v=""/>
    <s v=""/>
    <s v=""/>
    <s v=""/>
    <s v="10-02-2026 13:11:35"/>
    <s v=""/>
    <s v="1FMSK7FH4PGB01645"/>
    <x v="2"/>
    <x v="18"/>
    <x v="30"/>
    <s v="FREXPLO2WD23AT"/>
    <x v="2"/>
    <x v="1"/>
    <s v="CFOSTWU000007"/>
    <x v="37"/>
    <s v="USADO"/>
    <s v="GRIS CARBONIZADO"/>
    <s v="POR DEFINIR"/>
    <n v="49771695"/>
    <s v="Disponible"/>
    <x v="31"/>
    <x v="0"/>
    <s v="LOCAL USADOS VEHICULOS"/>
    <s v=""/>
    <s v="PGB01645"/>
    <s v="1FMSK7FH4PGB01645"/>
    <s v="OMAR ORESTES TAPIA ARAYA"/>
    <s v="10-02-2026 0:00:00"/>
    <n v="100226"/>
    <s v="10-02-2026 0:00:00"/>
    <s v="10-02-2026 13:05:26"/>
    <s v=""/>
    <n v="0"/>
    <n v="0"/>
    <s v=""/>
    <n v="0"/>
    <n v="49771695"/>
    <n v="0"/>
    <n v="0"/>
    <n v="49771695"/>
    <n v="49771695"/>
    <n v="0"/>
    <n v="0"/>
  </r>
  <r>
    <x v="1"/>
    <s v="BODEGA PDI"/>
    <n v="0"/>
    <n v="0"/>
    <s v=""/>
    <s v=""/>
    <s v=""/>
    <s v=""/>
    <s v="24-03-2025 10:31:57"/>
    <s v=""/>
    <s v="VR3UKZKWZSJ510930"/>
    <x v="0"/>
    <x v="0"/>
    <x v="31"/>
    <s v="TCPE30"/>
    <x v="1"/>
    <x v="1"/>
    <s v="CPESTWN000077"/>
    <x v="38"/>
    <s v="SEMINUEVO"/>
    <s v="BLANCO OKENITE"/>
    <s v="POR DEFINIR"/>
    <n v="40090000"/>
    <s v="Disponible"/>
    <x v="16"/>
    <x v="3"/>
    <s v="BODEGA PDI"/>
    <s v=""/>
    <s v="107VAW0007220"/>
    <s v="VR3UKZKWZSJ510930"/>
    <s v="AUTOMOTRIZ BALMACEDA LTDA"/>
    <s v="20-03-2025 0:00:00"/>
    <n v="66119"/>
    <s v="19-04-2025 0:00:00"/>
    <s v="24-03-2025 10:31:45"/>
    <s v=""/>
    <n v="0"/>
    <n v="0"/>
    <s v=""/>
    <n v="0"/>
    <n v="31709748"/>
    <n v="704597"/>
    <n v="0"/>
    <n v="32414345"/>
    <n v="33689076"/>
    <n v="1274731"/>
    <n v="378"/>
  </r>
  <r>
    <x v="1"/>
    <s v="LOCAL USADOS"/>
    <n v="0"/>
    <n v="0"/>
    <s v=""/>
    <s v=""/>
    <s v=""/>
    <s v=""/>
    <s v="24-03-2025 11:08:12"/>
    <s v=""/>
    <s v="VXKUPHMH6S4001500"/>
    <x v="1"/>
    <x v="7"/>
    <x v="32"/>
    <s v="TCOP7"/>
    <x v="1"/>
    <x v="20"/>
    <s v="COPAUTN000008"/>
    <x v="39"/>
    <s v="SEMINUEVO"/>
    <s v="BLANCO BANQUISE"/>
    <s v="POR DEFINIR"/>
    <n v="13990000"/>
    <s v="Disponible"/>
    <x v="32"/>
    <x v="3"/>
    <s v="LOCAL USADOS VEHICULOS"/>
    <s v=""/>
    <s v="10XKDU0293579"/>
    <s v="VXKUPHMH6S4001500"/>
    <s v="AUTOMOTRIZ BALMACEDA LTDA"/>
    <s v="13-11-2025 0:00:00"/>
    <n v="66145"/>
    <s v="20-04-2025 0:00:00"/>
    <s v="24-03-2025 11:07:59"/>
    <s v=""/>
    <n v="0"/>
    <n v="0"/>
    <s v=""/>
    <n v="0"/>
    <n v="12713277"/>
    <n v="905340"/>
    <n v="0"/>
    <n v="13618617"/>
    <n v="13990000"/>
    <n v="371383"/>
    <n v="265"/>
  </r>
  <r>
    <x v="1"/>
    <s v="LOCAL USADOS"/>
    <n v="0"/>
    <n v="0"/>
    <s v=""/>
    <s v=""/>
    <s v=""/>
    <s v=""/>
    <s v="23-09-2024 10:44:44"/>
    <s v=""/>
    <s v="VF3M45GBURS003230"/>
    <x v="0"/>
    <x v="2"/>
    <x v="33"/>
    <s v="TCPE1"/>
    <x v="0"/>
    <x v="21"/>
    <s v="CPESTWN000039"/>
    <x v="40"/>
    <s v="SEMINUEVO"/>
    <s v="BLANCO NACARADO"/>
    <s v="POR DEFINIR"/>
    <n v="30590000"/>
    <s v="Disponible"/>
    <x v="33"/>
    <x v="3"/>
    <s v="LOCAL USADOS VEHICULOS"/>
    <s v=""/>
    <s v="10FKBJ3063820"/>
    <s v="VF3M45GBURS003230"/>
    <s v="AUTOMOTRIZ BALMACEDA LTDA"/>
    <s v="31-03-2025 0:00:00"/>
    <n v="62327"/>
    <s v="16-10-2024 0:00:00"/>
    <s v="23-09-2024 10:44:27"/>
    <s v=""/>
    <n v="0"/>
    <n v="0"/>
    <s v=""/>
    <n v="0"/>
    <n v="38661008"/>
    <n v="876679"/>
    <n v="0"/>
    <n v="39537687"/>
    <n v="30590000"/>
    <n v="-8947687"/>
    <n v="-2925"/>
  </r>
  <r>
    <x v="1"/>
    <s v="MEGACENTRO COPIAPO"/>
    <n v="0"/>
    <n v="0"/>
    <s v=""/>
    <s v=""/>
    <s v=""/>
    <s v=""/>
    <s v="03-01-2017 1:36:33"/>
    <s v=""/>
    <s v="KNCSJX76AG7995915"/>
    <x v="3"/>
    <x v="19"/>
    <x v="34"/>
    <s v="17--1336"/>
    <x v="5"/>
    <x v="1"/>
    <s v="CKICMTN001890"/>
    <x v="41"/>
    <s v="SEMINUEVO"/>
    <s v="BLANCO INVIERNO"/>
    <s v="NO DEFINIDO"/>
    <n v="15590000"/>
    <s v="Disponible"/>
    <x v="34"/>
    <x v="9"/>
    <s v="MEGACENTRO COPIAPO VEHICULOS"/>
    <s v=""/>
    <s v="D4CBF790346"/>
    <s v="KNCSJX76AG7995915"/>
    <s v="FORUM DISTRIBUIDORA S.A"/>
    <s v="31-12-2015 0:00:00"/>
    <n v="81310"/>
    <s v="31-12-2015 0:00:00"/>
    <s v="31-12-2015 0:00:00"/>
    <s v="31-12-2015 0:00:00"/>
    <n v="0"/>
    <n v="0"/>
    <s v=""/>
    <n v="0"/>
    <n v="13050001"/>
    <n v="2576087"/>
    <n v="0"/>
    <n v="15626088"/>
    <n v="13100840"/>
    <n v="-2525248"/>
    <n v="-1928"/>
  </r>
  <r>
    <x v="1"/>
    <s v="LOCAL USADOS"/>
    <n v="0"/>
    <n v="0"/>
    <s v=""/>
    <s v=""/>
    <s v=""/>
    <s v=""/>
    <s v="26-02-2026 9:25:15"/>
    <s v=""/>
    <s v="8AFBR01C4 SJ466852"/>
    <x v="2"/>
    <x v="8"/>
    <x v="35"/>
    <s v="FORANXLT4X420MT"/>
    <x v="0"/>
    <x v="22"/>
    <s v="CFOCMTU000018"/>
    <x v="42"/>
    <s v="USADO"/>
    <s v="ROJO BARI"/>
    <s v=""/>
    <n v="32990000"/>
    <s v="Disponible"/>
    <x v="35"/>
    <x v="0"/>
    <s v="LOCAL USADOS VEHICULOS"/>
    <s v=""/>
    <s v="YN2X SJ466852"/>
    <s v="8AFBR01C4 SJ466852"/>
    <s v="NATALIA  MARGARITA BUSTOS MUÑOZ"/>
    <s v="26-02-2026 0:00:00"/>
    <n v="1"/>
    <s v="26-02-2026 0:00:00"/>
    <s v="26-02-2026 9:24:51"/>
    <s v=""/>
    <n v="0"/>
    <n v="0"/>
    <s v=""/>
    <n v="0"/>
    <n v="37000000"/>
    <n v="0"/>
    <n v="0"/>
    <n v="37000000"/>
    <n v="32990000"/>
    <n v="-4010000"/>
    <n v="-1216"/>
  </r>
  <r>
    <x v="1"/>
    <s v="Local Premium"/>
    <n v="0"/>
    <n v="0"/>
    <s v=""/>
    <s v=""/>
    <s v=""/>
    <s v=""/>
    <s v="11-12-2025 21:17:36"/>
    <s v=""/>
    <s v="8AFBR00E2RJ365404"/>
    <x v="2"/>
    <x v="8"/>
    <x v="36"/>
    <s v="FORANXLS20MT"/>
    <x v="2"/>
    <x v="23"/>
    <s v="CFOCMTU000016"/>
    <x v="43"/>
    <s v="USADO"/>
    <s v="GRIS PLATA"/>
    <s v="POR DEFINIR"/>
    <n v="24990000"/>
    <s v="Disponible"/>
    <x v="36"/>
    <x v="0"/>
    <s v="LOCAL PREMIUM"/>
    <s v=""/>
    <s v="P02XRJ365404"/>
    <s v="8AFBR00E2RJ365404"/>
    <s v="SERVICIO DE INGENIERIA MANTENIMIENTO Y CONSTRUCCION SPA"/>
    <s v="21-11-2025 0:00:00"/>
    <n v="119"/>
    <s v="21-11-2025 0:00:00"/>
    <s v="11-12-2025 21:15:04"/>
    <s v=""/>
    <n v="0"/>
    <n v="0"/>
    <s v=""/>
    <n v="0"/>
    <n v="23490000"/>
    <n v="0"/>
    <n v="0"/>
    <n v="23490000"/>
    <n v="24990000"/>
    <n v="1500000"/>
    <n v="6"/>
  </r>
  <r>
    <x v="1"/>
    <s v="LOCAL CAMIONES COPIAPO"/>
    <n v="0"/>
    <n v="0"/>
    <s v=""/>
    <s v=""/>
    <s v=""/>
    <s v=""/>
    <s v="28-06-2024 8:46:29"/>
    <s v=""/>
    <s v="MMBJJLC10RH006958"/>
    <x v="8"/>
    <x v="20"/>
    <x v="37"/>
    <s v="CMLC1TJJDQDL"/>
    <x v="2"/>
    <x v="1"/>
    <s v="CMICMTN005188"/>
    <x v="44"/>
    <s v="SEMINUEVO"/>
    <s v="PLATEADO"/>
    <s v="POR DEFINIR"/>
    <n v="38068100"/>
    <s v="Disponible"/>
    <x v="37"/>
    <x v="2"/>
    <s v="BODEGA CAMIONES COPIAPO"/>
    <s v=""/>
    <s v="4N16UAH7777"/>
    <s v="MMBJJLC10RH006958"/>
    <s v="BANSA SANTANDER S A"/>
    <s v="28-06-2024 0:00:00"/>
    <n v="309007"/>
    <s v="03-07-2024 0:00:00"/>
    <s v="03-07-2024 16:32:51"/>
    <s v=""/>
    <n v="0"/>
    <n v="0"/>
    <s v=""/>
    <n v="0"/>
    <n v="28820700"/>
    <n v="922481"/>
    <n v="0"/>
    <n v="29743181"/>
    <n v="31990000"/>
    <n v="2246819"/>
    <n v="702"/>
  </r>
  <r>
    <x v="1"/>
    <s v="LOCAL CAMIONES"/>
    <n v="0"/>
    <n v="0"/>
    <s v=""/>
    <s v=""/>
    <s v=""/>
    <s v=""/>
    <s v="30-06-2022 10:01:47"/>
    <s v=""/>
    <s v="VF3YD3MFBP2U94054"/>
    <x v="0"/>
    <x v="4"/>
    <x v="38"/>
    <s v="boxer"/>
    <x v="3"/>
    <x v="1"/>
    <s v="CPEFRGN000004"/>
    <x v="45"/>
    <s v="SEMINUEVO"/>
    <s v="BLANCO HIELO"/>
    <s v="POR DEFINIR"/>
    <n v="0"/>
    <s v="Disponible"/>
    <x v="38"/>
    <x v="9"/>
    <s v="LOCAL CAMIONES VEHICULOS"/>
    <s v=""/>
    <s v="10DY2Z4100754"/>
    <s v="VF3YD3MFBP2U94054"/>
    <s v="AUTOMOTRIZ BALMACEDA LTDA"/>
    <s v="30-06-2022 0:00:00"/>
    <n v="0"/>
    <s v="15-03-2024 15:20:00"/>
    <s v="15-03-2024 15:20:00"/>
    <s v=""/>
    <n v="0"/>
    <n v="0"/>
    <s v=""/>
    <n v="0"/>
    <n v="0"/>
    <n v="3479924"/>
    <n v="0"/>
    <n v="3479924"/>
    <n v="0"/>
    <n v="-3479924"/>
    <n v="-347992400"/>
  </r>
  <r>
    <x v="1"/>
    <s v="BODEGA PDI"/>
    <n v="0"/>
    <n v="0"/>
    <s v=""/>
    <s v=""/>
    <s v=""/>
    <s v=""/>
    <s v="05-08-2026 16:43:53"/>
    <s v=""/>
    <s v="LVUGTBHD9TD153122"/>
    <x v="9"/>
    <x v="21"/>
    <x v="39"/>
    <s v="T7150DB"/>
    <x v="1"/>
    <x v="1"/>
    <s v="COMOSTWN000587"/>
    <x v="46"/>
    <s v="SEMINUEVO"/>
    <s v="BLANCO TECHO NEGRO"/>
    <s v="POR DEFINIR"/>
    <n v="21490000"/>
    <s v="Disponible"/>
    <x v="39"/>
    <x v="2"/>
    <s v="BODEGA PDI"/>
    <s v=""/>
    <s v="SQRH4J15BZTC65662"/>
    <s v="LVUGTBHD9TD153122"/>
    <s v="SOCIEDAD HERMANAS CALLEGARI LTDA"/>
    <s v="05-08-2026 0:00:00"/>
    <n v="245236"/>
    <s v="09-07-2026 0:00:00"/>
    <s v="05-08-2026 16:43:39"/>
    <s v=""/>
    <n v="0"/>
    <n v="0"/>
    <s v=""/>
    <n v="0"/>
    <n v="16698151"/>
    <n v="0"/>
    <n v="0"/>
    <n v="16698151"/>
    <n v="18058824"/>
    <n v="1360673"/>
    <n v="753"/>
  </r>
  <r>
    <x v="1"/>
    <s v="BODEGA PDI"/>
    <n v="0"/>
    <n v="0"/>
    <s v=""/>
    <s v=""/>
    <s v=""/>
    <s v=""/>
    <s v="23-09-2025 12:46:31"/>
    <s v=""/>
    <s v="VR3FBYHZ3SY502526"/>
    <x v="0"/>
    <x v="22"/>
    <x v="40"/>
    <s v="TCPE45"/>
    <x v="1"/>
    <x v="1"/>
    <s v="CPEAUTN000123"/>
    <x v="47"/>
    <s v="SEMINUEVO"/>
    <s v="GRIS ARTENSE"/>
    <s v="POR DEFINIR"/>
    <n v="27690000"/>
    <s v="Disponible"/>
    <x v="40"/>
    <x v="3"/>
    <s v="BODEGA PDI"/>
    <s v=""/>
    <s v="10Q3EJ2013110"/>
    <s v="VR3FBYHZ3SY502526"/>
    <s v="AUTOMOTRIZ BALMACEDA LTDA"/>
    <s v="23-09-2025 0:00:00"/>
    <n v="69782"/>
    <s v="23-10-2025 0:00:00"/>
    <s v="23-09-2025 12:44:57"/>
    <s v=""/>
    <n v="0"/>
    <n v="0"/>
    <s v=""/>
    <n v="0"/>
    <n v="21449412"/>
    <n v="1072084"/>
    <n v="0"/>
    <n v="22521496"/>
    <n v="23268908"/>
    <n v="747412"/>
    <n v="321"/>
  </r>
  <r>
    <x v="1"/>
    <s v="BODEGA PDI"/>
    <n v="0"/>
    <n v="0"/>
    <s v=""/>
    <s v=""/>
    <s v=""/>
    <s v=""/>
    <s v="24-03-2025 10:18:58"/>
    <s v=""/>
    <s v="VR3KAHPY2SS009627"/>
    <x v="0"/>
    <x v="2"/>
    <x v="41"/>
    <s v="TCPE29"/>
    <x v="1"/>
    <x v="1"/>
    <s v="CPESTWN000075"/>
    <x v="48"/>
    <s v="SEMINUEVO"/>
    <s v="AZUL OBSESSION"/>
    <s v="POR DEFINIR"/>
    <n v="31990000"/>
    <s v="Disponible"/>
    <x v="16"/>
    <x v="3"/>
    <s v="BODEGA PDI"/>
    <s v=""/>
    <s v="10ZA040094875"/>
    <s v="VR3KAHPY2SS009627"/>
    <s v="AUTOMOTRIZ BALMACEDA LTDA"/>
    <s v="20-03-2025 0:00:00"/>
    <n v="66115"/>
    <s v="19-04-2025 0:00:00"/>
    <s v="24-03-2025 10:18:45"/>
    <s v=""/>
    <n v="0"/>
    <n v="0"/>
    <s v=""/>
    <n v="0"/>
    <n v="24773782"/>
    <n v="1877401"/>
    <n v="0"/>
    <n v="26651183"/>
    <n v="26882353"/>
    <n v="231170"/>
    <n v="86"/>
  </r>
  <r>
    <x v="1"/>
    <s v="MEGACENTRO COPIAPO"/>
    <n v="0"/>
    <n v="0"/>
    <s v=""/>
    <s v=""/>
    <s v=""/>
    <s v=""/>
    <s v="24-02-2026 16:40:04"/>
    <s v=""/>
    <s v="LJD0AA29AR0251362"/>
    <x v="10"/>
    <x v="23"/>
    <x v="42"/>
    <s v="TDYG27"/>
    <x v="2"/>
    <x v="1"/>
    <s v="CKIAUTU000006"/>
    <x v="49"/>
    <s v="USADO"/>
    <s v="PLATEADO TITANIO"/>
    <s v="POR DEFINIR"/>
    <n v="11082000"/>
    <s v="Disponible"/>
    <x v="41"/>
    <x v="1"/>
    <s v="MEGACENTRO COPIAPO VEHICULOS"/>
    <s v=""/>
    <s v="G4LCP1045504"/>
    <s v="LJD0AA29AR0251362"/>
    <s v="RODRIGO ALEJANDRO MARTINEZ DROGUETT"/>
    <s v="24-02-2026 0:00:00"/>
    <n v="1"/>
    <s v="24-02-2026 0:00:00"/>
    <s v="24-02-2026 16:38:04"/>
    <s v=""/>
    <n v="0"/>
    <n v="0"/>
    <s v=""/>
    <n v="0"/>
    <n v="11082000"/>
    <n v="0"/>
    <n v="0"/>
    <n v="11082000"/>
    <n v="11082000"/>
    <n v="0"/>
    <n v="0"/>
  </r>
  <r>
    <x v="1"/>
    <s v="LOCAL USADOS"/>
    <n v="0"/>
    <n v="0"/>
    <s v=""/>
    <s v=""/>
    <s v=""/>
    <s v=""/>
    <s v="03-03-2025 12:04:16"/>
    <s v=""/>
    <s v="W0VEDYHTXSN500914"/>
    <x v="1"/>
    <x v="24"/>
    <x v="43"/>
    <s v="TCOP5"/>
    <x v="0"/>
    <x v="24"/>
    <s v="COPFRGN000005"/>
    <x v="50"/>
    <s v="SEMINUEVO"/>
    <s v="BLANCO HIELO"/>
    <s v="POR DEFINIR"/>
    <n v="16290000"/>
    <s v="Disponible"/>
    <x v="14"/>
    <x v="3"/>
    <s v="LOCAL USADOS VEHICULOS"/>
    <s v=""/>
    <s v="10Q4EU0410660"/>
    <s v="W0VEDYHTXSN500914"/>
    <s v="AUTOMOTRIZ BALMACEDA LTDA"/>
    <s v="25-03-2026 0:00:00"/>
    <n v="65756"/>
    <s v="30-03-2025 0:00:00"/>
    <s v="03-03-2025 12:04:01"/>
    <s v=""/>
    <n v="0"/>
    <n v="0"/>
    <s v=""/>
    <n v="0"/>
    <n v="17140917"/>
    <n v="641547"/>
    <n v="0"/>
    <n v="17782464"/>
    <n v="16290000"/>
    <n v="-1492464"/>
    <n v="-916"/>
  </r>
  <r>
    <x v="1"/>
    <s v="LOCAL GILDEMEISTER COPIAPO"/>
    <n v="0"/>
    <n v="0"/>
    <s v=""/>
    <s v=""/>
    <s v=""/>
    <s v=""/>
    <s v="27-10-2025 9:42:22"/>
    <s v=""/>
    <s v="LJ12EKS32S4705578"/>
    <x v="7"/>
    <x v="25"/>
    <x v="44"/>
    <s v="JS415TCVT-ADV"/>
    <x v="1"/>
    <x v="25"/>
    <s v="CJASTWN000003"/>
    <x v="51"/>
    <s v="SEMINUEVO"/>
    <s v="GRIS"/>
    <s v="POR DEFINIR"/>
    <n v="17690000"/>
    <s v="Disponible"/>
    <x v="42"/>
    <x v="6"/>
    <s v="LOCAL GILDEMEISTER CPP AUTOS"/>
    <s v=""/>
    <s v="R3378662"/>
    <s v="LJ12EKS32S4705578"/>
    <s v="SOCIEDAD HERMANAS CALLEGARI LTDA"/>
    <s v="24-10-2025 0:00:00"/>
    <n v="235401"/>
    <s v="24-10-2025 0:00:00"/>
    <s v="27-10-2025 9:42:00"/>
    <s v=""/>
    <n v="0"/>
    <n v="0"/>
    <s v=""/>
    <n v="0"/>
    <n v="13802352"/>
    <n v="610282"/>
    <n v="0"/>
    <n v="14412634"/>
    <n v="14865546"/>
    <n v="452912"/>
    <n v="305"/>
  </r>
  <r>
    <x v="1"/>
    <s v="LOCAL USADOS"/>
    <n v="0"/>
    <n v="0"/>
    <s v=""/>
    <s v=""/>
    <s v=""/>
    <s v=""/>
    <s v="22-09-2025 10:30:43"/>
    <s v=""/>
    <s v="KNARH81EDS5340494"/>
    <x v="3"/>
    <x v="26"/>
    <x v="45"/>
    <s v="KIA 2360"/>
    <x v="1"/>
    <x v="26"/>
    <s v="CKISTWN011901"/>
    <x v="52"/>
    <s v="SEMINUEVO"/>
    <s v="GRIS ESTELAR"/>
    <s v="POR DEFINIR"/>
    <n v="46990000"/>
    <s v="Disponible"/>
    <x v="19"/>
    <x v="3"/>
    <s v="LOCAL USADOS VEHICULOS"/>
    <s v=""/>
    <s v="G6DURA572414"/>
    <s v="KNARH81EDS5340494"/>
    <s v="FORUM DISTRIBUIDORA S.A"/>
    <s v="19-03-2026 0:00:00"/>
    <n v="912265"/>
    <s v="25-09-2025 0:00:00"/>
    <s v="06-10-2025 11:30:04"/>
    <s v=""/>
    <n v="0"/>
    <n v="0"/>
    <s v=""/>
    <n v="0"/>
    <n v="33169412"/>
    <n v="2080269"/>
    <n v="0"/>
    <n v="35249681"/>
    <n v="39487395"/>
    <n v="4237714"/>
    <n v="1073"/>
  </r>
  <r>
    <x v="1"/>
    <s v="MEGACENTRO LA SERENA"/>
    <n v="0"/>
    <n v="0"/>
    <s v=""/>
    <s v=""/>
    <s v=""/>
    <s v=""/>
    <s v="20-12-2022 11:10:56"/>
    <s v=""/>
    <s v="LVZBN25B5NC055182"/>
    <x v="11"/>
    <x v="27"/>
    <x v="46"/>
    <s v="DFSK4815"/>
    <x v="6"/>
    <x v="1"/>
    <s v="CDFCMTN000223"/>
    <x v="53"/>
    <s v="SEMINUEVO"/>
    <s v="BLANCO"/>
    <s v="POR DEFINIR"/>
    <n v="11055100"/>
    <s v="Disponible"/>
    <x v="43"/>
    <x v="9"/>
    <s v="MEGACENTRO LA SERENA VEHICULOS"/>
    <s v=""/>
    <s v="DK15-06-22314483"/>
    <s v="LVZBN25B5NC055182"/>
    <s v="SOCIEDAD HERMANAS CALLEGARI LTDA"/>
    <s v="20-12-2022 0:00:00"/>
    <n v="0"/>
    <s v="28-06-2024 9:26:00"/>
    <s v="28-06-2024 9:26:00"/>
    <s v=""/>
    <n v="0"/>
    <n v="0"/>
    <s v=""/>
    <n v="0"/>
    <n v="0"/>
    <n v="1443780"/>
    <n v="0"/>
    <n v="1443780"/>
    <n v="9290000"/>
    <n v="7846220"/>
    <n v="8446"/>
  </r>
  <r>
    <x v="1"/>
    <s v="HNAS. CALLEGARI COPIAPO 2"/>
    <n v="0"/>
    <n v="0"/>
    <s v=""/>
    <s v=""/>
    <s v=""/>
    <s v=""/>
    <s v="26-02-2020 16:55:36"/>
    <s v=""/>
    <s v="JMBXTGA2WKU002604"/>
    <x v="8"/>
    <x v="28"/>
    <x v="47"/>
    <s v="AMI7"/>
    <x v="7"/>
    <x v="1"/>
    <s v="CMISTWU000001"/>
    <x v="54"/>
    <s v="USADO"/>
    <s v="BLANCO"/>
    <s v="POR DEFINIR"/>
    <n v="12990000"/>
    <s v="Disponible"/>
    <x v="44"/>
    <x v="10"/>
    <s v="Bodega Vehiculo Local SK2 Copiapo"/>
    <s v=""/>
    <s v="4B11 AN5102"/>
    <s v="JMBXTGA2WKU002604"/>
    <s v="ANNA MACARENA PIAZZOLI WITTWER"/>
    <s v="26-02-2020 0:00:00"/>
    <n v="1"/>
    <s v="26-02-2020 0:00:00"/>
    <s v="26-02-2020 16:54:38"/>
    <s v=""/>
    <n v="0"/>
    <n v="0"/>
    <s v=""/>
    <n v="0"/>
    <n v="12990000"/>
    <n v="0"/>
    <n v="0"/>
    <n v="12990000"/>
    <n v="12990000"/>
    <n v="0"/>
    <n v="0"/>
  </r>
  <r>
    <x v="1"/>
    <s v="MEGACENTRO OVALLE"/>
    <n v="0"/>
    <n v="0"/>
    <s v=""/>
    <s v=""/>
    <s v=""/>
    <s v=""/>
    <s v="24-03-2025 10:34:51"/>
    <s v=""/>
    <s v="VR3UPHNE1S5001839"/>
    <x v="0"/>
    <x v="11"/>
    <x v="48"/>
    <s v="TCPE31"/>
    <x v="1"/>
    <x v="1"/>
    <s v="CPEAUTN000121"/>
    <x v="55"/>
    <s v="SEMINUEVO"/>
    <s v="AMARILLO AGUEDA"/>
    <s v="POR DEFINIR"/>
    <n v="18790000"/>
    <s v="Disponible"/>
    <x v="16"/>
    <x v="3"/>
    <s v="MEGACENTRO OVALLE VEHICULOS"/>
    <s v=""/>
    <s v="10TMAA0592594"/>
    <s v="VR3UPHNE1S5001839"/>
    <s v="AUTOMOTRIZ BALMACEDA LTDA"/>
    <s v="20-03-2025 0:00:00"/>
    <n v="66126"/>
    <s v="19-04-2025 0:00:00"/>
    <s v="24-03-2025 10:34:39"/>
    <s v=""/>
    <n v="0"/>
    <n v="0"/>
    <s v=""/>
    <n v="0"/>
    <n v="14568739"/>
    <n v="970884"/>
    <n v="0"/>
    <n v="15539623"/>
    <n v="15789916"/>
    <n v="250293"/>
    <n v="159"/>
  </r>
  <r>
    <x v="1"/>
    <s v="BODEGA PDI"/>
    <n v="0"/>
    <n v="0"/>
    <s v=""/>
    <s v=""/>
    <s v=""/>
    <s v=""/>
    <s v="28-10-2025 11:51:00"/>
    <s v=""/>
    <s v="VXKCSHPY2TT001040"/>
    <x v="1"/>
    <x v="29"/>
    <x v="49"/>
    <s v="1GO3SUPJHWGLA0B0171"/>
    <x v="1"/>
    <x v="1"/>
    <s v="COPSTWN000022"/>
    <x v="56"/>
    <s v="SEMINUEVO"/>
    <s v="GRIS ALUMINIUM"/>
    <s v="POR DEFINIR"/>
    <n v="24590000"/>
    <s v="Disponible"/>
    <x v="45"/>
    <x v="4"/>
    <s v="BODEGA PDI"/>
    <s v=""/>
    <s v="10Z1AM0206953"/>
    <s v="VXKCSHPY2TT001040"/>
    <s v="AUTOMOTRIZ BALMACEDA LTDA"/>
    <s v="28-10-2025 0:00:00"/>
    <n v="70441"/>
    <s v="27-11-2025 0:00:00"/>
    <s v="28-10-2025 11:50:47"/>
    <s v=""/>
    <n v="0"/>
    <n v="0"/>
    <s v=""/>
    <n v="0"/>
    <n v="16573109"/>
    <n v="322129"/>
    <n v="0"/>
    <n v="16895238"/>
    <n v="20663866"/>
    <n v="3768628"/>
    <n v="1824"/>
  </r>
  <r>
    <x v="1"/>
    <s v="LOCAL USADOS COPIAPO"/>
    <n v="0"/>
    <n v="0"/>
    <s v=""/>
    <s v=""/>
    <s v=""/>
    <s v=""/>
    <s v="26-09-2023 16:17:25"/>
    <s v=""/>
    <s v="VR3EFYHT2RJ511214"/>
    <x v="0"/>
    <x v="5"/>
    <x v="50"/>
    <s v="2PK91CNMNKJRA0"/>
    <x v="2"/>
    <x v="27"/>
    <s v="CPEFRGN000010"/>
    <x v="57"/>
    <s v="SEMINUEVO"/>
    <s v="BLANCO HIELO"/>
    <s v="POR DEFINIR"/>
    <n v="17690000"/>
    <s v="Disponible"/>
    <x v="46"/>
    <x v="5"/>
    <s v="BODEGA LOS CARRERA COPIAPO"/>
    <s v=""/>
    <s v="10Q4EU0183164"/>
    <s v="VR3EFYHT2RJ511214"/>
    <s v="AUTOMOTRIZ BALMACEDA LTDA"/>
    <s v="17-02-2025 0:00:00"/>
    <n v="55056"/>
    <s v="26-10-2023 0:00:00"/>
    <s v="26-09-2023 16:17:09"/>
    <s v=""/>
    <n v="0"/>
    <n v="0"/>
    <s v=""/>
    <n v="0"/>
    <n v="16134417"/>
    <n v="1936043"/>
    <n v="0"/>
    <n v="18070460"/>
    <n v="17690000"/>
    <n v="-380460"/>
    <n v="-215"/>
  </r>
  <r>
    <x v="1"/>
    <s v="LOCAL USADOS"/>
    <n v="0"/>
    <n v="0"/>
    <s v=""/>
    <s v=""/>
    <s v=""/>
    <s v=""/>
    <s v="24-03-2025 10:49:12"/>
    <s v=""/>
    <s v="VR3USHPY7SJ528488"/>
    <x v="0"/>
    <x v="0"/>
    <x v="51"/>
    <s v="TCPE21"/>
    <x v="1"/>
    <x v="1"/>
    <s v="CPESTWN000078"/>
    <x v="58"/>
    <s v="SEMINUEVO"/>
    <s v="BLANCO OKENITE"/>
    <s v="POR DEFINIR"/>
    <n v="18990000"/>
    <s v="Disponible"/>
    <x v="16"/>
    <x v="4"/>
    <s v="LOCAL USADOS VEHICULOS"/>
    <s v=""/>
    <s v="10Z1AM0066166"/>
    <s v="VR3USHPY7SJ528488"/>
    <s v="AUTOMOTRIZ BALMACEDA LTDA"/>
    <s v="20-03-2025 0:00:00"/>
    <n v="66130"/>
    <s v="19-04-2025 0:00:00"/>
    <s v="24-03-2025 10:48:58"/>
    <s v=""/>
    <n v="0"/>
    <n v="0"/>
    <s v=""/>
    <n v="0"/>
    <n v="21062857"/>
    <n v="1471645"/>
    <n v="0"/>
    <n v="22534502"/>
    <n v="18990000"/>
    <n v="-3544502"/>
    <n v="-1867"/>
  </r>
  <r>
    <x v="1"/>
    <s v="LOCAL USADOS"/>
    <n v="0"/>
    <n v="0"/>
    <s v=""/>
    <s v=""/>
    <s v=""/>
    <s v=""/>
    <s v="31-03-2023 13:00:35"/>
    <s v=""/>
    <s v="VF3MRHNSMPS009695"/>
    <x v="0"/>
    <x v="2"/>
    <x v="20"/>
    <s v="1PP8SYLNPKJMA0"/>
    <x v="6"/>
    <x v="28"/>
    <s v="CPESTWN000014"/>
    <x v="59"/>
    <s v="SEMINUEVO"/>
    <s v="AZUL VERTIGO"/>
    <s v="POR DEFINIR"/>
    <n v="14990000"/>
    <s v="Disponible"/>
    <x v="47"/>
    <x v="3"/>
    <s v="LOCAL USADOS VEHICULOS"/>
    <s v=""/>
    <s v="10Z1AJ0014126"/>
    <s v="VF3MRHNSMPS009695"/>
    <s v="AUTOMOTRIZ BALMACEDA LTDA"/>
    <s v="02-08-2023 0:00:00"/>
    <n v="51194"/>
    <s v="30-04-2023 0:00:00"/>
    <s v="31-03-2023 13:00:23"/>
    <s v=""/>
    <n v="0"/>
    <n v="0"/>
    <s v=""/>
    <n v="0"/>
    <n v="18761887"/>
    <n v="2068289"/>
    <n v="0"/>
    <n v="20830176"/>
    <n v="14990000"/>
    <n v="-5840176"/>
    <n v="-3896"/>
  </r>
  <r>
    <x v="1"/>
    <s v="LOCAL USADOS"/>
    <n v="0"/>
    <n v="0"/>
    <s v=""/>
    <s v=""/>
    <s v=""/>
    <s v=""/>
    <s v="19-11-2025 15:16:37"/>
    <s v=""/>
    <s v="-*-+--*/+-*/*-///"/>
    <x v="2"/>
    <x v="18"/>
    <x v="52"/>
    <s v="EAC4X4"/>
    <x v="0"/>
    <x v="29"/>
    <s v="CFOSTWU000006"/>
    <x v="60"/>
    <s v="USADO"/>
    <s v="BLANCO METALICO"/>
    <s v="POR DEFINIR"/>
    <n v="38990000"/>
    <s v="Disponible"/>
    <x v="48"/>
    <x v="5"/>
    <s v="LOCAL USADOS VEHICULOS"/>
    <s v=""/>
    <s v="SGA83449"/>
    <s v="1FMUK8DH8SGA83449"/>
    <s v="ANA CRISTINA RUBIO ANTIL"/>
    <s v="19-11-2025 0:00:00"/>
    <n v="1"/>
    <s v="19-11-2025 0:00:00"/>
    <s v="19-11-2025 15:16:16"/>
    <s v=""/>
    <n v="0"/>
    <n v="0"/>
    <s v=""/>
    <n v="0"/>
    <n v="43000000"/>
    <n v="0"/>
    <n v="0"/>
    <n v="43000000"/>
    <n v="38990000"/>
    <n v="-4010000"/>
    <n v="-1028"/>
  </r>
  <r>
    <x v="1"/>
    <s v="LOCAL USADOS"/>
    <n v="0"/>
    <n v="0"/>
    <s v=""/>
    <s v=""/>
    <s v=""/>
    <s v=""/>
    <s v="31-01-2026 10:04:55"/>
    <s v=""/>
    <s v="LNBRDFBK3TB680761"/>
    <x v="6"/>
    <x v="30"/>
    <x v="53"/>
    <s v="B-B60-FG7"/>
    <x v="1"/>
    <x v="30"/>
    <s v="CBAICSTWN000001"/>
    <x v="61"/>
    <s v="SEMINUEVO"/>
    <s v="VERDE"/>
    <s v="POR DEFINIR"/>
    <n v="44800000"/>
    <s v="Disponible"/>
    <x v="24"/>
    <x v="6"/>
    <s v="LOCAL USADOS VEHICULOS"/>
    <s v=""/>
    <s v="ACP2980"/>
    <s v="LNBRDFBK3TB680761"/>
    <s v="SOCIEDAD HERMANAS CALLEGARI LTDA"/>
    <s v="30-01-2026 0:00:00"/>
    <n v="240018"/>
    <s v="30-01-2026 0:00:00"/>
    <s v="31-01-2026 10:04:39"/>
    <s v=""/>
    <n v="0"/>
    <n v="0"/>
    <s v=""/>
    <n v="0"/>
    <n v="37849580"/>
    <n v="1921706"/>
    <n v="0"/>
    <n v="39771286"/>
    <n v="44800000"/>
    <n v="5028714"/>
    <n v="1122"/>
  </r>
  <r>
    <x v="1"/>
    <s v="MEGACENTRO LA SERENA"/>
    <n v="0"/>
    <n v="0"/>
    <s v=""/>
    <s v=""/>
    <s v=""/>
    <s v=""/>
    <s v="19-05-2026 12:44:40"/>
    <s v=""/>
    <s v="1FTFW7L81RFB38787"/>
    <x v="2"/>
    <x v="31"/>
    <x v="54"/>
    <s v="W7E0"/>
    <x v="0"/>
    <x v="1"/>
    <s v="CFOCMTU000022"/>
    <x v="62"/>
    <s v="USADO"/>
    <s v="BLANCO AVALANCHA"/>
    <s v="POR DEFINIR"/>
    <n v="58536100"/>
    <s v="Disponible"/>
    <x v="49"/>
    <x v="1"/>
    <s v="MEGACENTRO LA SERENA VEHICULOS"/>
    <s v=""/>
    <s v="RFB38787"/>
    <s v="1FTFW7L81RFB38787"/>
    <s v="MCASA SPA"/>
    <s v="19-05-2026 0:00:00"/>
    <n v="1"/>
    <s v="19-05-2026 0:00:00"/>
    <s v="19-05-2026 12:44:06"/>
    <s v=""/>
    <n v="0"/>
    <n v="0"/>
    <s v=""/>
    <n v="0"/>
    <n v="58536100"/>
    <n v="0"/>
    <n v="0"/>
    <n v="58536100"/>
    <n v="58536100"/>
    <n v="0"/>
    <n v="0"/>
  </r>
  <r>
    <x v="1"/>
    <s v="LOCAL USADOS COPIAPO"/>
    <n v="0"/>
    <n v="0"/>
    <s v=""/>
    <s v=""/>
    <s v=""/>
    <s v=""/>
    <s v="03-02-2025 12:12:32"/>
    <s v=""/>
    <s v="VR3KAHPY1SS006214"/>
    <x v="0"/>
    <x v="2"/>
    <x v="14"/>
    <s v="TCPE26"/>
    <x v="0"/>
    <x v="1"/>
    <s v="CPESTWN000063"/>
    <x v="63"/>
    <s v="SEMINUEVO"/>
    <s v="GRIS ARTENSE"/>
    <s v="POR DEFINIR"/>
    <n v="26990000"/>
    <s v="Disponible"/>
    <x v="29"/>
    <x v="3"/>
    <s v="BODEGA LOS CARRERA COPIAPO"/>
    <s v=""/>
    <s v="10ZA040054684"/>
    <s v="VR3KAHPY1SS006214"/>
    <s v="AUTOMOTRIZ BALMACEDA LTDA"/>
    <s v="04-02-2026 0:00:00"/>
    <n v="65151"/>
    <s v="02-03-2025 0:00:00"/>
    <s v="03-02-2025 12:12:18"/>
    <s v=""/>
    <n v="0"/>
    <n v="0"/>
    <s v=""/>
    <n v="0"/>
    <n v="25392269"/>
    <n v="1639523"/>
    <n v="0"/>
    <n v="27031792"/>
    <n v="26990000"/>
    <n v="-41792"/>
    <n v="-15"/>
  </r>
  <r>
    <x v="1"/>
    <s v="BODEGA PDI"/>
    <n v="0"/>
    <n v="0"/>
    <s v=""/>
    <s v=""/>
    <s v=""/>
    <s v=""/>
    <s v="03-02-2025 12:09:47"/>
    <s v=""/>
    <s v="VR3KAHPY1SS006146"/>
    <x v="0"/>
    <x v="2"/>
    <x v="14"/>
    <s v="TCPE26"/>
    <x v="1"/>
    <x v="1"/>
    <s v="CPESTWN000062"/>
    <x v="64"/>
    <s v="SEMINUEVO"/>
    <s v="BLANCO OKENITE"/>
    <s v="POR DEFINIR"/>
    <n v="32990000"/>
    <s v="Disponible"/>
    <x v="50"/>
    <x v="3"/>
    <s v="BODEGA PDI"/>
    <s v=""/>
    <s v="10ZA040056752"/>
    <s v="VR3KAHPY1SS006146"/>
    <s v="AUTOMOTRIZ BALMACEDA LTDA"/>
    <s v="31-01-2025 0:00:00"/>
    <n v="65150"/>
    <s v="02-03-2025 0:00:00"/>
    <s v="03-02-2025 12:09:31"/>
    <s v=""/>
    <n v="0"/>
    <n v="0"/>
    <s v=""/>
    <n v="0"/>
    <n v="25392269"/>
    <n v="1645533"/>
    <n v="0"/>
    <n v="27037802"/>
    <n v="27722689"/>
    <n v="684887"/>
    <n v="247"/>
  </r>
  <r>
    <x v="1"/>
    <s v="LOCAL USADOS"/>
    <n v="0"/>
    <n v="0"/>
    <s v=""/>
    <s v=""/>
    <s v=""/>
    <s v=""/>
    <s v="03-02-2025 12:01:05"/>
    <s v=""/>
    <s v="VR3USHNSSSJ519781"/>
    <x v="0"/>
    <x v="0"/>
    <x v="55"/>
    <s v="TCPE25"/>
    <x v="0"/>
    <x v="1"/>
    <s v="CPESTWN000060"/>
    <x v="65"/>
    <s v="SEMINUEVO"/>
    <s v="BLANCO OKENITE"/>
    <s v="POR DEFINIR"/>
    <n v="17890000"/>
    <s v="Disponible"/>
    <x v="51"/>
    <x v="3"/>
    <s v="LOCAL USADOS VEHICULOS"/>
    <s v=""/>
    <s v="10XVBB2298505"/>
    <s v="VR3USHNSSSJ519781"/>
    <s v="AUTOMOTRIZ BALMACEDA LTDA"/>
    <s v="27-11-2025 0:00:00"/>
    <n v="65148"/>
    <s v="02-03-2025 0:00:00"/>
    <s v="03-02-2025 12:00:47"/>
    <s v=""/>
    <n v="0"/>
    <n v="0"/>
    <s v=""/>
    <n v="0"/>
    <n v="19593950"/>
    <n v="1241319"/>
    <n v="0"/>
    <n v="20835269"/>
    <n v="17890000"/>
    <n v="-2945269"/>
    <n v="-1646"/>
  </r>
  <r>
    <x v="1"/>
    <s v="MEGACENTRO OVALLE"/>
    <n v="0"/>
    <n v="0"/>
    <s v=""/>
    <s v=""/>
    <s v=""/>
    <s v=""/>
    <s v="30-04-2025 17:08:29"/>
    <s v=""/>
    <s v="VR3KAHPY9SS021323"/>
    <x v="0"/>
    <x v="32"/>
    <x v="56"/>
    <s v="TCPE34"/>
    <x v="1"/>
    <x v="1"/>
    <s v="CPESTWN000082"/>
    <x v="66"/>
    <s v="SEMINUEVO"/>
    <s v="BLANCO OKENITE"/>
    <s v="POR DEFINIR"/>
    <n v="39690000"/>
    <s v="Disponible"/>
    <x v="52"/>
    <x v="3"/>
    <s v="MEGACENTRO OVALLE VEHICULOS"/>
    <s v=""/>
    <s v="10XR000045986"/>
    <s v="VR3KAHPY9SS021323"/>
    <s v="AUTOMOTRIZ BALMACEDA LTDA"/>
    <s v="30-04-2025 0:00:00"/>
    <n v="67014"/>
    <s v="30-05-2025 0:00:00"/>
    <s v="30-04-2025 17:08:15"/>
    <s v=""/>
    <n v="0"/>
    <n v="0"/>
    <s v=""/>
    <n v="0"/>
    <n v="26724370"/>
    <n v="1167961"/>
    <n v="0"/>
    <n v="27892331"/>
    <n v="33352941"/>
    <n v="5460610"/>
    <n v="1637"/>
  </r>
  <r>
    <x v="1"/>
    <s v="MEGACENTRO LA SERENA"/>
    <n v="0"/>
    <n v="0"/>
    <s v=""/>
    <s v=""/>
    <s v=""/>
    <s v=""/>
    <s v="01-07-2019 10:41:50"/>
    <s v=""/>
    <s v="LVZKN2197KCA01948"/>
    <x v="11"/>
    <x v="33"/>
    <x v="57"/>
    <s v="DFSK4680"/>
    <x v="4"/>
    <x v="1"/>
    <s v="CDFCMTN000067"/>
    <x v="67"/>
    <s v="SEMINUEVO"/>
    <s v="BLANCO"/>
    <s v="POR DEFINIR"/>
    <n v="8556100"/>
    <s v="Disponible"/>
    <x v="53"/>
    <x v="9"/>
    <s v="MEGACENTRO LA SERENA VEHICULOS"/>
    <s v=""/>
    <s v="DK12-05-18560333"/>
    <s v="LVZKN2197KCA01948"/>
    <s v="FORUM DISTRIBUIDORA S.A"/>
    <s v="21-06-2019 0:00:00"/>
    <n v="0"/>
    <s v=""/>
    <s v=""/>
    <s v=""/>
    <n v="0"/>
    <n v="0"/>
    <s v=""/>
    <n v="0"/>
    <n v="0"/>
    <n v="2315480"/>
    <n v="0"/>
    <n v="2315480"/>
    <n v="7190000"/>
    <n v="4874520"/>
    <n v="678"/>
  </r>
  <r>
    <x v="1"/>
    <s v="MEGACENTRO OVALLE"/>
    <n v="0"/>
    <n v="0"/>
    <s v=""/>
    <s v=""/>
    <s v=""/>
    <s v=""/>
    <s v="24-03-2025 10:11:14"/>
    <s v=""/>
    <s v="VR3USHNSKSJ511783"/>
    <x v="0"/>
    <x v="0"/>
    <x v="58"/>
    <s v="TCPE9"/>
    <x v="1"/>
    <x v="1"/>
    <s v="CPESTWN000073"/>
    <x v="68"/>
    <s v="SEMINUEVO"/>
    <s v="BLANCO OKENITE"/>
    <s v="POR DEFINIR"/>
    <n v="23090000"/>
    <s v="Disponible"/>
    <x v="16"/>
    <x v="3"/>
    <s v="MEGACENTRO OVALLE VEHICULOS"/>
    <s v=""/>
    <s v="10TMA60193087"/>
    <s v="VR3USHNSKSJ511783"/>
    <s v="AUTOMOTRIZ BALMACEDA LTDA"/>
    <s v="20-03-2025 0:00:00"/>
    <n v="66112"/>
    <s v="19-04-2025 0:00:00"/>
    <s v="24-03-2025 10:11:00"/>
    <s v=""/>
    <n v="0"/>
    <n v="0"/>
    <s v=""/>
    <n v="0"/>
    <n v="17893109"/>
    <n v="1109845"/>
    <n v="0"/>
    <n v="19002954"/>
    <n v="19403361"/>
    <n v="400407"/>
    <n v="206"/>
  </r>
  <r>
    <x v="1"/>
    <s v="HNAS. CALLEGARI COPIAPO 2"/>
    <n v="0"/>
    <n v="0"/>
    <s v=""/>
    <s v=""/>
    <s v=""/>
    <s v=""/>
    <s v="26-06-2019 12:06:29"/>
    <s v=""/>
    <s v="LVZKN2193KCA01946"/>
    <x v="11"/>
    <x v="33"/>
    <x v="57"/>
    <s v="DFSK4680"/>
    <x v="4"/>
    <x v="1"/>
    <s v="CDFCMTN000066"/>
    <x v="69"/>
    <s v="SEMINUEVO"/>
    <s v="BLANCO"/>
    <s v="POR DEFINIR"/>
    <n v="8556100"/>
    <s v="Disponible"/>
    <x v="53"/>
    <x v="9"/>
    <s v="Bodega Vehiculo Local SK2 Copiapo"/>
    <s v=""/>
    <s v="DK12-05-18560293"/>
    <s v="LVZKN2193KCA01946"/>
    <s v="FORUM DISTRIBUIDORA S.A"/>
    <s v="21-06-2019 0:00:00"/>
    <n v="0"/>
    <s v=""/>
    <s v=""/>
    <s v=""/>
    <n v="0"/>
    <n v="0"/>
    <s v=""/>
    <n v="0"/>
    <n v="0"/>
    <n v="2502458"/>
    <n v="0"/>
    <n v="2502458"/>
    <n v="7190000"/>
    <n v="4687542"/>
    <n v="652"/>
  </r>
  <r>
    <x v="1"/>
    <s v="MEGACENTRO LA SERENA"/>
    <n v="0"/>
    <n v="0"/>
    <s v=""/>
    <s v=""/>
    <s v=""/>
    <s v=""/>
    <s v="10-07-2026 19:02:55"/>
    <s v=""/>
    <s v="8AFBR01E9SJ499007"/>
    <x v="2"/>
    <x v="8"/>
    <x v="59"/>
    <s v="AEE5"/>
    <x v="1"/>
    <x v="1"/>
    <s v="CFOCMTN008056"/>
    <x v="70"/>
    <s v="SEMINUEVO"/>
    <s v="BLANCO"/>
    <s v="POR DEFINIR"/>
    <n v="39638900"/>
    <s v="Disponible"/>
    <x v="54"/>
    <x v="8"/>
    <s v="MEGACENTRO LA SERENA VEHICULOS"/>
    <s v=""/>
    <s v="P02XSJ499007"/>
    <s v="8AFBR01E9SJ499007"/>
    <s v="COMERCIAL CORDOVA Y COMPAÑIA LIMITADA"/>
    <s v="10-07-2026 0:00:00"/>
    <n v="34"/>
    <s v="10-07-2026 0:00:00"/>
    <s v="10-07-2026 19:02:42"/>
    <s v=""/>
    <n v="0"/>
    <n v="0"/>
    <s v=""/>
    <n v="0"/>
    <n v="27190000"/>
    <n v="0"/>
    <n v="0"/>
    <n v="27190000"/>
    <n v="33310000"/>
    <n v="6120000"/>
    <n v="1837"/>
  </r>
  <r>
    <x v="1"/>
    <s v="MEGACENTRO LA SERENA"/>
    <n v="0"/>
    <n v="0"/>
    <s v=""/>
    <s v=""/>
    <s v=""/>
    <s v=""/>
    <s v="13-07-2026 17:13:10"/>
    <s v=""/>
    <s v="3KPFD41ABRE059627"/>
    <x v="3"/>
    <x v="34"/>
    <x v="60"/>
    <s v="2467"/>
    <x v="0"/>
    <x v="1"/>
    <s v="CKIAUTN014864"/>
    <x v="71"/>
    <s v="USADO"/>
    <s v="BLANCO INVIERNO"/>
    <s v="POR DEFINIR"/>
    <n v="22490000"/>
    <s v="Disponible"/>
    <x v="55"/>
    <x v="8"/>
    <s v="MEGACENTRO LA SERENA VEHICULOS"/>
    <s v=""/>
    <s v="G4FGRE043262"/>
    <s v="3KPFD41ABRE059627"/>
    <s v="CALLEGARI E HIJOS LTDA"/>
    <s v="13-07-2026 0:00:00"/>
    <n v="0"/>
    <s v=""/>
    <s v=""/>
    <s v=""/>
    <n v="0"/>
    <n v="0"/>
    <s v=""/>
    <n v="0"/>
    <n v="20614000"/>
    <n v="0"/>
    <n v="0"/>
    <n v="20614000"/>
    <n v="18899160"/>
    <n v="-1714840"/>
    <n v="-907"/>
  </r>
  <r>
    <x v="1"/>
    <s v="BODEGA PDI"/>
    <n v="0"/>
    <n v="0"/>
    <s v=""/>
    <s v=""/>
    <s v=""/>
    <s v=""/>
    <s v="03-02-2025 12:15:12"/>
    <s v=""/>
    <s v="VR3KAHPY1SS005762"/>
    <x v="0"/>
    <x v="2"/>
    <x v="14"/>
    <s v="TCPE26"/>
    <x v="1"/>
    <x v="1"/>
    <s v="CPESTWN000064"/>
    <x v="72"/>
    <s v="SEMINUEVO"/>
    <s v="GRIS ARTENSE"/>
    <s v="POR DEFINIR"/>
    <n v="32990000"/>
    <s v="Disponible"/>
    <x v="50"/>
    <x v="3"/>
    <s v="BODEGA PDI"/>
    <s v=""/>
    <s v="10ZA040039215"/>
    <s v="VR3KAHPY1SS005762"/>
    <s v="AUTOMOTRIZ BALMACEDA LTDA"/>
    <s v="31-01-2025 0:00:00"/>
    <n v="65156"/>
    <s v="02-03-2025 0:00:00"/>
    <s v="03-02-2025 12:14:57"/>
    <s v=""/>
    <n v="0"/>
    <n v="0"/>
    <s v=""/>
    <n v="0"/>
    <n v="25392269"/>
    <n v="1615238"/>
    <n v="0"/>
    <n v="27007507"/>
    <n v="27722689"/>
    <n v="715182"/>
    <n v="258"/>
  </r>
  <r>
    <x v="1"/>
    <s v="Local Premium"/>
    <n v="0"/>
    <n v="0"/>
    <s v=""/>
    <s v=""/>
    <s v=""/>
    <s v=""/>
    <s v="30-06-2026 16:43:10"/>
    <s v=""/>
    <s v="8AFBR00E6RJ371870"/>
    <x v="2"/>
    <x v="8"/>
    <x v="61"/>
    <s v="ACE4"/>
    <x v="2"/>
    <x v="31"/>
    <s v="CFOCMTN008050"/>
    <x v="73"/>
    <s v="SEMINUEVO"/>
    <s v="GRIS PLATA"/>
    <s v="POR DEFINIR"/>
    <n v="24990000"/>
    <s v="Disponible"/>
    <x v="56"/>
    <x v="0"/>
    <s v="LOCAL PREMIUM"/>
    <s v=""/>
    <s v="P02XRJ371870"/>
    <s v="8AFBR00E6RJ371870"/>
    <s v="SERVICIO DE INGENIERIA MANTENIMIENTO Y CONSTRUCCION SPA"/>
    <s v="30-06-2026 0:00:00"/>
    <n v="129"/>
    <s v="01-04-2026 0:00:00"/>
    <s v="30-06-2026 16:42:41"/>
    <s v=""/>
    <n v="0"/>
    <n v="0"/>
    <s v=""/>
    <n v="0"/>
    <n v="23490000"/>
    <n v="0"/>
    <n v="0"/>
    <n v="23490000"/>
    <n v="24990000"/>
    <n v="1500000"/>
    <n v="6"/>
  </r>
  <r>
    <x v="1"/>
    <s v="LOCAL USADOS"/>
    <n v="0"/>
    <n v="0"/>
    <s v=""/>
    <s v=""/>
    <s v=""/>
    <s v=""/>
    <s v="01-03-2024 10:01:09"/>
    <s v=""/>
    <s v="VR3USHNSSRJ521355"/>
    <x v="0"/>
    <x v="0"/>
    <x v="55"/>
    <s v="1PP1SYPM61JRA0"/>
    <x v="2"/>
    <x v="32"/>
    <s v="CPESTWN000030"/>
    <x v="74"/>
    <s v="SEMINUEVO"/>
    <s v="NEGRO PERLA NERA"/>
    <s v="POR DEFINIR"/>
    <n v="25390000"/>
    <s v="Disponible"/>
    <x v="57"/>
    <x v="2"/>
    <s v="LOCAL USADOS VEHICULOS"/>
    <s v=""/>
    <s v="10XVBB2116969"/>
    <s v="VR3USHNSSRJ521355"/>
    <s v="AUTOMOTRIZ BALMACEDA LTDA"/>
    <s v="29-02-2024 0:00:00"/>
    <n v="58197"/>
    <s v="30-03-2024 0:00:00"/>
    <s v="01-03-2024 10:00:55"/>
    <s v=""/>
    <n v="0"/>
    <n v="0"/>
    <s v=""/>
    <n v="0"/>
    <n v="19683866"/>
    <n v="1805871"/>
    <n v="0"/>
    <n v="21489737"/>
    <n v="21336134"/>
    <n v="-153603"/>
    <n v="-72"/>
  </r>
  <r>
    <x v="1"/>
    <s v="MEGACENTRO LA SERENA"/>
    <n v="0"/>
    <n v="0"/>
    <s v=""/>
    <s v=""/>
    <s v=""/>
    <s v=""/>
    <s v="18-12-2025 16:00:51"/>
    <s v=""/>
    <s v="LJXCU2BB0THF42074"/>
    <x v="2"/>
    <x v="35"/>
    <x v="62"/>
    <s v="TT12"/>
    <x v="1"/>
    <x v="1"/>
    <s v="CFOSTWN006573"/>
    <x v="75"/>
    <s v="SEMINUEVO"/>
    <s v="BLANCO PERLADO"/>
    <s v="POR DEFINIR"/>
    <n v="32590000"/>
    <s v="Disponible"/>
    <x v="58"/>
    <x v="2"/>
    <s v="MEGACENTRO LA SERENA VEHICULOS"/>
    <s v=""/>
    <s v="S8G085741"/>
    <s v="LJXCU2BB0THF42074"/>
    <s v="FORUM DISTRIBUIDORA S.A"/>
    <s v="18-12-2025 0:00:00"/>
    <n v="938997"/>
    <s v="26-12-2025 0:00:00"/>
    <s v="26-12-2025 12:36:09"/>
    <s v=""/>
    <n v="0"/>
    <n v="0"/>
    <s v=""/>
    <n v="0"/>
    <n v="24100168"/>
    <n v="703323"/>
    <n v="0"/>
    <n v="24803491"/>
    <n v="27386555"/>
    <n v="2583064"/>
    <n v="943"/>
  </r>
  <r>
    <x v="1"/>
    <s v="FORD BALMACEDA"/>
    <n v="0"/>
    <n v="0"/>
    <s v=""/>
    <s v=""/>
    <s v=""/>
    <s v=""/>
    <s v="02-10-2025 16:16:27"/>
    <s v=""/>
    <s v="8AFBR01C4RJ356801"/>
    <x v="2"/>
    <x v="8"/>
    <x v="18"/>
    <s v="RANDEV24"/>
    <x v="2"/>
    <x v="1"/>
    <s v="CFOCMTU000013"/>
    <x v="76"/>
    <s v="USADO"/>
    <s v="ROJO BARI"/>
    <s v="POR DEFINIR"/>
    <n v="39151000"/>
    <s v="Disponible"/>
    <x v="59"/>
    <x v="1"/>
    <s v="BODEGA FORD BALMACEDA VEHICULO"/>
    <s v=""/>
    <s v="YN2X RJ356801"/>
    <s v="8AFBR01C4RJ356801"/>
    <s v="ROBERTO SANTA CRUZ ALBASINI"/>
    <s v="02-10-2025 0:00:00"/>
    <n v="977"/>
    <s v="25-11-2025 0:00:00"/>
    <s v="11-12-2025 20:57:11"/>
    <s v=""/>
    <n v="0"/>
    <n v="0"/>
    <s v=""/>
    <n v="0"/>
    <n v="32900000"/>
    <n v="0"/>
    <n v="0"/>
    <n v="32900000"/>
    <n v="39151000"/>
    <n v="6251000"/>
    <n v="1597"/>
  </r>
  <r>
    <x v="1"/>
    <s v="LOCAL USADOS COPIAPO"/>
    <n v="0"/>
    <n v="0"/>
    <s v=""/>
    <s v=""/>
    <s v=""/>
    <s v=""/>
    <s v="23-09-2024 11:08:50"/>
    <s v=""/>
    <s v="VF3M45GFURS009935"/>
    <x v="0"/>
    <x v="2"/>
    <x v="63"/>
    <s v="TCPE6"/>
    <x v="0"/>
    <x v="33"/>
    <s v="CPESTWN000044"/>
    <x v="77"/>
    <s v="SEMINUEVO"/>
    <s v="BLANCO NACARADO"/>
    <s v="POR DEFINIR"/>
    <n v="25990000"/>
    <s v="Disponible"/>
    <x v="60"/>
    <x v="3"/>
    <s v="BODEGA LOS CARRERA COPIAPO"/>
    <s v=""/>
    <s v="10FKBL3135598"/>
    <s v="VF3M45GFURS009935"/>
    <s v="AUTOMOTRIZ BALMACEDA LTDA"/>
    <s v="26-03-2025 0:00:00"/>
    <n v="62332"/>
    <s v="16-10-2024 0:00:00"/>
    <s v="23-09-2024 11:08:32"/>
    <s v=""/>
    <n v="0"/>
    <n v="0"/>
    <s v=""/>
    <n v="0"/>
    <n v="25856134"/>
    <n v="1237071"/>
    <n v="0"/>
    <n v="27093205"/>
    <n v="25990000"/>
    <n v="-1103205"/>
    <n v="-424"/>
  </r>
  <r>
    <x v="1"/>
    <s v="LOCAL USADOS"/>
    <n v="0"/>
    <n v="0"/>
    <s v=""/>
    <s v=""/>
    <s v=""/>
    <s v=""/>
    <s v="31-01-2026 11:25:19"/>
    <s v=""/>
    <s v="LNBMCULK4TD263671"/>
    <x v="6"/>
    <x v="36"/>
    <x v="64"/>
    <s v="B-B30H"/>
    <x v="1"/>
    <x v="34"/>
    <s v="CBAICSTWN000003"/>
    <x v="78"/>
    <s v="SEMINUEVO"/>
    <s v="VERDE"/>
    <s v="POR DEFINIR"/>
    <n v="24900000"/>
    <s v="Disponible"/>
    <x v="24"/>
    <x v="6"/>
    <s v="LOCAL USADOS VEHICULOS"/>
    <s v=""/>
    <s v="A156T2H*XH04S903893*"/>
    <s v="LNBMCULK4TD263671"/>
    <s v="SOCIEDAD HERMANAS CALLEGARI LTDA"/>
    <s v="30-01-2026 0:00:00"/>
    <n v="240020"/>
    <s v="30-01-2026 0:00:00"/>
    <s v="31-01-2026 11:25:04"/>
    <s v=""/>
    <n v="0"/>
    <n v="0"/>
    <s v=""/>
    <n v="0"/>
    <n v="21210924"/>
    <n v="976055"/>
    <n v="0"/>
    <n v="22186979"/>
    <n v="24900000"/>
    <n v="2713021"/>
    <n v="109"/>
  </r>
  <r>
    <x v="1"/>
    <s v="MEGACENTRO LA SERENA"/>
    <n v="0"/>
    <n v="0"/>
    <s v=""/>
    <s v=""/>
    <s v=""/>
    <s v=""/>
    <s v="24-02-2017 18:20:22"/>
    <s v=""/>
    <s v="S/V.............."/>
    <x v="3"/>
    <x v="37"/>
    <x v="65"/>
    <s v="SOUL LX 1.6 MEC A/C DAB A"/>
    <x v="8"/>
    <x v="1"/>
    <s v="CKIAUTU000002"/>
    <x v="79"/>
    <s v="USADO"/>
    <s v="BLANCO CLARO"/>
    <s v="POR DEFINIR"/>
    <n v="8990000"/>
    <s v="Disponible"/>
    <x v="61"/>
    <x v="7"/>
    <s v="MEGACENTRO LA SERENA VEHICULOS"/>
    <s v=""/>
    <s v="G4FC9H422017"/>
    <s v="S/V.............."/>
    <s v="KIA CHILE S A"/>
    <s v="24-02-2017 0:00:00"/>
    <n v="142281"/>
    <s v="15-04-2009 0:00:00"/>
    <s v="24-02-2017 18:19:42"/>
    <s v=""/>
    <n v="0"/>
    <n v="0"/>
    <s v=""/>
    <n v="0"/>
    <n v="7295200"/>
    <n v="0"/>
    <n v="0"/>
    <n v="7295200"/>
    <n v="8990000"/>
    <n v="1694800"/>
    <n v="1885"/>
  </r>
  <r>
    <x v="1"/>
    <s v="MEGACENTRO OVALLE"/>
    <n v="0"/>
    <n v="0"/>
    <s v=""/>
    <s v=""/>
    <s v=""/>
    <s v=""/>
    <s v="03-02-2025 11:00:56"/>
    <s v=""/>
    <s v="VR3USHPY5SJ521831"/>
    <x v="0"/>
    <x v="0"/>
    <x v="51"/>
    <s v="TCPE21"/>
    <x v="1"/>
    <x v="1"/>
    <s v="CPESTWN000058"/>
    <x v="80"/>
    <s v="SEMINUEVO"/>
    <s v="BLANCO OKENITE"/>
    <s v="POR DEFINIR"/>
    <n v="27190000"/>
    <s v="Disponible"/>
    <x v="50"/>
    <x v="3"/>
    <s v="MEGACENTRO OVALLE VEHICULOS"/>
    <s v=""/>
    <s v="10Z1AM0043649"/>
    <s v="VR3USHPY5SJ521831"/>
    <s v="AUTOMOTRIZ BALMACEDA LTDA"/>
    <s v="31-01-2025 0:00:00"/>
    <n v="65157"/>
    <s v="02-03-2025 0:00:00"/>
    <s v="03-02-2025 11:00:23"/>
    <s v=""/>
    <n v="0"/>
    <n v="0"/>
    <s v=""/>
    <n v="0"/>
    <n v="21062857"/>
    <n v="876709"/>
    <n v="0"/>
    <n v="21939566"/>
    <n v="22848739"/>
    <n v="909173"/>
    <n v="398"/>
  </r>
  <r>
    <x v="1"/>
    <s v="FORD BALMACEDA"/>
    <n v="0"/>
    <n v="0"/>
    <s v=""/>
    <s v=""/>
    <s v=""/>
    <s v=""/>
    <s v="08-05-2019 12:07:51"/>
    <s v=""/>
    <s v="LVZKN2178JCA00241"/>
    <x v="11"/>
    <x v="33"/>
    <x v="66"/>
    <s v="DFSK4565"/>
    <x v="4"/>
    <x v="1"/>
    <s v="CDFCMTN000063"/>
    <x v="81"/>
    <s v="SEMINUEVO"/>
    <s v="BLANCO"/>
    <s v="POR DEFINIR"/>
    <n v="6890100"/>
    <s v="Disponible"/>
    <x v="62"/>
    <x v="9"/>
    <s v="BODEGA FORD BALMACEDA VEHICULO"/>
    <s v=""/>
    <s v="BG13-2017121678"/>
    <s v="LVZKN2178JCA00241"/>
    <s v="IMPORTADORA TRENTO LTDA"/>
    <s v="07-03-2019 0:00:00"/>
    <n v="0"/>
    <s v="28-11-2024 11:48:00"/>
    <s v="28-11-2024 11:48:00"/>
    <s v=""/>
    <n v="0"/>
    <n v="0"/>
    <s v=""/>
    <n v="0"/>
    <n v="0"/>
    <n v="2624366"/>
    <n v="0"/>
    <n v="2624366"/>
    <n v="5790000"/>
    <n v="3165634"/>
    <n v="5467"/>
  </r>
  <r>
    <x v="1"/>
    <s v="LOCAL FCO. DE AGUIRRE"/>
    <n v="0"/>
    <n v="0"/>
    <s v=""/>
    <s v=""/>
    <s v=""/>
    <s v=""/>
    <s v="27-02-2017 9:19:21"/>
    <s v=""/>
    <s v="JMYSNCY4A8U000861"/>
    <x v="8"/>
    <x v="38"/>
    <x v="67"/>
    <s v="LANCER 2.0 MT R/GT"/>
    <x v="9"/>
    <x v="1"/>
    <s v="CMIAUTU000001"/>
    <x v="82"/>
    <s v="SEMINUEVO"/>
    <s v="PLATEADO"/>
    <s v="POR DEFINIR"/>
    <n v="0"/>
    <s v="Disponible"/>
    <x v="63"/>
    <x v="4"/>
    <s v="BODEGA VEHICULOS"/>
    <s v=""/>
    <s v="4B11 BP1780"/>
    <s v="JMYSNCY4A8U000861"/>
    <s v="MMC CHILE SPA"/>
    <s v="27-02-2017 0:00:00"/>
    <n v="0"/>
    <s v=""/>
    <s v=""/>
    <s v=""/>
    <n v="0"/>
    <n v="0"/>
    <s v=""/>
    <n v="0"/>
    <n v="0"/>
    <n v="1558253"/>
    <n v="0"/>
    <n v="1558253"/>
    <n v="0"/>
    <n v="-1558253"/>
    <n v="-155825300"/>
  </r>
  <r>
    <x v="1"/>
    <s v="MEGACENTRO LA SERENA"/>
    <n v="0"/>
    <n v="0"/>
    <s v=""/>
    <s v=""/>
    <s v=""/>
    <s v=""/>
    <s v="25-06-2019 12:09:39"/>
    <s v=""/>
    <s v="LVZKN2191KCA01945"/>
    <x v="11"/>
    <x v="33"/>
    <x v="57"/>
    <s v="DFSK4680"/>
    <x v="4"/>
    <x v="1"/>
    <s v="CDFCMTN000065"/>
    <x v="83"/>
    <s v="SEMINUEVO"/>
    <s v="BLANCO"/>
    <s v="POR DEFINIR"/>
    <n v="8556100"/>
    <s v="Disponible"/>
    <x v="53"/>
    <x v="9"/>
    <s v="MEGACENTRO LA SERENA VEHICULOS"/>
    <s v=""/>
    <s v="DK12-05-18560291"/>
    <s v="LVZKN2191KCA01945"/>
    <s v="FORUM DISTRIBUIDORA S.A"/>
    <s v="21-06-2019 0:00:00"/>
    <n v="0"/>
    <s v="02-06-2023 11:47:00"/>
    <s v="02-06-2023 11:47:00"/>
    <s v=""/>
    <n v="0"/>
    <n v="0"/>
    <s v=""/>
    <n v="0"/>
    <n v="0"/>
    <n v="2454691"/>
    <n v="0"/>
    <n v="2454691"/>
    <n v="7190000"/>
    <n v="4735309"/>
    <n v="6586"/>
  </r>
  <r>
    <x v="2"/>
    <s v="LOCAL PREMIUM CAR SALES"/>
    <n v="0"/>
    <n v="0"/>
    <s v=""/>
    <s v=""/>
    <s v=""/>
    <s v=""/>
    <s v="06-04-2026 13:31:44"/>
    <s v=""/>
    <s v="VF3M45GYWPS011277"/>
    <x v="0"/>
    <x v="39"/>
    <x v="68"/>
    <s v="PE3008AT"/>
    <x v="6"/>
    <x v="35"/>
    <s v="TPESTWU000452"/>
    <x v="84"/>
    <s v="USADO"/>
    <s v="BLANCO NACARADO"/>
    <s v="POR DEFINIR"/>
    <n v="15490000"/>
    <s v="Disponible"/>
    <x v="7"/>
    <x v="5"/>
    <s v="PREMIUM CAR SALES"/>
    <s v="AE,CC,EE,AAC,ABS,LL,VC,AISO,AAUTO,CRE,MAV,ACD,SR,U"/>
    <s v="10FJCX3008191"/>
    <s v="VF3M45GYWPS011277"/>
    <s v="MARIO ANDRES TABILO ABARCA"/>
    <s v="06-04-2026 0:00:00"/>
    <n v="1"/>
    <s v="06-04-2026 0:00:00"/>
    <s v="06-04-2026 13:30:57"/>
    <s v="30-06-2027 0:00:00"/>
    <n v="1"/>
    <n v="0"/>
    <s v=""/>
    <n v="0"/>
    <n v="14000000"/>
    <n v="339240"/>
    <n v="0"/>
    <n v="14339240"/>
    <n v="15490000"/>
    <n v="1150760"/>
    <n v="743"/>
  </r>
  <r>
    <x v="2"/>
    <s v="LOCAL PREMIUM CAR SALES"/>
    <n v="0"/>
    <n v="0"/>
    <s v=""/>
    <s v=""/>
    <s v=""/>
    <s v=""/>
    <s v="16-05-2024 13:37:55"/>
    <s v=""/>
    <s v="2FMPK4J93PBA47752"/>
    <x v="2"/>
    <x v="40"/>
    <x v="69"/>
    <s v="FED001"/>
    <x v="2"/>
    <x v="36"/>
    <s v="TFOSTWU001301"/>
    <x v="85"/>
    <s v="USADO"/>
    <s v="BLANCO METALICO"/>
    <s v="POR DEFINIR"/>
    <n v="27990000"/>
    <s v="Disponible"/>
    <x v="64"/>
    <x v="5"/>
    <s v="PREMIUM CAR SALES"/>
    <s v="AE,CC,EE,AAC,ABS,LL,TC,VC,ESP,SS,AISO,ACP,AAUTO,AE"/>
    <s v="PBA47752"/>
    <s v="2FMPK4J93PBA47752"/>
    <s v="LORETO ROXANA REBOLLEDO RISSETTI"/>
    <s v="16-05-2024 0:00:00"/>
    <n v="1"/>
    <s v="28-02-2026 15:33:00"/>
    <s v="28-02-2026 15:33:00"/>
    <s v=""/>
    <n v="0"/>
    <n v="0"/>
    <s v=""/>
    <n v="0"/>
    <n v="33990000"/>
    <n v="709880"/>
    <n v="0"/>
    <n v="34699880"/>
    <n v="27990000"/>
    <n v="-6709880"/>
    <n v="-2397"/>
  </r>
  <r>
    <x v="2"/>
    <s v="LOCAL PREMIUM CAR SALES"/>
    <n v="0"/>
    <n v="0"/>
    <s v=""/>
    <s v=""/>
    <s v=""/>
    <s v=""/>
    <s v="01-09-2026 16:37:35"/>
    <s v=""/>
    <s v="@@.//++./.+@+/..+"/>
    <x v="12"/>
    <x v="41"/>
    <x v="70"/>
    <s v="CIC3PT12"/>
    <x v="2"/>
    <x v="37"/>
    <s v="TCIAUTU000138"/>
    <x v="86"/>
    <s v="USADO"/>
    <s v="GRIS ARTENSE NEGRO"/>
    <s v="POR DEFINIR"/>
    <n v="7990000"/>
    <s v="Disponible"/>
    <x v="65"/>
    <x v="6"/>
    <s v="PREMIUM CAR SALES"/>
    <s v=""/>
    <s v="10VQAC0018924"/>
    <s v="935CCHMEERB515443"/>
    <s v="GUSTAVO ADOLFO INOSTROZA MELLA"/>
    <s v="01-09-2026 0:00:00"/>
    <n v="1"/>
    <s v="01-09-2026 0:00:00"/>
    <s v="01-09-2026 16:37:06"/>
    <s v=""/>
    <n v="3"/>
    <n v="0"/>
    <s v=""/>
    <n v="0"/>
    <n v="6600000"/>
    <n v="228240"/>
    <n v="0"/>
    <n v="6828240"/>
    <n v="7990000"/>
    <n v="1161760"/>
    <n v="1454"/>
  </r>
  <r>
    <x v="2"/>
    <s v="LOCAL PREMIUM CAR SALES"/>
    <n v="0"/>
    <n v="0"/>
    <s v=""/>
    <s v=""/>
    <s v=""/>
    <s v=""/>
    <s v="01-09-2026 16:43:19"/>
    <s v=""/>
    <s v="LVVDB21B2RD108221"/>
    <x v="9"/>
    <x v="21"/>
    <x v="71"/>
    <s v="OMC515AT"/>
    <x v="2"/>
    <x v="38"/>
    <s v="TOMOSTWU000017"/>
    <x v="87"/>
    <s v="USADO"/>
    <s v="GRIS ACERADO TECHO NEGRO"/>
    <s v="POR DEFINIR"/>
    <n v="12390000"/>
    <s v="Disponible"/>
    <x v="65"/>
    <x v="5"/>
    <s v="PREMIUM CAR SALES"/>
    <s v=""/>
    <s v="SQRE4T15CCHRB01885"/>
    <s v="LVVDB21B2RD108221"/>
    <s v="VICTOR MATIAS SALAS RIVERA"/>
    <s v="01-09-2026 0:00:00"/>
    <n v="1"/>
    <s v="01-09-2026 0:00:00"/>
    <s v="01-09-2026 16:42:18"/>
    <s v=""/>
    <n v="1"/>
    <n v="0"/>
    <s v=""/>
    <n v="0"/>
    <n v="11000000"/>
    <n v="294240"/>
    <n v="0"/>
    <n v="11294240"/>
    <n v="12390000"/>
    <n v="1095760"/>
    <n v="884"/>
  </r>
  <r>
    <x v="2"/>
    <s v="LOCAL SALAMANCA"/>
    <n v="0"/>
    <n v="0"/>
    <s v=""/>
    <s v=""/>
    <s v=""/>
    <s v=""/>
    <s v="30-04-2026 15:19:16"/>
    <s v=""/>
    <s v="LVVDB21B4 SC023313"/>
    <x v="13"/>
    <x v="42"/>
    <x v="72"/>
    <s v="CHTIG3PRGLS15AT"/>
    <x v="1"/>
    <x v="39"/>
    <s v="TCYSTWU000352"/>
    <x v="88"/>
    <s v="USADO"/>
    <s v="GRIS PLATA"/>
    <s v="POR DEFINIR"/>
    <n v="11690000"/>
    <s v="Disponible"/>
    <x v="66"/>
    <x v="5"/>
    <s v="BODEGA VEHICULOS"/>
    <s v=""/>
    <s v="SQRE4G15CBDRL00035"/>
    <s v="LVVDB21B4 SC023313"/>
    <s v="RUTH ESTER OSSANDON NARBONA"/>
    <s v="30-04-2026 0:00:00"/>
    <n v="1"/>
    <s v="30-04-2026 0:00:00"/>
    <s v="30-04-2026 15:17:56"/>
    <s v=""/>
    <n v="1"/>
    <n v="0"/>
    <s v=""/>
    <n v="0"/>
    <n v="10000000"/>
    <n v="279240"/>
    <n v="0"/>
    <n v="10279240"/>
    <n v="11690000"/>
    <n v="1410760"/>
    <n v="1207"/>
  </r>
  <r>
    <x v="2"/>
    <s v="MEGACENTRO OVALLE"/>
    <n v="0"/>
    <n v="0"/>
    <s v=""/>
    <s v=""/>
    <s v=""/>
    <s v=""/>
    <s v="21-08-2026 11:15:12"/>
    <s v=""/>
    <s v="VR3USHNSK NJ511632"/>
    <x v="0"/>
    <x v="43"/>
    <x v="73"/>
    <s v="2PU8"/>
    <x v="10"/>
    <x v="40"/>
    <s v="TPESTWU000474"/>
    <x v="89"/>
    <s v="USADO"/>
    <s v="ROJO ELIXIR"/>
    <s v="POR DEFINIR"/>
    <n v="11290000"/>
    <s v="Disponible"/>
    <x v="67"/>
    <x v="6"/>
    <s v="BODEGA OVALLEveih"/>
    <s v=""/>
    <s v="10Z1AC0089106"/>
    <s v="VR3USHNSK NJ511632"/>
    <s v="SAMUEL GUILLERMO GUZMAN BRIONES"/>
    <s v="21-08-2026 0:00:00"/>
    <n v="1"/>
    <s v="21-08-2026 0:00:00"/>
    <s v="21-08-2026 11:11:08"/>
    <s v=""/>
    <n v="1"/>
    <n v="0"/>
    <s v=""/>
    <n v="0"/>
    <n v="9300000"/>
    <n v="268740"/>
    <n v="0"/>
    <n v="9568740"/>
    <n v="11290000"/>
    <n v="1721260"/>
    <n v="1525"/>
  </r>
  <r>
    <x v="2"/>
    <s v="LOCAL USADOS COPIAPO"/>
    <n v="0"/>
    <n v="0"/>
    <s v=""/>
    <s v=""/>
    <s v=""/>
    <s v=""/>
    <s v="03-07-2026 10:13:37"/>
    <s v=""/>
    <s v="/////+++*./++*..."/>
    <x v="14"/>
    <x v="44"/>
    <x v="74"/>
    <s v="MANECX520AT"/>
    <x v="3"/>
    <x v="41"/>
    <s v="TMASTWU000107"/>
    <x v="90"/>
    <s v="USADO"/>
    <s v="PLATEADO PLATA METALIZADO"/>
    <s v="POR DEFINIR"/>
    <n v="16990000"/>
    <s v="Disponible"/>
    <x v="68"/>
    <x v="5"/>
    <s v="BODEGA LOS CARRERA COPIAPO"/>
    <s v="AE,CC,EE,AAC,ABS,LL,VC,AISO,AAUTO,CRE,MAV,ACD,SR,U"/>
    <s v="PE 21654797"/>
    <s v="JM7KF2W76N0693317"/>
    <s v="ANABEL JOSÉ LOPETEGUI GONZALEZ"/>
    <s v="03-07-2026 0:00:00"/>
    <n v="1"/>
    <s v="03-08-2026 16:37:00"/>
    <s v="03-08-2026 16:37:00"/>
    <s v=""/>
    <n v="1"/>
    <n v="0"/>
    <s v=""/>
    <n v="0"/>
    <n v="14000000"/>
    <n v="339240"/>
    <n v="0"/>
    <n v="14339240"/>
    <n v="16990000"/>
    <n v="2650760"/>
    <n v="156"/>
  </r>
  <r>
    <x v="2"/>
    <s v="LOCAL USADOS COPIAPO"/>
    <n v="0"/>
    <n v="0"/>
    <s v=""/>
    <s v=""/>
    <s v=""/>
    <s v=""/>
    <s v="13-11-2025 16:08:09"/>
    <s v=""/>
    <s v="VF3MCYHZU PS006748"/>
    <x v="0"/>
    <x v="45"/>
    <x v="75"/>
    <s v="5008BH130"/>
    <x v="6"/>
    <x v="42"/>
    <s v="TPESTWU000433"/>
    <x v="91"/>
    <s v="USADO"/>
    <s v="BLANCO NACARADO"/>
    <s v="POR DEFINIR"/>
    <n v="20990000"/>
    <s v="Disponible"/>
    <x v="32"/>
    <x v="5"/>
    <s v="BODEGA LOS CARRERA COPIAPO"/>
    <s v="AE,CC,EE,AAC,ABS,LL,VC,AISO,AAUTO,CRE,MAV,ACD,SR,U"/>
    <s v="10Q4EP0125437"/>
    <s v="VF3MCYHZU PS006748"/>
    <s v="YOANA ELENA ROJAS HENRIQUEZ"/>
    <s v="13-11-2025 0:00:00"/>
    <n v="1"/>
    <s v="04-06-2026 10:00:00"/>
    <s v="04-06-2026 10:00:00"/>
    <s v="30-06-2027 0:00:00"/>
    <n v="1"/>
    <n v="0"/>
    <s v=""/>
    <n v="0"/>
    <n v="19800000"/>
    <n v="423030"/>
    <n v="0"/>
    <n v="20223030"/>
    <n v="20990000"/>
    <n v="766970"/>
    <n v="365"/>
  </r>
  <r>
    <x v="2"/>
    <s v="LOCAL PREMIUM CAR SALES"/>
    <n v="0"/>
    <n v="0"/>
    <s v=""/>
    <s v=""/>
    <s v=""/>
    <s v=""/>
    <s v="01-09-2026 16:15:06"/>
    <s v=""/>
    <s v="LVVDB21B4 SD032393"/>
    <x v="9"/>
    <x v="21"/>
    <x v="71"/>
    <s v="OMC515AT"/>
    <x v="0"/>
    <x v="43"/>
    <s v="TOMOSTWU000016"/>
    <x v="92"/>
    <s v="USADO"/>
    <s v="AZUL INDIGO"/>
    <s v="POR DEFINIR"/>
    <n v="11390000"/>
    <s v="Disponible"/>
    <x v="65"/>
    <x v="11"/>
    <s v="PREMIUM CAR SALES"/>
    <s v=""/>
    <s v="SQRE4T15CCHRH00682"/>
    <s v="LVVDB21B4 SD032393"/>
    <s v="CAMILA ALEJANDRA EGUILUZ ALDUNATE"/>
    <s v="01-09-2026 0:00:00"/>
    <n v="1"/>
    <s v="01-09-2026 0:00:00"/>
    <s v="01-09-2026 16:14:38"/>
    <s v=""/>
    <n v="1"/>
    <n v="0"/>
    <s v=""/>
    <n v="0"/>
    <n v="9800000"/>
    <n v="276240"/>
    <n v="0"/>
    <n v="10076240"/>
    <n v="11390000"/>
    <n v="1313760"/>
    <n v="1153"/>
  </r>
  <r>
    <x v="2"/>
    <s v="MEGACENTRO OVALLE"/>
    <n v="0"/>
    <n v="0"/>
    <s v=""/>
    <s v=""/>
    <s v=""/>
    <s v=""/>
    <s v="01-09-2026 17:25:22"/>
    <s v=""/>
    <s v="LVVDB11B8SC008954"/>
    <x v="13"/>
    <x v="42"/>
    <x v="76"/>
    <s v="CHT3PROUSA"/>
    <x v="0"/>
    <x v="44"/>
    <s v="TCYSTWU000368"/>
    <x v="93"/>
    <s v="USADO"/>
    <s v="ROJO METALIZADO"/>
    <s v="POR DEFINIR"/>
    <n v="10490000"/>
    <s v="Disponible"/>
    <x v="65"/>
    <x v="6"/>
    <s v="BODEGA OVALLEveih"/>
    <s v=""/>
    <s v="SQRE4G15CBCRH00051"/>
    <s v="LVVDB11B8SC008954"/>
    <s v="ANGELICA MAGDALENA RODRIGUEZ JOFRE"/>
    <s v="01-09-2026 0:00:00"/>
    <n v="1"/>
    <s v="01-09-2026 0:00:00"/>
    <s v="01-09-2026 17:24:50"/>
    <s v=""/>
    <n v="1"/>
    <n v="0"/>
    <s v=""/>
    <n v="0"/>
    <n v="8400000"/>
    <n v="255240"/>
    <n v="0"/>
    <n v="8655240"/>
    <n v="10490000"/>
    <n v="1834760"/>
    <n v="1749"/>
  </r>
  <r>
    <x v="2"/>
    <s v="LOCAL PREMIUM CAR SALES"/>
    <n v="0"/>
    <n v="0"/>
    <s v=""/>
    <s v=""/>
    <s v=""/>
    <s v=""/>
    <s v="31-07-2026 15:12:03"/>
    <s v=""/>
    <s v="VF3M45GFU PS005512"/>
    <x v="0"/>
    <x v="45"/>
    <x v="77"/>
    <s v="PE5008PT16AT"/>
    <x v="3"/>
    <x v="45"/>
    <s v="TPESTWU000469"/>
    <x v="94"/>
    <s v="USADO"/>
    <s v="BLANCO NACARADO"/>
    <s v="POR DEFINIR"/>
    <n v="18990000"/>
    <s v="Disponible"/>
    <x v="69"/>
    <x v="6"/>
    <s v="PREMIUM CAR SALES"/>
    <s v="AE,CC,EE,AAC,ABS,LL,AISO,AAUTO,CRE,MAV,ACD,SR,DLL,"/>
    <s v="10FKBL2934118"/>
    <s v="VF3M45GFU PS005512"/>
    <s v="DAVID ANDRES SEPULVEDA VARGAS"/>
    <s v="31-07-2026 0:00:00"/>
    <n v="1"/>
    <s v="31-07-2026 0:00:00"/>
    <s v="31-07-2026 15:11:39"/>
    <s v=""/>
    <n v="3"/>
    <n v="0"/>
    <s v=""/>
    <n v="0"/>
    <n v="15900000"/>
    <n v="367740"/>
    <n v="0"/>
    <n v="16267740"/>
    <n v="18990000"/>
    <n v="2722260"/>
    <n v="1434"/>
  </r>
  <r>
    <x v="2"/>
    <s v="MEGACENTRO OVALLE"/>
    <n v="0"/>
    <n v="0"/>
    <s v=""/>
    <s v=""/>
    <s v=""/>
    <s v=""/>
    <s v="04-02-2026 12:44:44"/>
    <s v=""/>
    <s v="3N1AB7AE8LY202955"/>
    <x v="15"/>
    <x v="46"/>
    <x v="78"/>
    <s v="NISEN18AT"/>
    <x v="7"/>
    <x v="46"/>
    <s v="TNIAUTU000649"/>
    <x v="95"/>
    <s v="USADO"/>
    <s v="BLANCO PERLA"/>
    <s v="POR DEFINIR"/>
    <n v="9490000"/>
    <s v="Disponible"/>
    <x v="29"/>
    <x v="5"/>
    <s v="BODEGA OVALLEveih"/>
    <s v="AE,CC,EE,NB,ABS,LL,4AB,AC,AISO,AAUTO,ACD,DLL"/>
    <s v="MRA8720448J"/>
    <s v="3N1AB7AE8LY202955"/>
    <s v="RUPERTO ALEJANDRO GALLEGOS GUTIERREZ"/>
    <s v="04-02-2026 0:00:00"/>
    <n v="1"/>
    <s v="09-07-2026 17:20:00"/>
    <s v="09-07-2026 17:20:00"/>
    <s v="31-05-2026 0:00:00"/>
    <n v="4"/>
    <n v="0"/>
    <s v=""/>
    <n v="0"/>
    <n v="8500000"/>
    <n v="253530"/>
    <n v="0"/>
    <n v="8753530"/>
    <n v="9490000"/>
    <n v="736470"/>
    <n v="776"/>
  </r>
  <r>
    <x v="2"/>
    <s v="LOCAL PREMIUM CAR SALES"/>
    <n v="0"/>
    <n v="0"/>
    <s v=""/>
    <s v=""/>
    <s v=""/>
    <s v=""/>
    <s v="27-06-2026 12:46:52"/>
    <s v=""/>
    <s v="3FTTW8E31PRA29529"/>
    <x v="2"/>
    <x v="17"/>
    <x v="79"/>
    <s v="FOMALA25ATFHEV"/>
    <x v="0"/>
    <x v="47"/>
    <s v="TFOCMTU001164"/>
    <x v="96"/>
    <s v="USADO"/>
    <s v="PLATEADO METALICO"/>
    <s v="POR DEFINIR"/>
    <n v="25990000"/>
    <s v="Disponible"/>
    <x v="70"/>
    <x v="5"/>
    <s v="PREMIUM CAR SALES"/>
    <s v="AE,CC,EE,AAC,ABS,LL,ESP,AISO,AAUTO,CRE,MAV,ACD,SR,"/>
    <s v="PRA29529"/>
    <s v="3FTTW8E31PRA29529"/>
    <s v="RVR LIMITADA"/>
    <s v="27-06-2026 0:00:00"/>
    <n v="1"/>
    <s v="27-06-2026 0:00:00"/>
    <s v="27-06-2026 12:46:07"/>
    <s v=""/>
    <n v="1"/>
    <n v="0"/>
    <s v=""/>
    <n v="0"/>
    <n v="22500000"/>
    <n v="466740"/>
    <n v="0"/>
    <n v="22966740"/>
    <n v="25990000"/>
    <n v="3023260"/>
    <n v="1163"/>
  </r>
  <r>
    <x v="2"/>
    <s v="LOCAL PREMIUM CAR SALES"/>
    <n v="0"/>
    <n v="0"/>
    <s v=""/>
    <s v=""/>
    <s v=""/>
    <s v=""/>
    <s v="01-09-2026 16:55:12"/>
    <s v=""/>
    <s v="/..//+*+///++*..."/>
    <x v="12"/>
    <x v="41"/>
    <x v="80"/>
    <s v="CIC315MTHDI"/>
    <x v="10"/>
    <x v="48"/>
    <s v="TCISTWU000011"/>
    <x v="97"/>
    <s v="USADO"/>
    <s v="GRIS ARTENSE BLANCO"/>
    <s v="POR DEFINIR"/>
    <n v="9590000"/>
    <s v="Disponible"/>
    <x v="65"/>
    <x v="6"/>
    <s v="PREMIUM CAR SALES"/>
    <s v="AE,CC,EE,ABS,AC,CRE,MAV,ACD,UD,DLL"/>
    <s v="10Q4DF0006109"/>
    <s v="VF7SXYHTUNT500202"/>
    <s v="RODRIGO ANDRES SAINZ LOPEZ"/>
    <s v="01-09-2026 0:00:00"/>
    <n v="1"/>
    <s v="01-09-2026 0:00:00"/>
    <s v="01-09-2026 16:53:40"/>
    <s v=""/>
    <n v="1"/>
    <n v="0"/>
    <s v=""/>
    <n v="0"/>
    <n v="7600000"/>
    <n v="243240"/>
    <n v="0"/>
    <n v="7843240"/>
    <n v="9590000"/>
    <n v="1746760"/>
    <n v="1821"/>
  </r>
  <r>
    <x v="2"/>
    <s v="LOCAL PREMIUM CAR SALES"/>
    <n v="0"/>
    <n v="0"/>
    <s v=""/>
    <s v=""/>
    <s v=""/>
    <s v=""/>
    <s v="01-09-2026 18:15:01"/>
    <s v=""/>
    <s v="KNANC814BP6226370"/>
    <x v="3"/>
    <x v="47"/>
    <x v="81"/>
    <s v="KICARNIEXGSL35AT"/>
    <x v="6"/>
    <x v="49"/>
    <s v="TKISTWU001349"/>
    <x v="98"/>
    <s v="USADO"/>
    <s v="PLATEADO SUAVE"/>
    <s v="POR DEFINIR"/>
    <n v="23490000"/>
    <s v="Disponible"/>
    <x v="65"/>
    <x v="12"/>
    <s v="PREMIUM CAR SALES"/>
    <s v="AE,CC,EE,ABS,LL,4AB,AC,AISO,AAUTO,MAV,ACD,SR,DLL"/>
    <s v="G6DUNA855831"/>
    <s v="KNANC814BP6226370"/>
    <s v="HECTOR RODRIGO CARRASCO HUERTA"/>
    <s v="01-09-2026 0:00:00"/>
    <n v="1"/>
    <s v="01-09-2026 0:00:00"/>
    <s v="01-09-2026 18:14:31"/>
    <s v=""/>
    <n v="1"/>
    <n v="0"/>
    <s v=""/>
    <n v="0"/>
    <n v="19000000"/>
    <n v="414240"/>
    <n v="0"/>
    <n v="19414240"/>
    <n v="23490000"/>
    <n v="4075760"/>
    <n v="1735"/>
  </r>
  <r>
    <x v="2"/>
    <s v="LOCAL PREMIUM CAR SALES"/>
    <n v="0"/>
    <n v="0"/>
    <s v=""/>
    <s v=""/>
    <s v=""/>
    <s v=""/>
    <s v="18-02-2026 9:30:32"/>
    <s v=""/>
    <s v="1FMCU0BZ6 NUB02251"/>
    <x v="2"/>
    <x v="48"/>
    <x v="82"/>
    <s v="FOESFEHV20AT"/>
    <x v="6"/>
    <x v="50"/>
    <s v="TFOSTWU001399"/>
    <x v="99"/>
    <s v="USADO"/>
    <s v="GRIS"/>
    <s v="POR DEFINIR"/>
    <n v="16990000"/>
    <s v="Disponible"/>
    <x v="71"/>
    <x v="5"/>
    <s v="PREMIUM CAR SALES"/>
    <s v="AE,CC,EE,AAC,ABS,LL,VC,ESP,SS,AISO,ACP,AAUTO,CRE,M"/>
    <s v="NUB02251"/>
    <s v="1FMCU0BZ6 NUB02251"/>
    <s v="KARLA NIKOL FLORES CASTILLO"/>
    <s v="18-02-2026 0:00:00"/>
    <n v="1"/>
    <s v="18-02-2026 0:00:00"/>
    <s v="18-02-2026 9:30:04"/>
    <s v=""/>
    <n v="0"/>
    <n v="0"/>
    <s v=""/>
    <n v="0"/>
    <n v="15400000"/>
    <n v="357030"/>
    <n v="0"/>
    <n v="15757030"/>
    <n v="16990000"/>
    <n v="1232970"/>
    <n v="726"/>
  </r>
  <r>
    <x v="2"/>
    <s v="LOCAL PREMIUM CAR SALES"/>
    <n v="0"/>
    <n v="0"/>
    <s v=""/>
    <s v=""/>
    <s v=""/>
    <s v=""/>
    <s v="22-06-2026 11:30:26"/>
    <s v=""/>
    <s v="1FMUK8DH3 SGA72696"/>
    <x v="2"/>
    <x v="18"/>
    <x v="52"/>
    <s v="EAC4X4"/>
    <x v="0"/>
    <x v="51"/>
    <s v="TFOSTWU001414"/>
    <x v="100"/>
    <s v="USADO"/>
    <s v="AZUL VAPORIZADO"/>
    <s v="POR DEFINIR"/>
    <n v="36990000"/>
    <s v="Disponible"/>
    <x v="72"/>
    <x v="5"/>
    <s v="PREMIUM CAR SALES"/>
    <s v="AE,CC,EE,AAC,ABS,LL,VC,AISO,AAUTO,CRE,MAV,ACD,SR,U"/>
    <s v="SGA72696"/>
    <s v="1FMUK8DH3 SGA72696"/>
    <s v="LA AVICOLA LIMITADA"/>
    <s v="22-06-2026 0:00:00"/>
    <n v="1"/>
    <s v="22-06-2026 0:00:00"/>
    <s v="22-06-2026 11:30:05"/>
    <s v=""/>
    <n v="1"/>
    <n v="0"/>
    <s v=""/>
    <n v="0"/>
    <n v="30000000"/>
    <n v="579240"/>
    <n v="0"/>
    <n v="30579240"/>
    <n v="36990000"/>
    <n v="6410760"/>
    <n v="1733"/>
  </r>
  <r>
    <x v="2"/>
    <s v="LOCAL USADOS"/>
    <n v="0"/>
    <n v="0"/>
    <s v=""/>
    <s v=""/>
    <s v=""/>
    <s v=""/>
    <s v="28-02-2026 11:42:29"/>
    <s v=""/>
    <s v="1FM5K8FH7KGA98168"/>
    <x v="2"/>
    <x v="18"/>
    <x v="83"/>
    <s v="EXPUS1"/>
    <x v="7"/>
    <x v="52"/>
    <s v="TFOSTWU001401"/>
    <x v="101"/>
    <s v="USADO"/>
    <s v="BLANCO METAL"/>
    <s v="POR DEFINIR"/>
    <n v="22990000"/>
    <s v="Disponible"/>
    <x v="18"/>
    <x v="1"/>
    <s v="BODEGA VEHICULOS"/>
    <s v=""/>
    <s v="KGA98168"/>
    <s v="1FM5K8FH7KGA98168"/>
    <s v="CLAUDIO VALENZUELA CELIS"/>
    <s v="28-02-2026 0:00:00"/>
    <n v="1"/>
    <s v="28-02-2026 0:00:00"/>
    <s v="28-02-2026 11:42:08"/>
    <s v=""/>
    <n v="0"/>
    <n v="0"/>
    <s v=""/>
    <n v="0"/>
    <n v="17000000"/>
    <n v="381030"/>
    <n v="0"/>
    <n v="17381030"/>
    <n v="22990000"/>
    <n v="5608970"/>
    <n v="244"/>
  </r>
  <r>
    <x v="2"/>
    <s v="MEGACENTRO OVALLE"/>
    <n v="0"/>
    <n v="0"/>
    <s v=""/>
    <s v=""/>
    <s v=""/>
    <s v=""/>
    <s v="27-05-2026 17:54:58"/>
    <s v=""/>
    <s v="JF1SK7LL5RG259442"/>
    <x v="4"/>
    <x v="49"/>
    <x v="84"/>
    <s v="SF99"/>
    <x v="2"/>
    <x v="53"/>
    <s v="TSUSTWU000399"/>
    <x v="102"/>
    <s v="USADO"/>
    <s v="PLATEADO HIELO CLARO"/>
    <s v="POR DEFINIR"/>
    <n v="20490000"/>
    <s v="Disponible"/>
    <x v="73"/>
    <x v="5"/>
    <s v="BODEGA OVALLEveih"/>
    <s v="AE,CC,EE,NB,AAC,ABS,LL,VC,AISO,AAUTO,CRE,MAV,ACD,S"/>
    <s v="YX96759"/>
    <s v="JF1SK7LL5RG259442"/>
    <s v="EDUARDO ENRIQUE ANTIQUERA ANTIQUERA"/>
    <s v="27-05-2026 0:00:00"/>
    <n v="1"/>
    <s v="27-05-2026 0:00:00"/>
    <s v="27-05-2026 17:50:26"/>
    <s v=""/>
    <n v="1"/>
    <n v="0"/>
    <s v=""/>
    <n v="0"/>
    <n v="19000000"/>
    <n v="414240"/>
    <n v="0"/>
    <n v="19414240"/>
    <n v="20490000"/>
    <n v="1075760"/>
    <n v="525"/>
  </r>
  <r>
    <x v="2"/>
    <s v="LOCAL USADOS COPIAPO"/>
    <n v="0"/>
    <n v="0"/>
    <s v=""/>
    <s v=""/>
    <s v=""/>
    <s v=""/>
    <s v="28-01-2026 17:28:07"/>
    <s v=""/>
    <s v="1FMCU0BZ6NUB03562"/>
    <x v="2"/>
    <x v="48"/>
    <x v="82"/>
    <s v="FOESFEHV20AT"/>
    <x v="6"/>
    <x v="54"/>
    <s v="TFOSTWU001396"/>
    <x v="103"/>
    <s v="USADO"/>
    <s v="BLANCO METALICO"/>
    <s v="POR DEFINIR"/>
    <n v="18990000"/>
    <s v="Disponible"/>
    <x v="74"/>
    <x v="5"/>
    <s v="BODEGA LOS CARRERA COPIAPO"/>
    <s v="AE,CC,EE,AAC,ABS,LL,AISO,AAUTO,CRE,MAV,ACD,SR,UD,D"/>
    <s v="NUB03562"/>
    <s v="1FMCU0BZ6NUB03562"/>
    <s v="SOCIEDAD COMERCIAL HERMANOS GODOY ARAYA SPA"/>
    <s v="28-01-2026 0:00:00"/>
    <n v="1"/>
    <s v="28-01-2026 0:00:00"/>
    <s v="28-01-2026 17:22:31"/>
    <s v=""/>
    <n v="1"/>
    <n v="0"/>
    <s v=""/>
    <n v="0"/>
    <n v="17500000"/>
    <n v="388530"/>
    <n v="0"/>
    <n v="17888530"/>
    <n v="18990000"/>
    <n v="1101470"/>
    <n v="58"/>
  </r>
  <r>
    <x v="2"/>
    <s v="LOCAL PREMIUM CAR SALES"/>
    <n v="0"/>
    <n v="0"/>
    <s v=""/>
    <s v=""/>
    <s v=""/>
    <s v=""/>
    <s v="31-07-2026 15:45:20"/>
    <s v=""/>
    <s v="3VW7B6AU8GM038142"/>
    <x v="16"/>
    <x v="50"/>
    <x v="85"/>
    <s v="VOGOLFHB14AT"/>
    <x v="5"/>
    <x v="50"/>
    <s v="TVOAUTU000227"/>
    <x v="104"/>
    <s v="USADO"/>
    <s v="GRIS PLATINO"/>
    <s v="POR DEFINIR"/>
    <n v="8990000"/>
    <s v="Disponible"/>
    <x v="69"/>
    <x v="7"/>
    <s v="PREMIUM CAR SALES"/>
    <s v="AE,CC,EE,ABS,LL,4AB,AC,AISO,AAUTO,MAV,ACD,DLL"/>
    <s v="CZD 221032"/>
    <s v="3VW7B6AU8GM038142"/>
    <s v="AGUSTIN ALBERTO SOLARI ALVAREZ"/>
    <s v="31-07-2026 0:00:00"/>
    <n v="1"/>
    <s v="31-07-2026 0:00:00"/>
    <s v="31-07-2026 15:37:31"/>
    <s v=""/>
    <n v="2"/>
    <n v="0"/>
    <s v=""/>
    <n v="0"/>
    <n v="6600000"/>
    <n v="228240"/>
    <n v="0"/>
    <n v="6828240"/>
    <n v="8990000"/>
    <n v="2161760"/>
    <n v="2405"/>
  </r>
  <r>
    <x v="2"/>
    <s v="LOCAL PREMIUM CAR SALES"/>
    <n v="0"/>
    <n v="0"/>
    <s v=""/>
    <s v=""/>
    <s v=""/>
    <s v=""/>
    <s v="01-09-2026 16:09:53"/>
    <s v=""/>
    <s v="LJD3BA1DAR0022486"/>
    <x v="3"/>
    <x v="51"/>
    <x v="86"/>
    <s v="KISONEX15MT"/>
    <x v="0"/>
    <x v="55"/>
    <s v="TKISTWU001346"/>
    <x v="105"/>
    <s v="USADO"/>
    <s v="ROJO ESCARLATA"/>
    <s v="POR DEFINIR"/>
    <n v="13490000"/>
    <s v="Disponible"/>
    <x v="65"/>
    <x v="5"/>
    <s v="PREMIUM CAR SALES"/>
    <s v=""/>
    <s v="G4FLR1120351"/>
    <s v="LJD3BA1DAR0022486"/>
    <s v="JUAN LUIS VILLALOBOS ORTIZ"/>
    <s v="01-09-2026 0:00:00"/>
    <n v="1"/>
    <s v="01-09-2026 0:00:00"/>
    <s v="01-09-2026 16:09:22"/>
    <s v=""/>
    <n v="1"/>
    <n v="0"/>
    <s v=""/>
    <n v="0"/>
    <n v="10500000"/>
    <n v="286740"/>
    <n v="0"/>
    <n v="10786740"/>
    <n v="13490000"/>
    <n v="2703260"/>
    <n v="2004"/>
  </r>
  <r>
    <x v="2"/>
    <s v="LOCAL USADOS"/>
    <n v="0"/>
    <n v="0"/>
    <s v=""/>
    <s v=""/>
    <s v=""/>
    <s v=""/>
    <s v="05-02-2026 13:04:12"/>
    <s v=""/>
    <s v="VF3M45GFUPS010582"/>
    <x v="0"/>
    <x v="45"/>
    <x v="77"/>
    <s v="PE5008PT16AT"/>
    <x v="6"/>
    <x v="53"/>
    <s v="TPESTWU000446"/>
    <x v="106"/>
    <s v="USADO"/>
    <s v="GRIS ARTENSE"/>
    <s v="POR DEFINIR"/>
    <n v="17990000"/>
    <s v="Disponible"/>
    <x v="75"/>
    <x v="5"/>
    <s v="BODEGA VEHICULOS"/>
    <s v="AE,CC,EE,AAC,ABS,LL,VC,AISO,AAUTO,CRE,MAV,ACD,SR,U"/>
    <s v="10FKBL3003916"/>
    <s v="VF3M45GFUPS010582"/>
    <s v="JOHNNY SEBASTIAN DIAZ ZAMORANO"/>
    <s v="05-02-2026 0:00:00"/>
    <n v="1"/>
    <s v="05-02-2026 0:00:00"/>
    <s v="05-02-2026 13:00:32"/>
    <s v="30-09-2027 0:00:00"/>
    <n v="1"/>
    <n v="0"/>
    <s v=""/>
    <n v="0"/>
    <n v="16500000"/>
    <n v="373530"/>
    <n v="0"/>
    <n v="16873530"/>
    <n v="17990000"/>
    <n v="1116470"/>
    <n v="621"/>
  </r>
  <r>
    <x v="2"/>
    <s v="LOCAL PREMIUM CAR SALES"/>
    <n v="0"/>
    <n v="0"/>
    <s v=""/>
    <s v=""/>
    <s v=""/>
    <s v=""/>
    <s v="27-08-2026 11:28:53"/>
    <s v=""/>
    <s v="KPT40A1XSRP095912"/>
    <x v="17"/>
    <x v="52"/>
    <x v="87"/>
    <s v="SSNREXLX4X42.0AT"/>
    <x v="6"/>
    <x v="56"/>
    <s v="TSYSTWU000345"/>
    <x v="107"/>
    <s v="USADO"/>
    <s v="GRIS GRAFITO"/>
    <s v="POR DEFINIR"/>
    <n v="18990000"/>
    <s v="Disponible"/>
    <x v="76"/>
    <x v="11"/>
    <s v="PREMIUM CAR SALES"/>
    <s v=""/>
    <s v="17495012502467"/>
    <s v="KPT40A1XSRP095912"/>
    <s v="AMAGMALU SPA"/>
    <s v="27-08-2026 0:00:00"/>
    <n v="1"/>
    <s v="27-08-2026 0:00:00"/>
    <s v="27-08-2026 11:24:54"/>
    <s v=""/>
    <n v="1"/>
    <n v="0"/>
    <s v=""/>
    <n v="0"/>
    <n v="15800000"/>
    <n v="366240"/>
    <n v="0"/>
    <n v="16166240"/>
    <n v="18990000"/>
    <n v="2823760"/>
    <n v="1487"/>
  </r>
  <r>
    <x v="2"/>
    <s v="LOCAL USADOS COPIAPO"/>
    <n v="0"/>
    <n v="0"/>
    <s v=""/>
    <s v=""/>
    <s v=""/>
    <s v=""/>
    <s v="06-04-2026 14:59:49"/>
    <s v=""/>
    <s v="9V8FF4HY1 RA800320"/>
    <x v="0"/>
    <x v="1"/>
    <x v="1"/>
    <s v="PELNDDHI4X422AT"/>
    <x v="2"/>
    <x v="57"/>
    <s v="TPECMTU000018"/>
    <x v="108"/>
    <s v="USADO"/>
    <s v="GRIS ALUMINIUM"/>
    <s v="POR DEFINIR"/>
    <n v="17990000"/>
    <s v="Disponible"/>
    <x v="7"/>
    <x v="5"/>
    <s v="BODEGA LOS CARRERA COPIAPO"/>
    <s v="AE,CC,EE,NB,AAC,ABS,LL,VC,AISO,AAUTO,CRE,ACD,SR,UD"/>
    <s v="10VRAC4001968"/>
    <s v="9V8FF4HY1 RA800320"/>
    <s v="RODRIGO ALEJANDRO FUENTES ARAYA"/>
    <s v="06-04-2026 0:00:00"/>
    <n v="1"/>
    <s v="06-04-2026 0:00:00"/>
    <s v="06-04-2026 14:59:18"/>
    <s v=""/>
    <n v="1"/>
    <n v="0"/>
    <s v=""/>
    <n v="0"/>
    <n v="16000000"/>
    <n v="369240"/>
    <n v="0"/>
    <n v="16369240"/>
    <n v="17990000"/>
    <n v="1620760"/>
    <n v="901"/>
  </r>
  <r>
    <x v="2"/>
    <s v="MEGACENTRO OVALLE"/>
    <n v="0"/>
    <n v="0"/>
    <s v=""/>
    <s v=""/>
    <s v=""/>
    <s v=""/>
    <s v="27-08-2026 16:15:36"/>
    <s v=""/>
    <s v="LVTDB11B6 TD091482"/>
    <x v="13"/>
    <x v="53"/>
    <x v="88"/>
    <s v="CHTGGO815"/>
    <x v="1"/>
    <x v="58"/>
    <s v="TCYSTWU000365"/>
    <x v="109"/>
    <s v="USADO"/>
    <s v="GRIS GRAFITO OSCURO"/>
    <s v="POR DEFINIR"/>
    <n v="11990000"/>
    <s v="Disponible"/>
    <x v="76"/>
    <x v="6"/>
    <s v="BODEGA OVALLEveih"/>
    <s v=""/>
    <s v="SQRE4T15CFFTA00029"/>
    <s v="LVTDB11B6 TD091482"/>
    <s v="SERGIO FERMIN GALLEGUILLOS MALDONADO"/>
    <s v="27-08-2026 0:00:00"/>
    <n v="1"/>
    <s v="27-08-2026 0:00:00"/>
    <s v="27-08-2026 16:09:39"/>
    <s v=""/>
    <n v="1"/>
    <n v="0"/>
    <s v=""/>
    <n v="0"/>
    <n v="10300000"/>
    <n v="283740"/>
    <n v="0"/>
    <n v="10583740"/>
    <n v="11990000"/>
    <n v="1406260"/>
    <n v="1173"/>
  </r>
  <r>
    <x v="2"/>
    <s v="MEGACENTRO OVALLE"/>
    <n v="0"/>
    <n v="0"/>
    <s v=""/>
    <s v=""/>
    <s v=""/>
    <s v=""/>
    <s v="03-07-2026 10:07:46"/>
    <s v=""/>
    <s v=".////+*+///++*..."/>
    <x v="2"/>
    <x v="35"/>
    <x v="89"/>
    <s v="FOTETI15AT"/>
    <x v="2"/>
    <x v="59"/>
    <s v="TFOSTWU001417"/>
    <x v="110"/>
    <s v="USADO"/>
    <s v="BLANCO METALICO"/>
    <s v="POR DEFINIR"/>
    <n v="15990000"/>
    <s v="Disponible"/>
    <x v="68"/>
    <x v="6"/>
    <s v="BODEGA OVALLEveih"/>
    <s v="AE,CC,EE,AAC,ABS,LL,VC,AISO,AAUTO,CRE,MAV,ACD,SR,U"/>
    <s v="R1G000717"/>
    <s v="LJXCU2BBXRTF55890"/>
    <s v="SEBASTIAN CERPA"/>
    <s v="03-07-2026 0:00:00"/>
    <n v="1"/>
    <s v="03-07-2026 0:00:00"/>
    <s v="03-07-2026 10:07:23"/>
    <s v=""/>
    <n v="1"/>
    <n v="0"/>
    <s v=""/>
    <n v="0"/>
    <n v="12600000"/>
    <n v="318240"/>
    <n v="0"/>
    <n v="12918240"/>
    <n v="15990000"/>
    <n v="3071760"/>
    <n v="1921"/>
  </r>
  <r>
    <x v="2"/>
    <s v="LOCAL PREMIUM CAR SALES"/>
    <n v="0"/>
    <n v="0"/>
    <s v=""/>
    <s v=""/>
    <s v=""/>
    <s v=""/>
    <s v="22-07-2026 16:29:47"/>
    <s v=""/>
    <s v="KMHSU81CAJU819741"/>
    <x v="18"/>
    <x v="54"/>
    <x v="90"/>
    <s v="20--THYSTF001"/>
    <x v="11"/>
    <x v="60"/>
    <s v="THYSTWU000555"/>
    <x v="111"/>
    <s v="USADO"/>
    <s v="BLANCO"/>
    <s v="POR DEFINIR"/>
    <n v="11990000"/>
    <s v="Disponible"/>
    <x v="77"/>
    <x v="7"/>
    <s v="PREMIUM CAR SALES"/>
    <s v="AE,CC,EE,ABS,LL,4AB,AC,AISO,AAUTO,CRE,MAV,ACD,SR,D"/>
    <s v="G4KEHA985578"/>
    <s v="KMHSU81CAJU819741"/>
    <s v="PAULINA ANDREA OÑATE ORTUVIA"/>
    <s v="22-07-2026 0:00:00"/>
    <n v="1"/>
    <s v="12-08-2026 15:58:00"/>
    <s v="12-08-2026 15:58:00"/>
    <s v=""/>
    <n v="3"/>
    <n v="0"/>
    <s v=""/>
    <n v="0"/>
    <n v="9200000"/>
    <n v="267240"/>
    <n v="0"/>
    <n v="9467240"/>
    <n v="11990000"/>
    <n v="2522760"/>
    <n v="2104"/>
  </r>
  <r>
    <x v="2"/>
    <s v="LOCAL PREMIUM CAR SALES"/>
    <n v="0"/>
    <n v="0"/>
    <s v=""/>
    <s v=""/>
    <s v=""/>
    <s v=""/>
    <s v="30-04-2024 14:05:18"/>
    <s v=""/>
    <s v="*/+--....../*...."/>
    <x v="16"/>
    <x v="55"/>
    <x v="91"/>
    <s v="VWA44"/>
    <x v="6"/>
    <x v="61"/>
    <s v="TVOCMTU000037"/>
    <x v="112"/>
    <s v="USADO"/>
    <s v="GRIS INDIO METALIZADO"/>
    <s v="POR DEFINIR"/>
    <n v="33190000"/>
    <s v="Disponible"/>
    <x v="78"/>
    <x v="7"/>
    <s v="PREMIUM CAR SALES"/>
    <s v="AE,CC,EE,NB,AAC,ABS,LL,TC,VC,ESP,SS,AISO,AAUTO,CRE"/>
    <s v="CSH 255654"/>
    <s v="WV1ZZZ2HZPA010091"/>
    <s v="INMOBILIA ROJAS ALVAREZ LTDA"/>
    <s v="30-04-2024 0:00:00"/>
    <n v="1"/>
    <s v="12-05-2025 17:38:00"/>
    <s v="12-05-2025 17:38:00"/>
    <s v=""/>
    <n v="0"/>
    <n v="0"/>
    <s v=""/>
    <n v="0"/>
    <n v="28500000"/>
    <n v="1097663"/>
    <n v="0"/>
    <n v="29597663"/>
    <n v="33190000"/>
    <n v="3592337"/>
    <n v="1082"/>
  </r>
  <r>
    <x v="2"/>
    <s v="LOCAL USADOS COPIAPO"/>
    <n v="0"/>
    <n v="0"/>
    <s v=""/>
    <s v=""/>
    <s v=""/>
    <s v=""/>
    <s v="28-11-2025 12:40:34"/>
    <s v=""/>
    <s v="SJNTAAJ12 PA121164"/>
    <x v="15"/>
    <x v="56"/>
    <x v="92"/>
    <s v="ASTR77"/>
    <x v="6"/>
    <x v="54"/>
    <s v="TNISTWU000600"/>
    <x v="113"/>
    <s v="USADO"/>
    <s v="BLANCO PERLA"/>
    <s v="POR DEFINIR"/>
    <n v="16490000"/>
    <s v="Disponible"/>
    <x v="79"/>
    <x v="5"/>
    <s v="BODEGA LOS CARRERA COPIAPO"/>
    <s v="AE,CC,EE,ABS,LL,VC,AC,AISO,AAUTO,CRE,MAV,ACD,SR,UD"/>
    <s v="HR13460529A"/>
    <s v="SJNTAAJ12 PA121164"/>
    <s v="PATRICIA JESUS PAYACAN PALACIOS"/>
    <s v="28-11-2025 0:00:00"/>
    <n v="1"/>
    <s v="04-06-2026 9:56:00"/>
    <s v="04-06-2026 9:56:00"/>
    <s v="30-06-2026 0:00:00"/>
    <n v="1"/>
    <n v="0"/>
    <s v=""/>
    <n v="0"/>
    <n v="15400000"/>
    <n v="566967"/>
    <n v="0"/>
    <n v="15966967"/>
    <n v="16490000"/>
    <n v="523033"/>
    <n v="317"/>
  </r>
  <r>
    <x v="2"/>
    <s v="LOCAL PREMIUM CAR SALES"/>
    <n v="0"/>
    <n v="0"/>
    <s v=""/>
    <s v=""/>
    <s v=""/>
    <s v=""/>
    <s v="31-07-2026 18:20:39"/>
    <s v=""/>
    <s v="SJNTAAJ12SA464098"/>
    <x v="15"/>
    <x v="56"/>
    <x v="92"/>
    <s v="ASTR77"/>
    <x v="2"/>
    <x v="62"/>
    <s v="TNISTWU000618"/>
    <x v="114"/>
    <s v="USADO"/>
    <s v="PLATEADO SATIN"/>
    <s v="POR DEFINIR"/>
    <n v="19290000"/>
    <s v="Disponible"/>
    <x v="69"/>
    <x v="11"/>
    <s v="PREMIUM CAR SALES"/>
    <s v="AE,CC,EE,AAC,ABS,LL,VC,4AB,AISO,AAUTO,CRE,MAV,ACD,"/>
    <s v="HR13693149A"/>
    <s v="SJNTAAJ12SA464098"/>
    <s v="PABLO JOSE ROBERTO GORMAZ AVILA"/>
    <s v="31-07-2026 0:00:00"/>
    <n v="1"/>
    <s v="31-07-2026 0:00:00"/>
    <s v="31-07-2026 18:13:15"/>
    <s v=""/>
    <n v="1"/>
    <n v="0"/>
    <s v=""/>
    <n v="0"/>
    <n v="17000000"/>
    <n v="0"/>
    <n v="0"/>
    <n v="17000000"/>
    <n v="19290000"/>
    <n v="2290000"/>
    <n v="1187"/>
  </r>
  <r>
    <x v="2"/>
    <s v="LOCAL PREMIUM CAR SALES"/>
    <n v="0"/>
    <n v="0"/>
    <s v=""/>
    <s v=""/>
    <s v=""/>
    <s v=""/>
    <s v="28-08-2026 18:17:56"/>
    <s v=""/>
    <s v="JF1SK7LL5KG017905"/>
    <x v="4"/>
    <x v="49"/>
    <x v="93"/>
    <s v="FCV1"/>
    <x v="7"/>
    <x v="63"/>
    <s v="TSUSTWU000405"/>
    <x v="115"/>
    <s v="USADO"/>
    <s v="BLANCO CRISTAL PERLADO"/>
    <s v="POR DEFINIR"/>
    <n v="17990000"/>
    <s v="Disponible"/>
    <x v="80"/>
    <x v="6"/>
    <s v="PREMIUM CAR SALES"/>
    <s v=""/>
    <s v="YG09464"/>
    <s v="JF1SK7LL5KG017905"/>
    <s v="PAULINA NICOL CHOCANO VERGARA"/>
    <s v="28-08-2026 0:00:00"/>
    <n v="1"/>
    <s v="28-08-2026 0:00:00"/>
    <s v="28-08-2026 18:17:31"/>
    <s v=""/>
    <n v="2"/>
    <n v="0"/>
    <s v=""/>
    <n v="0"/>
    <n v="15700000"/>
    <n v="364740"/>
    <n v="0"/>
    <n v="16064740"/>
    <n v="17990000"/>
    <n v="1925260"/>
    <n v="107"/>
  </r>
  <r>
    <x v="2"/>
    <s v="LOCAL USADOS COPIAPO"/>
    <n v="0"/>
    <n v="0"/>
    <s v=""/>
    <s v=""/>
    <s v=""/>
    <s v=""/>
    <s v="02-09-2026 17:54:42"/>
    <s v=""/>
    <s v="VR3KAHPY5 TS001135"/>
    <x v="0"/>
    <x v="45"/>
    <x v="94"/>
    <s v="PEU508MHEV12AT"/>
    <x v="1"/>
    <x v="64"/>
    <s v="TPESTWU000479"/>
    <x v="116"/>
    <s v="USADO"/>
    <s v="GRIS TITANE"/>
    <s v="POR DEFINIR"/>
    <n v="26990000"/>
    <s v="Disponible"/>
    <x v="81"/>
    <x v="6"/>
    <s v="BODEGA LOS CARRERA COPIAPO"/>
    <s v=""/>
    <s v="10ZA040115180"/>
    <s v="VR3KAHPY5 TS001135"/>
    <s v="ESTEBAN ARTURO  EXEQUIEL MOLINA SAN JUAN"/>
    <s v="02-09-2026 0:00:00"/>
    <n v="1"/>
    <s v="02-09-2026 0:00:00"/>
    <s v="02-09-2026 17:51:33"/>
    <s v=""/>
    <n v="1"/>
    <n v="0"/>
    <s v=""/>
    <n v="0"/>
    <n v="23200000"/>
    <n v="0"/>
    <n v="0"/>
    <n v="23200000"/>
    <n v="26990000"/>
    <n v="3790000"/>
    <n v="1404"/>
  </r>
  <r>
    <x v="2"/>
    <s v="LOCAL USADOS COPIAPO"/>
    <n v="0"/>
    <n v="0"/>
    <s v=""/>
    <s v=""/>
    <s v=""/>
    <s v=""/>
    <s v="06-02-2026 23:32:37"/>
    <s v=""/>
    <s v="98859125B TKS03533"/>
    <x v="19"/>
    <x v="57"/>
    <x v="95"/>
    <s v="RARAMCSLA4X420AT"/>
    <x v="0"/>
    <x v="65"/>
    <s v="TRACMTU000050"/>
    <x v="117"/>
    <s v="USADO"/>
    <s v="PLATEADO PLATA BILLET"/>
    <s v="POR DEFINIR"/>
    <n v="30990000"/>
    <s v="Disponible"/>
    <x v="82"/>
    <x v="5"/>
    <s v="BODEGA LOS CARRERA COPIAPO"/>
    <s v="AE,CC,EE,AAC,ABS,LL,VC,AC,AISO,AAUTO,CRE,MAV,ACD,S"/>
    <s v="463495081880130"/>
    <s v="98859125B TKS03533"/>
    <s v="BERNARDO MAURICIO CORTES AVALOS"/>
    <s v="06-02-2026 0:00:00"/>
    <n v="60226"/>
    <s v="06-02-2026 0:00:00"/>
    <s v="06-02-2026 23:31:06"/>
    <s v=""/>
    <n v="0"/>
    <n v="0"/>
    <s v=""/>
    <n v="0"/>
    <n v="29000000"/>
    <n v="561030"/>
    <n v="0"/>
    <n v="29561030"/>
    <n v="30990000"/>
    <n v="1428970"/>
    <n v="461"/>
  </r>
  <r>
    <x v="2"/>
    <s v="LOCAL USADOS COPIAPO"/>
    <n v="0"/>
    <n v="0"/>
    <s v=""/>
    <s v=""/>
    <s v=""/>
    <s v=""/>
    <s v="30-03-2026 13:25:15"/>
    <s v=""/>
    <s v="VF3MCYHZUNL000473"/>
    <x v="0"/>
    <x v="45"/>
    <x v="75"/>
    <s v="5008BH130"/>
    <x v="10"/>
    <x v="66"/>
    <s v="TPESTWU000450"/>
    <x v="118"/>
    <s v="USADO"/>
    <s v="GRIS PLATINIUM"/>
    <s v="POR DEFINIR"/>
    <n v="15490000"/>
    <s v="Disponible"/>
    <x v="83"/>
    <x v="5"/>
    <s v="BODEGA LOS CARRERA COPIAPO"/>
    <s v="AE,CC,EE,AAC,ABS,LL,VC,AISO,AAUTO,CRE,MAV,ACD,SR,U"/>
    <s v="10Q3EJ1170226"/>
    <s v="VF3MCYHZUNL000473"/>
    <s v="JESSICA ALEJANDRA MELLA TAPIA"/>
    <s v="30-03-2026 0:00:00"/>
    <n v="1"/>
    <s v="30-03-2026 0:00:00"/>
    <s v="30-03-2026 13:24:46"/>
    <s v=""/>
    <n v="1"/>
    <n v="0"/>
    <s v=""/>
    <n v="0"/>
    <n v="14600000"/>
    <n v="348240"/>
    <n v="0"/>
    <n v="14948240"/>
    <n v="15490000"/>
    <n v="541760"/>
    <n v="35"/>
  </r>
  <r>
    <x v="2"/>
    <s v="LOCAL PREMIUM CAR SALES"/>
    <n v="0"/>
    <n v="0"/>
    <s v=""/>
    <s v=""/>
    <s v=""/>
    <s v=""/>
    <s v="30-07-2026 19:21:11"/>
    <s v=""/>
    <s v="1FTFW1E53MFD11881"/>
    <x v="2"/>
    <x v="16"/>
    <x v="96"/>
    <s v="F150AUT"/>
    <x v="3"/>
    <x v="67"/>
    <s v="TFOCMTU001168"/>
    <x v="119"/>
    <s v="USADO"/>
    <s v="NEGRO UNIVERSO"/>
    <s v="POR DEFINIR"/>
    <n v="35990000"/>
    <s v="Disponible"/>
    <x v="84"/>
    <x v="5"/>
    <s v="PREMIUM CAR SALES"/>
    <s v="AE,CC,EE,AAC,ABS,LL,VC,AISO,AAUTO,CRE,MAV,ACD,SR,D"/>
    <s v="MFD11881"/>
    <s v="1FTFW1E53MFD11881"/>
    <s v="FELIPE ANDRES CARVAJAL MOLINA"/>
    <s v="30-07-2026 0:00:00"/>
    <n v="1"/>
    <s v="30-07-2026 0:00:00"/>
    <s v="30-07-2026 19:20:51"/>
    <s v=""/>
    <n v="3"/>
    <n v="0"/>
    <s v=""/>
    <n v="0"/>
    <n v="29200000"/>
    <n v="567240"/>
    <n v="0"/>
    <n v="29767240"/>
    <n v="35990000"/>
    <n v="6222760"/>
    <n v="1729"/>
  </r>
  <r>
    <x v="2"/>
    <s v="LOCAL PREMIUM CAR SALES"/>
    <n v="0"/>
    <n v="0"/>
    <s v=""/>
    <s v=""/>
    <s v=""/>
    <s v=""/>
    <s v="01-09-2026 15:31:58"/>
    <s v=""/>
    <s v="LSCBBZ2G3TG802268"/>
    <x v="20"/>
    <x v="58"/>
    <x v="97"/>
    <s v="CHAHUN4X420"/>
    <x v="1"/>
    <x v="68"/>
    <s v="TCGCMTU000006"/>
    <x v="120"/>
    <s v="USADO"/>
    <s v="GRIS"/>
    <s v="POR DEFINIR"/>
    <n v="17990000"/>
    <s v="Disponible"/>
    <x v="65"/>
    <x v="5"/>
    <s v="PREMIUM CAR SALES"/>
    <s v=""/>
    <s v="GW4D20M25171040038"/>
    <s v="LSCBBZ2G3TG802268"/>
    <s v="CLAUDIO ALFONSO ASTORGA PIZARRO"/>
    <s v="01-09-2026 0:00:00"/>
    <n v="1"/>
    <s v="01-09-2026 0:00:00"/>
    <s v="01-09-2026 15:29:54"/>
    <s v=""/>
    <n v="3"/>
    <n v="0"/>
    <s v=""/>
    <n v="0"/>
    <n v="15000000"/>
    <n v="354240"/>
    <n v="0"/>
    <n v="15354240"/>
    <n v="17990000"/>
    <n v="2635760"/>
    <n v="1465"/>
  </r>
  <r>
    <x v="2"/>
    <s v="LOCAL SALAMANCA"/>
    <n v="0"/>
    <n v="0"/>
    <s v=""/>
    <s v=""/>
    <s v=""/>
    <s v=""/>
    <s v="02-10-2025 17:10:39"/>
    <s v=""/>
    <s v="9V8FF4HY1RA800991"/>
    <x v="0"/>
    <x v="1"/>
    <x v="1"/>
    <s v="PELANHDI4X422AT"/>
    <x v="0"/>
    <x v="69"/>
    <s v="TPECMTU000016"/>
    <x v="121"/>
    <s v="USADO"/>
    <s v="GRIS ALUMINIUM"/>
    <s v="POR DEFINIR"/>
    <n v="20990000"/>
    <s v="Disponible"/>
    <x v="59"/>
    <x v="5"/>
    <s v="BODEGA VEHICULOS"/>
    <s v="AE,CC,EE,AAC,ABS,LL,VC,AISO,AAUTO,CRE,MAV,ACD,SR,U"/>
    <s v="10VRAC4002861"/>
    <s v="9V8FF4HY1RA800991"/>
    <s v="JONATHAN JAVIER LARA BARRAZA"/>
    <s v="02-10-2025 0:00:00"/>
    <n v="1"/>
    <s v="02-10-2025 0:00:00"/>
    <s v="02-10-2025 17:09:54"/>
    <s v=""/>
    <n v="1"/>
    <n v="0"/>
    <s v=""/>
    <n v="0"/>
    <n v="27929100"/>
    <n v="918614"/>
    <n v="0"/>
    <n v="28847714"/>
    <n v="20990000"/>
    <n v="-7857714"/>
    <n v="-3744"/>
  </r>
  <r>
    <x v="2"/>
    <s v="LOCAL PREMIUM CAR SALES"/>
    <n v="0"/>
    <n v="0"/>
    <s v=""/>
    <s v=""/>
    <s v=""/>
    <s v=""/>
    <s v="21-08-2026 11:05:21"/>
    <s v=""/>
    <s v="LEFEDDE13RTP05097"/>
    <x v="21"/>
    <x v="59"/>
    <x v="98"/>
    <s v="JMVIG4X420MT"/>
    <x v="0"/>
    <x v="70"/>
    <s v="TJMCMTU000018"/>
    <x v="122"/>
    <s v="USADO"/>
    <s v="BLANCO"/>
    <s v="POR DEFINIR"/>
    <n v="13990000"/>
    <s v="Disponible"/>
    <x v="67"/>
    <x v="6"/>
    <s v="PREMIUM CAR SALES"/>
    <s v=""/>
    <s v="PCP80797"/>
    <s v="LEFEDDE13RTP05097"/>
    <s v="CAM OBRAS DE INGENIERIA Y TRANSPORTES SPA"/>
    <s v="21-08-2026 0:00:00"/>
    <n v="1"/>
    <s v="21-08-2026 0:00:00"/>
    <s v="21-08-2026 10:58:54"/>
    <s v=""/>
    <n v="1"/>
    <n v="0"/>
    <s v=""/>
    <n v="0"/>
    <n v="11500000"/>
    <n v="301740"/>
    <n v="0"/>
    <n v="11801740"/>
    <n v="13990000"/>
    <n v="2188260"/>
    <n v="1564"/>
  </r>
  <r>
    <x v="2"/>
    <s v="MEGACENTRO OVALLE"/>
    <n v="0"/>
    <n v="0"/>
    <s v=""/>
    <s v=""/>
    <s v=""/>
    <s v=""/>
    <s v="27-08-2026 16:26:20"/>
    <s v=""/>
    <s v="93HGH8820 NK602565"/>
    <x v="22"/>
    <x v="60"/>
    <x v="99"/>
    <s v="HDWR02"/>
    <x v="3"/>
    <x v="71"/>
    <s v="THOSTWU000021"/>
    <x v="123"/>
    <s v="USADO"/>
    <s v="PLATEADO PLATA"/>
    <s v="POR DEFINIR"/>
    <n v="11990000"/>
    <s v="Disponible"/>
    <x v="76"/>
    <x v="6"/>
    <s v="BODEGA OVALLEveih"/>
    <s v=""/>
    <s v="L15Z92602574"/>
    <s v="93HGH8820 NK602565"/>
    <s v="CAROLINA DE LOS ANGELES SANTANDER ZEPEDA"/>
    <s v="27-08-2026 0:00:00"/>
    <n v="1"/>
    <s v="27-08-2026 0:00:00"/>
    <s v="27-08-2026 16:20:23"/>
    <s v=""/>
    <n v="3"/>
    <n v="0"/>
    <s v=""/>
    <n v="0"/>
    <n v="9600000"/>
    <n v="273240"/>
    <n v="0"/>
    <n v="9873240"/>
    <n v="11990000"/>
    <n v="2116760"/>
    <n v="1765"/>
  </r>
  <r>
    <x v="2"/>
    <s v="MEGACENTRO OVALLE"/>
    <n v="0"/>
    <n v="0"/>
    <s v=""/>
    <s v=""/>
    <s v=""/>
    <s v=""/>
    <s v="31-07-2026 18:45:47"/>
    <s v=""/>
    <s v="VF3MCYHZ4SS002342"/>
    <x v="0"/>
    <x v="39"/>
    <x v="100"/>
    <s v="3008 BH4"/>
    <x v="2"/>
    <x v="72"/>
    <s v="TPESTWU000470"/>
    <x v="124"/>
    <s v="USADO"/>
    <s v="BLANCO NACARADO"/>
    <s v="POR DEFINIR"/>
    <n v="16990000"/>
    <s v="Disponible"/>
    <x v="69"/>
    <x v="6"/>
    <s v="BODEGA OVALLEveih"/>
    <s v="AE,CC,EE,AAC,ABS,VC,AISO,AAUTO,CRE,MAV,SR,UD,DLL,6"/>
    <s v="10Q3EJ1917759"/>
    <s v="VF3MCYHZ4SS002342"/>
    <s v="JUAN PABLO PEÑA GAMBOA"/>
    <s v="31-07-2026 0:00:00"/>
    <n v="1"/>
    <s v="31-07-2026 0:00:00"/>
    <s v="31-07-2026 18:45:28"/>
    <s v=""/>
    <n v="1"/>
    <n v="0"/>
    <s v=""/>
    <n v="0"/>
    <n v="14250000"/>
    <n v="342990"/>
    <n v="0"/>
    <n v="14592990"/>
    <n v="16990000"/>
    <n v="2397010"/>
    <n v="1411"/>
  </r>
  <r>
    <x v="2"/>
    <s v="LOCAL PREMIUM CAR SALES"/>
    <n v="0"/>
    <n v="0"/>
    <s v=""/>
    <s v=""/>
    <s v=""/>
    <s v=""/>
    <s v="01-04-2026 18:18:58"/>
    <s v=""/>
    <s v="VF3MCYHZUSL001353"/>
    <x v="0"/>
    <x v="45"/>
    <x v="75"/>
    <s v="5008BH130"/>
    <x v="0"/>
    <x v="73"/>
    <s v="TPESTWU000451"/>
    <x v="125"/>
    <s v="USADO"/>
    <s v="BLANCO NACARADO"/>
    <s v="POR DEFINIR"/>
    <n v="24990000"/>
    <s v="Disponible"/>
    <x v="85"/>
    <x v="5"/>
    <s v="PREMIUM CAR SALES"/>
    <s v="AE,CC,EE,AAC,ABS,LL,VC,AISO,ACP,AAUTO,CRE,MAV,ACD,"/>
    <s v="10Q3EJ1989595"/>
    <s v="VF3MCYHZUSL001353"/>
    <s v="CAMILA MONSERRAT COLLAO CASTILLO"/>
    <s v="01-04-2026 0:00:00"/>
    <n v="1"/>
    <s v="01-04-2026 0:00:00"/>
    <s v="01-04-2026 18:18:30"/>
    <s v=""/>
    <n v="1"/>
    <n v="0"/>
    <s v=""/>
    <n v="0"/>
    <n v="23500000"/>
    <n v="481740"/>
    <n v="0"/>
    <n v="23981740"/>
    <n v="24990000"/>
    <n v="1008260"/>
    <n v="403"/>
  </r>
  <r>
    <x v="2"/>
    <s v="LOCAL PREMIUM CAR SALES"/>
    <n v="0"/>
    <n v="0"/>
    <s v=""/>
    <s v=""/>
    <s v=""/>
    <s v=""/>
    <s v="24-06-2026 18:46:03"/>
    <s v=""/>
    <s v="JN1TBAT32 PW008658"/>
    <x v="15"/>
    <x v="61"/>
    <x v="101"/>
    <s v="XTCV2"/>
    <x v="6"/>
    <x v="74"/>
    <s v="TNISTWU000616"/>
    <x v="126"/>
    <s v="USADO"/>
    <s v="BLANCO PERLA"/>
    <s v="POR DEFINIR"/>
    <n v="16990000"/>
    <s v="Disponible"/>
    <x v="86"/>
    <x v="1"/>
    <s v="PREMIUM CAR SALES"/>
    <s v="AE,CC,EE,ABS,LL,VC,AC,AISO,AAUTO,CRE,MAV,SR,DLL,6A"/>
    <s v="QR25766515M"/>
    <s v="JN1TBAT32 PW008658"/>
    <s v="JUDITH SOLANGE CORDOVA INOSTROZA"/>
    <s v="24-06-2026 0:00:00"/>
    <n v="1"/>
    <s v="24-06-2026 0:00:00"/>
    <s v="24-06-2026 18:45:17"/>
    <s v=""/>
    <n v="2"/>
    <n v="0"/>
    <s v=""/>
    <n v="0"/>
    <n v="13500000"/>
    <n v="331740"/>
    <n v="0"/>
    <n v="13831740"/>
    <n v="16990000"/>
    <n v="3158260"/>
    <n v="1859"/>
  </r>
  <r>
    <x v="2"/>
    <s v="LOCAL PREMIUM CAR SALES"/>
    <n v="0"/>
    <n v="0"/>
    <s v=""/>
    <s v=""/>
    <s v=""/>
    <s v=""/>
    <s v="01-09-2026 18:23:34"/>
    <s v=""/>
    <s v="JF1SK7LL5 NG163094"/>
    <x v="4"/>
    <x v="49"/>
    <x v="84"/>
    <s v="SF99"/>
    <x v="6"/>
    <x v="75"/>
    <s v="TSUSTWU000407"/>
    <x v="127"/>
    <s v="USADO"/>
    <s v="BLANCO CRISTAL PERLADO"/>
    <s v="POR DEFINIR"/>
    <n v="22490000"/>
    <s v="Disponible"/>
    <x v="65"/>
    <x v="13"/>
    <s v="PREMIUM CAR SALES"/>
    <s v="AE,CC,EE,AAC,ABS,LL,VC,AISO,AAUTO,CRE,MAV,ACD,SR,D"/>
    <s v="YS95225"/>
    <s v="JF1SK7LL5 NG163094"/>
    <s v="CARMEN PAZ CALABACERO MONROY"/>
    <s v="01-09-2026 0:00:00"/>
    <n v="1"/>
    <s v="01-09-2026 0:00:00"/>
    <s v="01-09-2026 18:22:37"/>
    <s v=""/>
    <n v="1"/>
    <n v="0"/>
    <s v=""/>
    <n v="0"/>
    <n v="19000000"/>
    <n v="414240"/>
    <n v="0"/>
    <n v="19414240"/>
    <n v="22490000"/>
    <n v="3075760"/>
    <n v="1368"/>
  </r>
  <r>
    <x v="2"/>
    <s v="LOCAL PREMIUM CAR SALES"/>
    <n v="0"/>
    <n v="0"/>
    <s v=""/>
    <s v=""/>
    <s v=""/>
    <s v=""/>
    <s v="20-08-2026 16:47:55"/>
    <s v=""/>
    <s v="JMYXNGF7WLZ800382"/>
    <x v="8"/>
    <x v="62"/>
    <x v="102"/>
    <s v="26--00001"/>
    <x v="10"/>
    <x v="76"/>
    <s v="TMISTWU000376"/>
    <x v="128"/>
    <s v="USADO"/>
    <s v="BLANCO"/>
    <s v="POR DEFINIR"/>
    <n v="11690000"/>
    <s v="Disponible"/>
    <x v="87"/>
    <x v="6"/>
    <s v="PREMIUM CAR SALES"/>
    <s v=""/>
    <s v="4J11 DB0391"/>
    <s v="JMYXNGF7WLZ800382"/>
    <s v="LUIS ROBERTO BRAVO FLORES"/>
    <s v="20-08-2026 0:00:00"/>
    <n v="1"/>
    <s v="20-08-2026 0:00:00"/>
    <s v="20-08-2026 16:46:57"/>
    <s v=""/>
    <n v="1"/>
    <n v="0"/>
    <s v=""/>
    <n v="0"/>
    <n v="10000000"/>
    <n v="279240"/>
    <n v="0"/>
    <n v="10279240"/>
    <n v="11690000"/>
    <n v="1410760"/>
    <n v="1207"/>
  </r>
  <r>
    <x v="2"/>
    <s v="MEGACENTRO OVALLE"/>
    <n v="0"/>
    <n v="0"/>
    <s v=""/>
    <s v=""/>
    <s v=""/>
    <s v=""/>
    <s v="23-02-2026 15:52:12"/>
    <s v=""/>
    <s v="MPBUR2366NX379509"/>
    <x v="2"/>
    <x v="8"/>
    <x v="103"/>
    <s v="FRR20"/>
    <x v="6"/>
    <x v="77"/>
    <s v="TFOCMTU001154"/>
    <x v="129"/>
    <s v="USADO"/>
    <s v="NEGRO ABSOLUTO"/>
    <s v="POR DEFINIR"/>
    <n v="28990000"/>
    <s v="Disponible"/>
    <x v="88"/>
    <x v="5"/>
    <s v="BODEGA OVALLEveih"/>
    <s v=""/>
    <s v="YN2SXM379509"/>
    <s v="MPBUR2366NX379509"/>
    <s v="SOCIEDAD AGRICOLA, GANADERA, FORESTAL Y DE TRANSPORTES SANTO TOMAS LIMITADA"/>
    <s v="23-02-2026 0:00:00"/>
    <n v="24"/>
    <s v="29-01-2026 0:00:00"/>
    <s v="18-03-2026 12:59:05"/>
    <s v=""/>
    <n v="0"/>
    <n v="0"/>
    <s v=""/>
    <n v="0"/>
    <n v="26500000"/>
    <n v="523530"/>
    <n v="0"/>
    <n v="27023530"/>
    <n v="28990000"/>
    <n v="1966470"/>
    <n v="678"/>
  </r>
  <r>
    <x v="2"/>
    <s v="MEGACENTRO OVALLE"/>
    <n v="0"/>
    <n v="0"/>
    <s v=""/>
    <s v=""/>
    <s v=""/>
    <s v=""/>
    <s v="03-07-2026 10:40:50"/>
    <s v=""/>
    <s v="KNAB3512A ST387629"/>
    <x v="3"/>
    <x v="9"/>
    <x v="13"/>
    <s v="MPI1"/>
    <x v="0"/>
    <x v="78"/>
    <s v="TKIAUTU002219"/>
    <x v="130"/>
    <s v="USADO"/>
    <s v="GRIS ASTRAL"/>
    <s v="POR DEFINIR"/>
    <n v="9990000"/>
    <s v="Disponible"/>
    <x v="68"/>
    <x v="5"/>
    <s v="BODEGA OVALLEveih"/>
    <s v="AE,CC,EE,2AB,ABS,AC,AISO,AAUTO,MAV,ACD,SR,UD,DLL"/>
    <s v="G4LASP091669"/>
    <s v="KNAB3512A ST387629"/>
    <s v="CARLA ALEJANDRA AGUIRRE LABARCA"/>
    <s v="03-07-2026 0:00:00"/>
    <n v="1"/>
    <s v="03-08-2026 16:36:00"/>
    <s v="03-08-2026 16:36:00"/>
    <s v=""/>
    <n v="1"/>
    <n v="0"/>
    <s v=""/>
    <n v="0"/>
    <n v="7900000"/>
    <n v="247740"/>
    <n v="0"/>
    <n v="8147740"/>
    <n v="9990000"/>
    <n v="1842260"/>
    <n v="1844"/>
  </r>
  <r>
    <x v="2"/>
    <s v="MEGACENTRO OVALLE"/>
    <n v="0"/>
    <n v="0"/>
    <s v=""/>
    <s v=""/>
    <s v=""/>
    <s v=""/>
    <s v="21-08-2026 13:11:16"/>
    <s v=""/>
    <s v="8ADUPHMEARG530932"/>
    <x v="0"/>
    <x v="63"/>
    <x v="104"/>
    <s v="22PT"/>
    <x v="2"/>
    <x v="79"/>
    <s v="TPEAUTU001173"/>
    <x v="131"/>
    <s v="USADO"/>
    <s v="BLANCO NACARADO"/>
    <s v="POR DEFINIR"/>
    <n v="9290000"/>
    <s v="Disponible"/>
    <x v="67"/>
    <x v="6"/>
    <s v="BODEGA OVALLEveih"/>
    <s v=""/>
    <s v="10VQAC0011345"/>
    <s v="8ADUPHMEARG530932"/>
    <s v="PABLO LEDEZMA FLORES"/>
    <s v="21-08-2026 0:00:00"/>
    <n v="1"/>
    <s v="21-08-2026 0:00:00"/>
    <s v="21-08-2026 13:10:38"/>
    <s v=""/>
    <n v="1"/>
    <n v="0"/>
    <s v=""/>
    <n v="0"/>
    <n v="7800000"/>
    <n v="246240"/>
    <n v="0"/>
    <n v="8046240"/>
    <n v="9290000"/>
    <n v="1243760"/>
    <n v="1339"/>
  </r>
  <r>
    <x v="2"/>
    <s v="LOCAL USADOS COPIAPO"/>
    <n v="0"/>
    <n v="0"/>
    <s v=""/>
    <s v=""/>
    <s v=""/>
    <s v=""/>
    <s v="21-08-2026 12:28:34"/>
    <s v=""/>
    <s v="LJD3BA1DAR0004801"/>
    <x v="3"/>
    <x v="51"/>
    <x v="86"/>
    <s v="KISONEX15MT"/>
    <x v="2"/>
    <x v="80"/>
    <s v="TKISTWU001344"/>
    <x v="132"/>
    <s v="USADO"/>
    <s v="ROJO ESCARLATA"/>
    <s v="POR DEFINIR"/>
    <n v="12990000"/>
    <s v="Disponible"/>
    <x v="67"/>
    <x v="5"/>
    <s v="BODEGA LOS CARRERA COPIAPO"/>
    <s v=""/>
    <s v="G4FLR1023506"/>
    <s v="LJD3BA1DAR0004801"/>
    <s v="ALBERTO ALEJANDRO PONCE URRIAGA"/>
    <s v="21-08-2026 0:00:00"/>
    <n v="1"/>
    <s v="21-08-2026 0:00:00"/>
    <s v="21-08-2026 12:28:02"/>
    <s v=""/>
    <n v="1"/>
    <n v="0"/>
    <s v=""/>
    <n v="0"/>
    <n v="10800000"/>
    <n v="291240"/>
    <n v="0"/>
    <n v="11091240"/>
    <n v="12990000"/>
    <n v="1898760"/>
    <n v="1462"/>
  </r>
  <r>
    <x v="2"/>
    <s v="LOCAL PREMIUM CAR SALES"/>
    <n v="0"/>
    <n v="0"/>
    <s v=""/>
    <s v=""/>
    <s v=""/>
    <s v=""/>
    <s v="08-08-2026 12:05:04"/>
    <s v=""/>
    <s v="LVZA53P95 NA118160"/>
    <x v="11"/>
    <x v="64"/>
    <x v="105"/>
    <s v="DF707"/>
    <x v="3"/>
    <x v="23"/>
    <s v="TDFSTWU000057"/>
    <x v="133"/>
    <s v="USADO"/>
    <s v="BLANCO"/>
    <s v="POR DEFINIR"/>
    <n v="7990000"/>
    <s v="Disponible"/>
    <x v="89"/>
    <x v="6"/>
    <s v="PREMIUM CAR SALES"/>
    <s v="AE,CC,EE,2AB,ABS,LL,AC,AISO,AAUTO,ACD,SR,UD,DLL"/>
    <s v="SFG18-22326312"/>
    <s v="LVZA53P95 NA118160"/>
    <s v="MAURICIO NICOLAS SEPULVEDA ROJAS"/>
    <s v="08-08-2026 0:00:00"/>
    <n v="1"/>
    <s v="08-08-2026 0:00:00"/>
    <s v="08-08-2026 12:04:31"/>
    <s v=""/>
    <n v="1"/>
    <n v="0"/>
    <s v=""/>
    <n v="0"/>
    <n v="6500000"/>
    <n v="0"/>
    <n v="0"/>
    <n v="6500000"/>
    <n v="7990000"/>
    <n v="1490000"/>
    <n v="1865"/>
  </r>
  <r>
    <x v="2"/>
    <s v="LOCAL PREMIUM CAR SALES"/>
    <n v="0"/>
    <n v="0"/>
    <s v=""/>
    <s v=""/>
    <s v=""/>
    <s v=""/>
    <s v="03-07-2026 10:47:40"/>
    <s v=""/>
    <s v="W0V7D9EB1N4000192"/>
    <x v="1"/>
    <x v="29"/>
    <x v="106"/>
    <s v="OPCROSS12TMT"/>
    <x v="10"/>
    <x v="81"/>
    <s v="TOPSTWU000017"/>
    <x v="134"/>
    <s v="USADO"/>
    <s v="BLANCO JADE"/>
    <s v="POR DEFINIR"/>
    <n v="8490000"/>
    <s v="Disponible"/>
    <x v="68"/>
    <x v="1"/>
    <s v="PREMIUM CAR SALES"/>
    <s v="AE,CC,EE,ABS,LL,4AB,AC,AISO,AAUTO,ACD,SR,DLL"/>
    <s v="10Z1AB0053282"/>
    <s v="W0V7D9EB1N4000192"/>
    <s v="MANUEL ANTONIO HUERTA LAYANA"/>
    <s v="03-07-2026 0:00:00"/>
    <n v="1"/>
    <s v="03-07-2026 0:00:00"/>
    <s v="03-07-2026 10:46:23"/>
    <s v=""/>
    <n v="1"/>
    <n v="0"/>
    <s v=""/>
    <n v="0"/>
    <n v="5000000"/>
    <n v="204240"/>
    <n v="0"/>
    <n v="5204240"/>
    <n v="8490000"/>
    <n v="3285760"/>
    <n v="387"/>
  </r>
  <r>
    <x v="2"/>
    <s v="LOCAL USADOS COPIAPO"/>
    <n v="0"/>
    <n v="0"/>
    <s v=""/>
    <s v=""/>
    <s v=""/>
    <s v=""/>
    <s v="18-03-2026 11:24:08"/>
    <s v=""/>
    <s v="JMYXTGM4W NZ000993"/>
    <x v="8"/>
    <x v="62"/>
    <x v="107"/>
    <s v="MIOUTGL25AT"/>
    <x v="6"/>
    <x v="82"/>
    <s v="TMISTWU000370"/>
    <x v="135"/>
    <s v="USADO"/>
    <s v="AZUL METALICO"/>
    <s v="POR DEFINIR"/>
    <n v="16490000"/>
    <s v="Disponible"/>
    <x v="90"/>
    <x v="11"/>
    <s v="BODEGA LOS CARRERA COPIAPO"/>
    <s v="AE,CC,EE,AAC,ABS,LL,VC,AISO,AAUTO,CRE,MAV,ACD,SR,U"/>
    <s v="PR25 251342"/>
    <s v="JMYXTGM4W NZ000993"/>
    <s v="DANIELA ALEJANDRA DONAIRE FREDES"/>
    <s v="18-03-2026 0:00:00"/>
    <n v="1"/>
    <s v="18-03-2026 0:00:00"/>
    <s v="18-03-2026 11:23:40"/>
    <s v="30-11-2027 0:00:00"/>
    <n v="1"/>
    <n v="0"/>
    <s v=""/>
    <n v="0"/>
    <n v="15200000"/>
    <n v="354030"/>
    <n v="0"/>
    <n v="15554030"/>
    <n v="16490000"/>
    <n v="935970"/>
    <n v="568"/>
  </r>
  <r>
    <x v="2"/>
    <s v="LOCAL USADOS"/>
    <n v="0"/>
    <n v="0"/>
    <s v=""/>
    <s v=""/>
    <s v=""/>
    <s v=""/>
    <s v="03-01-2017 1:36:33"/>
    <s v=""/>
    <s v="LGHT12173E9700288"/>
    <x v="11"/>
    <x v="65"/>
    <x v="108"/>
    <s v="2012--CARGOBOX1"/>
    <x v="12"/>
    <x v="1"/>
    <s v="TDFCMTU000001"/>
    <x v="136"/>
    <s v="USADO"/>
    <s v="BLANCO"/>
    <s v="NO DEFINIDO"/>
    <n v="3490000"/>
    <s v="Disponible"/>
    <x v="91"/>
    <x v="9"/>
    <s v="BODEGA VEHICULOS"/>
    <s v=""/>
    <s v="EQ474I-3013074700"/>
    <s v="LGHT12173E9700288"/>
    <s v="SOCIEDAD HERMANAS CALLEGARI LTDA"/>
    <s v="04-06-2014 0:00:00"/>
    <n v="0"/>
    <s v=""/>
    <s v=""/>
    <s v="04-06-2014 0:00:00"/>
    <n v="0"/>
    <n v="0"/>
    <s v=""/>
    <n v="0"/>
    <n v="82597"/>
    <n v="4016851"/>
    <n v="0"/>
    <n v="4099448"/>
    <n v="3490000"/>
    <n v="-609448"/>
    <n v="-1746"/>
  </r>
  <r>
    <x v="2"/>
    <s v="LOCAL PREMIUM CAR SALES"/>
    <n v="0"/>
    <n v="0"/>
    <s v=""/>
    <s v=""/>
    <s v=""/>
    <s v=""/>
    <s v="01-09-2026 17:17:23"/>
    <s v=""/>
    <s v="LVVDB11B8 PE009758"/>
    <x v="13"/>
    <x v="66"/>
    <x v="109"/>
    <s v="T2PU"/>
    <x v="6"/>
    <x v="83"/>
    <s v="TCYSTWU000366"/>
    <x v="137"/>
    <s v="USADO"/>
    <s v="GRIS PLATA"/>
    <s v="POR DEFINIR"/>
    <n v="7890000"/>
    <s v="Disponible"/>
    <x v="65"/>
    <x v="5"/>
    <s v="PREMIUM CAR SALES"/>
    <s v=""/>
    <s v="SQRD4G15BYNF61167"/>
    <s v="LVVDB11B8 PE009758"/>
    <s v="CATALINA ESTER CARVAJAL CARVAJAL"/>
    <s v="01-09-2026 0:00:00"/>
    <n v="1"/>
    <s v="01-09-2026 0:00:00"/>
    <s v="01-09-2026 17:15:14"/>
    <s v=""/>
    <n v="1"/>
    <n v="0"/>
    <s v=""/>
    <n v="0"/>
    <n v="6500000"/>
    <n v="226740"/>
    <n v="0"/>
    <n v="6726740"/>
    <n v="7890000"/>
    <n v="1163260"/>
    <n v="1474"/>
  </r>
  <r>
    <x v="2"/>
    <s v="LOCAL USADOS COPIAPO"/>
    <n v="0"/>
    <n v="0"/>
    <s v=""/>
    <s v=""/>
    <s v=""/>
    <s v=""/>
    <s v="09-09-2026 17:44:34"/>
    <s v=""/>
    <s v="@@....+.+.//.+@.+"/>
    <x v="20"/>
    <x v="67"/>
    <x v="110"/>
    <s v="CHANMS201DCAB12"/>
    <x v="6"/>
    <x v="84"/>
    <s v="TCGCMTU000007"/>
    <x v="138"/>
    <s v="USADO"/>
    <s v="BLANCO"/>
    <s v="POR DEFINIR"/>
    <n v="6290000"/>
    <s v="Disponible"/>
    <x v="92"/>
    <x v="6"/>
    <s v="BODEGA LOS CARRERA COPIAPO"/>
    <s v=""/>
    <s v="JL473QN30F506261"/>
    <s v="LSCAB23R1PG800690"/>
    <s v="MAURICIO GILBERTO MONTERO GARCIA"/>
    <s v="09-09-2026 0:00:00"/>
    <n v="1"/>
    <s v="09-09-2026 0:00:00"/>
    <s v="09-09-2026 17:43:48"/>
    <s v=""/>
    <n v="1"/>
    <n v="0"/>
    <s v=""/>
    <n v="0"/>
    <n v="5100000"/>
    <n v="205740"/>
    <n v="0"/>
    <n v="5305740"/>
    <n v="6290000"/>
    <n v="984260"/>
    <n v="1565"/>
  </r>
  <r>
    <x v="2"/>
    <s v="LOCAL PREMIUM CAR SALES"/>
    <n v="0"/>
    <n v="0"/>
    <s v=""/>
    <s v=""/>
    <s v=""/>
    <s v=""/>
    <s v="03-10-2025 17:16:55"/>
    <s v=""/>
    <s v="/////**++**++////"/>
    <x v="14"/>
    <x v="68"/>
    <x v="111"/>
    <s v="MZCX60PR4X433AT"/>
    <x v="0"/>
    <x v="85"/>
    <s v="TMASTWU000104"/>
    <x v="139"/>
    <s v="USADO"/>
    <s v="ROJO CRISTAL"/>
    <s v="POR DEFINIR"/>
    <n v="36990000"/>
    <s v="Disponible"/>
    <x v="93"/>
    <x v="5"/>
    <s v="PREMIUM CAR SALES"/>
    <s v="AE,EE,AAC,ABS,LL,TC,VC,AISO,ACP,AAUTO,AELE,CRE,MAV"/>
    <s v="H3 10225780"/>
    <s v="JM7KH1HD2R1101438"/>
    <s v="ISABEL SOLEDAD CORTES DURAN"/>
    <s v="03-10-2025 0:00:00"/>
    <n v="1"/>
    <s v="06-11-2025 11:25:00"/>
    <s v="06-11-2025 11:25:00"/>
    <s v=""/>
    <n v="1"/>
    <n v="0"/>
    <s v=""/>
    <n v="0"/>
    <n v="38000000"/>
    <n v="1283058"/>
    <n v="0"/>
    <n v="39283058"/>
    <n v="36990000"/>
    <n v="-2293058"/>
    <n v="-62"/>
  </r>
  <r>
    <x v="2"/>
    <s v="LOCAL PREMIUM CAR SALES"/>
    <n v="0"/>
    <n v="0"/>
    <s v=""/>
    <s v=""/>
    <s v=""/>
    <s v=""/>
    <s v="16-06-2026 11:24:56"/>
    <s v=""/>
    <s v="//../+*+///++*..."/>
    <x v="23"/>
    <x v="69"/>
    <x v="112"/>
    <s v="CTV7"/>
    <x v="2"/>
    <x v="86"/>
    <s v="TCHSTWU000322"/>
    <x v="140"/>
    <s v="USADO"/>
    <s v="BLANCO"/>
    <s v="POR DEFINIR"/>
    <n v="14590000"/>
    <s v="Disponible"/>
    <x v="94"/>
    <x v="5"/>
    <s v="PREMIUM CAR SALES"/>
    <s v="AE,CC,EE,ABS,4AB,AC,AISO,AAUTO,CRE,MAV,ACD,SR,DLL"/>
    <s v="LJO 18P10620606"/>
    <s v="LZWADAGA8PB061976"/>
    <s v="CLAUDIA CRISTINA SOTO GONZALEZ"/>
    <s v="16-06-2026 0:00:00"/>
    <n v="1"/>
    <s v="16-06-2026 0:00:00"/>
    <s v="16-06-2026 11:24:29"/>
    <s v=""/>
    <n v="1"/>
    <n v="0"/>
    <s v=""/>
    <n v="8"/>
    <n v="12400000"/>
    <n v="315240"/>
    <n v="0"/>
    <n v="12715240"/>
    <n v="14590000"/>
    <n v="1874760"/>
    <n v="1285"/>
  </r>
  <r>
    <x v="2"/>
    <s v="LOCAL USADOS"/>
    <n v="0"/>
    <n v="0"/>
    <s v=""/>
    <s v=""/>
    <s v=""/>
    <s v=""/>
    <s v="04-03-2025 17:16:08"/>
    <s v=""/>
    <s v="LVVDB21B8SD022028"/>
    <x v="9"/>
    <x v="21"/>
    <x v="71"/>
    <s v="OMC515AT"/>
    <x v="0"/>
    <x v="87"/>
    <s v="TOMOSTWU000003"/>
    <x v="141"/>
    <s v="USADO"/>
    <s v="BLANCO"/>
    <s v="POR DEFINIR"/>
    <n v="11290000"/>
    <s v="Disponible"/>
    <x v="95"/>
    <x v="1"/>
    <s v="BODEGA VEHICULOS"/>
    <s v="AE,CC,EE,NB,AAC,ABS,LL,AISO,AAUTO,CRE,MAV,ACD,UD,G"/>
    <s v="SQRE4T15CCHRD00089"/>
    <s v="LVVDB21B8SD022028"/>
    <s v="ANDREA ALEJANDRA LIBERON LIBERON"/>
    <s v="04-03-2025 0:00:00"/>
    <n v="1"/>
    <s v="04-03-2025 0:00:00"/>
    <s v="04-03-2025 17:00:37"/>
    <s v=""/>
    <n v="1"/>
    <n v="0"/>
    <s v=""/>
    <n v="0"/>
    <n v="10300000"/>
    <n v="280530"/>
    <n v="0"/>
    <n v="10580530"/>
    <n v="11290000"/>
    <n v="709470"/>
    <n v="628"/>
  </r>
  <r>
    <x v="2"/>
    <s v="LOCAL PREMIUM CAR SALES"/>
    <n v="0"/>
    <n v="0"/>
    <s v=""/>
    <s v=""/>
    <s v=""/>
    <s v=""/>
    <s v="22-06-2026 11:10:18"/>
    <s v=""/>
    <s v="MK2XTGR1WTN011282"/>
    <x v="8"/>
    <x v="70"/>
    <x v="113"/>
    <s v="MIOUTSPGL15AT"/>
    <x v="1"/>
    <x v="88"/>
    <s v="TMISTWU000375"/>
    <x v="142"/>
    <s v="USADO"/>
    <s v="BLANCO"/>
    <s v="POR DEFINIR"/>
    <n v="17490000"/>
    <s v="Disponible"/>
    <x v="72"/>
    <x v="1"/>
    <s v="PREMIUM CAR SALES"/>
    <s v="AE,CC,EE,AAC,ABS,LL,AISO,AAUTO,CRE,MAV,ACD,SR,UD,D"/>
    <s v="4A91 KDG5559"/>
    <s v="MK2XTGR1WTN011282"/>
    <s v="IVANY DEL ROSARIO ARARAT NAVA"/>
    <s v="22-06-2026 0:00:00"/>
    <n v="1"/>
    <s v="22-06-2026 0:00:00"/>
    <s v="22-06-2026 11:09:53"/>
    <s v=""/>
    <n v="1"/>
    <n v="0"/>
    <s v=""/>
    <n v="0"/>
    <n v="15000000"/>
    <n v="354240"/>
    <n v="0"/>
    <n v="15354240"/>
    <n v="17490000"/>
    <n v="2135760"/>
    <n v="1221"/>
  </r>
  <r>
    <x v="2"/>
    <s v="LOCAL PREMIUM CAR SALES"/>
    <n v="0"/>
    <n v="0"/>
    <s v=""/>
    <s v=""/>
    <s v=""/>
    <s v=""/>
    <s v="30-05-2026 13:15:09"/>
    <s v=""/>
    <s v="LVPC52898 TCB00699"/>
    <x v="11"/>
    <x v="71"/>
    <x v="114"/>
    <s v="DF600PHEV4X215AT"/>
    <x v="1"/>
    <x v="89"/>
    <s v="TDFSTWU000056"/>
    <x v="143"/>
    <s v="USADO"/>
    <s v="GRIS CLARO"/>
    <s v="POR DEFINIR"/>
    <n v="18990000"/>
    <s v="Disponible"/>
    <x v="96"/>
    <x v="11"/>
    <s v="PREMIUM CAR SALES"/>
    <s v="AE,CC,EE,AAC,ABS,LL,VC,AISO,AAUTO,CRE,MAV,ACD,SR,U"/>
    <s v="F31A 125003402"/>
    <s v="LVPC52898 TCB00699"/>
    <s v="EMILIO ANDRES ORDENES ROJAS"/>
    <s v="30-05-2026 0:00:00"/>
    <n v="1"/>
    <s v="30-05-2026 0:00:00"/>
    <s v="30-05-2026 13:12:38"/>
    <s v=""/>
    <n v="1"/>
    <n v="0"/>
    <s v=""/>
    <n v="0"/>
    <n v="16500000"/>
    <n v="376740"/>
    <n v="0"/>
    <n v="16876740"/>
    <n v="18990000"/>
    <n v="2113260"/>
    <n v="1113"/>
  </r>
  <r>
    <x v="2"/>
    <s v="LOCAL USADOS COPIAPO"/>
    <n v="0"/>
    <n v="0"/>
    <s v=""/>
    <s v=""/>
    <s v=""/>
    <s v=""/>
    <s v="28-04-2026 13:25:38"/>
    <s v=""/>
    <s v="LVVDD21B9RC025336"/>
    <x v="24"/>
    <x v="72"/>
    <x v="115"/>
    <s v="JA716ATSUMMIT"/>
    <x v="0"/>
    <x v="86"/>
    <s v="TJAESTWU000006"/>
    <x v="144"/>
    <s v="USADO"/>
    <s v="BLANCO AURA"/>
    <s v="POR DEFINIR"/>
    <n v="17990000"/>
    <s v="Disponible"/>
    <x v="97"/>
    <x v="5"/>
    <s v="BODEGA LOS CARRERA COPIAPO"/>
    <s v="AE,CC,EE,NB,AAC,ABS,LL,VC,AISO,AAUTO,CRE,MAV,ACD,S"/>
    <s v="SQRF4J16CAMRA00471"/>
    <s v="LVVDD21B9RC025336"/>
    <s v="TRANSPORTE DOBLE C SPA"/>
    <s v="28-04-2026 0:00:00"/>
    <n v="1"/>
    <s v="28-04-2026 0:00:00"/>
    <s v="28-04-2026 13:24:50"/>
    <s v=""/>
    <n v="2"/>
    <n v="0"/>
    <s v=""/>
    <n v="0"/>
    <n v="17500000"/>
    <n v="391740"/>
    <n v="0"/>
    <n v="17891740"/>
    <n v="17990000"/>
    <n v="98260"/>
    <n v="55"/>
  </r>
  <r>
    <x v="2"/>
    <s v="LOCAL USADOS COPIAPO"/>
    <n v="0"/>
    <n v="0"/>
    <s v=""/>
    <s v=""/>
    <s v=""/>
    <s v=""/>
    <s v="22-10-2025 9:20:00"/>
    <s v=""/>
    <s v="LVVDB11B7 MD082945"/>
    <x v="13"/>
    <x v="73"/>
    <x v="116"/>
    <s v="T315"/>
    <x v="10"/>
    <x v="90"/>
    <s v="TCYSTWU000320"/>
    <x v="145"/>
    <s v="USADO"/>
    <s v="AZUL METALIZADO"/>
    <s v="POR DEFINIR"/>
    <n v="8190000"/>
    <s v="Disponible"/>
    <x v="98"/>
    <x v="14"/>
    <s v="BODEGA LOS CARRERA COPIAPO"/>
    <s v="AE,CC,EE,ABS,LL,4AB,AC,AISO,AAUTO,CRE,ACD,SR,UD,DL"/>
    <s v="SQRE4G15BATMC00062"/>
    <s v="LVVDB11B7 MD082945"/>
    <s v="MILENKA SUSANA NEGRON CABALLERO"/>
    <s v="22-10-2025 0:00:00"/>
    <n v="1"/>
    <s v="22-10-2025 0:00:00"/>
    <s v="22-10-2025 9:19:18"/>
    <s v="30-04-2026 0:00:00"/>
    <n v="1"/>
    <n v="0"/>
    <s v=""/>
    <n v="0"/>
    <n v="6200000"/>
    <n v="219030"/>
    <n v="0"/>
    <n v="6419030"/>
    <n v="8190000"/>
    <n v="1770970"/>
    <n v="2162"/>
  </r>
  <r>
    <x v="2"/>
    <s v="LOCAL USADOS COPIAPO"/>
    <n v="0"/>
    <n v="0"/>
    <s v=""/>
    <s v=""/>
    <s v=""/>
    <s v=""/>
    <s v="27-08-2026 16:56:25"/>
    <s v=""/>
    <s v="LJ12EKS23L4704688"/>
    <x v="7"/>
    <x v="74"/>
    <x v="117"/>
    <s v="JCS4MT16"/>
    <x v="7"/>
    <x v="91"/>
    <s v="TJAAUTU000019"/>
    <x v="146"/>
    <s v="USADO"/>
    <s v="CAFE"/>
    <s v="POR DEFINIR"/>
    <n v="7490000"/>
    <s v="Disponible"/>
    <x v="76"/>
    <x v="6"/>
    <s v="BODEGA LOS CARRERA COPIAPO"/>
    <s v=""/>
    <s v="K3349415"/>
    <s v="LJ12EKS23L4704688"/>
    <s v="RODE PRISCILA PEREZ CASTILLO"/>
    <s v="27-08-2026 0:00:00"/>
    <n v="1"/>
    <s v="27-08-2026 0:00:00"/>
    <s v="27-08-2026 16:50:52"/>
    <s v=""/>
    <n v="1"/>
    <n v="0"/>
    <s v=""/>
    <n v="0"/>
    <n v="5000000"/>
    <n v="204240"/>
    <n v="0"/>
    <n v="5204240"/>
    <n v="7490000"/>
    <n v="2285760"/>
    <n v="3052"/>
  </r>
  <r>
    <x v="2"/>
    <s v="MEGACENTRO OVALLE"/>
    <n v="0"/>
    <n v="0"/>
    <s v=""/>
    <s v=""/>
    <s v=""/>
    <s v=""/>
    <s v="26-08-2026 8:56:42"/>
    <s v=""/>
    <s v="LVTDD24B6PD052148"/>
    <x v="25"/>
    <x v="75"/>
    <x v="118"/>
    <s v="EXETXLUNL4WD20AUT"/>
    <x v="2"/>
    <x v="92"/>
    <s v="TEXESTWU000007"/>
    <x v="147"/>
    <s v="USADO"/>
    <s v="GRIS AIRLAIN"/>
    <s v="POR DEFINIR"/>
    <n v="17490000"/>
    <s v="Disponible"/>
    <x v="99"/>
    <x v="6"/>
    <s v="BODEGA OVALLEveih"/>
    <s v=""/>
    <s v="SQRF4J20CADNF00483"/>
    <s v="LVTDD24B6PD052148"/>
    <s v="MARIA LORETO ACUÑA JARAMILLO"/>
    <s v="26-08-2026 0:00:00"/>
    <n v="1"/>
    <s v="26-08-2026 0:00:00"/>
    <s v="26-08-2026 8:52:27"/>
    <s v=""/>
    <n v="1"/>
    <n v="0"/>
    <s v=""/>
    <n v="0"/>
    <n v="15000000"/>
    <n v="354240"/>
    <n v="0"/>
    <n v="15354240"/>
    <n v="17490000"/>
    <n v="2135760"/>
    <n v="1221"/>
  </r>
  <r>
    <x v="2"/>
    <s v="LOCAL PREMIUM CAR SALES"/>
    <n v="0"/>
    <n v="0"/>
    <s v=""/>
    <s v=""/>
    <s v=""/>
    <s v=""/>
    <s v="09-09-2026 15:56:42"/>
    <s v=""/>
    <s v="@.++/+.+@@//+.//@"/>
    <x v="7"/>
    <x v="76"/>
    <x v="119"/>
    <s v="JCS2CE154X2MT"/>
    <x v="7"/>
    <x v="93"/>
    <s v="TJASTWU000028"/>
    <x v="148"/>
    <s v="USADO"/>
    <s v="PLATEADO PLATA"/>
    <s v="POR DEFINIR"/>
    <n v="6390000"/>
    <s v="Disponible"/>
    <x v="92"/>
    <x v="6"/>
    <s v="PREMIUM CAR SALES"/>
    <s v=""/>
    <s v="K3352416"/>
    <s v="LJ12EKR27L4006977"/>
    <s v="MARCELA CRISTINA AYLWIN FUENTEALBA"/>
    <s v="09-09-2026 0:00:00"/>
    <n v="1"/>
    <s v="09-09-2026 0:00:00"/>
    <s v="09-09-2026 15:54:51"/>
    <s v=""/>
    <n v="1"/>
    <n v="0"/>
    <s v=""/>
    <n v="0"/>
    <n v="5000000"/>
    <n v="204240"/>
    <n v="0"/>
    <n v="5204240"/>
    <n v="6390000"/>
    <n v="1185760"/>
    <n v="1856"/>
  </r>
  <r>
    <x v="2"/>
    <s v="LOCAL PREMIUM CAR SALES"/>
    <n v="0"/>
    <n v="0"/>
    <s v=""/>
    <s v=""/>
    <s v=""/>
    <s v=""/>
    <s v="27-06-2026 13:10:51"/>
    <s v=""/>
    <s v="8AFAR23WX PJ298172"/>
    <x v="2"/>
    <x v="8"/>
    <x v="120"/>
    <s v="785463"/>
    <x v="6"/>
    <x v="94"/>
    <s v="TFOCMTU001165"/>
    <x v="149"/>
    <s v="USADO"/>
    <s v="GRIS MERCURIO"/>
    <s v="POR DEFINIR"/>
    <n v="24990000"/>
    <s v="Disponible"/>
    <x v="70"/>
    <x v="5"/>
    <s v="PREMIUM CAR SALES"/>
    <s v="AE,CC,EE,ABS,LL,VC,AC,AISO,AAUTO,CRE,MAV,ACD,SR,UD"/>
    <s v="SA2SPJ298172"/>
    <s v="8AFAR23WX PJ298172"/>
    <s v="AGRICOLA LAS DOS MARIAS S.A."/>
    <s v="27-06-2026 0:00:00"/>
    <n v="1"/>
    <s v="27-06-2026 0:00:00"/>
    <s v="27-06-2026 13:07:30"/>
    <s v=""/>
    <n v="1"/>
    <n v="0"/>
    <s v=""/>
    <n v="0"/>
    <n v="19700000"/>
    <n v="424740"/>
    <n v="0"/>
    <n v="20124740"/>
    <n v="24990000"/>
    <n v="4865260"/>
    <n v="1947"/>
  </r>
  <r>
    <x v="2"/>
    <s v="LOCAL PREMIUM CAR SALES"/>
    <n v="0"/>
    <n v="0"/>
    <s v=""/>
    <s v=""/>
    <s v=""/>
    <s v=""/>
    <s v="14-09-2026 16:32:24"/>
    <s v=""/>
    <s v="VF3MCYHZU RS002687"/>
    <x v="0"/>
    <x v="39"/>
    <x v="100"/>
    <s v="3008 BH4"/>
    <x v="6"/>
    <x v="95"/>
    <s v="TPESTWU000480"/>
    <x v="150"/>
    <s v="USADO"/>
    <s v="BLANCO NACARADO"/>
    <s v="POR DEFINIR"/>
    <n v="15790000"/>
    <s v="Disponible"/>
    <x v="100"/>
    <x v="6"/>
    <s v="PREMIUM CAR SALES"/>
    <s v=""/>
    <s v="10Q3EJ1692882"/>
    <s v="VF3MCYHZU RS002687"/>
    <s v="CELSO IVAN CARTER OPAZO"/>
    <s v="14-09-2026 0:00:00"/>
    <n v="1"/>
    <s v="14-09-2026 0:00:00"/>
    <s v="14-09-2026 16:29:53"/>
    <s v=""/>
    <n v="1"/>
    <n v="0"/>
    <s v=""/>
    <n v="0"/>
    <n v="13200000"/>
    <n v="327240"/>
    <n v="0"/>
    <n v="13527240"/>
    <n v="15790000"/>
    <n v="2262760"/>
    <n v="1433"/>
  </r>
  <r>
    <x v="2"/>
    <s v="MEGACENTRO OVALLE"/>
    <n v="0"/>
    <n v="0"/>
    <s v=""/>
    <s v=""/>
    <s v=""/>
    <s v=""/>
    <s v="01-09-2026 18:04:53"/>
    <s v=""/>
    <s v="MZBFC814A PN301355"/>
    <x v="3"/>
    <x v="51"/>
    <x v="121"/>
    <s v="SOU1"/>
    <x v="6"/>
    <x v="96"/>
    <s v="TKISTWU001348"/>
    <x v="151"/>
    <s v="USADO"/>
    <s v="AZUL IMPERIAL"/>
    <s v="POR DEFINIR"/>
    <n v="12890000"/>
    <s v="Disponible"/>
    <x v="65"/>
    <x v="6"/>
    <s v="BODEGA OVALLEveih"/>
    <s v=""/>
    <s v="G4FLPV530789"/>
    <s v="MZBFC814A PN301355"/>
    <s v="PAMELA ARLYNES CASTILLO ROJO"/>
    <s v="01-09-2026 0:00:00"/>
    <n v="1"/>
    <s v="01-09-2026 0:00:00"/>
    <s v="01-09-2026 18:04:19"/>
    <s v=""/>
    <n v="1"/>
    <n v="0"/>
    <s v=""/>
    <n v="0"/>
    <n v="10500000"/>
    <n v="286740"/>
    <n v="0"/>
    <n v="10786740"/>
    <n v="12890000"/>
    <n v="2103260"/>
    <n v="1632"/>
  </r>
  <r>
    <x v="2"/>
    <s v="LOCAL USADOS"/>
    <n v="0"/>
    <n v="0"/>
    <s v=""/>
    <s v=""/>
    <s v=""/>
    <s v=""/>
    <s v="29-04-2025 19:05:19"/>
    <s v=""/>
    <s v="LJXCU2BB5 NTF05473"/>
    <x v="2"/>
    <x v="35"/>
    <x v="122"/>
    <s v="FTU1"/>
    <x v="3"/>
    <x v="97"/>
    <s v="TFOSTWU001363"/>
    <x v="152"/>
    <s v="USADO"/>
    <s v="NEGRO PANTERA"/>
    <s v="POR DEFINIR"/>
    <n v="10490000"/>
    <s v="Disponible"/>
    <x v="101"/>
    <x v="1"/>
    <s v="BODEGA VEHICULOS"/>
    <s v="AE,CC,EE,NB,AAC,ABS,LL,VC,AISO,AAUTO,CRE,MAV,ACD,S"/>
    <s v="M9G068199"/>
    <s v="LJXCU2BB5 NTF05473"/>
    <s v="JAIME NICOLAS MUÑOZ RODRIGUEZ"/>
    <s v="29-04-2025 0:00:00"/>
    <n v="1"/>
    <s v="29-04-2025 0:00:00"/>
    <s v="29-04-2025 18:59:46"/>
    <s v="30-11-2026 0:00:00"/>
    <n v="1"/>
    <n v="0"/>
    <s v=""/>
    <n v="1"/>
    <n v="10300000"/>
    <n v="280530"/>
    <n v="0"/>
    <n v="10580530"/>
    <n v="10490000"/>
    <n v="-90530"/>
    <n v="-86"/>
  </r>
  <r>
    <x v="2"/>
    <s v="LOCAL PREMIUM CAR SALES"/>
    <n v="0"/>
    <n v="0"/>
    <s v=""/>
    <s v=""/>
    <s v=""/>
    <s v=""/>
    <s v="08-01-2026 15:20:40"/>
    <s v=""/>
    <s v="LGXC74C40R0005634"/>
    <x v="26"/>
    <x v="77"/>
    <x v="123"/>
    <s v="BYSONP15AT"/>
    <x v="2"/>
    <x v="98"/>
    <s v="TBYSTWU000006"/>
    <x v="153"/>
    <s v="USADO"/>
    <s v="ROJO"/>
    <s v="POR DEFINIR"/>
    <n v="20990000"/>
    <s v="Disponible"/>
    <x v="102"/>
    <x v="5"/>
    <s v="PREMIUM CAR SALES"/>
    <s v="AE,CC,EE,AAC,ABS,LL,AISO,AAUTO,CRE,MAV,SR,UD,DLL,6"/>
    <s v="BYD472QA S23333377"/>
    <s v="LGXC74C40R0005634"/>
    <s v="EMILIO ANDRES ORDENES ROJAS"/>
    <s v="08-01-2026 0:00:00"/>
    <n v="1"/>
    <s v="08-01-2026 0:00:00"/>
    <s v="08-01-2026 15:16:26"/>
    <s v=""/>
    <n v="1"/>
    <n v="0"/>
    <s v=""/>
    <n v="0"/>
    <n v="20000000"/>
    <n v="524003"/>
    <n v="0"/>
    <n v="20524003"/>
    <n v="20990000"/>
    <n v="465997"/>
    <n v="222"/>
  </r>
  <r>
    <x v="2"/>
    <s v="LOCAL USADOS"/>
    <n v="0"/>
    <n v="0"/>
    <s v=""/>
    <s v=""/>
    <s v=""/>
    <s v=""/>
    <s v="20-03-2020 12:53:54"/>
    <s v=""/>
    <s v="KNAPB811BE7498300"/>
    <x v="3"/>
    <x v="78"/>
    <x v="124"/>
    <s v="17--0120"/>
    <x v="12"/>
    <x v="99"/>
    <s v="TKISTWU001135"/>
    <x v="154"/>
    <s v="USADO"/>
    <s v="ROJO ORANGE"/>
    <s v="POR DEFINIR"/>
    <n v="8490000"/>
    <s v="Disponible"/>
    <x v="103"/>
    <x v="4"/>
    <s v="BODEGA VEHICULOS"/>
    <s v=""/>
    <s v="G4KDDH424564"/>
    <s v="KNAPB811BE7498300"/>
    <s v="IMPORTADORA TRENTO LTDA"/>
    <s v="20-03-2020 0:00:00"/>
    <n v="1"/>
    <s v="13-04-2020 0:00:00"/>
    <s v="13-04-2020 10:05:55"/>
    <s v=""/>
    <n v="0"/>
    <n v="0"/>
    <s v=""/>
    <n v="0"/>
    <n v="0"/>
    <n v="2523835"/>
    <n v="0"/>
    <n v="2523835"/>
    <n v="8490000"/>
    <n v="5966165"/>
    <n v="7027"/>
  </r>
  <r>
    <x v="2"/>
    <s v="LOCAL USADOS COPIAPO"/>
    <n v="0"/>
    <n v="0"/>
    <s v=""/>
    <s v=""/>
    <s v=""/>
    <s v=""/>
    <s v="01-09-2026 18:29:46"/>
    <s v=""/>
    <s v="3N1CN8AE3 PL808415"/>
    <x v="15"/>
    <x v="79"/>
    <x v="125"/>
    <s v="VVMT1"/>
    <x v="6"/>
    <x v="100"/>
    <s v="TNIAUTU000653"/>
    <x v="155"/>
    <s v="USADO"/>
    <s v="AZUL OSCURO PERLA"/>
    <s v="POR DEFINIR"/>
    <n v="10590000"/>
    <s v="Disponible"/>
    <x v="65"/>
    <x v="11"/>
    <s v="BODEGA LOS CARRERA COPIAPO"/>
    <s v=""/>
    <s v="HR16-635362V"/>
    <s v="3N1CN8AE3 PL808415"/>
    <s v="SERGIO ALEJANDRO TORREALBA SALAS"/>
    <s v="01-09-2026 0:00:00"/>
    <n v="1"/>
    <s v="01-09-2026 0:00:00"/>
    <s v="01-09-2026 18:29:15"/>
    <s v=""/>
    <n v="1"/>
    <n v="0"/>
    <s v=""/>
    <n v="0"/>
    <n v="8400000"/>
    <n v="255240"/>
    <n v="0"/>
    <n v="8655240"/>
    <n v="10590000"/>
    <n v="1934760"/>
    <n v="1827"/>
  </r>
  <r>
    <x v="2"/>
    <s v="LOCAL PREMIUM CAR SALES"/>
    <n v="0"/>
    <n v="0"/>
    <s v=""/>
    <s v=""/>
    <s v=""/>
    <s v=""/>
    <s v="09-09-2026 17:02:07"/>
    <s v=""/>
    <s v="9BD281F6M RYY80533"/>
    <x v="19"/>
    <x v="80"/>
    <x v="126"/>
    <s v="RM700BHDC14"/>
    <x v="6"/>
    <x v="100"/>
    <s v="TRACMTU000056"/>
    <x v="156"/>
    <s v="USADO"/>
    <s v="GRIS SILVERSTONE"/>
    <s v="POR DEFINIR"/>
    <n v="10690000"/>
    <s v="Disponible"/>
    <x v="92"/>
    <x v="6"/>
    <s v="PREMIUM CAR SALES"/>
    <s v=""/>
    <s v="327A055 4881469"/>
    <s v="9BD281F6M RYY80533"/>
    <s v="MARIO NICASIO OLIVARES HIDALGO"/>
    <s v="09-09-2026 0:00:00"/>
    <n v="1"/>
    <s v="09-09-2026 0:00:00"/>
    <s v="09-09-2026 17:01:08"/>
    <s v=""/>
    <n v="1"/>
    <n v="0"/>
    <s v=""/>
    <n v="0"/>
    <n v="8200000"/>
    <n v="252240"/>
    <n v="0"/>
    <n v="8452240"/>
    <n v="10690000"/>
    <n v="2237760"/>
    <n v="2093"/>
  </r>
  <r>
    <x v="2"/>
    <s v="LOCAL PREMIUM CAR SALES"/>
    <n v="0"/>
    <n v="0"/>
    <s v=""/>
    <s v=""/>
    <s v=""/>
    <s v=""/>
    <s v="25-05-2026 10:42:35"/>
    <s v=""/>
    <s v="LVTDD24B3 PD064404"/>
    <x v="25"/>
    <x v="81"/>
    <x v="127"/>
    <s v="EXVXUN4X420AT"/>
    <x v="0"/>
    <x v="101"/>
    <s v="TEXESTWU000006"/>
    <x v="157"/>
    <s v="USADO"/>
    <s v="BLANCO QUARTZ"/>
    <s v="POR DEFINIR"/>
    <n v="25990000"/>
    <s v="Disponible"/>
    <x v="104"/>
    <x v="5"/>
    <s v="PREMIUM CAR SALES"/>
    <s v="AE,CC,EE,AAC,ABS,LL,AISO,AAUTO,CRE,MAV,ACD,SR,UD,D"/>
    <s v="SQRF4J20CADNK03753"/>
    <s v="LVTDD24B3 PD064404"/>
    <s v="MICHEL ALEJANDRO PEMJEAN GALLEGUILLOS"/>
    <s v="25-05-2026 0:00:00"/>
    <n v="1"/>
    <s v="25-05-2026 0:00:00"/>
    <s v="25-05-2026 10:39:17"/>
    <s v=""/>
    <n v="1"/>
    <n v="0"/>
    <s v=""/>
    <n v="0"/>
    <n v="22000000"/>
    <n v="459240"/>
    <n v="0"/>
    <n v="22459240"/>
    <n v="25990000"/>
    <n v="3530760"/>
    <n v="1359"/>
  </r>
  <r>
    <x v="2"/>
    <s v="LOCAL PREMIUM CAR SALES"/>
    <n v="0"/>
    <n v="0"/>
    <s v=""/>
    <s v=""/>
    <s v=""/>
    <s v=""/>
    <s v="07-01-2026 16:22:02"/>
    <s v=""/>
    <s v="/**//+.+///++*..."/>
    <x v="18"/>
    <x v="54"/>
    <x v="128"/>
    <s v="HYSTFMX525AT"/>
    <x v="2"/>
    <x v="102"/>
    <s v="THYSTWU000548"/>
    <x v="158"/>
    <s v="USADO"/>
    <s v="PLATEADO PLATA"/>
    <s v="POR DEFINIR"/>
    <n v="25390000"/>
    <s v="Disponible"/>
    <x v="105"/>
    <x v="5"/>
    <s v="PREMIUM CAR SALES"/>
    <s v="AE,CC,EE,ABS,LL,TC,VC,AC,AISO,ACP,AAUTO,CRE,MAV,AC"/>
    <s v="G4KNRA734924"/>
    <s v="KMHP281JBRU017462"/>
    <s v="MARIA PAZ GONZALEZ ARAYA"/>
    <s v="07-01-2026 0:00:00"/>
    <n v="1"/>
    <s v="07-01-2026 0:00:00"/>
    <s v="07-01-2026 16:21:28"/>
    <s v=""/>
    <n v="1"/>
    <n v="0"/>
    <s v=""/>
    <n v="0"/>
    <n v="23500000"/>
    <n v="903834"/>
    <n v="0"/>
    <n v="24403834"/>
    <n v="25390000"/>
    <n v="986166"/>
    <n v="388"/>
  </r>
  <r>
    <x v="2"/>
    <s v="LOCAL USADOS"/>
    <n v="0"/>
    <n v="0"/>
    <s v=""/>
    <s v=""/>
    <s v=""/>
    <s v=""/>
    <s v="25-07-2025 12:11:03"/>
    <s v=""/>
    <s v="3N1CN8AE1NL804585"/>
    <x v="15"/>
    <x v="79"/>
    <x v="129"/>
    <s v="NVC7"/>
    <x v="10"/>
    <x v="103"/>
    <s v="TNIAUTU000640"/>
    <x v="159"/>
    <s v="USADO"/>
    <s v="PLATEADO"/>
    <s v="POR DEFINIR"/>
    <n v="9790000"/>
    <s v="Disponible"/>
    <x v="106"/>
    <x v="1"/>
    <s v="BODEGA VEHICULOS"/>
    <s v="AE,CC,EE,ABS,LL,AC,AISO,AAUTO,CRE,MAV,ACD,SR,UD,DL"/>
    <s v="HR16-332561V"/>
    <s v="3N1CN8AE1NL804585"/>
    <s v="CARLOS ALBERTO DAZA GONZALEZ"/>
    <s v="25-07-2025 0:00:00"/>
    <n v="1"/>
    <s v="25-07-2025 17:36:00"/>
    <s v="25-07-2025 17:36:00"/>
    <s v="31-10-2025 0:00:00"/>
    <n v="1"/>
    <n v="0"/>
    <s v=""/>
    <n v="0"/>
    <n v="7700000"/>
    <n v="241530"/>
    <n v="0"/>
    <n v="7941530"/>
    <n v="9790000"/>
    <n v="1848470"/>
    <n v="1888"/>
  </r>
  <r>
    <x v="2"/>
    <s v="LOCAL USADOS"/>
    <n v="0"/>
    <n v="0"/>
    <s v=""/>
    <s v=""/>
    <s v=""/>
    <s v=""/>
    <s v="10-11-2025 18:59:30"/>
    <s v=""/>
    <s v="//.//+++/+/++*..."/>
    <x v="24"/>
    <x v="72"/>
    <x v="130"/>
    <s v="JE7AWD16AT"/>
    <x v="0"/>
    <x v="104"/>
    <s v="TJAESTWU000001"/>
    <x v="160"/>
    <s v="USADO"/>
    <s v="ROJO NEGRO RUBI"/>
    <s v="POR DEFINIR"/>
    <n v="16490000"/>
    <s v="Disponible"/>
    <x v="107"/>
    <x v="14"/>
    <s v="BODEGA VEHICULOS"/>
    <s v="AE,CC,EE,AAC,ABS,LL,AISO,AAUTO,CRE,MAV,ACD,SR,UD,D"/>
    <s v="SQRF4J16CAMPM02301"/>
    <s v="LVVDB21B5 RC012704"/>
    <s v="LEONARDO JORGE ESTEBAN BOLTON MONTALVA"/>
    <s v="10-11-2025 0:00:00"/>
    <n v="1"/>
    <s v="10-11-2025 0:00:00"/>
    <s v="10-11-2025 18:58:34"/>
    <s v=""/>
    <n v="1"/>
    <n v="0"/>
    <s v=""/>
    <n v="0"/>
    <n v="15500000"/>
    <n v="358530"/>
    <n v="0"/>
    <n v="15858530"/>
    <n v="16490000"/>
    <n v="631470"/>
    <n v="383"/>
  </r>
  <r>
    <x v="2"/>
    <s v="LOCAL USADOS COPIAPO"/>
    <n v="0"/>
    <n v="0"/>
    <s v=""/>
    <s v=""/>
    <s v=""/>
    <s v=""/>
    <s v="30-04-2026 16:45:15"/>
    <s v=""/>
    <s v="9FBHSRA95LM023521"/>
    <x v="27"/>
    <x v="82"/>
    <x v="131"/>
    <s v="124FG"/>
    <x v="4"/>
    <x v="105"/>
    <s v="TRESTWU000047"/>
    <x v="161"/>
    <s v="USADO"/>
    <s v="GRIS ESTRELLA"/>
    <s v="POR DEFINIR"/>
    <n v="7690000"/>
    <s v="Disponible"/>
    <x v="66"/>
    <x v="1"/>
    <s v="BODEGA LOS CARRERA COPIAPO"/>
    <s v="AE,CC,EE,2AB,NB,ABS,LL,AC,AISO,MAV,SR,UD,DLL"/>
    <s v="K4M2842Q234165"/>
    <s v="9FBHSRA95LM023521"/>
    <s v="MIRIAM ELIANA ROJAS PAEZ"/>
    <s v="30-04-2026 0:00:00"/>
    <n v="1"/>
    <s v="30-04-2026 0:00:00"/>
    <s v="30-04-2026 16:43:05"/>
    <s v="30-06-2026 0:00:00"/>
    <n v="1"/>
    <n v="0"/>
    <s v=""/>
    <n v="0"/>
    <n v="5800000"/>
    <n v="216240"/>
    <n v="0"/>
    <n v="6016240"/>
    <n v="7690000"/>
    <n v="1673760"/>
    <n v="2177"/>
  </r>
  <r>
    <x v="2"/>
    <s v="LOCAL PREMIUM CAR SALES"/>
    <n v="0"/>
    <n v="0"/>
    <s v=""/>
    <s v=""/>
    <s v=""/>
    <s v=""/>
    <s v="01-09-2026 17:10:21"/>
    <s v=""/>
    <s v="VXKUSHNSSRW001793"/>
    <x v="1"/>
    <x v="83"/>
    <x v="132"/>
    <s v="OMK01"/>
    <x v="2"/>
    <x v="106"/>
    <s v="TOPSTWU000019"/>
    <x v="162"/>
    <s v="USADO"/>
    <s v="AZUL VOLTAIC BLUE MET"/>
    <s v="POR DEFINIR"/>
    <n v="13990000"/>
    <s v="Disponible"/>
    <x v="65"/>
    <x v="11"/>
    <s v="PREMIUM CAR SALES"/>
    <s v="AE,CC,EE,AAC,ABS,LL,VC,AISO,ACP,AAUTO,MAV,ACD"/>
    <s v="10XVDW2144859"/>
    <s v="VXKUSHNSSRW001793"/>
    <s v="ANGELO ANDRES NUÑEZ CONTRERAS"/>
    <s v="01-09-2026 0:00:00"/>
    <n v="1"/>
    <s v="01-09-2026 0:00:00"/>
    <s v="01-09-2026 17:08:52"/>
    <s v=""/>
    <n v="1"/>
    <n v="0"/>
    <s v=""/>
    <n v="0"/>
    <n v="11800000"/>
    <n v="306240"/>
    <n v="0"/>
    <n v="12106240"/>
    <n v="13990000"/>
    <n v="1883760"/>
    <n v="1347"/>
  </r>
  <r>
    <x v="2"/>
    <s v="LOCAL PREMIUM CAR SALES"/>
    <n v="0"/>
    <n v="0"/>
    <s v=""/>
    <s v=""/>
    <s v=""/>
    <s v=""/>
    <s v="27-06-2026 13:30:50"/>
    <s v=""/>
    <s v="///*/+/+///++*..."/>
    <x v="15"/>
    <x v="79"/>
    <x v="133"/>
    <s v="NIVER16AT"/>
    <x v="2"/>
    <x v="107"/>
    <s v="TNIAUTU000651"/>
    <x v="163"/>
    <s v="USADO"/>
    <s v="AZUL OSCURO METALICO"/>
    <s v="POR DEFINIR"/>
    <n v="11990000"/>
    <s v="Disponible"/>
    <x v="70"/>
    <x v="7"/>
    <s v="PREMIUM CAR SALES"/>
    <s v="AE,CC,EE,ABS,LL,AC,AISO,AAUTO,ACD,SR,DLL,6AB"/>
    <s v="HR16-793642V"/>
    <s v="3N1CN8AE7RL805875"/>
    <s v="JUAN FERNANDO RAMOS LIZAMA"/>
    <s v="27-06-2026 0:00:00"/>
    <n v="1"/>
    <s v="27-06-2026 0:00:00"/>
    <s v="27-06-2026 13:30:30"/>
    <s v=""/>
    <n v="2"/>
    <n v="0"/>
    <s v=""/>
    <n v="0"/>
    <n v="10000000"/>
    <n v="279240"/>
    <n v="0"/>
    <n v="10279240"/>
    <n v="11990000"/>
    <n v="1710760"/>
    <n v="1427"/>
  </r>
  <r>
    <x v="2"/>
    <s v="LOCAL PREMIUM CAR SALES"/>
    <n v="0"/>
    <n v="0"/>
    <s v=""/>
    <s v=""/>
    <s v=""/>
    <s v=""/>
    <s v="27-08-2026 11:18:46"/>
    <s v=""/>
    <s v="1FMCU9DZ2NUA57052"/>
    <x v="2"/>
    <x v="48"/>
    <x v="82"/>
    <s v="FOESFEHV20AT"/>
    <x v="6"/>
    <x v="108"/>
    <s v="TFOSTWU001428"/>
    <x v="164"/>
    <s v="USADO"/>
    <s v="AZUL ATLAS"/>
    <s v="POR DEFINIR"/>
    <n v="19490000"/>
    <s v="Disponible"/>
    <x v="76"/>
    <x v="11"/>
    <s v="PREMIUM CAR SALES"/>
    <s v=""/>
    <s v="NUA57052"/>
    <s v="1FMCU9DZ2NUA57052"/>
    <s v="MARIO EDUARDO ARAYA ZEPEDA"/>
    <s v="27-08-2026 0:00:00"/>
    <n v="1"/>
    <s v="27-08-2026 0:00:00"/>
    <s v="27-08-2026 11:11:10"/>
    <s v=""/>
    <n v="1"/>
    <n v="0"/>
    <s v=""/>
    <n v="0"/>
    <n v="16500000"/>
    <n v="376740"/>
    <n v="0"/>
    <n v="16876740"/>
    <n v="19490000"/>
    <n v="2613260"/>
    <n v="1341"/>
  </r>
  <r>
    <x v="2"/>
    <s v="LOCAL PREMIUM CAR SALES"/>
    <n v="0"/>
    <n v="0"/>
    <s v=""/>
    <s v=""/>
    <s v=""/>
    <s v=""/>
    <s v="12-08-2026 11:12:58"/>
    <s v=""/>
    <s v="MRHFE1670 RP087020"/>
    <x v="22"/>
    <x v="84"/>
    <x v="134"/>
    <s v="HOCIVTO15AT"/>
    <x v="2"/>
    <x v="54"/>
    <s v="THOAUTU000060"/>
    <x v="165"/>
    <s v="USADO"/>
    <s v="PLATEADO"/>
    <s v="POR DEFINIR"/>
    <n v="20590000"/>
    <s v="Disponible"/>
    <x v="108"/>
    <x v="6"/>
    <s v="PREMIUM CAR SALES"/>
    <s v=""/>
    <s v="L15BG3160779"/>
    <s v="MRHFE1670 RP087020"/>
    <s v="CESAR YEFRY MENDOZA GALLEGUILLOS"/>
    <s v="12-08-2026 0:00:00"/>
    <n v="1"/>
    <s v="12-08-2026 0:00:00"/>
    <s v="12-08-2026 11:11:31"/>
    <s v=""/>
    <n v="2"/>
    <n v="0"/>
    <s v=""/>
    <n v="0"/>
    <n v="17000000"/>
    <n v="384240"/>
    <n v="0"/>
    <n v="17384240"/>
    <n v="20590000"/>
    <n v="3205760"/>
    <n v="1557"/>
  </r>
  <r>
    <x v="2"/>
    <s v="MEGACENTRO OVALLE"/>
    <n v="0"/>
    <n v="0"/>
    <s v=""/>
    <s v=""/>
    <s v=""/>
    <s v=""/>
    <s v="01-09-2026 17:57:55"/>
    <s v=""/>
    <s v="@@@+.+//.+@+/+.@+"/>
    <x v="18"/>
    <x v="54"/>
    <x v="135"/>
    <s v="H8Q"/>
    <x v="2"/>
    <x v="109"/>
    <s v="THYSTWU000557"/>
    <x v="166"/>
    <s v="USADO"/>
    <s v="PLATEADO PLATA"/>
    <s v="POR DEFINIR"/>
    <n v="17990000"/>
    <s v="Disponible"/>
    <x v="65"/>
    <x v="6"/>
    <s v="BODEGA OVALLEveih"/>
    <s v=""/>
    <s v="G4FPPU404786"/>
    <s v="KMHJB81BG PU227558"/>
    <s v="MAITE IVELENE MELGAREJO ASTUDILLO"/>
    <s v="01-09-2026 0:00:00"/>
    <n v="1"/>
    <s v="01-09-2026 0:00:00"/>
    <s v="01-09-2026 17:54:51"/>
    <s v=""/>
    <n v="1"/>
    <n v="0"/>
    <s v=""/>
    <n v="0"/>
    <n v="15500000"/>
    <n v="361740"/>
    <n v="0"/>
    <n v="15861740"/>
    <n v="17990000"/>
    <n v="2128260"/>
    <n v="1183"/>
  </r>
  <r>
    <x v="2"/>
    <s v="LOCAL SALAMANCA"/>
    <n v="0"/>
    <n v="0"/>
    <s v=""/>
    <s v=""/>
    <s v=""/>
    <s v=""/>
    <s v="09-09-2026 17:06:57"/>
    <s v=""/>
    <s v="LJXCU2BB6PTF08921"/>
    <x v="2"/>
    <x v="35"/>
    <x v="122"/>
    <s v="FTU1"/>
    <x v="6"/>
    <x v="110"/>
    <s v="TFOSTWU001432"/>
    <x v="167"/>
    <s v="USADO"/>
    <s v="CAFE PERLA OCRE"/>
    <s v="POR DEFINIR"/>
    <n v="12190000"/>
    <s v="Disponible"/>
    <x v="92"/>
    <x v="6"/>
    <s v="BODEGA VEHICULOS"/>
    <s v=""/>
    <s v="N8G070935"/>
    <s v="LJXCU2BB6PTF08921"/>
    <s v="JUAN ROBERTO CORDOVA HIDALGO"/>
    <s v="09-09-2026 0:00:00"/>
    <n v="1"/>
    <s v="09-09-2026 0:00:00"/>
    <s v="09-09-2026 17:06:16"/>
    <s v=""/>
    <n v="1"/>
    <n v="0"/>
    <s v=""/>
    <n v="0"/>
    <n v="10100000"/>
    <n v="280740"/>
    <n v="0"/>
    <n v="10380740"/>
    <n v="12190000"/>
    <n v="1809260"/>
    <n v="1484"/>
  </r>
  <r>
    <x v="2"/>
    <s v="LOCAL PREMIUM CAR SALES"/>
    <n v="0"/>
    <n v="0"/>
    <s v=""/>
    <s v=""/>
    <s v=""/>
    <s v=""/>
    <s v="22-07-2026 11:48:43"/>
    <s v=""/>
    <s v="LZWADAGA3 PG020318"/>
    <x v="23"/>
    <x v="85"/>
    <x v="136"/>
    <s v="G1"/>
    <x v="6"/>
    <x v="108"/>
    <s v="TCHSTWU000323"/>
    <x v="168"/>
    <s v="USADO"/>
    <s v="BLANCO"/>
    <s v="POR DEFINIR"/>
    <n v="9890000"/>
    <s v="Disponible"/>
    <x v="77"/>
    <x v="7"/>
    <s v="PREMIUM CAR SALES"/>
    <s v="AE,CC,EE,2AB,NB,ABS,LL,AC,AISO,AAUTO,CRE,MAV,ACD,U"/>
    <s v="L2B 18N71110548"/>
    <s v="LZWADAGA3 PG020318"/>
    <s v="CRISTIAN ENRIQUE PEREIRA ROJAS"/>
    <s v="22-07-2026 0:00:00"/>
    <n v="1"/>
    <s v="22-07-2026 0:00:00"/>
    <s v="22-07-2026 11:48:00"/>
    <s v=""/>
    <n v="1"/>
    <n v="0"/>
    <s v=""/>
    <n v="0"/>
    <n v="8100000"/>
    <n v="250740"/>
    <n v="0"/>
    <n v="8350740"/>
    <n v="9890000"/>
    <n v="1539260"/>
    <n v="1556"/>
  </r>
  <r>
    <x v="2"/>
    <s v="LOCAL USADOS COPIAPO"/>
    <n v="0"/>
    <n v="0"/>
    <s v=""/>
    <s v=""/>
    <s v=""/>
    <s v=""/>
    <s v="14-09-2026 17:14:28"/>
    <s v=""/>
    <s v="3KPA241AANE396012"/>
    <x v="3"/>
    <x v="86"/>
    <x v="137"/>
    <s v="O908"/>
    <x v="10"/>
    <x v="111"/>
    <s v="TKIAUTU002225"/>
    <x v="169"/>
    <s v="USADO"/>
    <s v="GRIS ACERO"/>
    <s v="POR DEFINIR"/>
    <n v="9590000"/>
    <s v="Disponible"/>
    <x v="100"/>
    <x v="6"/>
    <s v="BODEGA LOS CARRERA COPIAPO"/>
    <s v=""/>
    <s v="G4LCME701839"/>
    <s v="3KPA241AANE396012"/>
    <s v="SILVANO DEL TRANSITO BARRAZA ADAROS"/>
    <s v="14-09-2026 0:00:00"/>
    <n v="1"/>
    <s v="14-09-2026 0:00:00"/>
    <s v="14-09-2026 17:13:07"/>
    <s v=""/>
    <n v="1"/>
    <n v="0"/>
    <s v=""/>
    <n v="0"/>
    <n v="7400000"/>
    <n v="240240"/>
    <n v="0"/>
    <n v="7640240"/>
    <n v="9590000"/>
    <n v="1949760"/>
    <n v="2033"/>
  </r>
  <r>
    <x v="2"/>
    <s v="LOCAL PREMIUM CAR SALES"/>
    <n v="0"/>
    <n v="0"/>
    <s v=""/>
    <s v=""/>
    <s v=""/>
    <s v=""/>
    <s v="14-03-2023 10:52:12"/>
    <s v=""/>
    <s v="2FMPK4J94KBB16022"/>
    <x v="2"/>
    <x v="40"/>
    <x v="138"/>
    <s v="EDD900"/>
    <x v="7"/>
    <x v="112"/>
    <s v="TFOSTWU001240"/>
    <x v="170"/>
    <s v="USADO"/>
    <s v="GRIS METALICO"/>
    <s v="POR DEFINIR"/>
    <n v="18490000"/>
    <s v="Disponible"/>
    <x v="109"/>
    <x v="1"/>
    <s v="PREMIUM CAR SALES"/>
    <s v="AE,CC,EE,NB,AAC,ABS,LL,TC,VC,ESP,CT,SS,AISO,ACP,AA"/>
    <s v="KBB16022"/>
    <s v="2FMPK4J94KBB16022"/>
    <s v="BARBARA YEIME CEA URRIAGA"/>
    <s v="14-03-2023 0:00:00"/>
    <n v="1"/>
    <s v="14-03-2023 0:00:00"/>
    <s v="14-03-2023 10:51:51"/>
    <s v=""/>
    <n v="0"/>
    <n v="0"/>
    <s v=""/>
    <n v="0"/>
    <n v="18000000"/>
    <n v="673380"/>
    <n v="0"/>
    <n v="18673380"/>
    <n v="18490000"/>
    <n v="-183380"/>
    <n v="-99"/>
  </r>
  <r>
    <x v="2"/>
    <s v="LOCAL VALLENAR"/>
    <n v="0"/>
    <n v="0"/>
    <s v=""/>
    <s v=""/>
    <s v=""/>
    <s v=""/>
    <s v="01-09-2026 18:11:30"/>
    <s v=""/>
    <s v="LVVDB11B5 NE010119"/>
    <x v="13"/>
    <x v="66"/>
    <x v="109"/>
    <s v="T2PU"/>
    <x v="3"/>
    <x v="113"/>
    <s v="TCYSTWU000369"/>
    <x v="171"/>
    <s v="USADO"/>
    <s v="ROJO METALIZADO"/>
    <s v="POR DEFINIR"/>
    <n v="7590000"/>
    <s v="Disponible"/>
    <x v="65"/>
    <x v="5"/>
    <s v="LOCAL VALLENAR"/>
    <s v="AE,CC,EE,2AB,ABS,LL,AC,AISO,AAUTO,ACD,SR,UD,DLL"/>
    <s v="SQRD4G15BYMG00467"/>
    <s v="LVVDB11B5 NE010119"/>
    <s v="MARÍA ISABEL MONARDEZ RAMOS"/>
    <s v="01-09-2026 0:00:00"/>
    <n v="1"/>
    <s v="01-09-2026 0:00:00"/>
    <s v="01-09-2026 18:10:53"/>
    <s v=""/>
    <n v="1"/>
    <n v="0"/>
    <s v=""/>
    <n v="0"/>
    <n v="6200000"/>
    <n v="222240"/>
    <n v="0"/>
    <n v="6422240"/>
    <n v="7590000"/>
    <n v="1167760"/>
    <n v="1539"/>
  </r>
  <r>
    <x v="2"/>
    <s v="LOCAL PREMIUM CAR SALES"/>
    <n v="0"/>
    <n v="0"/>
    <s v=""/>
    <s v=""/>
    <s v=""/>
    <s v=""/>
    <s v="13-07-2026 18:26:33"/>
    <s v=""/>
    <s v="VF3MCYHZU RS000914"/>
    <x v="0"/>
    <x v="45"/>
    <x v="75"/>
    <s v="5008BH130"/>
    <x v="6"/>
    <x v="63"/>
    <s v="TPESTWU000462"/>
    <x v="172"/>
    <s v="USADO"/>
    <s v="GRIS ARTENSE"/>
    <s v="POR DEFINIR"/>
    <n v="21490000"/>
    <s v="Disponible"/>
    <x v="55"/>
    <x v="5"/>
    <s v="PREMIUM CAR SALES"/>
    <s v="AE,EE,2AB,AAC,ABS,LL,AISO,AAUTO,CRE,MAV,ACD,SR,UD,"/>
    <s v="10Q4EP0189027"/>
    <s v="VF3MCYHZU RS000914"/>
    <s v="NELLY ELISABETH ELGUETA ARAYA"/>
    <s v="13-07-2026 0:00:00"/>
    <n v="1"/>
    <s v="13-07-2026 0:00:00"/>
    <s v="13-07-2026 18:25:48"/>
    <s v=""/>
    <n v="1"/>
    <n v="0"/>
    <s v=""/>
    <n v="0"/>
    <n v="18000000"/>
    <n v="399240"/>
    <n v="0"/>
    <n v="18399240"/>
    <n v="21490000"/>
    <n v="3090760"/>
    <n v="1438"/>
  </r>
  <r>
    <x v="2"/>
    <s v="LOCAL USADOS COPIAPO"/>
    <n v="0"/>
    <n v="0"/>
    <s v=""/>
    <s v=""/>
    <s v=""/>
    <s v=""/>
    <s v="30-04-2026 16:15:08"/>
    <s v=""/>
    <s v="LGWEE4A59PK600630"/>
    <x v="28"/>
    <x v="87"/>
    <x v="139"/>
    <s v="HAJOL15AT"/>
    <x v="3"/>
    <x v="114"/>
    <s v="THASTWU000023"/>
    <x v="173"/>
    <s v="USADO"/>
    <s v="ROJO"/>
    <s v="POR DEFINIR"/>
    <n v="11190000"/>
    <s v="Disponible"/>
    <x v="66"/>
    <x v="5"/>
    <s v="BODEGA LOS CARRERA COPIAPO"/>
    <s v="AE,CC,EE,AAC,ABS,LL,VC,AISO,AAUTO,CRE,MAV,ACD,SR,U"/>
    <s v="GW4G15K21499027556"/>
    <s v="LGWEE4A59PK600630"/>
    <s v="MARIA JOSE CASTILLO ARAYA"/>
    <s v="30-04-2026 0:00:00"/>
    <n v="1"/>
    <s v="30-04-2026 0:00:00"/>
    <s v="30-04-2026 16:09:10"/>
    <s v=""/>
    <n v="1"/>
    <n v="0"/>
    <s v=""/>
    <n v="0"/>
    <n v="10100000"/>
    <n v="280740"/>
    <n v="0"/>
    <n v="10380740"/>
    <n v="11190000"/>
    <n v="809260"/>
    <n v="723"/>
  </r>
  <r>
    <x v="2"/>
    <s v="LOCAL PREMIUM CAR SALES"/>
    <n v="0"/>
    <n v="0"/>
    <s v=""/>
    <s v=""/>
    <s v=""/>
    <s v=""/>
    <s v="20-08-2026 17:39:36"/>
    <s v=""/>
    <s v="LJXCU2BB0 STF12052"/>
    <x v="2"/>
    <x v="35"/>
    <x v="89"/>
    <s v="FOTETI15AT"/>
    <x v="0"/>
    <x v="115"/>
    <s v="TFOSTWU001427"/>
    <x v="174"/>
    <s v="USADO"/>
    <s v="GRIS BRILLANTE"/>
    <s v="POR DEFINIR"/>
    <n v="16990000"/>
    <s v="Disponible"/>
    <x v="87"/>
    <x v="5"/>
    <s v="PREMIUM CAR SALES"/>
    <s v=""/>
    <s v="R5G051233"/>
    <s v="LJXCU2BB0 STF12052"/>
    <s v="PAOLA ANDREA PASTÉN ROJAS"/>
    <s v="20-08-2026 0:00:00"/>
    <n v="1"/>
    <s v="20-08-2026 0:00:00"/>
    <s v="20-08-2026 17:36:41"/>
    <s v=""/>
    <n v="1"/>
    <n v="0"/>
    <s v=""/>
    <n v="0"/>
    <n v="14200000"/>
    <n v="342240"/>
    <n v="0"/>
    <n v="14542240"/>
    <n v="16990000"/>
    <n v="2447760"/>
    <n v="1441"/>
  </r>
  <r>
    <x v="2"/>
    <s v="LOCAL USADOS"/>
    <n v="0"/>
    <n v="0"/>
    <s v=""/>
    <s v=""/>
    <s v=""/>
    <s v=""/>
    <s v="27-08-2025 14:34:07"/>
    <s v=""/>
    <s v="KL1FC1CU8GB533760"/>
    <x v="23"/>
    <x v="69"/>
    <x v="140"/>
    <s v="CHCAPLS24AT"/>
    <x v="13"/>
    <x v="116"/>
    <s v="TCHSTWU000305"/>
    <x v="175"/>
    <s v="USADO"/>
    <s v="NEGRO"/>
    <s v="POR DEFINIR"/>
    <n v="9590000"/>
    <s v="Disponible"/>
    <x v="110"/>
    <x v="1"/>
    <s v="BODEGA VEHICULOS"/>
    <s v=""/>
    <s v="LE9161750229"/>
    <s v="KL1FC1CU8GB533760"/>
    <s v="CRISTIAN OMAR MALUENDA LEON"/>
    <s v="27-08-2025 0:00:00"/>
    <n v="1"/>
    <s v="04-11-2025 23:53:00"/>
    <s v="04-11-2025 23:53:00"/>
    <s v="31-10-2025 0:00:00"/>
    <n v="1"/>
    <n v="0"/>
    <s v=""/>
    <n v="0"/>
    <n v="7300000"/>
    <n v="235530"/>
    <n v="0"/>
    <n v="7535530"/>
    <n v="9590000"/>
    <n v="2054470"/>
    <n v="2142"/>
  </r>
  <r>
    <x v="2"/>
    <s v="LOCAL USADOS COPIAPO"/>
    <n v="0"/>
    <n v="0"/>
    <s v=""/>
    <s v=""/>
    <s v=""/>
    <s v=""/>
    <s v="02-10-2025 16:52:58"/>
    <s v=""/>
    <s v="VR3KAHPY6 SS009601"/>
    <x v="0"/>
    <x v="39"/>
    <x v="141"/>
    <s v="3008ALLUSA"/>
    <x v="0"/>
    <x v="117"/>
    <s v="TPESTWU000425"/>
    <x v="176"/>
    <s v="USADO"/>
    <s v="GRIS ARTENSE"/>
    <s v="POR DEFINIR"/>
    <n v="23890000"/>
    <s v="Disponible"/>
    <x v="59"/>
    <x v="5"/>
    <s v="BODEGA LOS CARRERA COPIAPO"/>
    <s v="AE,CC,EE,AAC,ABS,LL,AISO,AAUTO,CRE,MAV,ACD,SR,UD,D"/>
    <s v="10ZA040090603"/>
    <s v="VR3KAHPY6 SS009601"/>
    <s v="PEDRO ANDRES NARVAEZ FLORES"/>
    <s v="02-10-2025 0:00:00"/>
    <n v="1"/>
    <s v="02-10-2025 0:00:00"/>
    <s v="02-10-2025 16:52:06"/>
    <s v=""/>
    <n v="1"/>
    <n v="0"/>
    <s v=""/>
    <n v="0"/>
    <n v="28490000"/>
    <n v="914223"/>
    <n v="0"/>
    <n v="29404223"/>
    <n v="23890000"/>
    <n v="-5514223"/>
    <n v="-2308"/>
  </r>
  <r>
    <x v="2"/>
    <s v="LOCAL PREMIUM CAR SALES"/>
    <n v="0"/>
    <n v="0"/>
    <s v=""/>
    <s v=""/>
    <s v=""/>
    <s v=""/>
    <s v="31-07-2026 16:57:15"/>
    <s v=""/>
    <s v="KPT40A1XS PP085674"/>
    <x v="17"/>
    <x v="52"/>
    <x v="87"/>
    <s v="SSNREXLX4X42.0AT"/>
    <x v="6"/>
    <x v="118"/>
    <s v="TSYSTWU000344"/>
    <x v="177"/>
    <s v="USADO"/>
    <s v="BLANCO PERLA"/>
    <s v="POR DEFINIR"/>
    <n v="18990000"/>
    <s v="Disponible"/>
    <x v="69"/>
    <x v="6"/>
    <s v="PREMIUM CAR SALES"/>
    <s v="AE,CC,EE,AAC,ABS,LL,AISO,AAUTO,CRE,MAV,ACD,SR,DLL,"/>
    <s v="174950 19CN0017"/>
    <s v="KPT40A1XS PP085674"/>
    <s v="NELSON FERNANDO ARACENA GOMEZ"/>
    <s v="31-07-2026 0:00:00"/>
    <n v="1"/>
    <s v="31-07-2026 0:00:00"/>
    <s v="31-07-2026 16:56:56"/>
    <s v=""/>
    <n v="1"/>
    <n v="0"/>
    <s v=""/>
    <n v="0"/>
    <n v="16000000"/>
    <n v="369240"/>
    <n v="0"/>
    <n v="16369240"/>
    <n v="18990000"/>
    <n v="2620760"/>
    <n v="138"/>
  </r>
  <r>
    <x v="2"/>
    <s v="LOCAL USADOS COPIAPO"/>
    <n v="0"/>
    <n v="0"/>
    <s v=""/>
    <s v=""/>
    <s v=""/>
    <s v=""/>
    <s v="23-07-2026 17:30:30"/>
    <s v=""/>
    <s v="/////+*+//..+*..."/>
    <x v="29"/>
    <x v="88"/>
    <x v="142"/>
    <s v="MGZSFL15AT"/>
    <x v="2"/>
    <x v="119"/>
    <s v="TMGSTWU000061"/>
    <x v="178"/>
    <s v="USADO"/>
    <s v="BLANCO"/>
    <s v="POR DEFINIR"/>
    <n v="9490000"/>
    <s v="Disponible"/>
    <x v="111"/>
    <x v="5"/>
    <s v="BODEGA LOS CARRERA COPIAPO"/>
    <s v=""/>
    <s v="15S4C8FGNB020830"/>
    <s v="LSJW74U36PZ084069"/>
    <s v="VIVANET SPA"/>
    <s v="23-07-2026 0:00:00"/>
    <n v="1"/>
    <s v="03-08-2026 16:34:00"/>
    <s v="03-08-2026 16:34:00"/>
    <s v=""/>
    <n v="1"/>
    <n v="0"/>
    <s v=""/>
    <n v="0"/>
    <n v="7200000"/>
    <n v="237240"/>
    <n v="0"/>
    <n v="7437240"/>
    <n v="9490000"/>
    <n v="2052760"/>
    <n v="2163"/>
  </r>
  <r>
    <x v="2"/>
    <s v="LOCAL PREMIUM CAR SALES"/>
    <n v="0"/>
    <n v="0"/>
    <s v=""/>
    <s v=""/>
    <s v=""/>
    <s v=""/>
    <s v="11-08-2026 17:29:31"/>
    <s v=""/>
    <s v="VF3M45GYWLS008278"/>
    <x v="0"/>
    <x v="39"/>
    <x v="143"/>
    <s v="3P88"/>
    <x v="7"/>
    <x v="120"/>
    <s v="TPESTWU000471"/>
    <x v="179"/>
    <s v="USADO"/>
    <s v="ROJO ULTIMATE"/>
    <s v="POR DEFINIR"/>
    <n v="12990000"/>
    <s v="Disponible"/>
    <x v="112"/>
    <x v="5"/>
    <s v="PREMIUM CAR SALES"/>
    <s v="AE,CC,EE,AAC,ABS,LL,AISO,AAUTO,CRE,MAV,ACD,SR,DLL,"/>
    <s v="10FJCG2577721"/>
    <s v="VF3M45GYWLS008278"/>
    <s v="JESSICA ALEJANDRA PANIAGUA PANIAGUA"/>
    <s v="11-08-2026 0:00:00"/>
    <n v="1"/>
    <s v="11-08-2026 0:00:00"/>
    <s v="11-08-2026 17:28:53"/>
    <s v=""/>
    <n v="2"/>
    <n v="0"/>
    <s v=""/>
    <n v="0"/>
    <n v="10350000"/>
    <n v="0"/>
    <n v="0"/>
    <n v="10350000"/>
    <n v="12990000"/>
    <n v="2640000"/>
    <n v="2032"/>
  </r>
  <r>
    <x v="2"/>
    <s v="LOCAL PREMIUM CAR SALES"/>
    <n v="0"/>
    <n v="0"/>
    <s v=""/>
    <s v=""/>
    <s v=""/>
    <s v=""/>
    <s v="26-05-2026 10:53:24"/>
    <s v=""/>
    <s v="MMBJJKK10JH016252"/>
    <x v="8"/>
    <x v="89"/>
    <x v="144"/>
    <s v="L888"/>
    <x v="11"/>
    <x v="121"/>
    <s v="TMICMTU000307"/>
    <x v="180"/>
    <s v="USADO"/>
    <s v="GRIS GRAFITO"/>
    <s v="POR DEFINIR"/>
    <n v="11990000"/>
    <s v="Disponible"/>
    <x v="113"/>
    <x v="1"/>
    <s v="PREMIUM CAR SALES"/>
    <s v=""/>
    <s v="4N15 UCL1451"/>
    <s v="MMBJJKK10JH016252"/>
    <s v="JUAN MANUEL BARRAZA GODOI"/>
    <s v="26-05-2026 0:00:00"/>
    <n v="1"/>
    <s v="26-05-2026 0:00:00"/>
    <s v="26-05-2026 10:52:54"/>
    <s v=""/>
    <n v="4"/>
    <n v="0"/>
    <s v=""/>
    <n v="0"/>
    <n v="9800000"/>
    <n v="0"/>
    <n v="0"/>
    <n v="9800000"/>
    <n v="11990000"/>
    <n v="2190000"/>
    <n v="1827"/>
  </r>
  <r>
    <x v="2"/>
    <s v="LOCAL PREMIUM CAR SALES"/>
    <n v="0"/>
    <n v="0"/>
    <s v=""/>
    <s v=""/>
    <s v=""/>
    <s v=""/>
    <s v="03-07-2026 10:54:17"/>
    <s v=""/>
    <s v="LVVDB21B4 SE002997"/>
    <x v="13"/>
    <x v="66"/>
    <x v="145"/>
    <s v="CHTIG2PROGLS15AT"/>
    <x v="2"/>
    <x v="122"/>
    <s v="TCYSTWU000360"/>
    <x v="181"/>
    <s v="USADO"/>
    <s v="BLANCO METALIZADO"/>
    <s v="POR DEFINIR"/>
    <n v="9290000"/>
    <s v="Disponible"/>
    <x v="68"/>
    <x v="1"/>
    <s v="PREMIUM CAR SALES"/>
    <s v="AE,CC,EE,2AB,ABS,LL,AC,AISO,AAUTO,CRE,MAV,ACD,SR,D"/>
    <s v="SQRE4G15CBDRC60011"/>
    <s v="LVVDB21B4 SE002997"/>
    <s v="LÁZARO SEBASTIÁN AGUILERA YAÑEZ"/>
    <s v="03-07-2026 0:00:00"/>
    <n v="1"/>
    <s v="03-07-2026 0:00:00"/>
    <s v="03-07-2026 10:53:12"/>
    <s v=""/>
    <n v="3"/>
    <n v="0"/>
    <s v=""/>
    <n v="0"/>
    <n v="7500000"/>
    <n v="241740"/>
    <n v="0"/>
    <n v="7741740"/>
    <n v="9290000"/>
    <n v="1548260"/>
    <n v="1667"/>
  </r>
  <r>
    <x v="2"/>
    <s v="LOCAL PREMIUM CAR SALES"/>
    <n v="0"/>
    <n v="0"/>
    <s v=""/>
    <s v=""/>
    <s v=""/>
    <s v=""/>
    <s v="13-07-2026 18:19:46"/>
    <s v=""/>
    <s v="LS5A3ABE6ND912896"/>
    <x v="20"/>
    <x v="90"/>
    <x v="146"/>
    <s v="CHCS1515MT"/>
    <x v="10"/>
    <x v="123"/>
    <s v="TCGAUTU000015"/>
    <x v="182"/>
    <s v="USADO"/>
    <s v="PLATEADO PLATA"/>
    <s v="POR DEFINIR"/>
    <n v="7290000"/>
    <s v="Disponible"/>
    <x v="55"/>
    <x v="1"/>
    <s v="PREMIUM CAR SALES"/>
    <s v="AE,CC,EE,ABS,LL,4AB,AC,AISO,AAUTO,CRE,MAV,SR,UD,DL"/>
    <s v="JL473QFM3CAA518587"/>
    <s v="LS5A3ABE6ND912896"/>
    <s v="PATRICIO ANDRES ORTIZ AGUIRRE"/>
    <s v="13-07-2026 0:00:00"/>
    <n v="1"/>
    <s v="13-07-2026 0:00:00"/>
    <s v="13-07-2026 18:19:08"/>
    <s v=""/>
    <n v="1"/>
    <n v="0"/>
    <s v=""/>
    <n v="0"/>
    <n v="5200000"/>
    <n v="207240"/>
    <n v="0"/>
    <n v="5407240"/>
    <n v="7290000"/>
    <n v="1882760"/>
    <n v="2583"/>
  </r>
  <r>
    <x v="2"/>
    <s v="LOCAL USADOS COPIAPO"/>
    <n v="0"/>
    <n v="0"/>
    <s v=""/>
    <s v=""/>
    <s v=""/>
    <s v=""/>
    <s v="30-12-2025 10:51:56"/>
    <s v=""/>
    <s v="MA1VE2RJC M6E84266"/>
    <x v="30"/>
    <x v="91"/>
    <x v="147"/>
    <s v="MAKUV100HB12MT"/>
    <x v="3"/>
    <x v="1"/>
    <s v="TMHAUTU000006"/>
    <x v="183"/>
    <s v="USADO"/>
    <s v="BLANCO"/>
    <s v="POR DEFINIR"/>
    <n v="6390000"/>
    <s v="Disponible"/>
    <x v="114"/>
    <x v="1"/>
    <s v="BODEGA LOS CARRERA COPIAPO"/>
    <s v="AE,CC,AC,AISO,ACD"/>
    <s v="RJMZE50719"/>
    <s v="MA1VE2RJC M6E84266"/>
    <s v="FRANK EDWARD ECHANDIA HERNÁNDEZ"/>
    <s v="30-12-2025 0:00:00"/>
    <n v="1"/>
    <s v="30-12-2025 0:00:00"/>
    <s v="30-12-2025 10:51:21"/>
    <s v=""/>
    <n v="0"/>
    <n v="0"/>
    <s v=""/>
    <n v="0"/>
    <n v="8137896"/>
    <n v="248098"/>
    <n v="0"/>
    <n v="8385994"/>
    <n v="6390000"/>
    <n v="-1995994"/>
    <n v="-3124"/>
  </r>
  <r>
    <x v="2"/>
    <s v="MEGACENTRO COPIAPO"/>
    <n v="0"/>
    <n v="0"/>
    <s v=""/>
    <s v=""/>
    <s v=""/>
    <s v=""/>
    <s v="03-01-2017 1:36:33"/>
    <s v=""/>
    <s v="LGHT12177E9700276"/>
    <x v="11"/>
    <x v="65"/>
    <x v="108"/>
    <s v="2012--CARGOBOX1"/>
    <x v="12"/>
    <x v="1"/>
    <s v="TDFCMTU000004"/>
    <x v="184"/>
    <s v="USADO"/>
    <s v="BLANCO"/>
    <s v="NO DEFINIDO"/>
    <n v="4867100"/>
    <s v="Disponible"/>
    <x v="115"/>
    <x v="9"/>
    <s v="BOD. Veh. MEGA COPIAPO"/>
    <s v=""/>
    <s v="EQ474I-3013074677"/>
    <s v="LGHT12177E9700276"/>
    <s v="SOCIEDAD HERMANAS CALLEGARI LTDA"/>
    <s v="11-06-2014 0:00:00"/>
    <n v="0"/>
    <s v=""/>
    <s v=""/>
    <s v="11-06-2014 0:00:00"/>
    <n v="0"/>
    <n v="0"/>
    <s v=""/>
    <n v="0"/>
    <n v="108561"/>
    <n v="3090141"/>
    <n v="0"/>
    <n v="3198702"/>
    <n v="4867100"/>
    <n v="1668398"/>
    <n v="3428"/>
  </r>
  <r>
    <x v="2"/>
    <s v="MEGACENTRO OVALLE"/>
    <n v="0"/>
    <n v="0"/>
    <s v=""/>
    <s v=""/>
    <s v=""/>
    <s v=""/>
    <s v="06-02-2026 23:56:05"/>
    <s v=""/>
    <s v="3FMCR9B63 NRE10383"/>
    <x v="2"/>
    <x v="92"/>
    <x v="148"/>
    <s v="BS4"/>
    <x v="6"/>
    <x v="24"/>
    <s v="TFOSTWU001398"/>
    <x v="185"/>
    <s v="USADO"/>
    <s v="BLANCO OXFORD"/>
    <s v="POR DEFINIR"/>
    <n v="20990000"/>
    <s v="Disponible"/>
    <x v="82"/>
    <x v="1"/>
    <s v="BODEGA OVALLEveih"/>
    <s v=""/>
    <s v="NRE10383"/>
    <s v="3FMCR9B63 NRE10383"/>
    <s v="GLADYS MARCELA LÓPEZ LÓPEZ"/>
    <s v="06-02-2026 0:00:00"/>
    <n v="1"/>
    <s v="06-02-2026 0:00:00"/>
    <s v="06-02-2026 23:55:28"/>
    <s v=""/>
    <n v="0"/>
    <n v="0"/>
    <s v=""/>
    <n v="0"/>
    <n v="18300000"/>
    <n v="729196"/>
    <n v="0"/>
    <n v="19029196"/>
    <n v="20990000"/>
    <n v="1960804"/>
    <n v="934"/>
  </r>
  <r>
    <x v="2"/>
    <s v="LOCAL PREMIUM CAR SALES"/>
    <n v="0"/>
    <n v="0"/>
    <s v=""/>
    <s v=""/>
    <s v=""/>
    <s v=""/>
    <s v="27-08-2026 10:45:55"/>
    <s v=""/>
    <s v="VF7DDYHT2SJ508198"/>
    <x v="12"/>
    <x v="93"/>
    <x v="149"/>
    <s v="CIELYMT15"/>
    <x v="2"/>
    <x v="124"/>
    <s v="TCIAUTU000137"/>
    <x v="186"/>
    <s v="USADO"/>
    <s v="GRIS PLATINIUM"/>
    <s v="POR DEFINIR"/>
    <n v="11490000"/>
    <s v="Disponible"/>
    <x v="76"/>
    <x v="5"/>
    <s v="PREMIUM CAR SALES"/>
    <s v="AE,CC,EE,LL,ESP,AC,AISO,ACD"/>
    <s v="10Q4DF0152319"/>
    <s v="VF7DDYHT2SJ508198"/>
    <s v="CARLOS ALEXI GALLARDO HERRERA"/>
    <s v="27-08-2026 0:00:00"/>
    <n v="1"/>
    <s v="27-08-2026 0:00:00"/>
    <s v="27-08-2026 10:42:04"/>
    <s v=""/>
    <n v="1"/>
    <n v="0"/>
    <s v=""/>
    <n v="0"/>
    <n v="9250000"/>
    <n v="267990"/>
    <n v="0"/>
    <n v="9517990"/>
    <n v="11490000"/>
    <n v="1972010"/>
    <n v="1716"/>
  </r>
  <r>
    <x v="2"/>
    <s v="LOCAL USADOS COPIAPO"/>
    <n v="0"/>
    <n v="0"/>
    <s v=""/>
    <s v=""/>
    <s v=""/>
    <s v=""/>
    <s v="01-09-2026 17:02:54"/>
    <s v=""/>
    <s v="W0VZ45GY4 K6004417"/>
    <x v="1"/>
    <x v="94"/>
    <x v="150"/>
    <s v="GL1"/>
    <x v="7"/>
    <x v="125"/>
    <s v="TOPSTWU000018"/>
    <x v="187"/>
    <s v="USADO"/>
    <s v="AZUL TOPAZ BLUE"/>
    <s v="POR DEFINIR"/>
    <n v="11990000"/>
    <s v="Disponible"/>
    <x v="65"/>
    <x v="5"/>
    <s v="BODEGA LOS CARRERA COPIAPO"/>
    <s v="AE,CC,EE,ABS,LL,AC,AISO,AAUTO,CRE,MAV,ACD,SR,UD,DL"/>
    <s v="10FJCG2608615"/>
    <s v="W0VZ45GY4 K6004417"/>
    <s v="NELSON ENRIQUE GONZALEZ PEREZ"/>
    <s v="01-09-2026 0:00:00"/>
    <n v="1"/>
    <s v="01-09-2026 0:00:00"/>
    <s v="01-09-2026 17:02:05"/>
    <s v=""/>
    <n v="1"/>
    <n v="0"/>
    <s v=""/>
    <n v="0"/>
    <n v="10300000"/>
    <n v="283740"/>
    <n v="0"/>
    <n v="10583740"/>
    <n v="11990000"/>
    <n v="1406260"/>
    <n v="1173"/>
  </r>
  <r>
    <x v="2"/>
    <s v="LOCAL PREMIUM CAR SALES"/>
    <n v="0"/>
    <n v="0"/>
    <s v=""/>
    <s v=""/>
    <s v=""/>
    <s v=""/>
    <s v="23-10-2025 13:59:01"/>
    <s v=""/>
    <s v="/////+*+///++*..."/>
    <x v="23"/>
    <x v="95"/>
    <x v="151"/>
    <s v="SIL4X4"/>
    <x v="6"/>
    <x v="126"/>
    <s v="TCHCMTU000483"/>
    <x v="188"/>
    <s v="USADO"/>
    <s v="NEGRO"/>
    <s v="POR DEFINIR"/>
    <n v="48990000"/>
    <s v="Disponible"/>
    <x v="116"/>
    <x v="7"/>
    <s v="PREMIUM CAR SALES"/>
    <s v=""/>
    <s v="LM2 TNG625504"/>
    <s v="3GCUD9ET6 NG625504"/>
    <s v="IMPORTADORA TRENTO LTDA"/>
    <s v="23-10-2025 0:00:00"/>
    <n v="1"/>
    <s v="20-11-2025 0:00:00"/>
    <s v="20-11-2025 19:37:03"/>
    <s v=""/>
    <n v="4"/>
    <n v="0"/>
    <s v=""/>
    <n v="0"/>
    <n v="48000000"/>
    <n v="846030"/>
    <n v="0"/>
    <n v="48846030"/>
    <n v="48990000"/>
    <n v="143970"/>
    <n v="29"/>
  </r>
  <r>
    <x v="2"/>
    <s v="MEGACENTRO OVALLE"/>
    <n v="0"/>
    <n v="0"/>
    <s v=""/>
    <s v=""/>
    <s v=""/>
    <s v=""/>
    <s v="29-11-2025 11:09:26"/>
    <s v=""/>
    <s v="VF3M45GYW PS010176"/>
    <x v="0"/>
    <x v="39"/>
    <x v="68"/>
    <s v="PE3008AT"/>
    <x v="6"/>
    <x v="127"/>
    <s v="TPESTWU000438"/>
    <x v="189"/>
    <s v="USADO"/>
    <s v="ROJO ULTIMATE"/>
    <s v="POR DEFINIR"/>
    <n v="16490000"/>
    <s v="Disponible"/>
    <x v="117"/>
    <x v="5"/>
    <s v="BODEGA OVALLEveih"/>
    <s v="AE,CC,EE,AAC,ABS,LL,AISO,AAUTO,CRE,MAV,ACD,SR,UD,D"/>
    <s v="10FJCX3000757"/>
    <s v="VF3M45GYW PS010176"/>
    <s v="MARCELO SEBASTIAN GARRIDO JERALDO"/>
    <s v="29-11-2025 0:00:00"/>
    <n v="1"/>
    <s v="08-01-2026 18:02:00"/>
    <s v="08-01-2026 18:02:00"/>
    <s v="30-06-2027 0:00:00"/>
    <n v="3"/>
    <n v="0"/>
    <s v=""/>
    <n v="0"/>
    <n v="16000000"/>
    <n v="366030"/>
    <n v="0"/>
    <n v="16366030"/>
    <n v="16490000"/>
    <n v="123970"/>
    <n v="75"/>
  </r>
  <r>
    <x v="2"/>
    <s v="LOCAL USADOS COPIAPO"/>
    <n v="0"/>
    <n v="0"/>
    <s v=""/>
    <s v=""/>
    <s v=""/>
    <s v=""/>
    <s v="02-01-2026 16:34:09"/>
    <s v=""/>
    <s v="KPTE0A1YS PP010412"/>
    <x v="17"/>
    <x v="96"/>
    <x v="152"/>
    <s v="SSTO4X215MT"/>
    <x v="2"/>
    <x v="128"/>
    <s v="TSYSTWU000339"/>
    <x v="190"/>
    <s v="USADO"/>
    <s v="AZUL METALICO"/>
    <s v="POR DEFINIR"/>
    <n v="17490000"/>
    <s v="Disponible"/>
    <x v="118"/>
    <x v="5"/>
    <s v="BODEGA LOS CARRERA COPIAPO"/>
    <s v="AE,CC,EE,NB,AAC,ABS,LL,VC,AISO,AAUTO,CRE,MAV,ACD,S"/>
    <s v="17595000015783"/>
    <s v="KPTE0A1YS PP010412"/>
    <s v="GONZALO ANTONIO DELGADO COFRÉ"/>
    <s v="02-01-2026 0:00:00"/>
    <n v="1"/>
    <s v="02-01-2026 0:00:00"/>
    <s v="02-01-2026 16:33:28"/>
    <s v=""/>
    <n v="1"/>
    <n v="0"/>
    <s v=""/>
    <n v="0"/>
    <n v="16400000"/>
    <n v="372030"/>
    <n v="0"/>
    <n v="16772030"/>
    <n v="17490000"/>
    <n v="717970"/>
    <n v="411"/>
  </r>
  <r>
    <x v="2"/>
    <s v="LOCAL PREMIUM CAR SALES"/>
    <n v="0"/>
    <n v="0"/>
    <s v=""/>
    <s v=""/>
    <s v=""/>
    <s v=""/>
    <s v="01-09-2026 16:29:33"/>
    <s v=""/>
    <s v="MA1NP2NN1R2070262"/>
    <x v="30"/>
    <x v="97"/>
    <x v="153"/>
    <s v="MAHXU30012MT"/>
    <x v="0"/>
    <x v="129"/>
    <s v="TMHSTWU000009"/>
    <x v="191"/>
    <s v="USADO"/>
    <s v="BLANCO"/>
    <s v="POR DEFINIR"/>
    <n v="8990000"/>
    <s v="Disponible"/>
    <x v="65"/>
    <x v="11"/>
    <s v="PREMIUM CAR SALES"/>
    <s v=""/>
    <s v="NNPZH14320"/>
    <s v="MA1NP2NN1R2070262"/>
    <s v="PATRICIO HERNAN ANDRADES MARTINEZ"/>
    <s v="01-09-2026 0:00:00"/>
    <n v="1"/>
    <s v="01-09-2026 0:00:00"/>
    <s v="01-09-2026 16:27:39"/>
    <s v=""/>
    <n v="1"/>
    <n v="0"/>
    <s v=""/>
    <n v="0"/>
    <n v="7500000"/>
    <n v="241740"/>
    <n v="0"/>
    <n v="7741740"/>
    <n v="8990000"/>
    <n v="1248260"/>
    <n v="1388"/>
  </r>
  <r>
    <x v="2"/>
    <s v="LOCAL USADOS COPIAPO"/>
    <n v="0"/>
    <n v="0"/>
    <s v=""/>
    <s v=""/>
    <s v=""/>
    <s v=""/>
    <s v="28-08-2025 17:50:15"/>
    <s v=""/>
    <s v="VR3FDAHDE P3009377"/>
    <x v="0"/>
    <x v="1"/>
    <x v="154"/>
    <s v="L666MT"/>
    <x v="6"/>
    <x v="130"/>
    <s v="TPECMTU000014"/>
    <x v="192"/>
    <s v="USADO"/>
    <s v="BLANCO"/>
    <s v="POR DEFINIR"/>
    <n v="13750000"/>
    <s v="Disponible"/>
    <x v="119"/>
    <x v="14"/>
    <s v="BODEGA LOS CARRERA COPIAPO"/>
    <s v="AE,CC,EE,ABS,VC,AC,AISO,AAUTO,CRE,MAV,ACD,SR,UD,DL"/>
    <s v="A5D22003815"/>
    <s v="VR3FDAHDE P3009377"/>
    <s v="DANIEL ALEJANDRO RODRIGUEZ LETELIER"/>
    <s v="28-08-2025 0:00:00"/>
    <n v="1"/>
    <s v="28-08-2025 0:00:00"/>
    <s v="28-08-2025 17:49:40"/>
    <s v=""/>
    <n v="1"/>
    <n v="0"/>
    <s v=""/>
    <n v="0"/>
    <n v="14000000"/>
    <n v="336030"/>
    <n v="0"/>
    <n v="14336030"/>
    <n v="13750000"/>
    <n v="-586030"/>
    <n v="-426"/>
  </r>
  <r>
    <x v="2"/>
    <s v="LOCAL USADOS COPIAPO"/>
    <n v="0"/>
    <n v="0"/>
    <s v=""/>
    <s v=""/>
    <s v=""/>
    <s v=""/>
    <s v="21-08-2026 12:20:07"/>
    <s v=""/>
    <s v="MALA841CAKM323094"/>
    <x v="18"/>
    <x v="54"/>
    <x v="155"/>
    <s v="HY4000"/>
    <x v="4"/>
    <x v="131"/>
    <s v="THYAUTU000591"/>
    <x v="193"/>
    <s v="USADO"/>
    <s v="PLATEADO"/>
    <s v="POR DEFINIR"/>
    <n v="6990000"/>
    <s v="Disponible"/>
    <x v="67"/>
    <x v="5"/>
    <s v="BODEGA LOS CARRERA COPIAPO"/>
    <s v=""/>
    <s v="G4LAJM914575"/>
    <s v="MALA841CAKM323094"/>
    <s v="GABRIELA ANDREA ROJAS FLÁNDEZ"/>
    <s v="21-08-2026 0:00:00"/>
    <n v="1"/>
    <s v="21-08-2026 0:00:00"/>
    <s v="21-08-2026 12:19:38"/>
    <s v=""/>
    <n v="2"/>
    <n v="0"/>
    <s v=""/>
    <n v="0"/>
    <n v="5500000"/>
    <n v="211740"/>
    <n v="0"/>
    <n v="5711740"/>
    <n v="6990000"/>
    <n v="1278260"/>
    <n v="1829"/>
  </r>
  <r>
    <x v="2"/>
    <s v="LOCAL PREMIUM CAR SALES"/>
    <n v="0"/>
    <n v="0"/>
    <s v=""/>
    <s v=""/>
    <s v=""/>
    <s v=""/>
    <s v="21-08-2026 10:36:53"/>
    <s v=""/>
    <s v="LEFEDEF10 TTP04162"/>
    <x v="21"/>
    <x v="98"/>
    <x v="156"/>
    <s v="THXR88"/>
    <x v="1"/>
    <x v="132"/>
    <s v="TJMCMTU000017"/>
    <x v="194"/>
    <s v="USADO"/>
    <s v="BLANCO PERLA"/>
    <s v="POR DEFINIR"/>
    <n v="19990000"/>
    <s v="Disponible"/>
    <x v="67"/>
    <x v="5"/>
    <s v="PREMIUM CAR SALES"/>
    <s v=""/>
    <s v="S7P75116"/>
    <s v="LEFEDEF10 TTP04162"/>
    <s v="CRISTIAN MARCELO RODRIGUEZ LA FUENTE"/>
    <s v="21-08-2026 0:00:00"/>
    <n v="1"/>
    <s v="21-08-2026 0:00:00"/>
    <s v="21-08-2026 10:36:07"/>
    <s v=""/>
    <n v="1"/>
    <n v="0"/>
    <s v=""/>
    <n v="0"/>
    <n v="18000000"/>
    <n v="399240"/>
    <n v="0"/>
    <n v="18399240"/>
    <n v="19990000"/>
    <n v="1590760"/>
    <n v="796"/>
  </r>
  <r>
    <x v="2"/>
    <s v="LOCAL PREMIUM CAR SALES"/>
    <n v="0"/>
    <n v="0"/>
    <s v=""/>
    <s v=""/>
    <s v=""/>
    <s v=""/>
    <s v="14-09-2026 16:56:06"/>
    <s v=""/>
    <s v="KPAX62EESLP067782"/>
    <x v="17"/>
    <x v="99"/>
    <x v="157"/>
    <s v="SSNGYOGRNDMUSSO22"/>
    <x v="4"/>
    <x v="133"/>
    <s v="TSYCMTU000194"/>
    <x v="195"/>
    <s v="USADO"/>
    <s v="BLANCO"/>
    <s v="POR DEFINIR"/>
    <n v="11290000"/>
    <s v="Disponible"/>
    <x v="100"/>
    <x v="6"/>
    <s v="PREMIUM CAR SALES"/>
    <s v=""/>
    <s v="67296010512715"/>
    <s v="KPAX62EESLP067782"/>
    <s v="PATRICIO ALEX ARAYA TABILO"/>
    <s v="14-09-2026 0:00:00"/>
    <n v="1"/>
    <s v="14-09-2026 0:00:00"/>
    <s v="14-09-2026 16:53:32"/>
    <s v=""/>
    <n v="1"/>
    <n v="0"/>
    <s v=""/>
    <n v="0"/>
    <n v="9000000"/>
    <n v="264240"/>
    <n v="0"/>
    <n v="9264240"/>
    <n v="11290000"/>
    <n v="2025760"/>
    <n v="1794"/>
  </r>
  <r>
    <x v="2"/>
    <s v="LOCAL PREMIUM CAR SALES"/>
    <n v="0"/>
    <n v="0"/>
    <s v=""/>
    <s v=""/>
    <s v=""/>
    <s v=""/>
    <s v="27-08-2026 13:22:05"/>
    <s v=""/>
    <s v="VF3MCYHZUNS006924"/>
    <x v="0"/>
    <x v="39"/>
    <x v="100"/>
    <s v="3008 BH4"/>
    <x v="3"/>
    <x v="134"/>
    <s v="TPESTWU000477"/>
    <x v="196"/>
    <s v="USADO"/>
    <s v="BLANCO NACARADO"/>
    <s v="POR DEFINIR"/>
    <n v="14990000"/>
    <s v="Disponible"/>
    <x v="76"/>
    <x v="6"/>
    <s v="PREMIUM CAR SALES"/>
    <s v=""/>
    <s v="10Q3EJ1275325"/>
    <s v="VF3MCYHZUNS006924"/>
    <s v="JORGE ENRIQUE SILVA CRESPO"/>
    <s v="27-08-2026 0:00:00"/>
    <n v="1"/>
    <s v="27-08-2026 0:00:00"/>
    <s v="27-08-2026 13:17:34"/>
    <s v=""/>
    <n v="1"/>
    <n v="0"/>
    <s v=""/>
    <n v="0"/>
    <n v="12850000"/>
    <n v="321990"/>
    <n v="0"/>
    <n v="13171990"/>
    <n v="14990000"/>
    <n v="1818010"/>
    <n v="1213"/>
  </r>
  <r>
    <x v="2"/>
    <s v="MEGACENTRO OVALLE"/>
    <n v="0"/>
    <n v="0"/>
    <s v=""/>
    <s v=""/>
    <s v=""/>
    <s v=""/>
    <s v="30-09-2025 19:19:30"/>
    <s v=""/>
    <s v="VF3MRHNSM PS004241"/>
    <x v="0"/>
    <x v="39"/>
    <x v="158"/>
    <s v="3P1L"/>
    <x v="6"/>
    <x v="135"/>
    <s v="TPESTWU000424"/>
    <x v="197"/>
    <s v="USADO"/>
    <s v="BLANCO NACARADO"/>
    <s v="POR DEFINIR"/>
    <n v="12990000"/>
    <s v="Disponible"/>
    <x v="120"/>
    <x v="5"/>
    <s v="BODEGA OVALLEveih"/>
    <s v="AE,CC,EE,AAC,ABS,LL,VC,AISO,AAUTO,CRE,MAV,SR,UD,DL"/>
    <s v="10TMAF0001673"/>
    <s v="VF3MRHNSM PS004241"/>
    <s v="CECILIA BEATRIZ TAPIA CASTRO"/>
    <s v="30-09-2025 0:00:00"/>
    <n v="1"/>
    <s v="06-11-2025 11:46:00"/>
    <s v="06-11-2025 11:46:00"/>
    <s v="31-07-2027 0:00:00"/>
    <n v="1"/>
    <n v="0"/>
    <s v=""/>
    <n v="0"/>
    <n v="12100000"/>
    <n v="307530"/>
    <n v="0"/>
    <n v="12407530"/>
    <n v="12990000"/>
    <n v="582470"/>
    <n v="448"/>
  </r>
  <r>
    <x v="2"/>
    <s v="LOCAL VALLENAR"/>
    <n v="0"/>
    <n v="0"/>
    <s v=""/>
    <s v=""/>
    <s v=""/>
    <s v=""/>
    <s v="01-09-2026 17:03:10"/>
    <s v=""/>
    <s v="MZBFC814APN349640"/>
    <x v="3"/>
    <x v="51"/>
    <x v="121"/>
    <s v="SOU1"/>
    <x v="2"/>
    <x v="112"/>
    <s v="TKISTWU001347"/>
    <x v="198"/>
    <s v="USADO"/>
    <s v="BLANCO INVIERNO"/>
    <s v="POR DEFINIR"/>
    <n v="12990000"/>
    <s v="Disponible"/>
    <x v="65"/>
    <x v="5"/>
    <s v="LOCAL VALLENAR"/>
    <s v=""/>
    <s v="G4FLPV634265"/>
    <s v="MZBFC814APN349640"/>
    <s v="AILYN BETZABE GANGA DOTE"/>
    <s v="01-09-2026 0:00:00"/>
    <n v="1"/>
    <s v="01-09-2026 0:00:00"/>
    <s v="01-09-2026 17:02:39"/>
    <s v=""/>
    <n v="1"/>
    <n v="0"/>
    <s v=""/>
    <n v="0"/>
    <n v="10500000"/>
    <n v="286740"/>
    <n v="0"/>
    <n v="10786740"/>
    <n v="12990000"/>
    <n v="2203260"/>
    <n v="1696"/>
  </r>
  <r>
    <x v="2"/>
    <s v="LOCAL USADOS COPIAPO"/>
    <n v="0"/>
    <n v="0"/>
    <s v=""/>
    <s v=""/>
    <s v=""/>
    <s v=""/>
    <s v="30-12-2024 11:00:44"/>
    <s v=""/>
    <s v="VR7ACYHZRLL001059"/>
    <x v="12"/>
    <x v="21"/>
    <x v="159"/>
    <s v="7912"/>
    <x v="7"/>
    <x v="136"/>
    <s v="TCISTWU000009"/>
    <x v="199"/>
    <s v="USADO"/>
    <s v="BLANCO"/>
    <s v="POR DEFINIR"/>
    <n v="13990000"/>
    <s v="Disponible"/>
    <x v="121"/>
    <x v="1"/>
    <s v="BODEGA LOS CARRERA COPIAPO"/>
    <s v="AE,CC,EE,NB,ABS,LL,AC,AISO,AAUTO,CRE,ACD,SR,DLL,6A"/>
    <s v="10Q3AR0085523"/>
    <s v="VR7ACYHZRLL001059"/>
    <s v="LUIS ANTONIO CASTRO BALAIC"/>
    <s v="30-12-2024 0:00:00"/>
    <n v="1"/>
    <s v="30-12-2024 0:00:00"/>
    <s v="30-12-2024 10:53:26"/>
    <s v="31-07-2025 0:00:00"/>
    <n v="3"/>
    <n v="0"/>
    <s v=""/>
    <n v="0"/>
    <n v="14190000"/>
    <n v="338880"/>
    <n v="0"/>
    <n v="14528880"/>
    <n v="13990000"/>
    <n v="-538880"/>
    <n v="-385"/>
  </r>
  <r>
    <x v="2"/>
    <s v="LOCAL PREMIUM CAR SALES"/>
    <n v="0"/>
    <n v="0"/>
    <s v=""/>
    <s v=""/>
    <s v=""/>
    <s v=""/>
    <s v="02-05-2022 18:10:07"/>
    <s v=""/>
    <s v="VF3MCYHZRLS003227"/>
    <x v="0"/>
    <x v="39"/>
    <x v="160"/>
    <s v="PCM10"/>
    <x v="7"/>
    <x v="118"/>
    <s v="TPESTWU000283"/>
    <x v="200"/>
    <s v="USADO"/>
    <s v="BLANCO NACARADO"/>
    <s v="POR DEFINIR"/>
    <n v="14990000"/>
    <s v="Disponible"/>
    <x v="122"/>
    <x v="1"/>
    <s v="PREMIUM CAR SALES"/>
    <s v="AE,CC,EE,NB,ABS,LL,AC,AISO,AAUTO,CRE,ACD,SR,DLL,6A"/>
    <s v="10Q3BC0371833"/>
    <s v="VF3MCYHZRLS003227"/>
    <s v="PRUDENCIA LEONELLY VALDIVIA PLAZA"/>
    <s v="02-05-2022 0:00:00"/>
    <n v="1"/>
    <s v="26-02-2025 17:20:00"/>
    <s v="26-02-2025 17:20:00"/>
    <s v=""/>
    <n v="0"/>
    <n v="0"/>
    <s v=""/>
    <n v="7"/>
    <n v="20000000"/>
    <n v="1051072"/>
    <n v="0"/>
    <n v="21051072"/>
    <n v="14990000"/>
    <n v="-6061072"/>
    <n v="-4043"/>
  </r>
  <r>
    <x v="2"/>
    <s v="LOCAL PREMIUM CAR SALES"/>
    <n v="0"/>
    <n v="0"/>
    <s v=""/>
    <s v=""/>
    <s v=""/>
    <s v=""/>
    <s v="27-08-2026 12:53:22"/>
    <s v=""/>
    <s v="VR3UDYHZRLJ655150"/>
    <x v="0"/>
    <x v="43"/>
    <x v="161"/>
    <s v="2BH130"/>
    <x v="10"/>
    <x v="137"/>
    <s v="TPESTWU000476"/>
    <x v="201"/>
    <s v="USADO"/>
    <s v="BLANCO NACARADO"/>
    <s v="POR DEFINIR"/>
    <n v="12490000"/>
    <s v="Disponible"/>
    <x v="76"/>
    <x v="6"/>
    <s v="PREMIUM CAR SALES"/>
    <s v=""/>
    <s v="10Q4DP0011426"/>
    <s v="VR3UDYHZRLJ655150"/>
    <s v="CLAUDIO ALEXIS YÁÑEZ DONAIRE"/>
    <s v="27-08-2026 0:00:00"/>
    <n v="1"/>
    <s v="27-08-2026 0:00:00"/>
    <s v="27-08-2026 12:38:29"/>
    <s v=""/>
    <n v="3"/>
    <n v="0"/>
    <s v=""/>
    <n v="0"/>
    <n v="10800000"/>
    <n v="291240"/>
    <n v="0"/>
    <n v="11091240"/>
    <n v="12490000"/>
    <n v="1398760"/>
    <n v="112"/>
  </r>
  <r>
    <x v="2"/>
    <s v="LOCAL USADOS"/>
    <n v="0"/>
    <n v="0"/>
    <s v=""/>
    <s v=""/>
    <s v=""/>
    <s v=""/>
    <s v="15-07-2025 13:46:05"/>
    <s v=""/>
    <s v="KPT60A1USMP040811"/>
    <x v="17"/>
    <x v="100"/>
    <x v="162"/>
    <s v="NK80"/>
    <x v="10"/>
    <x v="116"/>
    <s v="TSYSTWU000337"/>
    <x v="202"/>
    <s v="USADO"/>
    <s v="BLANCO"/>
    <s v="POR DEFINIR"/>
    <n v="12990000"/>
    <s v="Disponible"/>
    <x v="123"/>
    <x v="1"/>
    <s v="BODEGA VEHICULOS"/>
    <s v="AE,CC,EE,ABS,LL,VC,4AB,AC,AISO,AAUTO,CRE,SR,DLL"/>
    <s v="67391002105133"/>
    <s v="KPT60A1USMP040811"/>
    <s v="CAROLINA MARICELA PIZARRO CASTRO"/>
    <s v="15-07-2025 0:00:00"/>
    <n v="1"/>
    <s v="15-07-2025 0:00:00"/>
    <s v="15-07-2025 13:45:17"/>
    <s v="30-04-2026 0:00:00"/>
    <n v="2"/>
    <n v="0"/>
    <s v=""/>
    <n v="0"/>
    <n v="11000000"/>
    <n v="443877"/>
    <n v="0"/>
    <n v="11443877"/>
    <n v="12990000"/>
    <n v="1546123"/>
    <n v="119"/>
  </r>
  <r>
    <x v="2"/>
    <s v="LOCAL PDI"/>
    <n v="0"/>
    <n v="0"/>
    <s v=""/>
    <s v=""/>
    <s v=""/>
    <s v=""/>
    <s v="14-08-2018 18:36:12"/>
    <s v=""/>
    <s v="KNABE511AET622431"/>
    <x v="3"/>
    <x v="9"/>
    <x v="163"/>
    <s v="17--1416E4"/>
    <x v="12"/>
    <x v="138"/>
    <s v="TKIAUTU001659"/>
    <x v="203"/>
    <s v="USADO"/>
    <s v="ROJO SIGNAL"/>
    <s v="POR DEFINIR"/>
    <n v="4390000"/>
    <s v="Disponible"/>
    <x v="124"/>
    <x v="15"/>
    <s v="BODEGA PDI"/>
    <s v=""/>
    <s v="G3LADP101529"/>
    <s v="KNABE511AET622431"/>
    <s v="JUAN CARLOS MORALES GODOY"/>
    <s v="14-08-2018 0:00:00"/>
    <n v="0"/>
    <s v=""/>
    <s v=""/>
    <s v=""/>
    <n v="0"/>
    <n v="0"/>
    <s v=""/>
    <n v="1"/>
    <n v="0"/>
    <n v="1812732"/>
    <n v="0"/>
    <n v="1812732"/>
    <n v="4390000"/>
    <n v="2577268"/>
    <n v="5871"/>
  </r>
  <r>
    <x v="2"/>
    <s v="LOCAL USADOS COPIAPO"/>
    <n v="0"/>
    <n v="0"/>
    <s v=""/>
    <s v=""/>
    <s v=""/>
    <s v=""/>
    <s v="27-06-2026 13:42:32"/>
    <s v=""/>
    <s v="98867545CKKJ03908"/>
    <x v="31"/>
    <x v="101"/>
    <x v="164"/>
    <s v="CVN"/>
    <x v="4"/>
    <x v="139"/>
    <s v="TJESTWU000442"/>
    <x v="204"/>
    <s v="USADO"/>
    <s v="PLATEADO"/>
    <s v="POR DEFINIR"/>
    <n v="10490000"/>
    <s v="Disponible"/>
    <x v="70"/>
    <x v="5"/>
    <s v="BODEGA LOS CARRERA COPIAPO"/>
    <s v="AE,CC,EE,ABS,LL,4AB,AC,AISO,AAUTO,CRE,ACD,SR,UD,DL"/>
    <s v="318025"/>
    <s v="98867545CKKJ03908"/>
    <s v="RODRIGO ALEXIS REHBEIN PARRA"/>
    <s v="27-06-2026 0:00:00"/>
    <n v="1"/>
    <s v="27-06-2026 0:00:00"/>
    <s v="27-06-2026 13:42:06"/>
    <s v=""/>
    <n v="1"/>
    <n v="0"/>
    <s v=""/>
    <n v="0"/>
    <n v="9500000"/>
    <n v="271740"/>
    <n v="0"/>
    <n v="9771740"/>
    <n v="10490000"/>
    <n v="718260"/>
    <n v="685"/>
  </r>
  <r>
    <x v="2"/>
    <s v="LOCAL PREMIUM CAR SALES"/>
    <n v="0"/>
    <n v="0"/>
    <s v=""/>
    <s v=""/>
    <s v=""/>
    <s v=""/>
    <s v="01-09-2026 16:03:27"/>
    <s v=""/>
    <s v="LVZA53P90RAA28214"/>
    <x v="11"/>
    <x v="64"/>
    <x v="165"/>
    <s v="DF56018MT"/>
    <x v="0"/>
    <x v="106"/>
    <s v="TDFSTWU000058"/>
    <x v="205"/>
    <s v="USADO"/>
    <s v="BLANCO"/>
    <s v="POR DEFINIR"/>
    <n v="9990000"/>
    <s v="Disponible"/>
    <x v="65"/>
    <x v="6"/>
    <s v="PREMIUM CAR SALES"/>
    <s v=""/>
    <s v="SFG18 24336116"/>
    <s v="LVZA53P90RAA28214"/>
    <s v="SERGIO MAXIMILIANO CHILCUMPA GONZALEZ"/>
    <s v="01-09-2026 0:00:00"/>
    <n v="1"/>
    <s v="01-09-2026 0:00:00"/>
    <s v="01-09-2026 16:02:47"/>
    <s v=""/>
    <n v="1"/>
    <n v="0"/>
    <s v=""/>
    <n v="0"/>
    <n v="8300000"/>
    <n v="253740"/>
    <n v="0"/>
    <n v="8553740"/>
    <n v="9990000"/>
    <n v="1436260"/>
    <n v="1438"/>
  </r>
  <r>
    <x v="2"/>
    <s v="LOCAL USADOS COPIAPO"/>
    <n v="0"/>
    <n v="0"/>
    <s v=""/>
    <s v=""/>
    <s v=""/>
    <s v=""/>
    <s v="19-12-2025 10:02:31"/>
    <s v=""/>
    <s v="8AFBR00E1RJ404211"/>
    <x v="2"/>
    <x v="8"/>
    <x v="36"/>
    <s v="FORANXLS20MT"/>
    <x v="0"/>
    <x v="140"/>
    <s v="TFOCMTU001145"/>
    <x v="206"/>
    <s v="USADO"/>
    <s v="BLANCO"/>
    <s v="POR DEFINIR"/>
    <n v="28490000"/>
    <s v="Disponible"/>
    <x v="125"/>
    <x v="5"/>
    <s v="BODEGA LOS CARRERA COPIAPO"/>
    <s v="AE,CC,EE,AAC,ABS,LL,VC,ESP,AISO,AAUTO,CRE,MAV,SR,U"/>
    <s v="P02X RJ404211"/>
    <s v="8AFBR00E1RJ404211"/>
    <s v="MATIAS OLAZO SPA"/>
    <s v="19-12-2025 0:00:00"/>
    <n v="1"/>
    <s v="19-12-2025 0:00:00"/>
    <s v="19-12-2025 9:51:58"/>
    <s v=""/>
    <n v="1"/>
    <n v="0"/>
    <s v=""/>
    <n v="0"/>
    <n v="27000000"/>
    <n v="531030"/>
    <n v="0"/>
    <n v="27531030"/>
    <n v="28490000"/>
    <n v="958970"/>
    <n v="337"/>
  </r>
  <r>
    <x v="2"/>
    <s v="LOCAL PREMIUM CAR SALES"/>
    <n v="0"/>
    <n v="0"/>
    <s v=""/>
    <s v=""/>
    <s v=""/>
    <s v=""/>
    <s v="18-05-2026 12:54:42"/>
    <s v=""/>
    <s v="LVZZU3P96SCB03062"/>
    <x v="11"/>
    <x v="102"/>
    <x v="166"/>
    <s v="US500"/>
    <x v="0"/>
    <x v="141"/>
    <s v="TDFAUTU000002"/>
    <x v="207"/>
    <s v="USADO"/>
    <s v="BLANCO"/>
    <s v="POR DEFINIR"/>
    <n v="11290000"/>
    <s v="Disponible"/>
    <x v="126"/>
    <x v="1"/>
    <s v="PREMIUM CAR SALES"/>
    <s v="AE,CC,EE,ABS,LL,AC,AISO,AAUTO,CRE,MAV,ACD,SR,UD,DL"/>
    <s v="SFG15A 24402834"/>
    <s v="LVZZU3P96SCB03062"/>
    <s v="JOSE MIGUEL NUÑEZ ALVARADO"/>
    <s v="18-05-2026 0:00:00"/>
    <n v="1"/>
    <s v="18-05-2026 0:00:00"/>
    <s v="18-05-2026 12:54:06"/>
    <s v=""/>
    <n v="1"/>
    <n v="0"/>
    <s v=""/>
    <n v="0"/>
    <n v="9000000"/>
    <n v="264240"/>
    <n v="0"/>
    <n v="9264240"/>
    <n v="11290000"/>
    <n v="2025760"/>
    <n v="1794"/>
  </r>
  <r>
    <x v="2"/>
    <s v="LOCAL USADOS COPIAPO"/>
    <n v="0"/>
    <n v="0"/>
    <s v=""/>
    <s v=""/>
    <s v=""/>
    <s v=""/>
    <s v="22-01-2026 12:55:07"/>
    <s v=""/>
    <s v="KNARH81BHR5259144"/>
    <x v="3"/>
    <x v="26"/>
    <x v="167"/>
    <s v="KISO4WD2.2AT"/>
    <x v="2"/>
    <x v="23"/>
    <s v="TKISTWU001330"/>
    <x v="208"/>
    <s v="USADO"/>
    <s v="GRIS ACERO"/>
    <s v="POR DEFINIR"/>
    <n v="31490000"/>
    <s v="Disponible"/>
    <x v="127"/>
    <x v="5"/>
    <s v="BODEGA LOS CARRERA COPIAPO"/>
    <s v="AE,CC,EE,AAC,ABS,LL,TC,VC,AISO,AAUTO,CRE,MAV,ACD,S"/>
    <s v="D4HEPH357028"/>
    <s v="KNARH81BHR5259144"/>
    <s v="OPERACIONES JORGE ALEJANDRO VARAS VARAS E.I.R.L"/>
    <s v="22-01-2026 0:00:00"/>
    <n v="1"/>
    <s v="22-01-2026 0:00:00"/>
    <s v="22-01-2026 12:54:40"/>
    <s v=""/>
    <n v="1"/>
    <n v="0"/>
    <s v=""/>
    <n v="0"/>
    <n v="28000000"/>
    <n v="1142194"/>
    <n v="0"/>
    <n v="29142194"/>
    <n v="31490000"/>
    <n v="2347806"/>
    <n v="746"/>
  </r>
  <r>
    <x v="2"/>
    <s v="LOCAL PREMIUM CAR SALES"/>
    <n v="0"/>
    <n v="0"/>
    <s v=""/>
    <s v=""/>
    <s v=""/>
    <s v=""/>
    <s v="01-07-2026 13:00:51"/>
    <s v=""/>
    <s v="JTMZ43FV0RD173765"/>
    <x v="32"/>
    <x v="103"/>
    <x v="168"/>
    <s v="KLP7"/>
    <x v="2"/>
    <x v="142"/>
    <s v="TTOSTWU000261"/>
    <x v="209"/>
    <s v="USADO"/>
    <s v="BLANCO"/>
    <s v="POR DEFINIR"/>
    <n v="20290000"/>
    <s v="Disponible"/>
    <x v="128"/>
    <x v="6"/>
    <s v="PREMIUM CAR SALES"/>
    <s v="AE,CC,EE,ABS,LL,AC,AISO,AAUTO,CRE,MAV,ACD,SR,UD,DL"/>
    <s v="M20AV658263"/>
    <s v="JTMZ43FV0RD173765"/>
    <s v="FRANCSICO ANTONIO HERRERA MAYORGA"/>
    <s v="01-07-2026 0:00:00"/>
    <n v="1"/>
    <s v="01-07-2026 0:00:00"/>
    <s v="01-07-2026 13:00:24"/>
    <s v=""/>
    <n v="1"/>
    <n v="0"/>
    <s v=""/>
    <n v="0"/>
    <n v="17000000"/>
    <n v="384240"/>
    <n v="0"/>
    <n v="17384240"/>
    <n v="20290000"/>
    <n v="2905760"/>
    <n v="1432"/>
  </r>
  <r>
    <x v="2"/>
    <s v="LOCAL VALLENAR"/>
    <n v="0"/>
    <n v="0"/>
    <s v=""/>
    <s v=""/>
    <s v=""/>
    <s v=""/>
    <s v="06-04-2026 12:02:41"/>
    <s v=""/>
    <s v="LVVDB21B5SC004219"/>
    <x v="24"/>
    <x v="72"/>
    <x v="130"/>
    <s v="JE7AWD16AT"/>
    <x v="1"/>
    <x v="9"/>
    <s v="TJAESTWU000004"/>
    <x v="210"/>
    <s v="USADO"/>
    <s v="GRIS ARTEMIS"/>
    <s v="POR DEFINIR"/>
    <n v="15990000"/>
    <s v="Disponible"/>
    <x v="7"/>
    <x v="5"/>
    <s v="LOCAL VALLENAR"/>
    <s v="AE,CC,EE,AAC,ABS,LL,TC,AISO,AAUTO,CRE,MAV,ACD,SR,U"/>
    <s v="SQRF4J16CAHRE00160"/>
    <s v="LVVDB21B5 SC004219"/>
    <s v="JOSE LUIS ALE DAIRE CALLEGARI"/>
    <s v="06-04-2026 0:00:00"/>
    <n v="1"/>
    <s v="06-04-2026 0:00:00"/>
    <s v="06-04-2026 12:01:30"/>
    <s v=""/>
    <n v="1"/>
    <n v="0"/>
    <s v=""/>
    <n v="0"/>
    <n v="14500000"/>
    <n v="346740"/>
    <n v="0"/>
    <n v="14846740"/>
    <n v="15990000"/>
    <n v="1143260"/>
    <n v="715"/>
  </r>
  <r>
    <x v="2"/>
    <s v="LOCAL PREMIUM CAR SALES"/>
    <n v="0"/>
    <n v="0"/>
    <s v=""/>
    <s v=""/>
    <s v=""/>
    <s v=""/>
    <s v="30-07-2026 18:58:15"/>
    <s v=""/>
    <s v="LJ166A250N4016069"/>
    <x v="7"/>
    <x v="104"/>
    <x v="169"/>
    <s v="JAJS815AT"/>
    <x v="3"/>
    <x v="143"/>
    <s v="TJASTWU000026"/>
    <x v="211"/>
    <s v="USADO"/>
    <s v="BLANCO"/>
    <s v="POR DEFINIR"/>
    <n v="10790000"/>
    <s v="Disponible"/>
    <x v="84"/>
    <x v="5"/>
    <s v="PREMIUM CAR SALES"/>
    <s v="AE,CC,EE,ABS,LL,4AB,AC,AISO,AAUTO,CRE,ACD,DLL"/>
    <s v="M3627275"/>
    <s v="LJ166A250N4016069"/>
    <s v="FRANCISCO JAVIER DIAZ MELO"/>
    <s v="30-07-2026 0:00:00"/>
    <n v="1"/>
    <s v="30-07-2026 0:00:00"/>
    <s v="30-07-2026 18:57:40"/>
    <s v=""/>
    <n v="1"/>
    <n v="0"/>
    <s v=""/>
    <n v="0"/>
    <n v="8500000"/>
    <n v="256740"/>
    <n v="0"/>
    <n v="8756740"/>
    <n v="10790000"/>
    <n v="2033260"/>
    <n v="1884"/>
  </r>
  <r>
    <x v="2"/>
    <s v="LOCAL PREMIUM CAR SALES"/>
    <n v="0"/>
    <n v="0"/>
    <s v=""/>
    <s v=""/>
    <s v=""/>
    <s v=""/>
    <s v="01-09-2026 18:33:47"/>
    <s v=""/>
    <s v="/////+++/./++*./."/>
    <x v="7"/>
    <x v="25"/>
    <x v="170"/>
    <s v="JAJSHB15MT"/>
    <x v="3"/>
    <x v="81"/>
    <s v="TJASTWU000027"/>
    <x v="212"/>
    <s v="USADO"/>
    <s v="PLATEADO PLATA"/>
    <s v="POR DEFINIR"/>
    <n v="7590000"/>
    <s v="Disponible"/>
    <x v="65"/>
    <x v="6"/>
    <s v="PREMIUM CAR SALES"/>
    <s v="AE,CC,EE,2AB,ABS,AC,AISO,AAUTO,MAV,UD,DLL"/>
    <s v="M3361895"/>
    <s v="LJ12EKR29N4014145"/>
    <s v="FELIPE IGNACIO CIFUENTES MONTECINOS"/>
    <s v="01-09-2026 0:00:00"/>
    <n v="1"/>
    <s v="01-09-2026 0:00:00"/>
    <s v="01-09-2026 18:33:15"/>
    <s v=""/>
    <n v="1"/>
    <n v="0"/>
    <s v=""/>
    <n v="0"/>
    <n v="5850000"/>
    <n v="216990"/>
    <n v="0"/>
    <n v="6066990"/>
    <n v="7590000"/>
    <n v="1523010"/>
    <n v="2007"/>
  </r>
  <r>
    <x v="2"/>
    <s v="LOCAL USADOS COPIAPO"/>
    <n v="0"/>
    <n v="0"/>
    <s v=""/>
    <s v=""/>
    <s v=""/>
    <s v=""/>
    <s v="12-09-2025 18:26:55"/>
    <s v=""/>
    <s v="*---****.../*...."/>
    <x v="7"/>
    <x v="15"/>
    <x v="171"/>
    <s v="JAT8PRO4X420MT"/>
    <x v="6"/>
    <x v="144"/>
    <s v="TJACMTU000006"/>
    <x v="213"/>
    <s v="USADO"/>
    <s v="GRIS"/>
    <s v="POR DEFINIR"/>
    <n v="12790000"/>
    <s v="Disponible"/>
    <x v="3"/>
    <x v="1"/>
    <s v="BODEGA LOS CARRERA COPIAPO"/>
    <s v=""/>
    <s v="N4127324"/>
    <s v="LJ11PABD8 PC091786"/>
    <s v="CARLOS GABRIEL ROMERO PINO"/>
    <s v="12-09-2025 0:00:00"/>
    <n v="1"/>
    <s v="12-09-2025 0:00:00"/>
    <s v="12-09-2025 18:26:22"/>
    <s v=""/>
    <n v="3"/>
    <n v="0"/>
    <s v=""/>
    <n v="0"/>
    <n v="10600000"/>
    <n v="285030"/>
    <n v="0"/>
    <n v="10885030"/>
    <n v="12790000"/>
    <n v="1904970"/>
    <n v="1489"/>
  </r>
  <r>
    <x v="2"/>
    <s v="MEGACENTRO OVALLE"/>
    <n v="0"/>
    <n v="0"/>
    <s v=""/>
    <s v=""/>
    <s v=""/>
    <s v=""/>
    <s v="18-03-2026 17:39:09"/>
    <s v=""/>
    <s v="LJNTGUC52 RN409084"/>
    <x v="11"/>
    <x v="105"/>
    <x v="172"/>
    <s v="DFD1LUX4X423MT"/>
    <x v="0"/>
    <x v="23"/>
    <s v="TDFCMTU000013"/>
    <x v="214"/>
    <s v="USADO"/>
    <s v="NEGRO"/>
    <s v="POR DEFINIR"/>
    <n v="15190000"/>
    <s v="Disponible"/>
    <x v="90"/>
    <x v="5"/>
    <s v="BODEGA OVALLEveih"/>
    <s v="AE,CC,EE,2AB,ABS,LL,VC,AC,AISO,AAUTO,CRE,MAV,ACD,S"/>
    <s v="M9T 60A Q1012197"/>
    <s v="LJNTGUC52 RN409084"/>
    <s v="FIDEL ANDRES ROJAS ARAYA"/>
    <s v="18-03-2026 0:00:00"/>
    <n v="1"/>
    <s v="18-03-2026 0:00:00"/>
    <s v="18-03-2026 17:38:43"/>
    <s v=""/>
    <n v="1"/>
    <n v="0"/>
    <s v=""/>
    <n v="0"/>
    <n v="13900000"/>
    <n v="334530"/>
    <n v="0"/>
    <n v="14234530"/>
    <n v="15190000"/>
    <n v="955470"/>
    <n v="629"/>
  </r>
  <r>
    <x v="2"/>
    <s v="LOCAL USADOS"/>
    <n v="0"/>
    <n v="0"/>
    <s v=""/>
    <s v=""/>
    <s v=""/>
    <s v=""/>
    <s v="04-05-2026 17:27:55"/>
    <s v=""/>
    <s v="/..+/+++///++*..."/>
    <x v="12"/>
    <x v="41"/>
    <x v="173"/>
    <s v="CR566"/>
    <x v="4"/>
    <x v="145"/>
    <s v="TCIAUTU000131"/>
    <x v="215"/>
    <s v="USADO"/>
    <s v="GRIS SATINADO T BLANCO"/>
    <s v="POR DEFINIR"/>
    <n v="9290000"/>
    <s v="Disponible"/>
    <x v="129"/>
    <x v="1"/>
    <s v="BODEGA VEHICULOS"/>
    <s v="AE,CC,EE,2AB,ABS,LL,AC,AISO,AAUTO,MAV,ACD,DLL"/>
    <s v="10XK132270863"/>
    <s v="VF72RHNZWJ4344809"/>
    <s v="MYRIAM LORENA ALVAREZ DIAZ"/>
    <s v="04-05-2026 0:00:00"/>
    <n v="1"/>
    <s v="04-05-2026 0:00:00"/>
    <s v="04-05-2026 17:22:16"/>
    <s v=""/>
    <n v="4"/>
    <n v="0"/>
    <s v=""/>
    <n v="0"/>
    <n v="8300000"/>
    <n v="253740"/>
    <n v="0"/>
    <n v="8553740"/>
    <n v="9290000"/>
    <n v="736260"/>
    <n v="793"/>
  </r>
  <r>
    <x v="2"/>
    <s v="MEGACENTRO OVALLE"/>
    <n v="0"/>
    <n v="0"/>
    <s v=""/>
    <s v=""/>
    <s v=""/>
    <s v=""/>
    <s v="22-07-2026 10:40:46"/>
    <s v=""/>
    <s v="8AFAR23X5 PJ321429"/>
    <x v="2"/>
    <x v="8"/>
    <x v="174"/>
    <s v="FRR01"/>
    <x v="2"/>
    <x v="146"/>
    <s v="TFOCMTU001167"/>
    <x v="216"/>
    <s v="USADO"/>
    <s v="BLANCO"/>
    <s v="POR DEFINIR"/>
    <n v="20990000"/>
    <s v="Disponible"/>
    <x v="77"/>
    <x v="5"/>
    <s v="BODEGA OVALLEveih"/>
    <s v="AE,CC,EE,2AB,ABS,LL,VC,AC,AISO,AAUTO,MAV,SR,UD,DLL"/>
    <s v="QJ2W PJ321429"/>
    <s v="8AFAR23X5 PJ321429"/>
    <s v="EMPRESA ELECTRICA ARAYA LOPEZ LIMITADA"/>
    <s v="22-07-2026 0:00:00"/>
    <n v="1"/>
    <s v="22-07-2026 0:00:00"/>
    <s v="22-07-2026 10:28:38"/>
    <s v=""/>
    <n v="1"/>
    <n v="0"/>
    <s v=""/>
    <n v="0"/>
    <n v="18000000"/>
    <n v="399240"/>
    <n v="0"/>
    <n v="18399240"/>
    <n v="20990000"/>
    <n v="2590760"/>
    <n v="1234"/>
  </r>
  <r>
    <x v="2"/>
    <s v="LOCAL PREMIUM CAR SALES"/>
    <n v="0"/>
    <n v="0"/>
    <s v=""/>
    <s v=""/>
    <s v=""/>
    <s v=""/>
    <s v="27-01-2023 10:03:02"/>
    <s v=""/>
    <s v="LJXCU2BB4MTP00962"/>
    <x v="2"/>
    <x v="35"/>
    <x v="122"/>
    <s v="FTU1"/>
    <x v="10"/>
    <x v="147"/>
    <s v="TFOSTWU001235"/>
    <x v="217"/>
    <s v="USADO"/>
    <s v="ROJO"/>
    <s v="POR DEFINIR"/>
    <n v="12990000"/>
    <s v="Disponible"/>
    <x v="130"/>
    <x v="1"/>
    <s v="PREMIUM CAR SALES"/>
    <s v="AE,CC,EE,NB,AAC,ABS,LL,VC,4AB,ESP,AISO,ACP,AAUTO,A"/>
    <s v="L5G014983"/>
    <s v="LJXCU2BB4MTP00962"/>
    <s v="GLADYS ISABEL CAMPOS LEDEZMA"/>
    <s v="27-01-2023 0:00:00"/>
    <n v="1"/>
    <s v="27-01-2023 0:00:00"/>
    <s v="27-01-2023 10:02:29"/>
    <s v=""/>
    <n v="0"/>
    <n v="0"/>
    <s v=""/>
    <n v="0"/>
    <n v="15500000"/>
    <n v="899467"/>
    <n v="0"/>
    <n v="16399467"/>
    <n v="12990000"/>
    <n v="-3409467"/>
    <n v="-2625"/>
  </r>
  <r>
    <x v="2"/>
    <s v="LOCAL USADOS"/>
    <n v="0"/>
    <n v="0"/>
    <s v=""/>
    <s v=""/>
    <s v=""/>
    <s v=""/>
    <s v="17-02-2022 15:53:19"/>
    <s v=""/>
    <s v="VF3M45GZWJS004469"/>
    <x v="0"/>
    <x v="39"/>
    <x v="175"/>
    <s v="PALL7"/>
    <x v="11"/>
    <x v="148"/>
    <s v="TPESTWU000279"/>
    <x v="218"/>
    <s v="USADO"/>
    <s v="GRIS HURRICANE"/>
    <s v="POR DEFINIR"/>
    <n v="14390000"/>
    <s v="Disponible"/>
    <x v="131"/>
    <x v="1"/>
    <s v="BODEGA VEHICULOS"/>
    <s v="AE,CC,EE,2AB,NB,AAC,ABS,LL,TC,VC,4AB,ESP,CT,SS,AIS"/>
    <s v="10FJCC2346652"/>
    <s v="VF3M45GZWJS004469"/>
    <s v="OSCAR ARMANDO PIZARRO BEMBOW"/>
    <s v="17-02-2022 0:00:00"/>
    <n v="1"/>
    <s v="29-04-2022 19:24:00"/>
    <s v="29-04-2022 19:24:00"/>
    <s v=""/>
    <n v="0"/>
    <n v="0"/>
    <s v=""/>
    <n v="0"/>
    <n v="17650000"/>
    <n v="753678"/>
    <n v="0"/>
    <n v="18403678"/>
    <n v="14390000"/>
    <n v="-4013678"/>
    <n v="-2789"/>
  </r>
  <r>
    <x v="2"/>
    <s v="LOCAL PREMIUM CAR SALES"/>
    <n v="0"/>
    <n v="0"/>
    <s v=""/>
    <s v=""/>
    <s v=""/>
    <s v=""/>
    <s v="02-09-2026 17:35:14"/>
    <s v=""/>
    <s v="VR3KAHPY7TS000858"/>
    <x v="0"/>
    <x v="39"/>
    <x v="141"/>
    <s v="3008ALLUSA"/>
    <x v="1"/>
    <x v="149"/>
    <s v="TPESTWU000478"/>
    <x v="219"/>
    <s v="USADO"/>
    <s v="AZUL OBSESSION"/>
    <s v="POR DEFINIR"/>
    <n v="23490000"/>
    <s v="Disponible"/>
    <x v="81"/>
    <x v="11"/>
    <s v="PREMIUM CAR SALES"/>
    <s v=""/>
    <s v="10XR000049806"/>
    <s v="VR3KAHPY7TS000858"/>
    <s v="ANGELINA DANIELA CASANOVA GATICA"/>
    <s v="02-09-2026 0:00:00"/>
    <n v="1"/>
    <s v="02-09-2026 0:00:00"/>
    <s v="02-09-2026 17:34:12"/>
    <s v=""/>
    <n v="3"/>
    <n v="0"/>
    <s v=""/>
    <n v="0"/>
    <n v="20500000"/>
    <n v="0"/>
    <n v="0"/>
    <n v="20500000"/>
    <n v="23490000"/>
    <n v="2990000"/>
    <n v="1273"/>
  </r>
  <r>
    <x v="2"/>
    <s v="LOCAL PREMIUM CAR SALES"/>
    <n v="0"/>
    <n v="0"/>
    <s v=""/>
    <s v=""/>
    <s v=""/>
    <s v=""/>
    <s v="31-07-2026 15:20:43"/>
    <s v=""/>
    <s v="LVVDB21B4 SD047234"/>
    <x v="9"/>
    <x v="21"/>
    <x v="176"/>
    <s v="OMOC516AT"/>
    <x v="0"/>
    <x v="150"/>
    <s v="TOMOSTWU000012"/>
    <x v="220"/>
    <s v="USADO"/>
    <s v="GRIS OSCURO C ROKO"/>
    <s v="POR DEFINIR"/>
    <n v="15290000"/>
    <s v="Disponible"/>
    <x v="69"/>
    <x v="11"/>
    <s v="PREMIUM CAR SALES"/>
    <s v="AE,CC,EE,AAC,ABS,LL,4AB,AISO,AAUTO,CRE,MAV,SR,UD,D"/>
    <s v="SQRF4J16BJRL00006"/>
    <s v="LVVDB21B4 SD047234"/>
    <s v="JORGE ARAYA TORO"/>
    <s v="31-07-2026 0:00:00"/>
    <n v="1"/>
    <s v="31-07-2026 0:00:00"/>
    <s v="31-07-2026 15:20:11"/>
    <s v=""/>
    <n v="1"/>
    <n v="0"/>
    <s v=""/>
    <n v="0"/>
    <n v="13800000"/>
    <n v="336240"/>
    <n v="0"/>
    <n v="14136240"/>
    <n v="15290000"/>
    <n v="1153760"/>
    <n v="755"/>
  </r>
  <r>
    <x v="2"/>
    <s v="MEGACENTRO OVALLE"/>
    <n v="0"/>
    <n v="0"/>
    <s v=""/>
    <s v=""/>
    <s v=""/>
    <s v=""/>
    <s v="25-08-2026 17:04:02"/>
    <s v=""/>
    <s v="LS4ASE2E8 TA993851"/>
    <x v="20"/>
    <x v="14"/>
    <x v="177"/>
    <s v="CHX7PLTRB15AT"/>
    <x v="1"/>
    <x v="61"/>
    <s v="TCGSTWU000035"/>
    <x v="221"/>
    <s v="USADO"/>
    <s v="BLANCO"/>
    <s v="POR DEFINIR"/>
    <n v="14200000"/>
    <s v="Disponible"/>
    <x v="132"/>
    <x v="6"/>
    <s v="BODEGA OVALLEveih"/>
    <s v=""/>
    <s v="JL473ZQASETABA04782"/>
    <s v="LS4ASE2E8 TA993851"/>
    <s v="PATRICIO DEL CARMEN FERNANDEZ BONILLA"/>
    <s v="25-08-2026 0:00:00"/>
    <n v="1"/>
    <s v="25-08-2026 0:00:00"/>
    <s v="25-08-2026 16:59:05"/>
    <s v=""/>
    <n v="1"/>
    <n v="0"/>
    <s v=""/>
    <n v="0"/>
    <n v="11550000"/>
    <n v="302490"/>
    <n v="0"/>
    <n v="11852490"/>
    <n v="14200000"/>
    <n v="2347510"/>
    <n v="1653"/>
  </r>
  <r>
    <x v="2"/>
    <s v="LOCAL USADOS COPIAPO"/>
    <n v="0"/>
    <n v="0"/>
    <s v=""/>
    <s v=""/>
    <s v=""/>
    <s v=""/>
    <s v="29-04-2026 14:50:28"/>
    <s v=""/>
    <s v="JM7DM2W7AS0309501"/>
    <x v="14"/>
    <x v="106"/>
    <x v="178"/>
    <s v="MACX3020AT"/>
    <x v="0"/>
    <x v="151"/>
    <s v="TMASTWU000106"/>
    <x v="222"/>
    <s v="USADO"/>
    <s v="AZUL OSCURO METALIZADO"/>
    <s v="POR DEFINIR"/>
    <n v="19990000"/>
    <s v="Disponible"/>
    <x v="133"/>
    <x v="5"/>
    <s v="BODEGA LOS CARRERA COPIAPO"/>
    <s v="AE,CC,EE,AAC,ABS,LL,VC,AISO,ACP,AAUTO,CRE,MAV,ACD,"/>
    <s v="PE 22028517"/>
    <s v="JM7DM2W7AS0309501"/>
    <s v="COMPAÑÍA DE ASISTENCIA MEDICA DOMICILIARIA A INSTITUCIONES PÚBL"/>
    <s v="29-04-2026 0:00:00"/>
    <n v="1"/>
    <s v="29-04-2026 0:00:00"/>
    <s v="29-04-2026 14:49:51"/>
    <s v=""/>
    <n v="1"/>
    <n v="0"/>
    <s v=""/>
    <n v="0"/>
    <n v="18300000"/>
    <n v="403740"/>
    <n v="0"/>
    <n v="18703740"/>
    <n v="19990000"/>
    <n v="1286260"/>
    <n v="643"/>
  </r>
  <r>
    <x v="2"/>
    <s v="LOCAL VALLENAR"/>
    <n v="0"/>
    <n v="0"/>
    <s v=""/>
    <s v=""/>
    <s v=""/>
    <s v=""/>
    <s v="20-08-2026 17:12:08"/>
    <s v=""/>
    <s v="JMBXNGA1W NU001543"/>
    <x v="8"/>
    <x v="28"/>
    <x v="179"/>
    <s v="MIASXGL16MT"/>
    <x v="2"/>
    <x v="152"/>
    <s v="TMISTWU000377"/>
    <x v="223"/>
    <s v="USADO"/>
    <s v="PLATEADO"/>
    <s v="POR DEFINIR"/>
    <n v="13490000"/>
    <s v="Disponible"/>
    <x v="87"/>
    <x v="5"/>
    <s v="LOCAL VALLENAR"/>
    <s v=""/>
    <s v="4A92 JN5464"/>
    <s v="JMBXNGA1W NU001543"/>
    <s v="ANA MARIA ROJAS CARMONA"/>
    <s v="20-08-2026 0:00:00"/>
    <n v="1"/>
    <s v="20-08-2026 0:00:00"/>
    <s v="20-08-2026 17:11:10"/>
    <s v=""/>
    <n v="1"/>
    <n v="0"/>
    <s v=""/>
    <n v="0"/>
    <n v="11500000"/>
    <n v="301740"/>
    <n v="0"/>
    <n v="11801740"/>
    <n v="13490000"/>
    <n v="1688260"/>
    <n v="1251"/>
  </r>
  <r>
    <x v="2"/>
    <s v="LOCAL USADOS"/>
    <n v="0"/>
    <n v="0"/>
    <s v=""/>
    <s v=""/>
    <s v=""/>
    <s v=""/>
    <s v="08-06-2022 9:26:11"/>
    <s v=""/>
    <s v="1C4RJFAM4DC548094"/>
    <x v="31"/>
    <x v="107"/>
    <x v="180"/>
    <s v="MIP"/>
    <x v="14"/>
    <x v="153"/>
    <s v="TJESTWU000395"/>
    <x v="224"/>
    <s v="USADO"/>
    <s v="GRIS GRAFITO"/>
    <s v="POR DEFINIR"/>
    <n v="11490000"/>
    <s v="Disponible"/>
    <x v="134"/>
    <x v="7"/>
    <s v="BODEGA VEHICULOS"/>
    <s v="CC,EE,2AB,NB,AAC,ABS,LL,VC,ESP,CT,AELE,CRE,MAV,ACD"/>
    <s v="DC548094"/>
    <s v="1C4RJFAM4DC548094"/>
    <s v="ERICK DARNEY VERGARA ROJAS"/>
    <s v="08-06-2022 0:00:00"/>
    <n v="1"/>
    <s v="08-06-2022 0:00:00"/>
    <s v="08-06-2022 9:25:50"/>
    <s v=""/>
    <n v="0"/>
    <n v="0"/>
    <s v=""/>
    <n v="0"/>
    <n v="13800000"/>
    <n v="513046"/>
    <n v="0"/>
    <n v="14313046"/>
    <n v="11490000"/>
    <n v="-2823046"/>
    <n v="-2457"/>
  </r>
  <r>
    <x v="2"/>
    <s v="LOCAL PREMIUM CAR SALES"/>
    <n v="0"/>
    <n v="0"/>
    <s v=""/>
    <s v=""/>
    <s v=""/>
    <s v=""/>
    <s v="27-08-2026 11:06:25"/>
    <s v=""/>
    <s v="1FTFW1E50PFA79485"/>
    <x v="2"/>
    <x v="16"/>
    <x v="181"/>
    <s v="FOF150LALU4X450"/>
    <x v="2"/>
    <x v="154"/>
    <s v="TFOCMTU001171"/>
    <x v="225"/>
    <s v="USADO"/>
    <s v="NEGRO UNIVERSO"/>
    <s v="POR DEFINIR"/>
    <n v="41290000"/>
    <s v="Disponible"/>
    <x v="76"/>
    <x v="11"/>
    <s v="PREMIUM CAR SALES"/>
    <s v=""/>
    <s v="PFA79485"/>
    <s v="1FTFW1E50PFA79485"/>
    <s v="SERVICIOS MINEROS Y MANTENCIONES VIALES SPA"/>
    <s v="27-08-2026 0:00:00"/>
    <n v="1"/>
    <s v="27-08-2026 0:00:00"/>
    <s v="27-08-2026 11:01:13"/>
    <s v=""/>
    <n v="3"/>
    <n v="0"/>
    <s v=""/>
    <n v="0"/>
    <n v="34750000"/>
    <n v="650490"/>
    <n v="0"/>
    <n v="35400490"/>
    <n v="41290000"/>
    <n v="5889510"/>
    <n v="1426"/>
  </r>
  <r>
    <x v="2"/>
    <s v="LOCAL PREMIUM CAR SALES"/>
    <n v="0"/>
    <n v="0"/>
    <s v=""/>
    <s v=""/>
    <s v=""/>
    <s v=""/>
    <s v="14-09-2026 16:41:06"/>
    <s v=""/>
    <s v="@@+.//@++.@@@///+"/>
    <x v="7"/>
    <x v="15"/>
    <x v="182"/>
    <s v="JCT8PSDCAB4X420"/>
    <x v="6"/>
    <x v="155"/>
    <s v="TJACMTU000008"/>
    <x v="226"/>
    <s v="USADO"/>
    <s v="PLATEADO PLATA"/>
    <s v="POR DEFINIR"/>
    <n v="11990000"/>
    <s v="Disponible"/>
    <x v="100"/>
    <x v="6"/>
    <s v="PREMIUM CAR SALES"/>
    <s v=""/>
    <s v="N4127061"/>
    <s v="LJ11PABD5 PC091793"/>
    <s v="RAMON OSCAR URRA JIMENEZ"/>
    <s v="14-09-2026 0:00:00"/>
    <n v="1"/>
    <s v="14-09-2026 0:00:00"/>
    <s v="14-09-2026 16:40:39"/>
    <s v=""/>
    <n v="4"/>
    <n v="0"/>
    <s v=""/>
    <n v="0"/>
    <n v="9750000"/>
    <n v="275490"/>
    <n v="0"/>
    <n v="10025490"/>
    <n v="11990000"/>
    <n v="1964510"/>
    <n v="1638"/>
  </r>
  <r>
    <x v="2"/>
    <s v="LOCAL PREMIUM CAR SALES"/>
    <n v="0"/>
    <n v="0"/>
    <s v=""/>
    <s v=""/>
    <s v=""/>
    <s v=""/>
    <s v="20-08-2026 17:06:14"/>
    <s v=""/>
    <s v="SJNTAAJ12PA179922"/>
    <x v="15"/>
    <x v="56"/>
    <x v="183"/>
    <s v="NIQAS01"/>
    <x v="2"/>
    <x v="156"/>
    <s v="TNISTWU000619"/>
    <x v="227"/>
    <s v="USADO"/>
    <s v="GRIS METALICO"/>
    <s v="POR DEFINIR"/>
    <n v="19790000"/>
    <s v="Disponible"/>
    <x v="87"/>
    <x v="5"/>
    <s v="PREMIUM CAR SALES"/>
    <s v=""/>
    <s v="HR13459376A"/>
    <s v="SJNTAAJ12PA179922"/>
    <s v="RAUL EDUARDO HUERTA DIAZ"/>
    <s v="20-08-2026 0:00:00"/>
    <n v="1"/>
    <s v="20-08-2026 0:00:00"/>
    <s v="20-08-2026 17:05:04"/>
    <s v=""/>
    <n v="3"/>
    <n v="0"/>
    <s v=""/>
    <n v="0"/>
    <n v="16700000"/>
    <n v="379740"/>
    <n v="0"/>
    <n v="17079740"/>
    <n v="19790000"/>
    <n v="2710260"/>
    <n v="137"/>
  </r>
  <r>
    <x v="2"/>
    <s v="MEGACENTRO OVALLE"/>
    <n v="0"/>
    <n v="0"/>
    <s v=""/>
    <s v=""/>
    <s v=""/>
    <s v=""/>
    <s v="27-07-2026 12:17:36"/>
    <s v=""/>
    <s v="/////+++//.++*..."/>
    <x v="12"/>
    <x v="41"/>
    <x v="70"/>
    <s v="CIC3PT12"/>
    <x v="2"/>
    <x v="157"/>
    <s v="TCIAUTU000134"/>
    <x v="228"/>
    <s v="USADO"/>
    <s v="GRIS ARTENSE BLANCO"/>
    <s v="POR DEFINIR"/>
    <n v="8290000"/>
    <s v="Disponible"/>
    <x v="135"/>
    <x v="6"/>
    <s v="BODEGA OVALLEveih"/>
    <s v="AE,CC,EE,2AB,ABS,LL,AC,AISO,AAUTO,CRE,MAV,ACD,SR,U"/>
    <s v="10VQAC0016124"/>
    <s v="935CCHMEE RB514821"/>
    <s v="RENATO EUGENIO ROJAS HIDALGO"/>
    <s v="27-07-2026 0:00:00"/>
    <n v="1"/>
    <s v="03-08-2026 16:40:00"/>
    <s v="03-08-2026 16:40:00"/>
    <s v=""/>
    <n v="1"/>
    <n v="0"/>
    <s v=""/>
    <n v="0"/>
    <n v="6650000"/>
    <n v="228990"/>
    <n v="0"/>
    <n v="6878990"/>
    <n v="8290000"/>
    <n v="1411010"/>
    <n v="1702"/>
  </r>
  <r>
    <x v="2"/>
    <s v="LOCAL PREMIUM CAR SALES"/>
    <n v="0"/>
    <n v="0"/>
    <s v=""/>
    <s v=""/>
    <s v=""/>
    <s v=""/>
    <s v="14-09-2026 17:02:12"/>
    <s v=""/>
    <s v="8AFAR22P8LJ176026"/>
    <x v="2"/>
    <x v="8"/>
    <x v="184"/>
    <s v="01--JGD4E4"/>
    <x v="7"/>
    <x v="158"/>
    <s v="TFOCMTN000005"/>
    <x v="229"/>
    <s v="USADO"/>
    <s v="GRIS MERCURIO"/>
    <s v="POR DEFINIR"/>
    <n v="14590000"/>
    <s v="Disponible"/>
    <x v="100"/>
    <x v="6"/>
    <s v="PREMIUM CAR SALES"/>
    <s v=""/>
    <s v="EV2S LJ176026"/>
    <s v="8AFAR22P8LJ176026"/>
    <s v="XIMENA VERONICA VERGARA FUENTES"/>
    <s v="14-09-2026 0:00:00"/>
    <n v="1"/>
    <s v="14-09-2026 0:00:00"/>
    <s v="14-09-2026 16:59:22"/>
    <s v=""/>
    <n v="1"/>
    <n v="0"/>
    <s v=""/>
    <n v="0"/>
    <n v="11600000"/>
    <n v="303240"/>
    <n v="0"/>
    <n v="11903240"/>
    <n v="14590000"/>
    <n v="2686760"/>
    <n v="1842"/>
  </r>
  <r>
    <x v="2"/>
    <s v="LOCAL PREMIUM CAR SALES"/>
    <n v="0"/>
    <n v="0"/>
    <s v=""/>
    <s v=""/>
    <s v=""/>
    <s v=""/>
    <s v="30-05-2026 11:28:44"/>
    <s v=""/>
    <s v="WF0AXXWPMHGY88472"/>
    <x v="2"/>
    <x v="48"/>
    <x v="185"/>
    <s v="01--ESCAUT1"/>
    <x v="11"/>
    <x v="159"/>
    <s v="TFOSTWU001411"/>
    <x v="230"/>
    <s v="USADO"/>
    <s v="NEGRO ABSOLUTO"/>
    <s v="POR DEFINIR"/>
    <n v="10490000"/>
    <s v="Disponible"/>
    <x v="96"/>
    <x v="12"/>
    <s v="PREMIUM CAR SALES"/>
    <s v="AE,CC,EE,AAC,ABS,LL,VC,AISO,AAUTO,CRE,MAV,ACD,SR,U"/>
    <s v="HGY88472"/>
    <s v="WF0AXXWPMHGY88472"/>
    <s v="SUSAN CARMEN GLORIA HENRY HENRY"/>
    <s v="30-05-2026 0:00:00"/>
    <n v="1"/>
    <s v="30-05-2026 0:00:00"/>
    <s v="30-05-2026 11:28:08"/>
    <s v="31-10-2027 0:00:00"/>
    <n v="1"/>
    <n v="0"/>
    <s v=""/>
    <n v="0"/>
    <n v="8600000"/>
    <n v="258240"/>
    <n v="0"/>
    <n v="8858240"/>
    <n v="10490000"/>
    <n v="1631760"/>
    <n v="1556"/>
  </r>
  <r>
    <x v="2"/>
    <s v="MEGACENTRO OVALLE"/>
    <n v="0"/>
    <n v="0"/>
    <s v=""/>
    <s v=""/>
    <s v=""/>
    <s v=""/>
    <s v="06-04-2026 14:45:14"/>
    <s v=""/>
    <s v="LTA12H2UX N9100771"/>
    <x v="33"/>
    <x v="108"/>
    <x v="186"/>
    <s v="ZXTERRA4X425AT"/>
    <x v="3"/>
    <x v="95"/>
    <s v="TZXCMTU000003"/>
    <x v="231"/>
    <s v="USADO"/>
    <s v="BLANCO"/>
    <s v="POR DEFINIR"/>
    <n v="13690000"/>
    <s v="Disponible"/>
    <x v="7"/>
    <x v="7"/>
    <s v="BODEGA OVALLEveih"/>
    <s v="AE,CC,EE,NB,ABS,LL,AC,AISO,AAUTO,CRE,MAV,ACD,SR,UD"/>
    <s v="2336061171"/>
    <s v="LTA12H2UX N9100771"/>
    <s v="FRANCISCO JAVIER RODRIGO MAJMUD VICUÑA"/>
    <s v="06-04-2026 0:00:00"/>
    <n v="1"/>
    <s v="06-04-2026 0:00:00"/>
    <s v="06-04-2026 14:43:48"/>
    <s v=""/>
    <n v="1"/>
    <n v="0"/>
    <s v=""/>
    <n v="0"/>
    <n v="11500000"/>
    <n v="301740"/>
    <n v="0"/>
    <n v="11801740"/>
    <n v="13690000"/>
    <n v="1888260"/>
    <n v="1379"/>
  </r>
  <r>
    <x v="2"/>
    <s v="LOCAL PREMIUM CAR SALES"/>
    <n v="0"/>
    <n v="0"/>
    <s v=""/>
    <s v=""/>
    <s v=""/>
    <s v=""/>
    <s v="01-09-2026 15:45:26"/>
    <s v=""/>
    <s v="1FMUK8DH7 SGA83264"/>
    <x v="2"/>
    <x v="18"/>
    <x v="52"/>
    <s v="EAC4X4"/>
    <x v="0"/>
    <x v="160"/>
    <s v="TFOSTWU001430"/>
    <x v="232"/>
    <s v="USADO"/>
    <s v="AZUL VAPORIZADO"/>
    <s v="POR DEFINIR"/>
    <n v="35590000"/>
    <s v="Disponible"/>
    <x v="65"/>
    <x v="1"/>
    <s v="PREMIUM CAR SALES"/>
    <s v="AE,CC,EE,AAC,ABS,LL,VC,AISO,AAUTO,CRE,MAV,ACD,SR,D"/>
    <s v="SGA83264"/>
    <s v="1FMUK8DH7 SGA83264"/>
    <s v="DAYAN ANALIA OPAZO CEPEDA"/>
    <s v="01-09-2026 0:00:00"/>
    <n v="1"/>
    <s v="01-09-2026 0:00:00"/>
    <s v="01-09-2026 15:42:53"/>
    <s v=""/>
    <n v="1"/>
    <n v="0"/>
    <s v=""/>
    <n v="0"/>
    <n v="30000000"/>
    <n v="579240"/>
    <n v="0"/>
    <n v="30579240"/>
    <n v="35590000"/>
    <n v="5010760"/>
    <n v="1408"/>
  </r>
  <r>
    <x v="2"/>
    <s v="LOCAL PREMIUM CAR SALES"/>
    <n v="0"/>
    <n v="0"/>
    <s v=""/>
    <s v=""/>
    <s v=""/>
    <s v=""/>
    <s v="31-07-2026 18:01:30"/>
    <s v=""/>
    <s v="LJXCU2BB0STF20703"/>
    <x v="2"/>
    <x v="35"/>
    <x v="187"/>
    <s v="PIT7"/>
    <x v="0"/>
    <x v="161"/>
    <s v="TFOSTWU001424"/>
    <x v="233"/>
    <s v="USADO"/>
    <s v="ROJO RUBI"/>
    <s v="POR DEFINIR"/>
    <n v="18190000"/>
    <s v="Disponible"/>
    <x v="69"/>
    <x v="11"/>
    <s v="PREMIUM CAR SALES"/>
    <s v="AE,CC,EE,NB,AAC,ABS,LL,VC,AISO,AAUTO,CRE,MAV,SR,UD"/>
    <s v="R6G065623"/>
    <s v="LJXCU2BB0STF20703"/>
    <s v="JOSE ANTONIO CAPCHA QUISPE"/>
    <s v="31-07-2026 0:00:00"/>
    <n v="1"/>
    <s v="31-07-2026 0:00:00"/>
    <s v="31-07-2026 17:59:18"/>
    <s v=""/>
    <n v="1"/>
    <n v="0"/>
    <s v=""/>
    <n v="0"/>
    <n v="15000000"/>
    <n v="354240"/>
    <n v="0"/>
    <n v="15354240"/>
    <n v="18190000"/>
    <n v="2835760"/>
    <n v="1559"/>
  </r>
  <r>
    <x v="2"/>
    <s v="LOCAL PREMIUM CAR SALES"/>
    <n v="0"/>
    <n v="0"/>
    <s v=""/>
    <s v=""/>
    <s v=""/>
    <s v=""/>
    <s v="13-08-2026 12:51:52"/>
    <s v=""/>
    <s v="2FMPK4K87 JBB82696"/>
    <x v="2"/>
    <x v="40"/>
    <x v="188"/>
    <s v="01--FUFU1"/>
    <x v="4"/>
    <x v="162"/>
    <s v="TFOSTWU001426"/>
    <x v="234"/>
    <s v="USADO"/>
    <s v="ROJO METALICO"/>
    <s v="POR DEFINIR"/>
    <n v="14790000"/>
    <s v="Disponible"/>
    <x v="136"/>
    <x v="5"/>
    <s v="PREMIUM CAR SALES"/>
    <s v=""/>
    <s v="JBB82696"/>
    <s v="2FMPK4K87 JBB82696"/>
    <s v="DAVID ANDRES GONZALEZ CASTILLO"/>
    <s v="13-08-2026 0:00:00"/>
    <n v="1"/>
    <s v="13-08-2026 0:00:00"/>
    <s v="13-08-2026 12:50:51"/>
    <s v=""/>
    <n v="2"/>
    <n v="0"/>
    <s v=""/>
    <n v="0"/>
    <n v="12000000"/>
    <n v="309240"/>
    <n v="0"/>
    <n v="12309240"/>
    <n v="14790000"/>
    <n v="2480760"/>
    <n v="1677"/>
  </r>
  <r>
    <x v="2"/>
    <s v="LOCAL PREMIUM CAR SALES"/>
    <n v="0"/>
    <n v="0"/>
    <s v=""/>
    <s v=""/>
    <s v=""/>
    <s v=""/>
    <s v="22-07-2026 10:15:17"/>
    <s v=""/>
    <s v="8AFAR22Z0 PJ292909"/>
    <x v="2"/>
    <x v="8"/>
    <x v="189"/>
    <s v="FORANXLT25MT"/>
    <x v="2"/>
    <x v="163"/>
    <s v="TFOCMTU001166"/>
    <x v="235"/>
    <s v="USADO"/>
    <s v="BLANCO"/>
    <s v="POR DEFINIR"/>
    <n v="19590000"/>
    <s v="Disponible"/>
    <x v="77"/>
    <x v="6"/>
    <s v="PREMIUM CAR SALES"/>
    <s v="AE,CC,EE,2AB,NB,ABS,LL,VC,AC,AISO,AAUTO,MAV,ACD,SR"/>
    <s v="EV2S PJ292909"/>
    <s v="8AFAR22Z0 PJ292909"/>
    <s v="EMPRESA ELECTRICA ARAYA LOPEZ LIMITADA"/>
    <s v="22-07-2026 0:00:00"/>
    <n v="1"/>
    <s v="22-07-2026 0:00:00"/>
    <s v="22-07-2026 10:10:29"/>
    <s v=""/>
    <n v="1"/>
    <n v="0"/>
    <s v=""/>
    <n v="0"/>
    <n v="16350000"/>
    <n v="374490"/>
    <n v="0"/>
    <n v="16724490"/>
    <n v="19590000"/>
    <n v="2865510"/>
    <n v="1463"/>
  </r>
  <r>
    <x v="2"/>
    <s v="LOCAL PDI"/>
    <n v="0"/>
    <n v="0"/>
    <s v=""/>
    <s v=""/>
    <s v=""/>
    <s v=""/>
    <s v="03-01-2017 1:36:33"/>
    <s v=""/>
    <s v="KNCSJX76AF7939699"/>
    <x v="3"/>
    <x v="19"/>
    <x v="34"/>
    <s v="17--1336"/>
    <x v="5"/>
    <x v="1"/>
    <s v="TKICMTN000002"/>
    <x v="236"/>
    <s v="USADO"/>
    <s v="BLANCO INVIERNO"/>
    <s v="NO DEFINIDO"/>
    <n v="14800000"/>
    <s v="Disponible"/>
    <x v="137"/>
    <x v="15"/>
    <s v="BODEGA PDI"/>
    <s v=""/>
    <s v="D4CBF677399"/>
    <s v="KNCSJX76AF7939699"/>
    <s v="SERVICIOS DE INGENIERIA Y MINERIA SPA"/>
    <s v="09-11-2015 0:00:00"/>
    <n v="23832"/>
    <s v="10-11-2015 0:00:00"/>
    <s v="12-11-2020 15:42:13"/>
    <s v="09-11-2015 0:00:00"/>
    <n v="0"/>
    <n v="0"/>
    <s v=""/>
    <n v="0"/>
    <n v="323597"/>
    <n v="3165631"/>
    <n v="0"/>
    <n v="3489228"/>
    <n v="14800000"/>
    <n v="11310772"/>
    <n v="7642"/>
  </r>
  <r>
    <x v="2"/>
    <s v="LOCAL PREMIUM CAR SALES"/>
    <n v="0"/>
    <n v="0"/>
    <s v=""/>
    <s v=""/>
    <s v=""/>
    <s v=""/>
    <s v="30-07-2026 19:26:27"/>
    <s v=""/>
    <s v="LNNBBDEE9 TD126827"/>
    <x v="13"/>
    <x v="109"/>
    <x v="190"/>
    <s v="CHTI8PMGLX15AUT"/>
    <x v="1"/>
    <x v="164"/>
    <s v="TCYSTWU000362"/>
    <x v="237"/>
    <s v="USADO"/>
    <s v="GRIS BAMBOO"/>
    <s v="POR DEFINIR"/>
    <n v="26990000"/>
    <s v="Disponible"/>
    <x v="84"/>
    <x v="5"/>
    <s v="PREMIUM CAR SALES"/>
    <s v="AE,CC,EE,AAC,ABS,LL,VC,AISO,AAUTO,CRE,MAV,ACD,SR,U"/>
    <s v="SQRH4J15DFTB60007"/>
    <s v="LNNBBDEE9 TD126827"/>
    <s v="EDITH MAGDALENA ALIAGA BONILLA"/>
    <s v="30-07-2026 0:00:00"/>
    <n v="1"/>
    <s v="30-07-2026 0:00:00"/>
    <s v="30-07-2026 19:24:33"/>
    <s v=""/>
    <n v="1"/>
    <n v="0"/>
    <s v=""/>
    <n v="0"/>
    <n v="22500000"/>
    <n v="466740"/>
    <n v="0"/>
    <n v="22966740"/>
    <n v="26990000"/>
    <n v="4023260"/>
    <n v="1491"/>
  </r>
  <r>
    <x v="2"/>
    <s v="LOCAL USADOS COPIAPO"/>
    <n v="0"/>
    <n v="0"/>
    <s v=""/>
    <s v=""/>
    <s v=""/>
    <s v=""/>
    <s v="14-07-2026 19:10:54"/>
    <s v=""/>
    <s v="VF3M45GFRLL009224"/>
    <x v="0"/>
    <x v="45"/>
    <x v="191"/>
    <s v="PE5008PUR16AT"/>
    <x v="7"/>
    <x v="112"/>
    <s v="TPESTWU000465"/>
    <x v="238"/>
    <s v="USADO"/>
    <s v="GRIS PLATINUM"/>
    <s v="POR DEFINIR"/>
    <n v="15990000"/>
    <s v="Disponible"/>
    <x v="138"/>
    <x v="6"/>
    <s v="BODEGA LOS CARRERA COPIAPO"/>
    <s v="AE,CC,EE,AAC,ABS,LL,VC,AISO,AAUTO,CRE,ACD,SR,DLL,6"/>
    <s v="10FKBA2636915"/>
    <s v="VF3M45GFRLL009224"/>
    <s v="MARIO DARIO MUÑOZ MERCADO"/>
    <s v="14-07-2026 0:00:00"/>
    <n v="1"/>
    <s v="03-08-2026 16:44:00"/>
    <s v="03-08-2026 16:44:00"/>
    <s v=""/>
    <n v="3"/>
    <n v="0"/>
    <s v=""/>
    <n v="0"/>
    <n v="12600000"/>
    <n v="318240"/>
    <n v="0"/>
    <n v="12918240"/>
    <n v="15990000"/>
    <n v="3071760"/>
    <n v="1921"/>
  </r>
  <r>
    <x v="2"/>
    <s v="MEGACENTRO OVALLE"/>
    <n v="0"/>
    <n v="0"/>
    <s v=""/>
    <s v=""/>
    <s v=""/>
    <s v=""/>
    <s v="27-08-2026 16:37:21"/>
    <s v=""/>
    <s v="JF1SK7LL5NG163420"/>
    <x v="4"/>
    <x v="49"/>
    <x v="84"/>
    <s v="SF99"/>
    <x v="6"/>
    <x v="165"/>
    <s v="TSUSTWU000404"/>
    <x v="239"/>
    <s v="USADO"/>
    <s v="PLATEADO HIELO CLARO"/>
    <s v="POR DEFINIR"/>
    <n v="22490000"/>
    <s v="Disponible"/>
    <x v="76"/>
    <x v="6"/>
    <s v="BODEGA OVALLEveih"/>
    <s v=""/>
    <s v="YS98374"/>
    <s v="JF1SK7LL5NG163420"/>
    <s v="IVAN HUMBERTO CORTES PASTEN"/>
    <s v="27-08-2026 0:00:00"/>
    <n v="1"/>
    <s v="27-08-2026 0:00:00"/>
    <s v="27-08-2026 16:32:53"/>
    <s v=""/>
    <n v="1"/>
    <n v="0"/>
    <s v=""/>
    <n v="0"/>
    <n v="17000000"/>
    <n v="384240"/>
    <n v="0"/>
    <n v="17384240"/>
    <n v="22490000"/>
    <n v="5105760"/>
    <n v="227"/>
  </r>
  <r>
    <x v="2"/>
    <s v="LOCAL PREMIUM CAR SALES"/>
    <n v="0"/>
    <n v="0"/>
    <s v=""/>
    <s v=""/>
    <s v=""/>
    <s v=""/>
    <s v="15-07-2026 18:14:11"/>
    <s v=""/>
    <s v="1FMCU0MZ6 PUA51737"/>
    <x v="2"/>
    <x v="48"/>
    <x v="192"/>
    <s v="FOESD425AT"/>
    <x v="2"/>
    <x v="166"/>
    <s v="TFOSTWU001419"/>
    <x v="240"/>
    <s v="USADO"/>
    <s v="AZUL ATLAS"/>
    <s v="POR DEFINIR"/>
    <n v="21990000"/>
    <s v="Disponible"/>
    <x v="139"/>
    <x v="5"/>
    <s v="PREMIUM CAR SALES"/>
    <s v="AE,CC,EE,AAC,ABS,LL,VC,ESP,AISO,ACP,AAUTO,CRE,ACD,"/>
    <s v="PUA51737"/>
    <s v="1FMCU0MZ6 PUA51737"/>
    <s v="SEBASTIAN VICENTE ALATA ALEGRE"/>
    <s v="15-07-2026 0:00:00"/>
    <n v="1"/>
    <s v="15-07-2026 0:00:00"/>
    <s v="15-07-2026 18:13:45"/>
    <s v=""/>
    <n v="1"/>
    <n v="0"/>
    <s v=""/>
    <n v="0"/>
    <n v="18750000"/>
    <n v="410490"/>
    <n v="0"/>
    <n v="19160490"/>
    <n v="21990000"/>
    <n v="2829510"/>
    <n v="1287"/>
  </r>
  <r>
    <x v="2"/>
    <s v="LOCAL PREMIUM CAR SALES"/>
    <n v="0"/>
    <n v="0"/>
    <s v=""/>
    <s v=""/>
    <s v=""/>
    <s v=""/>
    <s v="04-02-2026 12:30:05"/>
    <s v=""/>
    <s v="LVVDB21B8 ND055115"/>
    <x v="13"/>
    <x v="110"/>
    <x v="193"/>
    <s v="T7PRODEV"/>
    <x v="3"/>
    <x v="167"/>
    <s v="TCYSTWU000340"/>
    <x v="241"/>
    <s v="USADO"/>
    <s v="BLANCO METALIZADO"/>
    <s v="POR DEFINIR"/>
    <n v="11990000"/>
    <s v="Disponible"/>
    <x v="29"/>
    <x v="1"/>
    <s v="PREMIUM CAR SALES"/>
    <s v="AE,CC,EE,AAC,ABS,LL,AISO,AAUTO,CRE,MAV,TELE,ACD,SR"/>
    <s v="SQRE4T15CAPNA00418"/>
    <s v="LVVDB21B8 ND055115"/>
    <s v="MARIA ANTONIETA DEL CARMEN WHITTAKER ROA"/>
    <s v="04-02-2026 0:00:00"/>
    <n v="1"/>
    <s v="23-05-2026 12:34:00"/>
    <s v="23-05-2026 12:34:00"/>
    <s v="31-10-2026 0:00:00"/>
    <n v="1"/>
    <n v="0"/>
    <s v=""/>
    <n v="1"/>
    <n v="10000000"/>
    <n v="276030"/>
    <n v="0"/>
    <n v="10276030"/>
    <n v="11990000"/>
    <n v="1713970"/>
    <n v="1429"/>
  </r>
  <r>
    <x v="2"/>
    <s v="LOCAL USADOS"/>
    <n v="0"/>
    <n v="0"/>
    <s v=""/>
    <s v=""/>
    <s v=""/>
    <s v=""/>
    <s v="03-10-2025 18:06:52"/>
    <s v=""/>
    <s v="////////******++."/>
    <x v="18"/>
    <x v="54"/>
    <x v="194"/>
    <s v="HYSTF4X425AT"/>
    <x v="0"/>
    <x v="168"/>
    <s v="THYSTWU000544"/>
    <x v="242"/>
    <s v="USADO"/>
    <s v="PLATEADO PLATA"/>
    <s v="POR DEFINIR"/>
    <n v="29990000"/>
    <s v="Disponible"/>
    <x v="93"/>
    <x v="5"/>
    <s v="BODEGA VEHICULOS"/>
    <s v="AE,CC,EE,ABS,LL,VC,AC,AISO,CRE,MAV,ACD,SR,DLL,6AB,"/>
    <s v="G4KNRA851884"/>
    <s v="KMHP281JD RU030971"/>
    <s v="RODOLFO ANDRES SALGADO MARILEO"/>
    <s v="03-10-2025 0:00:00"/>
    <n v="1"/>
    <s v="03-10-2025 0:00:00"/>
    <s v="03-10-2025 18:06:12"/>
    <s v=""/>
    <n v="2"/>
    <n v="0"/>
    <s v=""/>
    <n v="0"/>
    <n v="28700000"/>
    <n v="1053703"/>
    <n v="0"/>
    <n v="29753703"/>
    <n v="29990000"/>
    <n v="236297"/>
    <n v="79"/>
  </r>
  <r>
    <x v="2"/>
    <s v="LOCAL PREMIUM CAR SALES"/>
    <n v="0"/>
    <n v="0"/>
    <s v=""/>
    <s v=""/>
    <s v=""/>
    <s v=""/>
    <s v="30-07-2026 19:07:16"/>
    <s v=""/>
    <s v="///..+++///++*.*."/>
    <x v="34"/>
    <x v="111"/>
    <x v="195"/>
    <s v="AQ21"/>
    <x v="6"/>
    <x v="169"/>
    <s v="TAUSTWU000012"/>
    <x v="243"/>
    <s v="USADO"/>
    <s v="AZUL NAVARRA"/>
    <s v="POR DEFINIR"/>
    <n v="20990000"/>
    <s v="Disponible"/>
    <x v="84"/>
    <x v="5"/>
    <s v="PREMIUM CAR SALES"/>
    <s v="AE,CC,EE,AAC,ABS,LL,4AB,AISO,CRE,MAV,ACD,SR,DLL"/>
    <s v="DJK 098538"/>
    <s v="WAUZZZGA0 PA018614"/>
    <s v="WILSON JESUS PALMA GUERRERO"/>
    <s v="30-07-2026 0:00:00"/>
    <n v="1"/>
    <s v="30-07-2026 0:00:00"/>
    <s v="30-07-2026 19:06:57"/>
    <s v=""/>
    <n v="3"/>
    <n v="0"/>
    <s v=""/>
    <n v="0"/>
    <n v="16500000"/>
    <n v="376740"/>
    <n v="0"/>
    <n v="16876740"/>
    <n v="20990000"/>
    <n v="4113260"/>
    <n v="196"/>
  </r>
  <r>
    <x v="2"/>
    <s v="LOCAL USADOS COPIAPO"/>
    <n v="0"/>
    <n v="0"/>
    <s v=""/>
    <s v=""/>
    <s v=""/>
    <s v=""/>
    <s v="30-05-2026 11:24:30"/>
    <s v=""/>
    <s v="JN1KC4E26 P9020038"/>
    <x v="15"/>
    <x v="112"/>
    <x v="196"/>
    <s v="NIUR01"/>
    <x v="6"/>
    <x v="170"/>
    <s v="TNIFRGU000002"/>
    <x v="244"/>
    <s v="USADO"/>
    <s v="BLANCO"/>
    <s v="POR DEFINIR"/>
    <n v="16490000"/>
    <s v="Disponible"/>
    <x v="96"/>
    <x v="1"/>
    <s v="BODEGA LOS CARRERA COPIAPO"/>
    <s v="AE,CC,EE,2AB,ABS,AC,AISO,AAUTO,CRE,ACD,DLL"/>
    <s v="YD25113544B"/>
    <s v="JN1KC4E26 P9020038"/>
    <s v="INVERSIONES SEYMAQ ATACAMA LIMITADA"/>
    <s v="30-05-2026 0:00:00"/>
    <n v="1"/>
    <s v="30-05-2026 0:00:00"/>
    <s v="30-05-2026 11:24:09"/>
    <s v="31-08-2027 0:00:00"/>
    <n v="3"/>
    <n v="0"/>
    <s v=""/>
    <n v="0"/>
    <n v="15500000"/>
    <n v="361740"/>
    <n v="0"/>
    <n v="15861740"/>
    <n v="16490000"/>
    <n v="628260"/>
    <n v="381"/>
  </r>
  <r>
    <x v="2"/>
    <s v="LOCAL PREMIUM CAR SALES"/>
    <n v="0"/>
    <n v="0"/>
    <s v=""/>
    <s v=""/>
    <s v=""/>
    <s v=""/>
    <s v="01-09-2026 17:22:13"/>
    <s v=""/>
    <s v="LVVDB11B2ME005099"/>
    <x v="13"/>
    <x v="113"/>
    <x v="197"/>
    <s v="TP88"/>
    <x v="10"/>
    <x v="171"/>
    <s v="TCYSTWU000367"/>
    <x v="245"/>
    <s v="USADO"/>
    <s v="GRIS GRAFITO"/>
    <s v="POR DEFINIR"/>
    <n v="7290000"/>
    <s v="Disponible"/>
    <x v="65"/>
    <x v="5"/>
    <s v="PREMIUM CAR SALES"/>
    <s v="AE,EE,ABS,LL,AC,AISO,AAUTO,CRE,MAV,ACD,SR,UD,DLL"/>
    <s v="SQRD4G15BAFLL00522"/>
    <s v="LVVDB11B2ME005099"/>
    <s v="NADIA DEL CARMEN DIAZ COLOMA"/>
    <s v="01-09-2026 0:00:00"/>
    <n v="1"/>
    <s v="01-09-2026 0:00:00"/>
    <s v="01-09-2026 17:21:16"/>
    <s v=""/>
    <n v="1"/>
    <n v="0"/>
    <s v=""/>
    <n v="0"/>
    <n v="6000000"/>
    <n v="219240"/>
    <n v="0"/>
    <n v="6219240"/>
    <n v="7290000"/>
    <n v="1070760"/>
    <n v="1469"/>
  </r>
  <r>
    <x v="2"/>
    <s v="MEGACENTRO OVALLE"/>
    <n v="0"/>
    <n v="0"/>
    <s v=""/>
    <s v=""/>
    <s v=""/>
    <s v=""/>
    <s v="02-01-2026 15:09:11"/>
    <s v=""/>
    <s v="VF3M45GZWJS004343"/>
    <x v="0"/>
    <x v="39"/>
    <x v="198"/>
    <s v="P7R9"/>
    <x v="11"/>
    <x v="172"/>
    <s v="TPESTWU000443"/>
    <x v="246"/>
    <s v="USADO"/>
    <s v="ROJO ULTIMATE"/>
    <s v="POR DEFINIR"/>
    <n v="10490000"/>
    <s v="Disponible"/>
    <x v="118"/>
    <x v="1"/>
    <s v="BODEGA OVALLEveih"/>
    <s v="AE,CC,EE,ABS,LL,VC,AC,AISO,AAUTO,CRE,MAV,ACD,SR,UD"/>
    <s v="10FJCC2344377"/>
    <s v="VF3M45GZWJS004343"/>
    <s v="mario lagunas"/>
    <s v="02-01-2026 0:00:00"/>
    <n v="1"/>
    <s v="10-03-2026 22:23:00"/>
    <s v="10-03-2026 22:23:00"/>
    <s v="30-06-2026 0:00:00"/>
    <n v="1"/>
    <n v="0"/>
    <s v=""/>
    <n v="0"/>
    <n v="8800000"/>
    <n v="258030"/>
    <n v="0"/>
    <n v="9058030"/>
    <n v="10490000"/>
    <n v="1431970"/>
    <n v="1365"/>
  </r>
  <r>
    <x v="2"/>
    <s v="LOCAL USADOS COPIAPO"/>
    <n v="0"/>
    <n v="0"/>
    <s v=""/>
    <s v=""/>
    <s v=""/>
    <s v=""/>
    <s v="15-03-2022 11:58:49"/>
    <s v=""/>
    <s v="KPTG0B1TSFP339581"/>
    <x v="17"/>
    <x v="114"/>
    <x v="199"/>
    <s v="05--12345678"/>
    <x v="15"/>
    <x v="173"/>
    <s v="TSYSTWU000306"/>
    <x v="247"/>
    <s v="USADO"/>
    <s v="NEGRO"/>
    <s v="POR DEFINIR"/>
    <n v="8490000"/>
    <s v="Disponible"/>
    <x v="140"/>
    <x v="7"/>
    <s v="BODEGA LOS CARRERA COPIAPO"/>
    <s v="AE,CC,2AB,NB,ABS,AC,AISO,CRE,MAV"/>
    <s v="67196010530787"/>
    <s v="KPTG0B1TSFP339581"/>
    <s v="ALEJANDRA DEL CARMEN URTUBIA MENDIETA"/>
    <s v="15-03-2022 0:00:00"/>
    <n v="1"/>
    <s v="15-03-2022 0:00:00"/>
    <s v="15-03-2022 11:58:28"/>
    <s v=""/>
    <n v="0"/>
    <n v="0"/>
    <s v=""/>
    <n v="0"/>
    <n v="10500000"/>
    <n v="461694"/>
    <n v="0"/>
    <n v="10961694"/>
    <n v="8490000"/>
    <n v="-2471694"/>
    <n v="-2911"/>
  </r>
  <r>
    <x v="3"/>
    <s v="LOCAL PREMIUM CAR SALES"/>
    <n v="0"/>
    <n v="0"/>
    <s v=""/>
    <s v=""/>
    <s v=""/>
    <s v=""/>
    <s v="27-01-2026 11:16:59"/>
    <s v=""/>
    <s v="LNNBBDEE5TC017013"/>
    <x v="24"/>
    <x v="72"/>
    <x v="200"/>
    <s v="T7160F5ZKMH0010"/>
    <x v="1"/>
    <x v="174"/>
    <s v="HJAESTWN000009"/>
    <x v="248"/>
    <s v="SEMINUEVO"/>
    <s v="GRIS PETROLEO CON TECHO NEGRO"/>
    <s v="POR DEFINIR"/>
    <n v="23690000"/>
    <s v="Disponible"/>
    <x v="141"/>
    <x v="6"/>
    <s v="Bodeha Vehiculos Premium"/>
    <s v=""/>
    <s v="SQRH4J15CVSH60090"/>
    <s v="LNNBBDEE5TC017013"/>
    <s v="CALLEGARI E HIJOS LTDA"/>
    <s v="27-01-2026 0:00:00"/>
    <n v="322028"/>
    <s v="26-02-2026 0:00:00"/>
    <s v="27-01-2026 11:16:41"/>
    <s v=""/>
    <n v="0"/>
    <n v="0"/>
    <s v=""/>
    <n v="0"/>
    <n v="22454454"/>
    <n v="561067"/>
    <n v="0"/>
    <n v="23015521"/>
    <n v="23690000"/>
    <n v="674479"/>
    <n v="285"/>
  </r>
  <r>
    <x v="3"/>
    <s v="LOCAL FCO. DE AGUIRRE"/>
    <n v="0"/>
    <n v="0"/>
    <s v=""/>
    <s v=""/>
    <s v=""/>
    <s v=""/>
    <s v="02-10-2024 11:40:07"/>
    <s v=""/>
    <s v="LMGHT1L88R3062334"/>
    <x v="35"/>
    <x v="115"/>
    <x v="201"/>
    <s v="GAC7151HCW6A-1"/>
    <x v="0"/>
    <x v="1"/>
    <s v="HGCSTWN000240"/>
    <x v="249"/>
    <s v="SEMINUEVO"/>
    <s v="AZUL"/>
    <s v="POR DEFINIR"/>
    <n v="19990000"/>
    <s v="Disponible"/>
    <x v="142"/>
    <x v="6"/>
    <s v="BODEGA VEHICULOS SK"/>
    <s v=""/>
    <s v="K321917"/>
    <s v="LMGHT1L88R3062334"/>
    <s v="BANSA SANTANDER S A"/>
    <s v="27-09-2024 0:00:00"/>
    <n v="352208"/>
    <s v="19-11-2024 0:00:00"/>
    <s v="27-11-2024 14:42:09"/>
    <s v=""/>
    <n v="0"/>
    <n v="0"/>
    <s v=""/>
    <n v="0"/>
    <n v="15454453"/>
    <n v="1405310"/>
    <n v="0"/>
    <n v="16859763"/>
    <n v="16798319"/>
    <n v="-61444"/>
    <n v="-37"/>
  </r>
  <r>
    <x v="3"/>
    <s v="LOCAL MITSUBISHI"/>
    <n v="0"/>
    <n v="0"/>
    <s v=""/>
    <s v=""/>
    <s v=""/>
    <s v=""/>
    <s v="01-02-2024 15:41:27"/>
    <s v=""/>
    <s v="LC0CE4CB4R0001691"/>
    <x v="26"/>
    <x v="116"/>
    <x v="202"/>
    <s v="BYD005"/>
    <x v="2"/>
    <x v="175"/>
    <s v="HBYSTWN000006"/>
    <x v="250"/>
    <s v="SEMINUEVO"/>
    <s v="GRIS"/>
    <s v="POR DEFINIR"/>
    <n v="19790000"/>
    <s v="Disponible"/>
    <x v="143"/>
    <x v="3"/>
    <s v="MEGACENTRO LA SERENA VEHICULOS"/>
    <s v=""/>
    <s v="TZ200XSQ 2G3016118"/>
    <s v="LC0CE4CB4R0001691"/>
    <s v="BANSA SANTANDER S A"/>
    <s v="29-01-2024 0:00:00"/>
    <n v="0"/>
    <s v=""/>
    <s v=""/>
    <s v=""/>
    <n v="0"/>
    <n v="0"/>
    <s v=""/>
    <n v="0"/>
    <n v="30243697"/>
    <n v="847880"/>
    <n v="0"/>
    <n v="31091577"/>
    <n v="19790000"/>
    <n v="-11301577"/>
    <n v="-5711"/>
  </r>
  <r>
    <x v="3"/>
    <s v="LOCAL PREMIUM CAR SALES"/>
    <n v="0"/>
    <n v="0"/>
    <s v=""/>
    <s v=""/>
    <s v=""/>
    <s v=""/>
    <s v="23-04-2025 14:32:46"/>
    <s v=""/>
    <s v="LNNBBDEE0SC041105"/>
    <x v="24"/>
    <x v="72"/>
    <x v="203"/>
    <s v="T7160F5"/>
    <x v="0"/>
    <x v="1"/>
    <s v="HJAESTWN000005"/>
    <x v="251"/>
    <s v="SEMINUEVO"/>
    <s v="PLATEADO TECHO NEGRO"/>
    <s v="POR DEFINIR"/>
    <n v="21490000"/>
    <s v="Disponible"/>
    <x v="144"/>
    <x v="3"/>
    <s v="Bodeha Vehiculos Premium"/>
    <s v=""/>
    <s v="SQRH4J15ABRM01262"/>
    <s v="LNNBBDEE0SC041105"/>
    <s v="CALLEGARI E HIJOS LTDA"/>
    <s v="02-09-2025 0:00:00"/>
    <n v="301777"/>
    <s v="23-05-2025 0:00:00"/>
    <s v="23-04-2025 14:32:30"/>
    <s v=""/>
    <n v="0"/>
    <n v="0"/>
    <s v=""/>
    <n v="0"/>
    <n v="23227563"/>
    <n v="0"/>
    <n v="0"/>
    <n v="23227563"/>
    <n v="21490000"/>
    <n v="-1737563"/>
    <n v="-809"/>
  </r>
  <r>
    <x v="3"/>
    <s v="MEGACENTRO OVALLE"/>
    <n v="0"/>
    <n v="0"/>
    <s v=""/>
    <s v=""/>
    <s v=""/>
    <s v=""/>
    <s v="02-09-2025 17:15:33"/>
    <s v=""/>
    <s v="LVVDB11B4RD950441"/>
    <x v="13"/>
    <x v="42"/>
    <x v="76"/>
    <s v="CHT3PROUSA"/>
    <x v="2"/>
    <x v="1"/>
    <s v="HCYSTWU000008"/>
    <x v="252"/>
    <s v="USADO"/>
    <s v="GRIS GRAFITO OSCURO"/>
    <s v="POR DEFINIR"/>
    <n v="11990000"/>
    <s v="Disponible"/>
    <x v="144"/>
    <x v="5"/>
    <s v="MEGACENTRO OVALLE VEHICULOS"/>
    <s v=""/>
    <s v="SQRE4G15CBCNJ00621"/>
    <s v="LVVDB11B4RD950441"/>
    <s v="KARINA DEL ROSARIO MENDEZ MATURANA"/>
    <s v="02-09-2025 0:00:00"/>
    <n v="1"/>
    <s v="02-09-2025 0:00:00"/>
    <s v="02-09-2025 17:13:51"/>
    <s v=""/>
    <n v="0"/>
    <n v="0"/>
    <s v=""/>
    <n v="0"/>
    <n v="11990000"/>
    <n v="0"/>
    <n v="0"/>
    <n v="11990000"/>
    <n v="11990000"/>
    <n v="0"/>
    <n v="0"/>
  </r>
  <r>
    <x v="3"/>
    <s v="LOCAL MITSUBISHI"/>
    <n v="0"/>
    <n v="0"/>
    <s v=""/>
    <s v=""/>
    <s v=""/>
    <s v=""/>
    <s v="07-10-2025 11:14:44"/>
    <s v=""/>
    <s v="KPT60A1USNP068927"/>
    <x v="17"/>
    <x v="100"/>
    <x v="204"/>
    <s v="NKOR1"/>
    <x v="6"/>
    <x v="1"/>
    <s v="HSYSTWU000006"/>
    <x v="253"/>
    <s v="USADO"/>
    <s v="GRIS PLATINO"/>
    <s v="POR DEFINIR"/>
    <n v="22563664"/>
    <s v="Disponible"/>
    <x v="145"/>
    <x v="1"/>
    <s v="Bodega BYD Vehiculos"/>
    <s v=""/>
    <s v="67391000017590"/>
    <s v="KPT60A1USNP068927"/>
    <s v="BEATRIZ CAROL MORALES PIZARRO"/>
    <s v="07-10-2025 0:00:00"/>
    <n v="1"/>
    <s v="07-10-2025 0:00:00"/>
    <s v="07-10-2025 11:14:20"/>
    <s v=""/>
    <n v="0"/>
    <n v="0"/>
    <s v=""/>
    <n v="0"/>
    <n v="22563664"/>
    <n v="0"/>
    <n v="0"/>
    <n v="22563664"/>
    <n v="22563664"/>
    <n v="0"/>
    <n v="0"/>
  </r>
  <r>
    <x v="3"/>
    <s v="LOCAL CAMIONES COPIAPO"/>
    <n v="0"/>
    <n v="0"/>
    <s v=""/>
    <s v=""/>
    <s v=""/>
    <s v=""/>
    <s v="25-11-2025 15:24:48"/>
    <s v=""/>
    <s v="KMJHG17HPHC072574"/>
    <x v="18"/>
    <x v="117"/>
    <x v="205"/>
    <s v="COUS10"/>
    <x v="13"/>
    <x v="176"/>
    <s v="HHYBUSU000001"/>
    <x v="254"/>
    <s v="USADO"/>
    <s v="BLANCO"/>
    <s v="POR DEFINIR"/>
    <n v="17690000"/>
    <s v="Disponible"/>
    <x v="146"/>
    <x v="1"/>
    <s v="BODEGA CAMIONES COPIAPO"/>
    <s v=""/>
    <s v="D4GAGJ202676"/>
    <s v="KMJHG17HPHC072574"/>
    <s v="ARRIAGADA DIAZ MANUEL ANTONIO Y PINTO OÑATE MARIA BELEN LTDA"/>
    <s v="25-11-2025 0:00:00"/>
    <n v="3384"/>
    <s v="10-11-2025 0:00:00"/>
    <s v="25-11-2025 15:24:04"/>
    <s v=""/>
    <n v="0"/>
    <n v="0"/>
    <s v=""/>
    <n v="0"/>
    <n v="12605042"/>
    <n v="0"/>
    <n v="0"/>
    <n v="12605042"/>
    <n v="17690000"/>
    <n v="5084958"/>
    <n v="2874"/>
  </r>
  <r>
    <x v="3"/>
    <s v="BODEGA PDI"/>
    <n v="0"/>
    <n v="0"/>
    <s v=""/>
    <s v=""/>
    <s v=""/>
    <s v=""/>
    <s v="05-02-2024 14:29:38"/>
    <s v=""/>
    <s v="LGXC74C49R0009519"/>
    <x v="26"/>
    <x v="77"/>
    <x v="206"/>
    <s v="BYD008"/>
    <x v="2"/>
    <x v="177"/>
    <s v="HBYSTWN000007"/>
    <x v="255"/>
    <s v="SEMINUEVO"/>
    <s v="AZUL"/>
    <s v="POR DEFINIR"/>
    <n v="28990000"/>
    <s v="Disponible"/>
    <x v="147"/>
    <x v="3"/>
    <s v="BODEGA PDI"/>
    <s v=""/>
    <s v="BYD472QA S23815583"/>
    <s v="LGXC74C49R0009519"/>
    <s v="BANSA SANTANDER S A"/>
    <s v="08-08-2025 0:00:00"/>
    <n v="0"/>
    <s v=""/>
    <s v=""/>
    <s v=""/>
    <n v="0"/>
    <n v="0"/>
    <s v=""/>
    <n v="0"/>
    <n v="29403361"/>
    <n v="1237255"/>
    <n v="0"/>
    <n v="30640616"/>
    <n v="28990000"/>
    <n v="-1650616"/>
    <n v="-569"/>
  </r>
  <r>
    <x v="3"/>
    <s v="MEGACENTRO OVALLE"/>
    <n v="0"/>
    <n v="0"/>
    <s v=""/>
    <s v=""/>
    <s v=""/>
    <s v=""/>
    <s v="27-01-2026 11:30:47"/>
    <s v=""/>
    <s v="LVUGFB22XTDE53737"/>
    <x v="9"/>
    <x v="118"/>
    <x v="207"/>
    <s v="T7161X9U"/>
    <x v="1"/>
    <x v="178"/>
    <s v="HOMOSTWN000011"/>
    <x v="256"/>
    <s v="SEMINUEVO"/>
    <s v="VERDE"/>
    <s v="POR DEFINIR"/>
    <n v="19390000"/>
    <s v="Disponible"/>
    <x v="141"/>
    <x v="6"/>
    <s v="MEGACENTRO OVALLE VEHICULOS"/>
    <s v=""/>
    <s v="SQRF4J16CBESH00719"/>
    <s v="LVUGFB22XTDE53737"/>
    <s v="CALLEGARI E HIJOS LTDA"/>
    <s v="27-01-2026 0:00:00"/>
    <n v="322031"/>
    <s v="26-02-2026 0:00:00"/>
    <s v="27-01-2026 11:30:34"/>
    <s v=""/>
    <n v="0"/>
    <n v="0"/>
    <s v=""/>
    <n v="0"/>
    <n v="19572017"/>
    <n v="753984"/>
    <n v="0"/>
    <n v="20326001"/>
    <n v="19390000"/>
    <n v="-936001"/>
    <n v="-483"/>
  </r>
  <r>
    <x v="3"/>
    <s v="LOCAL CAMIONES"/>
    <n v="0"/>
    <n v="0"/>
    <s v=""/>
    <s v=""/>
    <s v=""/>
    <s v=""/>
    <s v="24-07-2025 12:10:22"/>
    <s v=""/>
    <s v="KMFHE17SPNC060850"/>
    <x v="18"/>
    <x v="119"/>
    <x v="208"/>
    <s v="EX6USADO"/>
    <x v="3"/>
    <x v="1"/>
    <s v="HHYCMNU000001"/>
    <x v="257"/>
    <s v="USADO"/>
    <s v="BLANCO"/>
    <s v="POR DEFINIR"/>
    <n v="37000000"/>
    <s v="Disponible"/>
    <x v="148"/>
    <x v="1"/>
    <s v="LOCAL CAMIONES VEHICULOS"/>
    <s v=""/>
    <s v="D4CCMD003077"/>
    <s v="KMFHE17SPNC060850"/>
    <s v="CONSTRUCTORA JULIO Y ORQUERA LIMITADA"/>
    <s v="24-07-2025 0:00:00"/>
    <n v="885"/>
    <s v="18-07-2025 0:00:00"/>
    <s v="01-08-2025 12:19:25"/>
    <s v=""/>
    <n v="0"/>
    <n v="0"/>
    <s v=""/>
    <n v="0"/>
    <n v="31092437"/>
    <n v="0"/>
    <n v="0"/>
    <n v="31092437"/>
    <n v="37000000"/>
    <n v="5907563"/>
    <n v="1597"/>
  </r>
  <r>
    <x v="3"/>
    <s v="MEGACENTRO OVALLE"/>
    <n v="0"/>
    <n v="0"/>
    <s v=""/>
    <s v=""/>
    <s v=""/>
    <s v=""/>
    <s v="23-03-2026 13:14:32"/>
    <s v=""/>
    <s v="LETEDDE10 TH000572"/>
    <x v="36"/>
    <x v="120"/>
    <x v="209"/>
    <s v="VPDX23"/>
    <x v="1"/>
    <x v="179"/>
    <s v="HJIMCMTU000001"/>
    <x v="258"/>
    <s v="USADO"/>
    <s v="BLANCO"/>
    <s v="POR DEFINIR"/>
    <n v="14990000"/>
    <s v="Disponible"/>
    <x v="149"/>
    <x v="11"/>
    <s v="MEGACENTRO OVALLE VEHICULOS"/>
    <s v=""/>
    <s v="25-40021061"/>
    <s v="LETEDDE10 TH000572"/>
    <s v="JOSE LUIS SANTANA VARAS"/>
    <s v="23-03-2026 0:00:00"/>
    <n v="1"/>
    <s v="23-03-2026 0:00:00"/>
    <s v="23-03-2026 13:14:14"/>
    <s v=""/>
    <n v="0"/>
    <n v="0"/>
    <s v=""/>
    <n v="0"/>
    <n v="14500000"/>
    <n v="0"/>
    <n v="0"/>
    <n v="14500000"/>
    <n v="14990000"/>
    <n v="490000"/>
    <n v="327"/>
  </r>
  <r>
    <x v="3"/>
    <s v="LOCAL FCO. DE AGUIRRE"/>
    <n v="0"/>
    <n v="0"/>
    <s v=""/>
    <s v=""/>
    <s v=""/>
    <s v=""/>
    <s v="02-03-2020 13:27:28"/>
    <s v=""/>
    <s v="9BD2655A4K9110835"/>
    <x v="19"/>
    <x v="121"/>
    <x v="210"/>
    <s v="265.5A4.0.1"/>
    <x v="7"/>
    <x v="1"/>
    <s v="HRAFRGN000042"/>
    <x v="259"/>
    <s v="SEMINUEVO"/>
    <s v="BLANCO BANCHISA"/>
    <s v="POR DEFINIR"/>
    <n v="14863100"/>
    <s v="Disponible"/>
    <x v="150"/>
    <x v="9"/>
    <s v="BODEGA VEHICULOS SK"/>
    <s v=""/>
    <s v="3316213"/>
    <s v="9BD2655A4K9110835"/>
    <s v="SERVICIOS DE INGENIERIA Y MINERIA SPA"/>
    <s v="29-02-2020 0:00:00"/>
    <n v="165313"/>
    <s v="30-03-2020 0:00:00"/>
    <s v="02-03-2020 13:26:57"/>
    <s v=""/>
    <n v="0"/>
    <n v="0"/>
    <s v=""/>
    <n v="0"/>
    <n v="6854706"/>
    <n v="2676883"/>
    <n v="0"/>
    <n v="9531589"/>
    <n v="12490000"/>
    <n v="2958411"/>
    <n v="2369"/>
  </r>
  <r>
    <x v="3"/>
    <s v="LOCAL USADOS COPIAPO"/>
    <n v="0"/>
    <n v="0"/>
    <s v=""/>
    <s v=""/>
    <s v=""/>
    <s v=""/>
    <s v="27-01-2026 11:33:40"/>
    <s v=""/>
    <s v="LVVDB21B7TD018232"/>
    <x v="9"/>
    <x v="21"/>
    <x v="211"/>
    <s v="T7160CJX4FF0093"/>
    <x v="1"/>
    <x v="180"/>
    <s v="HOMOSTWN000012"/>
    <x v="260"/>
    <s v="SEMINUEVO"/>
    <s v="GRIS"/>
    <s v="POR DEFINIR"/>
    <n v="15490000"/>
    <s v="Disponible"/>
    <x v="141"/>
    <x v="6"/>
    <s v="BODEGA VEHICULO LOCAL SK COPIAPO"/>
    <s v=""/>
    <s v="SQRF4J16BJSG00083"/>
    <s v="LVVDB21B7TD018232"/>
    <s v="CALLEGARI E HIJOS LTDA"/>
    <s v="27-01-2026 0:00:00"/>
    <n v="322032"/>
    <s v="26-02-2026 0:00:00"/>
    <s v="27-01-2026 11:33:27"/>
    <s v=""/>
    <n v="0"/>
    <n v="0"/>
    <s v=""/>
    <n v="0"/>
    <n v="15109916"/>
    <n v="737158"/>
    <n v="0"/>
    <n v="15847074"/>
    <n v="15490000"/>
    <n v="-357074"/>
    <n v="-231"/>
  </r>
  <r>
    <x v="3"/>
    <s v="LOCAL FCO. DE AGUIRRE"/>
    <n v="0"/>
    <n v="0"/>
    <s v=""/>
    <s v=""/>
    <s v=""/>
    <s v=""/>
    <s v="31-03-2026 20:59:31"/>
    <s v=""/>
    <s v="1C6RRFFG3SN542548"/>
    <x v="19"/>
    <x v="57"/>
    <x v="212"/>
    <s v="R1500USA"/>
    <x v="0"/>
    <x v="1"/>
    <s v="HRACMTU000002"/>
    <x v="261"/>
    <s v="USADO"/>
    <s v="PLATEADO"/>
    <s v="POR DEFINIR"/>
    <n v="65150753"/>
    <s v="Disponible"/>
    <x v="151"/>
    <x v="1"/>
    <s v="BODEGA VEHICULOS SK"/>
    <s v=""/>
    <s v="SN542548"/>
    <s v="1C6RRFFG3SN542548"/>
    <s v="CRISTIAN ALEJANDRO CASTRO CASTRO"/>
    <s v="31-03-2026 0:00:00"/>
    <n v="1"/>
    <s v="31-03-2026 0:00:00"/>
    <s v="01-04-2026 11:19:13"/>
    <s v=""/>
    <n v="0"/>
    <n v="0"/>
    <s v=""/>
    <n v="0"/>
    <n v="65150753"/>
    <n v="0"/>
    <n v="0"/>
    <n v="65150753"/>
    <n v="65150753"/>
    <n v="0"/>
    <n v="0"/>
  </r>
  <r>
    <x v="3"/>
    <s v="MEGACENTRO OVALLE"/>
    <n v="0"/>
    <n v="0"/>
    <s v=""/>
    <s v=""/>
    <s v=""/>
    <s v=""/>
    <s v="19-02-2025 16:35:35"/>
    <s v=""/>
    <s v="KPT60A1USPP074881"/>
    <x v="17"/>
    <x v="100"/>
    <x v="213"/>
    <s v="NKOUSA"/>
    <x v="2"/>
    <x v="1"/>
    <s v="HSYSTWU000002"/>
    <x v="262"/>
    <s v="USADO"/>
    <s v="GRIS PLATINO"/>
    <s v="POR DEFINIR"/>
    <n v="24957854"/>
    <s v="Disponible"/>
    <x v="152"/>
    <x v="1"/>
    <s v="MEGACENTRO OVALLE VEHICULOS"/>
    <s v=""/>
    <s v="67391002105291"/>
    <s v="KPT60A1USPP074881"/>
    <s v="COMERCIAL SANTA MARTA SPA"/>
    <s v="19-02-2025 0:00:00"/>
    <n v="190225"/>
    <s v="20-02-2025 0:00:00"/>
    <s v="20-02-2025 9:49:48"/>
    <s v=""/>
    <n v="0"/>
    <n v="0"/>
    <s v=""/>
    <n v="0"/>
    <n v="24957854"/>
    <n v="0"/>
    <n v="0"/>
    <n v="24957854"/>
    <n v="24957854"/>
    <n v="0"/>
    <n v="0"/>
  </r>
  <r>
    <x v="3"/>
    <s v="LOCAL PREMIUM CAR SALES"/>
    <n v="0"/>
    <n v="0"/>
    <s v=""/>
    <s v=""/>
    <s v=""/>
    <s v=""/>
    <s v="18-11-2024 13:01:10"/>
    <s v=""/>
    <s v="LVVDB21B6RC034677"/>
    <x v="24"/>
    <x v="72"/>
    <x v="214"/>
    <s v="JAETC1"/>
    <x v="0"/>
    <x v="181"/>
    <s v="HJAESTWN000004"/>
    <x v="263"/>
    <s v="SEMINUEVO"/>
    <s v="BLANCO"/>
    <s v="POR DEFINIR"/>
    <n v="17990000"/>
    <s v="Disponible"/>
    <x v="23"/>
    <x v="3"/>
    <s v="Bodeha Vehiculos Premium"/>
    <s v=""/>
    <s v="SQRF4J16CAHRB00038"/>
    <s v="LVVDB21B6RC034677"/>
    <s v="CALLEGARI E HIJOS LTDA"/>
    <s v="18-08-2025 0:00:00"/>
    <n v="290264"/>
    <s v="18-12-2024 0:00:00"/>
    <s v="18-11-2024 13:00:56"/>
    <s v=""/>
    <n v="0"/>
    <n v="0"/>
    <s v=""/>
    <n v="0"/>
    <n v="17732643"/>
    <n v="1035113"/>
    <n v="0"/>
    <n v="18767756"/>
    <n v="17990000"/>
    <n v="-777756"/>
    <n v="-432"/>
  </r>
  <r>
    <x v="3"/>
    <s v="LOCAL CAMIONES"/>
    <n v="0"/>
    <n v="0"/>
    <s v=""/>
    <s v=""/>
    <s v=""/>
    <s v=""/>
    <s v="12-01-2026 9:47:01"/>
    <s v=""/>
    <s v="JHHZCT2F6SK021683"/>
    <x v="37"/>
    <x v="122"/>
    <x v="215"/>
    <s v="XXZZUU1"/>
    <x v="0"/>
    <x v="1"/>
    <s v="HHICMNU000002"/>
    <x v="264"/>
    <s v="USADO"/>
    <s v="BLANCO"/>
    <s v="POR DEFINIR"/>
    <n v="38000000"/>
    <s v="Disponible"/>
    <x v="153"/>
    <x v="0"/>
    <s v="LOCAL CAMIONES VEHICULOS"/>
    <s v=""/>
    <s v="N04C WM17926"/>
    <s v="JHHZCT2F6SK021683"/>
    <s v="HECTOR DEL TRANSITO ARDILES BERRIOS"/>
    <s v="12-01-2026 0:00:00"/>
    <n v="8134"/>
    <s v="22-12-2025 0:00:00"/>
    <s v="12-01-2026 9:46:31"/>
    <s v=""/>
    <n v="0"/>
    <n v="0"/>
    <s v=""/>
    <n v="0"/>
    <n v="37656800"/>
    <n v="0"/>
    <n v="0"/>
    <n v="37656800"/>
    <n v="38000000"/>
    <n v="343200"/>
    <n v="9"/>
  </r>
  <r>
    <x v="3"/>
    <s v="LOCAL PREMIUM CAR SALES"/>
    <n v="0"/>
    <n v="0"/>
    <s v=""/>
    <s v=""/>
    <s v=""/>
    <s v=""/>
    <s v="22-05-2024 9:35:25"/>
    <s v=""/>
    <s v="LVVDB21B8RC025253"/>
    <x v="24"/>
    <x v="72"/>
    <x v="214"/>
    <s v="T7160NPZKJW0011"/>
    <x v="2"/>
    <x v="182"/>
    <s v="HJAESTWN000002"/>
    <x v="265"/>
    <s v="SEMINUEVO"/>
    <s v="BLANCO"/>
    <s v="POR DEFINIR"/>
    <n v="18090000"/>
    <s v="Disponible"/>
    <x v="23"/>
    <x v="5"/>
    <s v="Bodeha Vehiculos Premium"/>
    <s v=""/>
    <s v="SQRF4J16CAMPM02602"/>
    <s v="LVVDB21B8RC025253"/>
    <s v="CALLEGARI E HIJOS LTDA"/>
    <s v="18-08-2025 0:00:00"/>
    <n v="277781"/>
    <s v="21-06-2024 0:00:00"/>
    <s v="22-05-2024 9:35:11"/>
    <s v=""/>
    <n v="0"/>
    <n v="0"/>
    <s v=""/>
    <n v="0"/>
    <n v="17583866"/>
    <n v="1418899"/>
    <n v="0"/>
    <n v="19002765"/>
    <n v="18090000"/>
    <n v="-912765"/>
    <n v="-505"/>
  </r>
  <r>
    <x v="3"/>
    <s v="LOCAL USADOS COPIAPO"/>
    <n v="0"/>
    <n v="0"/>
    <s v=""/>
    <s v=""/>
    <s v=""/>
    <s v=""/>
    <s v="30-01-2025 17:42:18"/>
    <s v=""/>
    <s v="LJ11PABE4SC024216"/>
    <x v="7"/>
    <x v="15"/>
    <x v="216"/>
    <s v="T8PRO4X4AT-ADV"/>
    <x v="0"/>
    <x v="183"/>
    <s v="HJACMTN000005"/>
    <x v="266"/>
    <s v="SEMINUEVO"/>
    <s v="BLANCO"/>
    <s v="POR DEFINIR"/>
    <n v="18990000"/>
    <s v="Disponible"/>
    <x v="17"/>
    <x v="6"/>
    <s v="VEHICULOS LOS CARRERA"/>
    <s v=""/>
    <s v="R4133090"/>
    <s v="LJ11PABE4SC024216"/>
    <s v="FORUM DISTRIBUIDORA S.A"/>
    <s v="24-04-2026 0:00:00"/>
    <n v="850048"/>
    <s v="12-02-2025 0:00:00"/>
    <s v="17-02-2025 9:46:40"/>
    <s v=""/>
    <n v="0"/>
    <n v="0"/>
    <s v=""/>
    <n v="0"/>
    <n v="13434000"/>
    <n v="630975"/>
    <n v="0"/>
    <n v="14064975"/>
    <n v="18990000"/>
    <n v="4925025"/>
    <n v="2593"/>
  </r>
  <r>
    <x v="3"/>
    <s v="LOCAL PREMIUM CAR SALES"/>
    <n v="0"/>
    <n v="0"/>
    <s v=""/>
    <s v=""/>
    <s v=""/>
    <s v=""/>
    <s v="04-09-2024 15:47:32"/>
    <s v=""/>
    <s v="LVVDB21B9SD021759"/>
    <x v="9"/>
    <x v="21"/>
    <x v="217"/>
    <s v="TC2"/>
    <x v="0"/>
    <x v="184"/>
    <s v="HOMOSTWN000005"/>
    <x v="267"/>
    <s v="SEMINUEVO"/>
    <s v="NEGRO"/>
    <s v="POR DEFINIR"/>
    <n v="15990000"/>
    <s v="Disponible"/>
    <x v="23"/>
    <x v="3"/>
    <s v="Bodeha Vehiculos Premium"/>
    <s v=""/>
    <s v="SQRE4T15CCHRD00296"/>
    <s v="LVVDB21B9SD021759"/>
    <s v="CALLEGARI E HIJOS LTDA"/>
    <s v="18-08-2025 0:00:00"/>
    <n v="285230"/>
    <s v="04-09-2024 0:00:00"/>
    <s v="04-09-2024 15:47:12"/>
    <s v=""/>
    <n v="0"/>
    <n v="0"/>
    <s v=""/>
    <n v="0"/>
    <n v="13950252"/>
    <n v="1098407"/>
    <n v="0"/>
    <n v="15048659"/>
    <n v="15990000"/>
    <n v="941341"/>
    <n v="589"/>
  </r>
  <r>
    <x v="3"/>
    <s v="LOCAL USADOS COPIAPO"/>
    <n v="0"/>
    <n v="0"/>
    <s v=""/>
    <s v=""/>
    <s v=""/>
    <s v=""/>
    <s v="08-04-2024 17:58:00"/>
    <s v=""/>
    <s v="LMGAT1357P1227841"/>
    <x v="35"/>
    <x v="123"/>
    <x v="218"/>
    <s v="GADEVOLUC"/>
    <x v="6"/>
    <x v="185"/>
    <s v="HGCSTWU000001"/>
    <x v="268"/>
    <s v="USADO"/>
    <s v="GRIS GRAFITO"/>
    <s v="POR DEFINIR"/>
    <n v="21408969"/>
    <s v="Disponible"/>
    <x v="154"/>
    <x v="8"/>
    <s v="VEHICULOS LOS CARRERA"/>
    <s v=""/>
    <s v="G120374"/>
    <s v="LMGAT1357P1227841"/>
    <s v="BRAULIO PATRICIO BAEZ GUZMÁN"/>
    <s v="08-04-2024 0:00:00"/>
    <n v="1"/>
    <s v="08-04-2024 0:00:00"/>
    <s v="08-04-2024 17:57:12"/>
    <s v=""/>
    <n v="0"/>
    <n v="0"/>
    <s v=""/>
    <n v="0"/>
    <n v="21408968"/>
    <n v="367754"/>
    <n v="0"/>
    <n v="21776722"/>
    <n v="21408969"/>
    <n v="-367753"/>
    <n v="-172"/>
  </r>
  <r>
    <x v="3"/>
    <s v="LOCAL USADOS COPIAPO"/>
    <n v="0"/>
    <n v="0"/>
    <s v=""/>
    <s v=""/>
    <s v=""/>
    <s v=""/>
    <s v="24-04-2023 12:56:28"/>
    <s v=""/>
    <s v="LSJZ14U68LS016383"/>
    <x v="29"/>
    <x v="124"/>
    <x v="219"/>
    <s v="9001--GJHGFJHUUY44"/>
    <x v="7"/>
    <x v="186"/>
    <s v="HMGAUTU000001"/>
    <x v="269"/>
    <s v="USADO"/>
    <s v="ROJO"/>
    <s v="POR DEFINIR"/>
    <n v="8990000"/>
    <s v="Disponible"/>
    <x v="155"/>
    <x v="7"/>
    <s v="VEHICULOS LOS CARRERA"/>
    <s v=""/>
    <s v="15S4C5SGKA051248"/>
    <s v="LSJZ14U68LS016383"/>
    <s v="MANUEL ALEJANDRO PEREZ ESPINOZA"/>
    <s v="24-04-2023 0:00:00"/>
    <n v="1"/>
    <s v="24-04-2023 0:00:00"/>
    <s v="24-04-2023 12:55:24"/>
    <s v=""/>
    <n v="0"/>
    <n v="0"/>
    <s v=""/>
    <n v="0"/>
    <n v="10356480"/>
    <n v="72666"/>
    <n v="0"/>
    <n v="10429146"/>
    <n v="8990000"/>
    <n v="-1439146"/>
    <n v="-1601"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x v="38"/>
    <x v="125"/>
    <x v="220"/>
    <m/>
    <x v="16"/>
    <x v="187"/>
    <m/>
    <x v="270"/>
    <m/>
    <m/>
    <m/>
    <m/>
    <m/>
    <x v="156"/>
    <x v="16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BBDD2" cacheId="45" applyNumberFormats="0" applyBorderFormats="0" applyFontFormats="0" applyPatternFormats="0" applyAlignmentFormats="0" applyWidthHeightFormats="0" dataCaption="" updatedVersion="8" rowGrandTotals="0" compact="0" compactData="0">
  <location ref="A1:I271" firstHeaderRow="1" firstDataRow="1" firstDataCol="9"/>
  <pivotFields count="47">
    <pivotField name="Empresa" axis="axisRow" compact="0" outline="0" multipleItemSelectionAllowed="1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ucursal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Folio Venta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Venta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Estado Venta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Fecha Venta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Tipo Documento (Folio)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Vendedor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Fecha Ingreso" compact="0" numFmtId="164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Fecha Facturación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Numero VIN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Marca" axis="axisRow" compact="0" outline="0" multipleItemSelectionAllowed="1" showAll="0" sortType="ascending" defaultSubtotal="0">
      <items count="48">
        <item x="34"/>
        <item x="6"/>
        <item m="1" x="42"/>
        <item x="26"/>
        <item x="20"/>
        <item x="13"/>
        <item x="23"/>
        <item x="12"/>
        <item m="1" x="47"/>
        <item x="11"/>
        <item m="1" x="46"/>
        <item x="25"/>
        <item m="1" x="39"/>
        <item x="2"/>
        <item x="35"/>
        <item m="1" x="41"/>
        <item x="28"/>
        <item x="37"/>
        <item x="22"/>
        <item x="18"/>
        <item x="7"/>
        <item x="24"/>
        <item x="31"/>
        <item m="1" x="43"/>
        <item x="36"/>
        <item x="21"/>
        <item x="10"/>
        <item x="3"/>
        <item x="5"/>
        <item x="30"/>
        <item m="1" x="44"/>
        <item x="14"/>
        <item x="29"/>
        <item x="8"/>
        <item x="15"/>
        <item x="9"/>
        <item x="1"/>
        <item x="0"/>
        <item x="19"/>
        <item x="27"/>
        <item x="17"/>
        <item x="4"/>
        <item m="1" x="40"/>
        <item x="32"/>
        <item x="16"/>
        <item m="1" x="45"/>
        <item x="33"/>
        <item h="1"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Modelo" axis="axisRow" compact="0" outline="0" multipleItemSelectionAllowed="1" showAll="0" sortType="ascending" defaultSubtotal="0">
      <items count="132">
        <item m="1" x="126"/>
        <item m="1" x="131"/>
        <item m="1" x="127"/>
        <item m="1" x="130"/>
        <item m="1" x="128"/>
        <item m="1" x="129"/>
        <item x="43"/>
        <item x="63"/>
        <item x="39"/>
        <item x="102"/>
        <item x="45"/>
        <item x="64"/>
        <item x="71"/>
        <item x="72"/>
        <item x="55"/>
        <item x="28"/>
        <item x="36"/>
        <item x="30"/>
        <item x="4"/>
        <item x="92"/>
        <item x="41"/>
        <item x="21"/>
        <item x="118"/>
        <item x="69"/>
        <item x="33"/>
        <item x="47"/>
        <item x="93"/>
        <item x="84"/>
        <item x="24"/>
        <item x="101"/>
        <item x="117"/>
        <item x="29"/>
        <item x="90"/>
        <item x="106"/>
        <item x="68"/>
        <item x="65"/>
        <item x="40"/>
        <item x="115"/>
        <item x="48"/>
        <item x="119"/>
        <item x="18"/>
        <item x="16"/>
        <item x="31"/>
        <item x="49"/>
        <item x="19"/>
        <item x="50"/>
        <item x="98"/>
        <item x="107"/>
        <item x="99"/>
        <item x="94"/>
        <item x="85"/>
        <item x="123"/>
        <item x="58"/>
        <item x="54"/>
        <item x="87"/>
        <item x="25"/>
        <item x="104"/>
        <item x="12"/>
        <item x="34"/>
        <item x="100"/>
        <item x="89"/>
        <item x="20"/>
        <item x="38"/>
        <item x="1"/>
        <item x="13"/>
        <item x="91"/>
        <item x="17"/>
        <item x="124"/>
        <item x="88"/>
        <item x="83"/>
        <item x="9"/>
        <item x="67"/>
        <item x="7"/>
        <item x="44"/>
        <item x="6"/>
        <item x="52"/>
        <item x="5"/>
        <item x="0"/>
        <item x="11"/>
        <item x="2"/>
        <item x="22"/>
        <item x="32"/>
        <item x="62"/>
        <item x="70"/>
        <item x="105"/>
        <item x="111"/>
        <item x="56"/>
        <item x="57"/>
        <item x="80"/>
        <item x="121"/>
        <item x="8"/>
        <item x="103"/>
        <item x="120"/>
        <item x="82"/>
        <item x="114"/>
        <item x="3"/>
        <item x="86"/>
        <item x="76"/>
        <item x="74"/>
        <item x="46"/>
        <item x="95"/>
        <item x="23"/>
        <item x="51"/>
        <item x="77"/>
        <item x="26"/>
        <item x="37"/>
        <item x="78"/>
        <item x="15"/>
        <item x="108"/>
        <item x="35"/>
        <item x="113"/>
        <item x="66"/>
        <item x="73"/>
        <item x="42"/>
        <item x="110"/>
        <item x="53"/>
        <item x="109"/>
        <item x="96"/>
        <item x="27"/>
        <item x="75"/>
        <item x="112"/>
        <item x="79"/>
        <item x="59"/>
        <item x="81"/>
        <item x="60"/>
        <item x="14"/>
        <item x="61"/>
        <item x="97"/>
        <item x="10"/>
        <item x="122"/>
        <item x="116"/>
        <item x="1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Versión" axis="axisRow" compact="0" outline="0" multipleItemSelectionAllowed="1" showAll="0" sortType="ascending" defaultSubtotal="0">
      <items count="613">
        <item m="1" x="567"/>
        <item m="1" x="296"/>
        <item x="212"/>
        <item m="1" x="231"/>
        <item m="1" x="432"/>
        <item m="1" x="242"/>
        <item m="1" x="342"/>
        <item m="1" x="268"/>
        <item x="0"/>
        <item m="1" x="598"/>
        <item m="1" x="331"/>
        <item m="1" x="397"/>
        <item x="161"/>
        <item m="1" x="236"/>
        <item x="26"/>
        <item m="1" x="606"/>
        <item x="9"/>
        <item x="58"/>
        <item x="55"/>
        <item x="31"/>
        <item x="11"/>
        <item x="73"/>
        <item m="1" x="304"/>
        <item m="1" x="245"/>
        <item m="1" x="256"/>
        <item m="1" x="418"/>
        <item x="48"/>
        <item m="1" x="545"/>
        <item m="1" x="482"/>
        <item x="104"/>
        <item m="1" x="592"/>
        <item x="198"/>
        <item m="1" x="560"/>
        <item x="141"/>
        <item m="1" x="413"/>
        <item x="175"/>
        <item x="143"/>
        <item m="1" x="396"/>
        <item m="1" x="461"/>
        <item m="1" x="392"/>
        <item m="1" x="381"/>
        <item m="1" x="433"/>
        <item x="100"/>
        <item x="160"/>
        <item x="63"/>
        <item x="33"/>
        <item m="1" x="476"/>
        <item x="2"/>
        <item x="158"/>
        <item m="1" x="420"/>
        <item x="68"/>
        <item x="40"/>
        <item m="1" x="222"/>
        <item m="1" x="561"/>
        <item m="1" x="599"/>
        <item m="1" x="588"/>
        <item m="1" x="542"/>
        <item m="1" x="449"/>
        <item x="166"/>
        <item m="1" x="403"/>
        <item m="1" x="295"/>
        <item m="1" x="379"/>
        <item x="75"/>
        <item x="94"/>
        <item x="191"/>
        <item x="77"/>
        <item m="1" x="546"/>
        <item m="1" x="329"/>
        <item x="114"/>
        <item x="115"/>
        <item x="130"/>
        <item m="1" x="523"/>
        <item x="126"/>
        <item m="1" x="300"/>
        <item m="1" x="593"/>
        <item m="1" x="273"/>
        <item m="1" x="227"/>
        <item m="1" x="487"/>
        <item m="1" x="503"/>
        <item x="164"/>
        <item m="1" x="511"/>
        <item m="1" x="591"/>
        <item m="1" x="408"/>
        <item m="1" x="499"/>
        <item m="1" x="448"/>
        <item m="1" x="338"/>
        <item m="1" x="402"/>
        <item m="1" x="357"/>
        <item m="1" x="423"/>
        <item x="91"/>
        <item m="1" x="549"/>
        <item m="1" x="595"/>
        <item m="1" x="277"/>
        <item m="1" x="525"/>
        <item m="1" x="223"/>
        <item x="47"/>
        <item m="1" x="328"/>
        <item x="179"/>
        <item m="1" x="526"/>
        <item m="1" x="333"/>
        <item m="1" x="320"/>
        <item m="1" x="452"/>
        <item m="1" x="415"/>
        <item x="64"/>
        <item x="53"/>
        <item x="4"/>
        <item x="38"/>
        <item x="148"/>
        <item m="1" x="574"/>
        <item m="1" x="386"/>
        <item m="1" x="444"/>
        <item m="1" x="604"/>
        <item m="1" x="492"/>
        <item x="80"/>
        <item x="173"/>
        <item m="1" x="555"/>
        <item x="70"/>
        <item m="1" x="235"/>
        <item m="1" x="582"/>
        <item m="1" x="360"/>
        <item x="71"/>
        <item x="217"/>
        <item x="39"/>
        <item x="176"/>
        <item x="211"/>
        <item m="1" x="266"/>
        <item x="159"/>
        <item m="1" x="464"/>
        <item x="207"/>
        <item x="112"/>
        <item x="140"/>
        <item m="1" x="416"/>
        <item x="57"/>
        <item x="66"/>
        <item x="108"/>
        <item x="81"/>
        <item x="149"/>
        <item m="1" x="335"/>
        <item m="1" x="585"/>
        <item x="134"/>
        <item x="43"/>
        <item m="1" x="307"/>
        <item m="1" x="530"/>
        <item m="1" x="506"/>
        <item m="1" x="486"/>
        <item m="1" x="427"/>
        <item m="1" x="278"/>
        <item m="1" x="463"/>
        <item x="10"/>
        <item x="205"/>
        <item m="1" x="325"/>
        <item m="1" x="554"/>
        <item m="1" x="321"/>
        <item m="1" x="340"/>
        <item x="106"/>
        <item m="1" x="229"/>
        <item m="1" x="359"/>
        <item x="146"/>
        <item x="178"/>
        <item m="1" x="414"/>
        <item x="111"/>
        <item m="1" x="607"/>
        <item m="1" x="494"/>
        <item m="1" x="255"/>
        <item m="1" x="572"/>
        <item x="172"/>
        <item m="1" x="417"/>
        <item m="1" x="514"/>
        <item x="131"/>
        <item m="1" x="353"/>
        <item m="1" x="462"/>
        <item m="1" x="474"/>
        <item m="1" x="404"/>
        <item m="1" x="363"/>
        <item m="1" x="443"/>
        <item m="1" x="311"/>
        <item m="1" x="540"/>
        <item m="1" x="326"/>
        <item m="1" x="366"/>
        <item m="1" x="573"/>
        <item x="188"/>
        <item x="69"/>
        <item m="1" x="597"/>
        <item m="1" x="501"/>
        <item x="138"/>
        <item m="1" x="508"/>
        <item x="201"/>
        <item x="185"/>
        <item m="1" x="456"/>
        <item x="192"/>
        <item x="82"/>
        <item m="1" x="580"/>
        <item m="1" x="505"/>
        <item m="1" x="346"/>
        <item m="1" x="370"/>
        <item x="30"/>
        <item m="1" x="531"/>
        <item m="1" x="472"/>
        <item m="1" x="479"/>
        <item m="1" x="564"/>
        <item x="52"/>
        <item m="1" x="369"/>
        <item x="83"/>
        <item m="1" x="512"/>
        <item m="1" x="382"/>
        <item m="1" x="524"/>
        <item m="1" x="583"/>
        <item x="27"/>
        <item m="1" x="282"/>
        <item x="96"/>
        <item m="1" x="488"/>
        <item m="1" x="347"/>
        <item m="1" x="308"/>
        <item x="54"/>
        <item m="1" x="248"/>
        <item m="1" x="356"/>
        <item m="1" x="548"/>
        <item m="1" x="401"/>
        <item m="1" x="265"/>
        <item m="1" x="239"/>
        <item x="84"/>
        <item m="1" x="365"/>
        <item m="1" x="536"/>
        <item x="93"/>
        <item m="1" x="453"/>
        <item m="1" x="387"/>
        <item m="1" x="557"/>
        <item m="1" x="589"/>
        <item x="34"/>
        <item m="1" x="563"/>
        <item x="85"/>
        <item m="1" x="528"/>
        <item x="156"/>
        <item m="1" x="445"/>
        <item m="1" x="473"/>
        <item m="1" x="446"/>
        <item x="180"/>
        <item m="1" x="543"/>
        <item m="1" x="409"/>
        <item m="1" x="504"/>
        <item m="1" x="362"/>
        <item m="1" x="298"/>
        <item x="155"/>
        <item m="1" x="316"/>
        <item m="1" x="228"/>
        <item m="1" x="602"/>
        <item x="157"/>
        <item m="1" x="293"/>
        <item m="1" x="422"/>
        <item x="150"/>
        <item m="1" x="407"/>
        <item x="136"/>
        <item m="1" x="267"/>
        <item m="1" x="608"/>
        <item x="218"/>
        <item m="1" x="375"/>
        <item m="1" x="600"/>
        <item m="1" x="315"/>
        <item m="1" x="520"/>
        <item m="1" x="234"/>
        <item m="1" x="497"/>
        <item m="1" x="612"/>
        <item m="1" x="361"/>
        <item m="1" x="475"/>
        <item m="1" x="469"/>
        <item m="1" x="577"/>
        <item x="97"/>
        <item m="1" x="313"/>
        <item x="200"/>
        <item x="203"/>
        <item x="214"/>
        <item m="1" x="244"/>
        <item m="1" x="450"/>
        <item m="1" x="284"/>
        <item m="1" x="498"/>
        <item x="139"/>
        <item m="1" x="527"/>
        <item x="170"/>
        <item m="1" x="552"/>
        <item m="1" x="247"/>
        <item x="44"/>
        <item m="1" x="250"/>
        <item m="1" x="436"/>
        <item x="169"/>
        <item m="1" x="538"/>
        <item m="1" x="318"/>
        <item m="1" x="358"/>
        <item x="19"/>
        <item m="1" x="368"/>
        <item m="1" x="261"/>
        <item x="60"/>
        <item m="1" x="271"/>
        <item m="1" x="534"/>
        <item m="1" x="398"/>
        <item m="1" x="507"/>
        <item m="1" x="324"/>
        <item m="1" x="541"/>
        <item x="147"/>
        <item m="1" x="428"/>
        <item m="1" x="393"/>
        <item x="144"/>
        <item x="37"/>
        <item x="67"/>
        <item x="154"/>
        <item x="8"/>
        <item m="1" x="288"/>
        <item m="1" x="287"/>
        <item x="6"/>
        <item m="1" x="260"/>
        <item x="1"/>
        <item x="21"/>
        <item m="1" x="317"/>
        <item x="79"/>
        <item x="29"/>
        <item m="1" x="601"/>
        <item x="208"/>
        <item x="132"/>
        <item x="25"/>
        <item x="7"/>
        <item m="1" x="281"/>
        <item m="1" x="455"/>
        <item m="1" x="533"/>
        <item m="1" x="425"/>
        <item m="1" x="322"/>
        <item x="163"/>
        <item m="1" x="240"/>
        <item x="13"/>
        <item x="110"/>
        <item m="1" x="587"/>
        <item m="1" x="385"/>
        <item m="1" x="477"/>
        <item m="1" x="569"/>
        <item x="51"/>
        <item x="219"/>
        <item x="41"/>
        <item x="14"/>
        <item x="56"/>
        <item m="1" x="348"/>
        <item m="1" x="603"/>
        <item m="1" x="367"/>
        <item x="32"/>
        <item x="49"/>
        <item m="1" x="395"/>
        <item x="74"/>
        <item m="1" x="491"/>
        <item m="1" x="221"/>
        <item x="181"/>
        <item m="1" x="262"/>
        <item x="162"/>
        <item x="204"/>
        <item x="213"/>
        <item m="1" x="426"/>
        <item m="1" x="388"/>
        <item m="1" x="532"/>
        <item m="1" x="578"/>
        <item m="1" x="518"/>
        <item m="1" x="490"/>
        <item m="1" x="581"/>
        <item m="1" x="500"/>
        <item x="87"/>
        <item x="15"/>
        <item m="1" x="290"/>
        <item m="1" x="411"/>
        <item m="1" x="412"/>
        <item m="1" x="544"/>
        <item m="1" x="339"/>
        <item m="1" x="383"/>
        <item m="1" x="253"/>
        <item m="1" x="565"/>
        <item m="1" x="299"/>
        <item m="1" x="373"/>
        <item m="1" x="465"/>
        <item x="24"/>
        <item x="28"/>
        <item x="17"/>
        <item x="20"/>
        <item m="1" x="327"/>
        <item m="1" x="252"/>
        <item m="1" x="442"/>
        <item x="102"/>
        <item m="1" x="352"/>
        <item m="1" x="371"/>
        <item x="107"/>
        <item m="1" x="264"/>
        <item m="1" x="378"/>
        <item m="1" x="539"/>
        <item x="113"/>
        <item m="1" x="610"/>
        <item m="1" x="303"/>
        <item x="50"/>
        <item x="16"/>
        <item x="5"/>
        <item m="1" x="457"/>
        <item m="1" x="584"/>
        <item m="1" x="241"/>
        <item m="1" x="586"/>
        <item m="1" x="259"/>
        <item m="1" x="609"/>
        <item m="1" x="323"/>
        <item m="1" x="405"/>
        <item x="195"/>
        <item m="1" x="292"/>
        <item x="183"/>
        <item m="1" x="441"/>
        <item m="1" x="280"/>
        <item m="1" x="468"/>
        <item m="1" x="372"/>
        <item x="92"/>
        <item m="1" x="291"/>
        <item m="1" x="510"/>
        <item m="1" x="521"/>
        <item m="1" x="285"/>
        <item x="95"/>
        <item m="1" x="238"/>
        <item m="1" x="562"/>
        <item x="120"/>
        <item m="1" x="513"/>
        <item m="1" x="258"/>
        <item x="61"/>
        <item x="59"/>
        <item x="184"/>
        <item x="12"/>
        <item m="1" x="344"/>
        <item m="1" x="355"/>
        <item x="103"/>
        <item m="1" x="249"/>
        <item x="174"/>
        <item x="36"/>
        <item m="1" x="230"/>
        <item m="1" x="384"/>
        <item x="35"/>
        <item x="18"/>
        <item x="189"/>
        <item m="1" x="579"/>
        <item m="1" x="391"/>
        <item m="1" x="522"/>
        <item x="168"/>
        <item m="1" x="345"/>
        <item x="209"/>
        <item m="1" x="334"/>
        <item m="1" x="343"/>
        <item x="199"/>
        <item m="1" x="349"/>
        <item x="3"/>
        <item x="137"/>
        <item m="1" x="459"/>
        <item m="1" x="435"/>
        <item m="1" x="570"/>
        <item m="1" x="226"/>
        <item m="1" x="406"/>
        <item m="1" x="437"/>
        <item m="1" x="483"/>
        <item m="1" x="276"/>
        <item x="119"/>
        <item m="1" x="421"/>
        <item m="1" x="447"/>
        <item m="1" x="429"/>
        <item x="117"/>
        <item m="1" x="438"/>
        <item m="1" x="537"/>
        <item x="90"/>
        <item x="128"/>
        <item x="194"/>
        <item m="1" x="279"/>
        <item m="1" x="451"/>
        <item m="1" x="611"/>
        <item m="1" x="571"/>
        <item m="1" x="232"/>
        <item m="1" x="576"/>
        <item m="1" x="364"/>
        <item x="78"/>
        <item m="1" x="466"/>
        <item m="1" x="246"/>
        <item m="1" x="568"/>
        <item x="151"/>
        <item m="1" x="341"/>
        <item m="1" x="301"/>
        <item m="1" x="440"/>
        <item x="42"/>
        <item x="121"/>
        <item m="1" x="233"/>
        <item x="86"/>
        <item m="1" x="224"/>
        <item x="123"/>
        <item x="206"/>
        <item x="167"/>
        <item m="1" x="559"/>
        <item m="1" x="377"/>
        <item m="1" x="485"/>
        <item x="45"/>
        <item m="1" x="556"/>
        <item x="65"/>
        <item m="1" x="257"/>
        <item m="1" x="275"/>
        <item m="1" x="419"/>
        <item m="1" x="550"/>
        <item m="1" x="389"/>
        <item m="1" x="470"/>
        <item x="124"/>
        <item m="1" x="454"/>
        <item m="1" x="336"/>
        <item x="105"/>
        <item x="165"/>
        <item m="1" x="297"/>
        <item m="1" x="553"/>
        <item m="1" x="547"/>
        <item m="1" x="535"/>
        <item m="1" x="251"/>
        <item m="1" x="596"/>
        <item m="1" x="431"/>
        <item m="1" x="551"/>
        <item m="1" x="460"/>
        <item x="23"/>
        <item x="182"/>
        <item x="216"/>
        <item x="171"/>
        <item m="1" x="286"/>
        <item m="1" x="237"/>
        <item x="186"/>
        <item m="1" x="263"/>
        <item x="122"/>
        <item m="1" x="269"/>
        <item x="187"/>
        <item x="62"/>
        <item x="89"/>
        <item m="1" x="270"/>
        <item m="1" x="489"/>
        <item x="197"/>
        <item m="1" x="471"/>
        <item m="1" x="314"/>
        <item x="145"/>
        <item x="109"/>
        <item m="1" x="283"/>
        <item x="116"/>
        <item m="1" x="529"/>
        <item x="72"/>
        <item x="76"/>
        <item m="1" x="374"/>
        <item x="193"/>
        <item m="1" x="306"/>
        <item m="1" x="517"/>
        <item x="88"/>
        <item m="1" x="274"/>
        <item x="190"/>
        <item m="1" x="493"/>
        <item m="1" x="400"/>
        <item m="1" x="509"/>
        <item x="152"/>
        <item m="1" x="354"/>
        <item m="1" x="289"/>
        <item m="1" x="594"/>
        <item m="1" x="350"/>
        <item m="1" x="575"/>
        <item x="46"/>
        <item m="1" x="272"/>
        <item m="1" x="484"/>
        <item m="1" x="351"/>
        <item m="1" x="243"/>
        <item m="1" x="495"/>
        <item x="135"/>
        <item m="1" x="394"/>
        <item x="118"/>
        <item m="1" x="410"/>
        <item m="1" x="294"/>
        <item x="196"/>
        <item m="1" x="254"/>
        <item m="1" x="424"/>
        <item m="1" x="496"/>
        <item x="210"/>
        <item m="1" x="516"/>
        <item x="133"/>
        <item x="129"/>
        <item x="125"/>
        <item m="1" x="467"/>
        <item m="1" x="399"/>
        <item x="98"/>
        <item m="1" x="480"/>
        <item m="1" x="558"/>
        <item m="1" x="478"/>
        <item m="1" x="590"/>
        <item x="127"/>
        <item m="1" x="434"/>
        <item x="99"/>
        <item m="1" x="439"/>
        <item m="1" x="376"/>
        <item m="1" x="312"/>
        <item m="1" x="519"/>
        <item m="1" x="310"/>
        <item m="1" x="332"/>
        <item x="101"/>
        <item m="1" x="566"/>
        <item m="1" x="337"/>
        <item m="1" x="605"/>
        <item m="1" x="502"/>
        <item m="1" x="225"/>
        <item m="1" x="302"/>
        <item x="22"/>
        <item x="177"/>
        <item m="1" x="481"/>
        <item m="1" x="309"/>
        <item x="153"/>
        <item m="1" x="390"/>
        <item x="215"/>
        <item m="1" x="319"/>
        <item m="1" x="515"/>
        <item m="1" x="458"/>
        <item x="202"/>
        <item m="1" x="380"/>
        <item m="1" x="330"/>
        <item x="142"/>
        <item m="1" x="305"/>
        <item m="1" x="430"/>
        <item x="2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ódigo Versión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Año" axis="axisRow" compact="0" outline="0" multipleItemSelectionAllowed="1" showAll="0" sortType="ascending" defaultSubtotal="0">
      <items count="18">
        <item m="1" x="17"/>
        <item x="9"/>
        <item x="8"/>
        <item x="14"/>
        <item x="12"/>
        <item x="15"/>
        <item x="5"/>
        <item x="13"/>
        <item x="11"/>
        <item x="4"/>
        <item x="7"/>
        <item x="10"/>
        <item x="3"/>
        <item x="6"/>
        <item x="2"/>
        <item x="0"/>
        <item x="1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Kilometraje" axis="axisRow" compact="0" outline="0" multipleItemSelectionAllowed="1" showAll="0" defaultSubtotal="0">
      <items count="564">
        <item x="1"/>
        <item x="89"/>
        <item m="1" x="293"/>
        <item x="87"/>
        <item x="117"/>
        <item m="1" x="251"/>
        <item x="36"/>
        <item x="69"/>
        <item x="9"/>
        <item x="141"/>
        <item m="1" x="245"/>
        <item m="1" x="258"/>
        <item m="1" x="224"/>
        <item m="1" x="378"/>
        <item x="104"/>
        <item x="86"/>
        <item m="1" x="275"/>
        <item m="1" x="237"/>
        <item m="1" x="238"/>
        <item x="61"/>
        <item m="1" x="277"/>
        <item m="1" x="280"/>
        <item x="65"/>
        <item x="168"/>
        <item m="1" x="279"/>
        <item m="1" x="261"/>
        <item x="156"/>
        <item x="85"/>
        <item x="73"/>
        <item m="1" x="199"/>
        <item x="39"/>
        <item x="127"/>
        <item x="97"/>
        <item m="1" x="217"/>
        <item x="147"/>
        <item x="106"/>
        <item x="57"/>
        <item x="98"/>
        <item m="1" x="222"/>
        <item x="118"/>
        <item m="1" x="252"/>
        <item m="1" x="291"/>
        <item m="1" x="260"/>
        <item m="1" x="265"/>
        <item m="1" x="201"/>
        <item x="140"/>
        <item x="119"/>
        <item x="128"/>
        <item x="23"/>
        <item m="1" x="290"/>
        <item x="151"/>
        <item x="90"/>
        <item m="1" x="248"/>
        <item x="144"/>
        <item m="1" x="283"/>
        <item m="1" x="272"/>
        <item x="51"/>
        <item x="82"/>
        <item x="101"/>
        <item x="126"/>
        <item x="54"/>
        <item x="135"/>
        <item m="1" x="194"/>
        <item m="1" x="241"/>
        <item x="138"/>
        <item x="108"/>
        <item m="1" x="286"/>
        <item x="112"/>
        <item x="167"/>
        <item m="1" x="236"/>
        <item x="114"/>
        <item x="102"/>
        <item m="1" x="289"/>
        <item x="35"/>
        <item x="10"/>
        <item x="159"/>
        <item x="42"/>
        <item x="130"/>
        <item m="1" x="192"/>
        <item m="1" x="200"/>
        <item x="170"/>
        <item m="1" x="216"/>
        <item x="145"/>
        <item x="116"/>
        <item m="1" x="270"/>
        <item x="53"/>
        <item x="66"/>
        <item x="50"/>
        <item m="1" x="228"/>
        <item x="99"/>
        <item x="52"/>
        <item m="1" x="208"/>
        <item x="103"/>
        <item m="1" x="563"/>
        <item x="105"/>
        <item x="172"/>
        <item x="46"/>
        <item m="1" x="292"/>
        <item x="136"/>
        <item m="1" x="221"/>
        <item m="1" x="284"/>
        <item m="1" x="257"/>
        <item x="77"/>
        <item x="148"/>
        <item x="153"/>
        <item x="173"/>
        <item m="1" x="294"/>
        <item m="1" x="295"/>
        <item x="178"/>
        <item m="1" x="296"/>
        <item m="1" x="297"/>
        <item m="1" x="211"/>
        <item m="1" x="298"/>
        <item m="1" x="299"/>
        <item x="30"/>
        <item m="1" x="300"/>
        <item m="1" x="301"/>
        <item m="1" x="302"/>
        <item m="1" x="303"/>
        <item m="1" x="304"/>
        <item m="1" x="305"/>
        <item x="92"/>
        <item m="1" x="306"/>
        <item m="1" x="307"/>
        <item m="1" x="308"/>
        <item x="129"/>
        <item m="1" x="309"/>
        <item m="1" x="310"/>
        <item m="1" x="311"/>
        <item m="1" x="312"/>
        <item x="79"/>
        <item m="1" x="313"/>
        <item m="1" x="314"/>
        <item m="1" x="315"/>
        <item m="1" x="316"/>
        <item m="1" x="317"/>
        <item m="1" x="318"/>
        <item m="1" x="319"/>
        <item m="1" x="320"/>
        <item x="123"/>
        <item m="1" x="321"/>
        <item m="1" x="322"/>
        <item m="1" x="323"/>
        <item m="1" x="234"/>
        <item m="1" x="324"/>
        <item x="72"/>
        <item m="1" x="325"/>
        <item m="1" x="326"/>
        <item m="1" x="327"/>
        <item m="1" x="328"/>
        <item m="1" x="329"/>
        <item m="1" x="330"/>
        <item m="1" x="331"/>
        <item m="1" x="332"/>
        <item x="59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219"/>
        <item m="1" x="345"/>
        <item m="1" x="346"/>
        <item m="1" x="347"/>
        <item m="1" x="244"/>
        <item m="1" x="223"/>
        <item m="1" x="348"/>
        <item m="1" x="349"/>
        <item m="1" x="350"/>
        <item m="1" x="351"/>
        <item m="1" x="352"/>
        <item m="1" x="353"/>
        <item m="1" x="354"/>
        <item m="1" x="355"/>
        <item x="124"/>
        <item m="1" x="356"/>
        <item m="1" x="357"/>
        <item m="1" x="358"/>
        <item m="1" x="359"/>
        <item m="1" x="360"/>
        <item m="1" x="205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x="93"/>
        <item m="1" x="379"/>
        <item m="1" x="380"/>
        <item m="1" x="381"/>
        <item m="1" x="382"/>
        <item m="1" x="226"/>
        <item m="1" x="383"/>
        <item m="1" x="384"/>
        <item m="1" x="385"/>
        <item x="16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x="63"/>
        <item x="121"/>
        <item m="1" x="403"/>
        <item m="1" x="404"/>
        <item m="1" x="405"/>
        <item m="1" x="406"/>
        <item x="60"/>
        <item m="1" x="407"/>
        <item m="1" x="408"/>
        <item m="1" x="409"/>
        <item m="1" x="410"/>
        <item m="1" x="235"/>
        <item m="1" x="411"/>
        <item m="1" x="412"/>
        <item m="1" x="413"/>
        <item m="1" x="414"/>
        <item m="1" x="415"/>
        <item m="1" x="416"/>
        <item m="1" x="207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x="107"/>
        <item m="1" x="448"/>
        <item m="1" x="449"/>
        <item x="81"/>
        <item x="154"/>
        <item m="1" x="450"/>
        <item m="1" x="451"/>
        <item m="1" x="452"/>
        <item m="1" x="453"/>
        <item m="1" x="454"/>
        <item m="1" x="455"/>
        <item m="1" x="247"/>
        <item m="1" x="456"/>
        <item x="155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x="19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x="95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215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x="137"/>
        <item m="1" x="536"/>
        <item m="1" x="537"/>
        <item m="1" x="538"/>
        <item m="1" x="539"/>
        <item m="1" x="540"/>
        <item m="1" x="269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285"/>
        <item m="1" x="256"/>
        <item x="187"/>
        <item m="1" x="276"/>
        <item m="1" x="259"/>
        <item m="1" x="287"/>
        <item m="1" x="253"/>
        <item x="21"/>
        <item x="7"/>
        <item m="1" x="288"/>
        <item x="27"/>
        <item x="2"/>
        <item x="22"/>
        <item x="17"/>
        <item m="1" x="189"/>
        <item x="29"/>
        <item x="8"/>
        <item m="1" x="254"/>
        <item m="1" x="212"/>
        <item x="28"/>
        <item x="13"/>
        <item x="26"/>
        <item x="11"/>
        <item m="1" x="282"/>
        <item x="14"/>
        <item x="20"/>
        <item x="24"/>
        <item x="12"/>
        <item x="18"/>
        <item m="1" x="188"/>
        <item m="1" x="230"/>
        <item m="1" x="281"/>
        <item x="6"/>
        <item x="4"/>
        <item x="5"/>
        <item x="0"/>
        <item x="3"/>
        <item m="1" x="209"/>
        <item m="1" x="210"/>
        <item x="185"/>
        <item m="1" x="246"/>
        <item x="179"/>
        <item x="181"/>
        <item x="182"/>
        <item x="176"/>
        <item x="177"/>
        <item x="186"/>
        <item x="184"/>
        <item m="1" x="271"/>
        <item m="1" x="218"/>
        <item m="1" x="214"/>
        <item m="1" x="273"/>
        <item m="1" x="278"/>
        <item m="1" x="264"/>
        <item m="1" x="263"/>
        <item m="1" x="231"/>
        <item x="88"/>
        <item m="1" x="255"/>
        <item m="1" x="274"/>
        <item x="33"/>
        <item x="74"/>
        <item m="1" x="262"/>
        <item m="1" x="268"/>
        <item m="1" x="250"/>
        <item x="183"/>
        <item x="31"/>
        <item x="139"/>
        <item x="47"/>
        <item m="1" x="239"/>
        <item x="94"/>
        <item m="1" x="266"/>
        <item m="1" x="202"/>
        <item m="1" x="267"/>
        <item x="142"/>
        <item x="41"/>
        <item m="1" x="220"/>
        <item x="78"/>
        <item m="1" x="242"/>
        <item x="122"/>
        <item x="175"/>
        <item x="166"/>
        <item m="1" x="240"/>
        <item x="163"/>
        <item m="1" x="249"/>
        <item m="1" x="243"/>
        <item x="146"/>
        <item m="1" x="232"/>
        <item x="157"/>
        <item m="1" x="227"/>
        <item x="62"/>
        <item x="161"/>
        <item x="169"/>
        <item x="143"/>
        <item x="150"/>
        <item m="1" x="233"/>
        <item m="1" x="206"/>
        <item x="45"/>
        <item x="164"/>
        <item m="1" x="193"/>
        <item x="67"/>
        <item m="1" x="213"/>
        <item m="1" x="225"/>
        <item m="1" x="229"/>
        <item x="40"/>
        <item m="1" x="190"/>
        <item m="1" x="191"/>
        <item x="58"/>
        <item x="132"/>
        <item x="120"/>
        <item x="134"/>
        <item x="80"/>
        <item x="131"/>
        <item m="1" x="195"/>
        <item m="1" x="196"/>
        <item m="1" x="197"/>
        <item m="1" x="198"/>
        <item x="71"/>
        <item m="1" x="203"/>
        <item m="1" x="204"/>
        <item x="115"/>
        <item x="152"/>
        <item x="162"/>
        <item x="76"/>
        <item x="70"/>
        <item x="91"/>
        <item x="56"/>
        <item x="15"/>
        <item x="16"/>
        <item x="25"/>
        <item x="32"/>
        <item x="34"/>
        <item x="37"/>
        <item x="38"/>
        <item x="43"/>
        <item x="44"/>
        <item x="48"/>
        <item x="49"/>
        <item x="55"/>
        <item x="64"/>
        <item x="68"/>
        <item x="75"/>
        <item x="83"/>
        <item x="84"/>
        <item x="96"/>
        <item x="100"/>
        <item x="109"/>
        <item x="110"/>
        <item x="111"/>
        <item x="113"/>
        <item x="125"/>
        <item x="133"/>
        <item x="149"/>
        <item x="158"/>
        <item x="160"/>
        <item x="171"/>
        <item x="174"/>
        <item x="1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ódigo Interno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Placa Patente" axis="axisRow" compact="0" outline="0" multipleItemSelectionAllowed="1" showAll="0" sortType="ascending" defaultSubtotal="0">
      <items count="917">
        <item m="1" x="298"/>
        <item x="82"/>
        <item x="79"/>
        <item x="224"/>
        <item m="1" x="813"/>
        <item x="154"/>
        <item x="203"/>
        <item x="184"/>
        <item x="136"/>
        <item m="1" x="457"/>
        <item m="1" x="467"/>
        <item m="1" x="822"/>
        <item x="247"/>
        <item m="1" x="835"/>
        <item m="1" x="481"/>
        <item m="1" x="866"/>
        <item m="1" x="418"/>
        <item m="1" x="520"/>
        <item m="1" x="474"/>
        <item m="1" x="563"/>
        <item x="236"/>
        <item m="1" x="758"/>
        <item m="1" x="627"/>
        <item m="1" x="499"/>
        <item m="1" x="860"/>
        <item m="1" x="484"/>
        <item x="41"/>
        <item x="104"/>
        <item m="1" x="469"/>
        <item m="1" x="535"/>
        <item m="1" x="670"/>
        <item m="1" x="480"/>
        <item m="1" x="815"/>
        <item m="1" x="635"/>
        <item m="1" x="624"/>
        <item m="1" x="533"/>
        <item m="1" x="436"/>
        <item m="1" x="718"/>
        <item m="1" x="821"/>
        <item m="1" x="451"/>
        <item m="1" x="738"/>
        <item m="1" x="470"/>
        <item m="1" x="889"/>
        <item m="1" x="849"/>
        <item m="1" x="787"/>
        <item m="1" x="485"/>
        <item x="175"/>
        <item m="1" x="529"/>
        <item m="1" x="496"/>
        <item m="1" x="648"/>
        <item m="1" x="422"/>
        <item m="1" x="751"/>
        <item x="254"/>
        <item m="1" x="456"/>
        <item m="1" x="442"/>
        <item m="1" x="854"/>
        <item m="1" x="629"/>
        <item m="1" x="753"/>
        <item m="1" x="726"/>
        <item m="1" x="742"/>
        <item m="1" x="674"/>
        <item m="1" x="385"/>
        <item m="1" x="755"/>
        <item m="1" x="584"/>
        <item m="1" x="540"/>
        <item m="1" x="566"/>
        <item x="230"/>
        <item m="1" x="423"/>
        <item x="218"/>
        <item m="1" x="437"/>
        <item x="111"/>
        <item m="1" x="814"/>
        <item m="1" x="788"/>
        <item m="1" x="775"/>
        <item x="246"/>
        <item m="1" x="786"/>
        <item m="1" x="756"/>
        <item m="1" x="569"/>
        <item m="1" x="490"/>
        <item m="1" x="689"/>
        <item x="54"/>
        <item m="1" x="519"/>
        <item m="1" x="618"/>
        <item m="1" x="745"/>
        <item m="1" x="500"/>
        <item m="1" x="774"/>
        <item m="1" x="797"/>
        <item m="1" x="429"/>
        <item m="1" x="820"/>
        <item m="1" x="719"/>
        <item m="1" x="434"/>
        <item m="1" x="625"/>
        <item m="1" x="690"/>
        <item m="1" x="381"/>
        <item m="1" x="838"/>
        <item m="1" x="407"/>
        <item m="1" x="730"/>
        <item m="1" x="850"/>
        <item m="1" x="810"/>
        <item x="180"/>
        <item m="1" x="477"/>
        <item m="1" x="812"/>
        <item m="1" x="785"/>
        <item m="1" x="729"/>
        <item m="1" x="701"/>
        <item m="1" x="409"/>
        <item m="1" x="722"/>
        <item m="1" x="723"/>
        <item m="1" x="744"/>
        <item x="204"/>
        <item m="1" x="611"/>
        <item m="1" x="621"/>
        <item m="1" x="706"/>
        <item m="1" x="472"/>
        <item m="1" x="802"/>
        <item m="1" x="693"/>
        <item m="1" x="819"/>
        <item m="1" x="462"/>
        <item m="1" x="487"/>
        <item m="1" x="577"/>
        <item m="1" x="879"/>
        <item m="1" x="466"/>
        <item m="1" x="842"/>
        <item m="1" x="616"/>
        <item m="1" x="883"/>
        <item m="1" x="525"/>
        <item m="1" x="421"/>
        <item m="1" x="445"/>
        <item m="1" x="275"/>
        <item m="1" x="818"/>
        <item m="1" x="876"/>
        <item m="1" x="510"/>
        <item m="1" x="354"/>
        <item m="1" x="643"/>
        <item x="18"/>
        <item m="1" x="501"/>
        <item m="1" x="870"/>
        <item m="1" x="588"/>
        <item m="1" x="384"/>
        <item m="1" x="640"/>
        <item x="234"/>
        <item x="193"/>
        <item m="1" x="781"/>
        <item m="1" x="568"/>
        <item x="81"/>
        <item m="1" x="548"/>
        <item m="1" x="795"/>
        <item m="1" x="452"/>
        <item m="1" x="754"/>
        <item m="1" x="687"/>
        <item m="1" x="778"/>
        <item m="1" x="770"/>
        <item m="1" x="668"/>
        <item m="1" x="550"/>
        <item m="1" x="886"/>
        <item m="1" x="498"/>
        <item m="1" x="697"/>
        <item m="1" x="558"/>
        <item m="1" x="695"/>
        <item m="1" x="537"/>
        <item m="1" x="576"/>
        <item m="1" x="590"/>
        <item m="1" x="906"/>
        <item m="1" x="760"/>
        <item m="1" x="757"/>
        <item m="1" x="773"/>
        <item m="1" x="282"/>
        <item m="1" x="709"/>
        <item m="1" x="766"/>
        <item m="1" x="334"/>
        <item x="83"/>
        <item x="69"/>
        <item m="1" x="532"/>
        <item m="1" x="671"/>
        <item x="67"/>
        <item m="1" x="530"/>
        <item x="161"/>
        <item m="1" x="704"/>
        <item x="215"/>
        <item m="1" x="650"/>
        <item m="1" x="865"/>
        <item m="1" x="534"/>
        <item m="1" x="660"/>
        <item x="195"/>
        <item m="1" x="465"/>
        <item m="1" x="873"/>
        <item m="1" x="509"/>
        <item x="269"/>
        <item m="1" x="504"/>
        <item m="1" x="489"/>
        <item m="1" x="685"/>
        <item m="1" x="707"/>
        <item m="1" x="743"/>
        <item m="1" x="747"/>
        <item m="1" x="736"/>
        <item x="101"/>
        <item m="1" x="630"/>
        <item x="200"/>
        <item m="1" x="447"/>
        <item m="1" x="313"/>
        <item m="1" x="495"/>
        <item x="146"/>
        <item m="1" x="692"/>
        <item x="199"/>
        <item m="1" x="811"/>
        <item m="1" x="507"/>
        <item m="1" x="512"/>
        <item m="1" x="607"/>
        <item m="1" x="638"/>
        <item m="1" x="570"/>
        <item m="1" x="541"/>
        <item m="1" x="823"/>
        <item x="148"/>
        <item m="1" x="458"/>
        <item m="1" x="617"/>
        <item m="1" x="657"/>
        <item m="1" x="724"/>
        <item m="1" x="325"/>
        <item m="1" x="387"/>
        <item m="1" x="446"/>
        <item x="229"/>
        <item m="1" x="731"/>
        <item m="1" x="555"/>
        <item m="1" x="863"/>
        <item m="1" x="459"/>
        <item m="1" x="807"/>
        <item m="1" x="539"/>
        <item m="1" x="662"/>
        <item m="1" x="603"/>
        <item m="1" x="880"/>
        <item m="1" x="414"/>
        <item x="170"/>
        <item x="179"/>
        <item m="1" x="553"/>
        <item m="1" x="435"/>
        <item m="1" x="762"/>
        <item m="1" x="663"/>
        <item m="1" x="897"/>
        <item m="1" x="544"/>
        <item m="1" x="664"/>
        <item x="259"/>
        <item m="1" x="506"/>
        <item m="1" x="691"/>
        <item m="1" x="646"/>
        <item x="95"/>
        <item m="1" x="295"/>
        <item m="1" x="716"/>
        <item m="1" x="453"/>
        <item m="1" x="476"/>
        <item x="97"/>
        <item m="1" x="450"/>
        <item m="1" x="637"/>
        <item m="1" x="782"/>
        <item m="1" x="857"/>
        <item m="1" x="881"/>
        <item x="238"/>
        <item m="1" x="741"/>
        <item m="1" x="654"/>
        <item m="1" x="700"/>
        <item m="1" x="475"/>
        <item m="1" x="767"/>
        <item m="1" x="832"/>
        <item x="217"/>
        <item m="1" x="631"/>
        <item m="1" x="829"/>
        <item x="115"/>
        <item m="1" x="763"/>
        <item m="1" x="551"/>
        <item x="201"/>
        <item m="1" x="388"/>
        <item m="1" x="779"/>
        <item m="1" x="471"/>
        <item m="1" x="682"/>
        <item m="1" x="565"/>
        <item m="1" x="833"/>
        <item x="202"/>
        <item m="1" x="740"/>
        <item m="1" x="831"/>
        <item m="1" x="871"/>
        <item m="1" x="274"/>
        <item m="1" x="892"/>
        <item m="1" x="908"/>
        <item m="1" x="491"/>
        <item m="1" x="362"/>
        <item m="1" x="330"/>
        <item x="187"/>
        <item m="1" x="369"/>
        <item m="1" x="793"/>
        <item m="1" x="526"/>
        <item m="1" x="652"/>
        <item m="1" x="658"/>
        <item m="1" x="602"/>
        <item m="1" x="560"/>
        <item m="1" x="898"/>
        <item m="1" x="613"/>
        <item x="245"/>
        <item x="128"/>
        <item m="1" x="739"/>
        <item m="1" x="283"/>
        <item m="1" x="488"/>
        <item m="1" x="858"/>
        <item m="1" x="439"/>
        <item m="1" x="543"/>
        <item m="1" x="912"/>
        <item m="1" x="644"/>
        <item m="1" x="639"/>
        <item m="1" x="727"/>
        <item m="1" x="801"/>
        <item m="1" x="817"/>
        <item m="1" x="428"/>
        <item m="1" x="615"/>
        <item m="1" x="825"/>
        <item m="1" x="676"/>
        <item m="1" x="796"/>
        <item m="1" x="574"/>
        <item m="1" x="845"/>
        <item m="1" x="661"/>
        <item m="1" x="659"/>
        <item m="1" x="343"/>
        <item m="1" x="596"/>
        <item m="1" x="748"/>
        <item m="1" x="816"/>
        <item m="1" x="703"/>
        <item m="1" x="514"/>
        <item m="1" x="867"/>
        <item m="1" x="684"/>
        <item m="1" x="473"/>
        <item m="1" x="764"/>
        <item m="1" x="604"/>
        <item m="1" x="591"/>
        <item m="1" x="567"/>
        <item x="134"/>
        <item m="1" x="761"/>
        <item m="1" x="696"/>
        <item m="1" x="702"/>
        <item x="118"/>
        <item m="1" x="868"/>
        <item m="1" x="827"/>
        <item m="1" x="708"/>
        <item x="169"/>
        <item x="159"/>
        <item m="1" x="856"/>
        <item m="1" x="665"/>
        <item m="1" x="721"/>
        <item x="145"/>
        <item m="1" x="911"/>
        <item x="89"/>
        <item m="1" x="599"/>
        <item m="1" x="769"/>
        <item m="1" x="784"/>
        <item m="1" x="734"/>
        <item m="1" x="338"/>
        <item m="1" x="848"/>
        <item m="1" x="623"/>
        <item m="1" x="589"/>
        <item m="1" x="440"/>
        <item m="1" x="538"/>
        <item m="1" x="331"/>
        <item m="1" x="846"/>
        <item m="1" x="619"/>
        <item m="1" x="715"/>
        <item m="1" x="320"/>
        <item x="183"/>
        <item m="1" x="799"/>
        <item m="1" x="712"/>
        <item m="1" x="523"/>
        <item m="1" x="688"/>
        <item m="1" x="636"/>
        <item m="1" x="622"/>
        <item m="1" x="332"/>
        <item m="1" x="750"/>
        <item m="1" x="899"/>
        <item m="1" x="735"/>
        <item m="1" x="585"/>
        <item m="1" x="808"/>
        <item x="171"/>
        <item m="1" x="847"/>
        <item m="1" x="431"/>
        <item x="196"/>
        <item x="182"/>
        <item m="1" x="633"/>
        <item m="1" x="562"/>
        <item m="1" x="503"/>
        <item m="1" x="893"/>
        <item m="1" x="291"/>
        <item x="90"/>
        <item m="1" x="834"/>
        <item m="1" x="536"/>
        <item m="1" x="508"/>
        <item m="1" x="612"/>
        <item m="1" x="449"/>
        <item m="1" x="564"/>
        <item m="1" x="675"/>
        <item m="1" x="605"/>
        <item m="1" x="884"/>
        <item m="1" x="595"/>
        <item m="1" x="669"/>
        <item x="152"/>
        <item m="1" x="828"/>
        <item m="1" x="460"/>
        <item m="1" x="686"/>
        <item m="1" x="401"/>
        <item m="1" x="789"/>
        <item m="1" x="583"/>
        <item m="1" x="859"/>
        <item m="1" x="794"/>
        <item x="173"/>
        <item m="1" x="441"/>
        <item x="231"/>
        <item x="257"/>
        <item x="13"/>
        <item m="1" x="672"/>
        <item x="212"/>
        <item x="211"/>
        <item m="1" x="542"/>
        <item m="1" x="717"/>
        <item m="1" x="803"/>
        <item m="1" x="896"/>
        <item m="1" x="887"/>
        <item m="1" x="433"/>
        <item m="1" x="772"/>
        <item m="1" x="309"/>
        <item m="1" x="733"/>
        <item m="1" x="285"/>
        <item m="1" x="698"/>
        <item m="1" x="430"/>
        <item m="1" x="592"/>
        <item x="241"/>
        <item m="1" x="705"/>
        <item m="1" x="798"/>
        <item x="8"/>
        <item m="1" x="319"/>
        <item m="1" x="556"/>
        <item m="1" x="649"/>
        <item m="1" x="515"/>
        <item m="1" x="494"/>
        <item m="1" x="443"/>
        <item m="1" x="666"/>
        <item m="1" x="531"/>
        <item m="1" x="878"/>
        <item m="1" x="328"/>
        <item m="1" x="830"/>
        <item m="1" x="837"/>
        <item x="119"/>
        <item m="1" x="383"/>
        <item m="1" x="746"/>
        <item m="1" x="824"/>
        <item m="1" x="326"/>
        <item m="1" x="306"/>
        <item m="1" x="479"/>
        <item m="1" x="549"/>
        <item m="1" x="360"/>
        <item m="1" x="855"/>
        <item m="1" x="673"/>
        <item m="1" x="805"/>
        <item m="1" x="877"/>
        <item m="1" x="312"/>
        <item m="1" x="511"/>
        <item m="1" x="594"/>
        <item m="1" x="606"/>
        <item m="1" x="559"/>
        <item x="45"/>
        <item m="1" x="424"/>
        <item m="1" x="780"/>
        <item m="1" x="427"/>
        <item m="1" x="910"/>
        <item x="103"/>
        <item m="1" x="315"/>
        <item m="1" x="342"/>
        <item m="1" x="380"/>
        <item m="1" x="699"/>
        <item m="1" x="406"/>
        <item m="1" x="714"/>
        <item m="1" x="632"/>
        <item m="1" x="547"/>
        <item m="1" x="777"/>
        <item m="1" x="280"/>
        <item m="1" x="791"/>
        <item m="1" x="869"/>
        <item m="1" x="875"/>
        <item x="123"/>
        <item x="133"/>
        <item x="94"/>
        <item m="1" x="518"/>
        <item m="1" x="324"/>
        <item m="1" x="361"/>
        <item m="1" x="352"/>
        <item m="1" x="545"/>
        <item x="197"/>
        <item m="1" x="608"/>
        <item m="1" x="561"/>
        <item x="138"/>
        <item x="164"/>
        <item m="1" x="600"/>
        <item x="127"/>
        <item x="91"/>
        <item x="268"/>
        <item x="113"/>
        <item x="129"/>
        <item m="1" x="641"/>
        <item m="1" x="728"/>
        <item x="239"/>
        <item m="1" x="839"/>
        <item m="1" x="546"/>
        <item m="1" x="493"/>
        <item m="1" x="620"/>
        <item m="1" x="365"/>
        <item m="1" x="598"/>
        <item x="192"/>
        <item m="1" x="768"/>
        <item m="1" x="776"/>
        <item m="1" x="557"/>
        <item m="1" x="656"/>
        <item m="1" x="286"/>
        <item m="1" x="790"/>
        <item x="223"/>
        <item m="1" x="609"/>
        <item m="1" x="874"/>
        <item x="188"/>
        <item m="1" x="582"/>
        <item m="1" x="593"/>
        <item m="1" x="681"/>
        <item m="1" x="907"/>
        <item m="1" x="752"/>
        <item m="1" x="737"/>
        <item x="106"/>
        <item x="177"/>
        <item x="149"/>
        <item m="1" x="478"/>
        <item x="168"/>
        <item m="1" x="667"/>
        <item x="53"/>
        <item m="1" x="411"/>
        <item m="1" x="861"/>
        <item m="1" x="355"/>
        <item m="1" x="851"/>
        <item x="99"/>
        <item m="1" x="891"/>
        <item m="1" x="678"/>
        <item x="126"/>
        <item m="1" x="463"/>
        <item m="1" x="412"/>
        <item m="1" x="454"/>
        <item m="1" x="882"/>
        <item m="1" x="680"/>
        <item x="98"/>
        <item x="155"/>
        <item x="135"/>
        <item m="1" x="292"/>
        <item m="1" x="804"/>
        <item m="1" x="864"/>
        <item m="1" x="901"/>
        <item m="1" x="321"/>
        <item m="1" x="862"/>
        <item m="1" x="528"/>
        <item m="1" x="304"/>
        <item m="1" x="552"/>
        <item m="1" x="749"/>
        <item x="189"/>
        <item m="1" x="601"/>
        <item m="1" x="554"/>
        <item x="243"/>
        <item m="1" x="628"/>
        <item m="1" x="792"/>
        <item m="1" x="351"/>
        <item x="112"/>
        <item m="1" x="317"/>
        <item m="1" x="809"/>
        <item m="1" x="571"/>
        <item m="1" x="655"/>
        <item m="1" x="575"/>
        <item m="1" x="348"/>
        <item m="1" x="389"/>
        <item m="1" x="852"/>
        <item m="1" x="771"/>
        <item m="1" x="399"/>
        <item m="1" x="310"/>
        <item x="213"/>
        <item m="1" x="614"/>
        <item x="226"/>
        <item m="1" x="580"/>
        <item x="59"/>
        <item m="1" x="647"/>
        <item m="1" x="416"/>
        <item x="244"/>
        <item m="1" x="278"/>
        <item m="1" x="513"/>
        <item m="1" x="367"/>
        <item m="1" x="651"/>
        <item m="1" x="293"/>
        <item x="172"/>
        <item m="1" x="398"/>
        <item m="1" x="516"/>
        <item m="1" x="415"/>
        <item m="1" x="405"/>
        <item m="1" x="297"/>
        <item x="84"/>
        <item m="1" x="392"/>
        <item m="1" x="711"/>
        <item x="147"/>
        <item x="150"/>
        <item m="1" x="872"/>
        <item m="1" x="410"/>
        <item m="1" x="448"/>
        <item m="1" x="281"/>
        <item x="107"/>
        <item m="1" x="895"/>
        <item m="1" x="408"/>
        <item x="156"/>
        <item m="1" x="279"/>
        <item x="167"/>
        <item m="1" x="677"/>
        <item m="1" x="610"/>
        <item m="1" x="885"/>
        <item m="1" x="517"/>
        <item m="1" x="366"/>
        <item m="1" x="303"/>
        <item x="151"/>
        <item m="1" x="645"/>
        <item x="206"/>
        <item m="1" x="419"/>
        <item m="1" x="482"/>
        <item x="265"/>
        <item x="250"/>
        <item m="1" x="522"/>
        <item m="1" x="836"/>
        <item x="209"/>
        <item x="96"/>
        <item m="1" x="444"/>
        <item x="137"/>
        <item m="1" x="521"/>
        <item x="185"/>
        <item x="225"/>
        <item m="1" x="307"/>
        <item m="1" x="578"/>
        <item x="166"/>
        <item m="1" x="417"/>
        <item x="16"/>
        <item x="33"/>
        <item m="1" x="370"/>
        <item x="57"/>
        <item m="1" x="732"/>
        <item m="1" x="505"/>
        <item x="235"/>
        <item m="1" x="358"/>
        <item x="216"/>
        <item m="1" x="276"/>
        <item x="31"/>
        <item m="1" x="902"/>
        <item x="76"/>
        <item m="1" x="322"/>
        <item x="163"/>
        <item x="131"/>
        <item m="1" x="359"/>
        <item m="1" x="841"/>
        <item m="1" x="337"/>
        <item m="1" x="572"/>
        <item m="1" x="713"/>
        <item m="1" x="653"/>
        <item m="1" x="386"/>
        <item m="1" x="890"/>
        <item m="1" x="318"/>
        <item x="22"/>
        <item m="1" x="394"/>
        <item x="233"/>
        <item x="14"/>
        <item x="49"/>
        <item m="1" x="783"/>
        <item m="1" x="382"/>
        <item m="1" x="587"/>
        <item m="1" x="725"/>
        <item m="1" x="683"/>
        <item m="1" x="294"/>
        <item m="1" x="314"/>
        <item x="85"/>
        <item m="1" x="914"/>
        <item x="108"/>
        <item m="1" x="915"/>
        <item m="1" x="357"/>
        <item m="1" x="913"/>
        <item m="1" x="311"/>
        <item m="1" x="905"/>
        <item x="60"/>
        <item x="264"/>
        <item m="1" x="403"/>
        <item x="4"/>
        <item m="1" x="694"/>
        <item x="61"/>
        <item m="1" x="916"/>
        <item m="1" x="894"/>
        <item m="1" x="400"/>
        <item m="1" x="296"/>
        <item x="253"/>
        <item x="37"/>
        <item x="140"/>
        <item x="227"/>
        <item m="1" x="492"/>
        <item m="1" x="468"/>
        <item m="1" x="353"/>
        <item m="1" x="710"/>
        <item x="74"/>
        <item x="35"/>
        <item x="158"/>
        <item m="1" x="581"/>
        <item m="1" x="323"/>
        <item m="1" x="299"/>
        <item x="162"/>
        <item m="1" x="329"/>
        <item m="1" x="272"/>
        <item m="1" x="634"/>
        <item x="9"/>
        <item m="1" x="316"/>
        <item x="6"/>
        <item m="1" x="455"/>
        <item x="198"/>
        <item x="43"/>
        <item x="153"/>
        <item x="73"/>
        <item m="1" x="573"/>
        <item m="1" x="345"/>
        <item m="1" x="461"/>
        <item m="1" x="759"/>
        <item x="255"/>
        <item m="1" x="287"/>
        <item m="1" x="305"/>
        <item m="1" x="347"/>
        <item m="1" x="438"/>
        <item m="1" x="277"/>
        <item m="1" x="420"/>
        <item m="1" x="390"/>
        <item m="1" x="826"/>
        <item x="165"/>
        <item m="1" x="903"/>
        <item m="1" x="302"/>
        <item m="1" x="679"/>
        <item x="252"/>
        <item m="1" x="340"/>
        <item x="240"/>
        <item x="262"/>
        <item m="1" x="464"/>
        <item x="124"/>
        <item m="1" x="626"/>
        <item m="1" x="327"/>
        <item m="1" x="840"/>
        <item m="1" x="426"/>
        <item x="190"/>
        <item x="132"/>
        <item m="1" x="379"/>
        <item x="102"/>
        <item x="178"/>
        <item x="44"/>
        <item m="1" x="333"/>
        <item m="1" x="486"/>
        <item x="181"/>
        <item x="87"/>
        <item m="1" x="586"/>
        <item x="110"/>
        <item m="1" x="289"/>
        <item x="114"/>
        <item x="208"/>
        <item m="1" x="853"/>
        <item x="267"/>
        <item m="1" x="642"/>
        <item m="1" x="800"/>
        <item x="86"/>
        <item x="186"/>
        <item m="1" x="720"/>
        <item x="228"/>
        <item m="1" x="425"/>
        <item x="174"/>
        <item x="25"/>
        <item m="1" x="273"/>
        <item x="27"/>
        <item x="40"/>
        <item x="77"/>
        <item m="1" x="300"/>
        <item x="139"/>
        <item m="1" x="806"/>
        <item m="1" x="483"/>
        <item x="121"/>
        <item x="122"/>
        <item x="191"/>
        <item x="141"/>
        <item m="1" x="765"/>
        <item x="157"/>
        <item m="1" x="497"/>
        <item m="1" x="344"/>
        <item m="1" x="402"/>
        <item x="92"/>
        <item x="105"/>
        <item m="1" x="364"/>
        <item x="125"/>
        <item m="1" x="395"/>
        <item x="242"/>
        <item x="214"/>
        <item m="1" x="888"/>
        <item x="263"/>
        <item x="93"/>
        <item x="28"/>
        <item m="1" x="350"/>
        <item m="1" x="524"/>
        <item x="261"/>
        <item x="205"/>
        <item x="34"/>
        <item m="1" x="900"/>
        <item x="0"/>
        <item m="1" x="413"/>
        <item m="1" x="597"/>
        <item x="232"/>
        <item m="1" x="502"/>
        <item x="160"/>
        <item m="1" x="301"/>
        <item m="1" x="843"/>
        <item x="63"/>
        <item x="64"/>
        <item x="65"/>
        <item x="80"/>
        <item x="72"/>
        <item x="20"/>
        <item m="1" x="368"/>
        <item x="266"/>
        <item x="50"/>
        <item x="176"/>
        <item m="1" x="336"/>
        <item x="100"/>
        <item x="38"/>
        <item x="48"/>
        <item x="17"/>
        <item x="32"/>
        <item x="68"/>
        <item x="21"/>
        <item m="1" x="378"/>
        <item x="39"/>
        <item x="26"/>
        <item x="58"/>
        <item x="19"/>
        <item x="55"/>
        <item m="1" x="432"/>
        <item x="249"/>
        <item x="222"/>
        <item x="251"/>
        <item x="15"/>
        <item x="66"/>
        <item x="220"/>
        <item m="1" x="396"/>
        <item m="1" x="404"/>
        <item m="1" x="397"/>
        <item m="1" x="339"/>
        <item m="1" x="363"/>
        <item x="130"/>
        <item x="117"/>
        <item m="1" x="579"/>
        <item x="207"/>
        <item m="1" x="375"/>
        <item m="1" x="372"/>
        <item m="1" x="373"/>
        <item m="1" x="371"/>
        <item m="1" x="377"/>
        <item x="144"/>
        <item m="1" x="356"/>
        <item m="1" x="341"/>
        <item x="47"/>
        <item m="1" x="527"/>
        <item x="42"/>
        <item m="1" x="284"/>
        <item m="1" x="335"/>
        <item x="1"/>
        <item x="62"/>
        <item m="1" x="308"/>
        <item x="70"/>
        <item x="210"/>
        <item m="1" x="844"/>
        <item x="71"/>
        <item x="51"/>
        <item m="1" x="271"/>
        <item x="36"/>
        <item x="23"/>
        <item x="3"/>
        <item x="7"/>
        <item x="10"/>
        <item x="12"/>
        <item x="52"/>
        <item x="88"/>
        <item x="219"/>
        <item m="1" x="391"/>
        <item m="1" x="346"/>
        <item x="116"/>
        <item m="1" x="349"/>
        <item m="1" x="290"/>
        <item x="30"/>
        <item x="56"/>
        <item x="142"/>
        <item x="221"/>
        <item x="258"/>
        <item m="1" x="909"/>
        <item m="1" x="374"/>
        <item m="1" x="376"/>
        <item x="120"/>
        <item x="143"/>
        <item x="75"/>
        <item m="1" x="288"/>
        <item x="260"/>
        <item x="256"/>
        <item x="248"/>
        <item x="78"/>
        <item x="29"/>
        <item x="24"/>
        <item x="194"/>
        <item x="109"/>
        <item x="11"/>
        <item m="1" x="393"/>
        <item x="237"/>
        <item x="46"/>
        <item x="5"/>
        <item x="2"/>
        <item m="1" x="904"/>
        <item x="2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ondición Vehículo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Color Exterior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Color Interior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Precio Venta Total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Estado AutoPro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Días Stock" axis="axisRow" compact="0" outline="0" multipleItemSelectionAllowed="1" showAll="0" defaultSubtotal="0">
      <items count="982">
        <item x="100"/>
        <item m="1" x="208"/>
        <item m="1" x="224"/>
        <item x="92"/>
        <item m="1" x="557"/>
        <item m="1" x="205"/>
        <item x="81"/>
        <item m="1" x="427"/>
        <item x="80"/>
        <item m="1" x="421"/>
        <item m="1" x="389"/>
        <item m="1" x="342"/>
        <item x="136"/>
        <item x="108"/>
        <item m="1" x="446"/>
        <item m="1" x="202"/>
        <item x="39"/>
        <item m="1" x="630"/>
        <item x="69"/>
        <item m="1" x="216"/>
        <item x="55"/>
        <item m="1" x="472"/>
        <item m="1" x="425"/>
        <item m="1" x="559"/>
        <item x="86"/>
        <item m="1" x="553"/>
        <item m="1" x="444"/>
        <item x="73"/>
        <item m="1" x="238"/>
        <item m="1" x="259"/>
        <item m="1" x="212"/>
        <item m="1" x="178"/>
        <item x="66"/>
        <item m="1" x="248"/>
        <item m="1" x="275"/>
        <item m="1" x="643"/>
        <item m="1" x="276"/>
        <item x="151"/>
        <item m="1" x="500"/>
        <item m="1" x="190"/>
        <item m="1" x="307"/>
        <item m="1" x="965"/>
        <item m="1" x="181"/>
        <item m="1" x="420"/>
        <item x="75"/>
        <item m="1" x="670"/>
        <item x="74"/>
        <item m="1" x="603"/>
        <item x="102"/>
        <item m="1" x="396"/>
        <item m="1" x="363"/>
        <item x="125"/>
        <item m="1" x="431"/>
        <item m="1" x="195"/>
        <item x="4"/>
        <item m="1" x="761"/>
        <item m="1" x="624"/>
        <item m="1" x="566"/>
        <item m="1" x="245"/>
        <item m="1" x="926"/>
        <item m="1" x="980"/>
        <item m="1" x="668"/>
        <item m="1" x="774"/>
        <item m="1" x="979"/>
        <item m="1" x="787"/>
        <item m="1" x="981"/>
        <item m="1" x="974"/>
        <item m="1" x="727"/>
        <item m="1" x="977"/>
        <item m="1" x="516"/>
        <item m="1" x="975"/>
        <item m="1" x="971"/>
        <item m="1" x="972"/>
        <item m="1" x="973"/>
        <item m="1" x="976"/>
        <item m="1" x="978"/>
        <item m="1" x="323"/>
        <item m="1" x="232"/>
        <item m="1" x="491"/>
        <item m="1" x="233"/>
        <item m="1" x="373"/>
        <item m="1" x="227"/>
        <item x="76"/>
        <item x="112"/>
        <item x="67"/>
        <item m="1" x="429"/>
        <item m="1" x="583"/>
        <item m="1" x="497"/>
        <item m="1" x="207"/>
        <item m="1" x="575"/>
        <item m="1" x="203"/>
        <item m="1" x="343"/>
        <item m="1" x="494"/>
        <item m="1" x="334"/>
        <item x="29"/>
        <item m="1" x="312"/>
        <item m="1" x="213"/>
        <item m="1" x="748"/>
        <item x="65"/>
        <item m="1" x="684"/>
        <item m="1" x="222"/>
        <item m="1" x="298"/>
        <item m="1" x="627"/>
        <item x="87"/>
        <item m="1" x="703"/>
        <item m="1" x="219"/>
        <item m="1" x="492"/>
        <item m="1" x="485"/>
        <item m="1" x="644"/>
        <item m="1" x="282"/>
        <item m="1" x="651"/>
        <item x="2"/>
        <item x="77"/>
        <item m="1" x="251"/>
        <item x="49"/>
        <item m="1" x="858"/>
        <item x="99"/>
        <item x="135"/>
        <item m="1" x="526"/>
        <item m="1" x="179"/>
        <item m="1" x="402"/>
        <item m="1" x="437"/>
        <item x="149"/>
        <item x="104"/>
        <item x="132"/>
        <item m="1" x="968"/>
        <item m="1" x="175"/>
        <item x="84"/>
        <item x="20"/>
        <item m="1" x="209"/>
        <item m="1" x="959"/>
        <item m="1" x="379"/>
        <item m="1" x="331"/>
        <item m="1" x="387"/>
        <item x="85"/>
        <item m="1" x="234"/>
        <item x="5"/>
        <item m="1" x="159"/>
        <item x="138"/>
        <item m="1" x="790"/>
        <item x="88"/>
        <item m="1" x="230"/>
        <item m="1" x="256"/>
        <item x="72"/>
        <item m="1" x="459"/>
        <item m="1" x="313"/>
        <item m="1" x="550"/>
        <item m="1" x="293"/>
        <item m="1" x="503"/>
        <item m="1" x="615"/>
        <item m="1" x="277"/>
        <item m="1" x="184"/>
        <item m="1" x="754"/>
        <item m="1" x="167"/>
        <item m="1" x="438"/>
        <item m="1" x="510"/>
        <item x="89"/>
        <item x="113"/>
        <item m="1" x="378"/>
        <item m="1" x="340"/>
        <item m="1" x="573"/>
        <item x="90"/>
        <item x="97"/>
        <item m="1" x="336"/>
        <item m="1" x="521"/>
        <item m="1" x="823"/>
        <item x="68"/>
        <item m="1" x="484"/>
        <item m="1" x="440"/>
        <item m="1" x="241"/>
        <item m="1" x="397"/>
        <item m="1" x="867"/>
        <item m="1" x="885"/>
        <item m="1" x="969"/>
        <item m="1" x="488"/>
        <item x="139"/>
        <item m="1" x="351"/>
        <item m="1" x="297"/>
        <item m="1" x="587"/>
        <item m="1" x="678"/>
        <item m="1" x="733"/>
        <item m="1" x="664"/>
        <item m="1" x="220"/>
        <item m="1" x="353"/>
        <item m="1" x="398"/>
        <item m="1" x="411"/>
        <item m="1" x="818"/>
        <item m="1" x="947"/>
        <item m="1" x="970"/>
        <item x="106"/>
        <item m="1" x="850"/>
        <item m="1" x="236"/>
        <item m="1" x="435"/>
        <item x="70"/>
        <item m="1" x="326"/>
        <item x="54"/>
        <item x="153"/>
        <item m="1" x="368"/>
        <item m="1" x="405"/>
        <item m="1" x="410"/>
        <item m="1" x="870"/>
        <item m="1" x="309"/>
        <item m="1" x="915"/>
        <item x="83"/>
        <item m="1" x="576"/>
        <item x="114"/>
        <item m="1" x="960"/>
        <item m="1" x="961"/>
        <item x="141"/>
        <item m="1" x="237"/>
        <item m="1" x="962"/>
        <item m="1" x="321"/>
        <item m="1" x="963"/>
        <item m="1" x="210"/>
        <item x="105"/>
        <item m="1" x="964"/>
        <item x="7"/>
        <item x="58"/>
        <item m="1" x="582"/>
        <item x="71"/>
        <item x="133"/>
        <item m="1" x="966"/>
        <item m="1" x="967"/>
        <item m="1" x="412"/>
        <item x="156"/>
        <item m="1" x="460"/>
        <item m="1" x="200"/>
        <item m="1" x="592"/>
        <item m="1" x="948"/>
        <item m="1" x="949"/>
        <item m="1" x="950"/>
        <item m="1" x="951"/>
        <item m="1" x="952"/>
        <item m="1" x="383"/>
        <item m="1" x="799"/>
        <item m="1" x="177"/>
        <item m="1" x="332"/>
        <item m="1" x="953"/>
        <item m="1" x="413"/>
        <item m="1" x="954"/>
        <item m="1" x="449"/>
        <item m="1" x="845"/>
        <item m="1" x="450"/>
        <item m="1" x="865"/>
        <item m="1" x="955"/>
        <item m="1" x="511"/>
        <item m="1" x="534"/>
        <item m="1" x="294"/>
        <item m="1" x="596"/>
        <item m="1" x="632"/>
        <item m="1" x="626"/>
        <item m="1" x="956"/>
        <item m="1" x="258"/>
        <item m="1" x="194"/>
        <item m="1" x="594"/>
        <item m="1" x="443"/>
        <item x="30"/>
        <item m="1" x="957"/>
        <item x="45"/>
        <item x="144"/>
        <item m="1" x="508"/>
        <item m="1" x="738"/>
        <item m="1" x="661"/>
        <item m="1" x="428"/>
        <item m="1" x="958"/>
        <item m="1" x="310"/>
        <item m="1" x="917"/>
        <item x="118"/>
        <item m="1" x="918"/>
        <item x="18"/>
        <item m="1" x="255"/>
        <item m="1" x="221"/>
        <item m="1" x="919"/>
        <item m="1" x="509"/>
        <item m="1" x="920"/>
        <item m="1" x="193"/>
        <item x="111"/>
        <item m="1" x="921"/>
        <item m="1" x="716"/>
        <item m="1" x="711"/>
        <item x="24"/>
        <item m="1" x="391"/>
        <item x="127"/>
        <item x="56"/>
        <item m="1" x="922"/>
        <item m="1" x="747"/>
        <item x="31"/>
        <item m="1" x="923"/>
        <item x="14"/>
        <item m="1" x="924"/>
        <item m="1" x="925"/>
        <item m="1" x="228"/>
        <item m="1" x="602"/>
        <item m="1" x="318"/>
        <item x="79"/>
        <item m="1" x="206"/>
        <item m="1" x="839"/>
        <item m="1" x="927"/>
        <item x="17"/>
        <item x="51"/>
        <item m="1" x="616"/>
        <item m="1" x="663"/>
        <item m="1" x="928"/>
        <item m="1" x="480"/>
        <item m="1" x="362"/>
        <item m="1" x="549"/>
        <item m="1" x="929"/>
        <item m="1" x="930"/>
        <item m="1" x="931"/>
        <item m="1" x="932"/>
        <item m="1" x="933"/>
        <item m="1" x="934"/>
        <item m="1" x="914"/>
        <item m="1" x="581"/>
        <item m="1" x="935"/>
        <item m="1" x="936"/>
        <item m="1" x="231"/>
        <item m="1" x="937"/>
        <item m="1" x="394"/>
        <item m="1" x="894"/>
        <item m="1" x="938"/>
        <item x="110"/>
        <item m="1" x="939"/>
        <item m="1" x="346"/>
        <item x="82"/>
        <item m="1" x="506"/>
        <item m="1" x="257"/>
        <item m="1" x="940"/>
        <item m="1" x="941"/>
        <item m="1" x="301"/>
        <item m="1" x="498"/>
        <item m="1" x="315"/>
        <item m="1" x="942"/>
        <item m="1" x="943"/>
        <item m="1" x="944"/>
        <item m="1" x="945"/>
        <item m="1" x="586"/>
        <item m="1" x="283"/>
        <item x="128"/>
        <item m="1" x="199"/>
        <item m="1" x="322"/>
        <item m="1" x="946"/>
        <item m="1" x="701"/>
        <item x="42"/>
        <item m="1" x="884"/>
        <item m="1" x="726"/>
        <item m="1" x="376"/>
        <item x="48"/>
        <item m="1" x="741"/>
        <item m="1" x="563"/>
        <item m="1" x="717"/>
        <item m="1" x="451"/>
        <item m="1" x="886"/>
        <item m="1" x="887"/>
        <item m="1" x="339"/>
        <item m="1" x="445"/>
        <item m="1" x="888"/>
        <item x="94"/>
        <item m="1" x="470"/>
        <item m="1" x="599"/>
        <item m="1" x="433"/>
        <item m="1" x="889"/>
        <item m="1" x="890"/>
        <item m="1" x="381"/>
        <item x="129"/>
        <item m="1" x="891"/>
        <item m="1" x="892"/>
        <item x="9"/>
        <item m="1" x="893"/>
        <item m="1" x="895"/>
        <item m="1" x="896"/>
        <item m="1" x="239"/>
        <item x="41"/>
        <item m="1" x="897"/>
        <item m="1" x="639"/>
        <item m="1" x="898"/>
        <item m="1" x="899"/>
        <item m="1" x="434"/>
        <item m="1" x="900"/>
        <item x="98"/>
        <item m="1" x="272"/>
        <item m="1" x="385"/>
        <item m="1" x="901"/>
        <item m="1" x="311"/>
        <item x="126"/>
        <item m="1" x="407"/>
        <item m="1" x="902"/>
        <item m="1" x="903"/>
        <item m="1" x="904"/>
        <item m="1" x="905"/>
        <item m="1" x="395"/>
        <item m="1" x="852"/>
        <item m="1" x="242"/>
        <item m="1" x="906"/>
        <item m="1" x="753"/>
        <item m="1" x="556"/>
        <item m="1" x="907"/>
        <item x="35"/>
        <item m="1" x="853"/>
        <item x="146"/>
        <item m="1" x="797"/>
        <item m="1" x="908"/>
        <item m="1" x="909"/>
        <item m="1" x="910"/>
        <item m="1" x="911"/>
        <item m="1" x="912"/>
        <item m="1" x="558"/>
        <item m="1" x="540"/>
        <item m="1" x="345"/>
        <item m="1" x="913"/>
        <item m="1" x="161"/>
        <item m="1" x="535"/>
        <item m="1" x="328"/>
        <item m="1" x="916"/>
        <item m="1" x="783"/>
        <item m="1" x="504"/>
        <item m="1" x="447"/>
        <item m="1" x="772"/>
        <item m="1" x="846"/>
        <item m="1" x="847"/>
        <item m="1" x="848"/>
        <item m="1" x="295"/>
        <item m="1" x="679"/>
        <item m="1" x="662"/>
        <item m="1" x="849"/>
        <item m="1" x="588"/>
        <item x="117"/>
        <item m="1" x="851"/>
        <item m="1" x="854"/>
        <item x="10"/>
        <item m="1" x="855"/>
        <item m="1" x="296"/>
        <item m="1" x="796"/>
        <item m="1" x="856"/>
        <item m="1" x="608"/>
        <item m="1" x="466"/>
        <item m="1" x="729"/>
        <item m="1" x="857"/>
        <item m="1" x="859"/>
        <item m="1" x="860"/>
        <item m="1" x="861"/>
        <item m="1" x="441"/>
        <item m="1" x="862"/>
        <item m="1" x="223"/>
        <item m="1" x="863"/>
        <item m="1" x="171"/>
        <item m="1" x="864"/>
        <item m="1" x="866"/>
        <item x="107"/>
        <item m="1" x="676"/>
        <item m="1" x="868"/>
        <item m="1" x="869"/>
        <item m="1" x="842"/>
        <item m="1" x="871"/>
        <item m="1" x="314"/>
        <item m="1" x="872"/>
        <item m="1" x="430"/>
        <item m="1" x="873"/>
        <item m="1" x="874"/>
        <item m="1" x="265"/>
        <item m="1" x="502"/>
        <item m="1" x="357"/>
        <item m="1" x="875"/>
        <item m="1" x="876"/>
        <item m="1" x="822"/>
        <item m="1" x="217"/>
        <item m="1" x="677"/>
        <item m="1" x="721"/>
        <item m="1" x="877"/>
        <item m="1" x="764"/>
        <item m="1" x="878"/>
        <item m="1" x="409"/>
        <item m="1" x="879"/>
        <item m="1" x="442"/>
        <item m="1" x="880"/>
        <item m="1" x="881"/>
        <item m="1" x="518"/>
        <item m="1" x="882"/>
        <item x="25"/>
        <item m="1" x="883"/>
        <item m="1" x="824"/>
        <item m="1" x="730"/>
        <item m="1" x="825"/>
        <item m="1" x="529"/>
        <item m="1" x="826"/>
        <item m="1" x="827"/>
        <item m="1" x="828"/>
        <item m="1" x="229"/>
        <item m="1" x="158"/>
        <item m="1" x="829"/>
        <item x="134"/>
        <item m="1" x="483"/>
        <item m="1" x="830"/>
        <item m="1" x="831"/>
        <item m="1" x="462"/>
        <item m="1" x="832"/>
        <item m="1" x="833"/>
        <item m="1" x="834"/>
        <item m="1" x="835"/>
        <item m="1" x="316"/>
        <item m="1" x="836"/>
        <item m="1" x="837"/>
        <item m="1" x="611"/>
        <item m="1" x="164"/>
        <item m="1" x="469"/>
        <item m="1" x="291"/>
        <item m="1" x="584"/>
        <item m="1" x="838"/>
        <item x="36"/>
        <item m="1" x="807"/>
        <item m="1" x="198"/>
        <item m="1" x="808"/>
        <item m="1" x="809"/>
        <item m="1" x="600"/>
        <item m="1" x="240"/>
        <item m="1" x="810"/>
        <item m="1" x="173"/>
        <item m="1" x="771"/>
        <item m="1" x="160"/>
        <item m="1" x="811"/>
        <item m="1" x="812"/>
        <item m="1" x="197"/>
        <item m="1" x="806"/>
        <item m="1" x="813"/>
        <item m="1" x="218"/>
        <item m="1" x="814"/>
        <item m="1" x="815"/>
        <item m="1" x="816"/>
        <item m="1" x="817"/>
        <item m="1" x="302"/>
        <item m="1" x="352"/>
        <item m="1" x="325"/>
        <item m="1" x="172"/>
        <item m="1" x="819"/>
        <item m="1" x="820"/>
        <item m="1" x="545"/>
        <item m="1" x="204"/>
        <item m="1" x="821"/>
        <item m="1" x="183"/>
        <item x="22"/>
        <item m="1" x="840"/>
        <item m="1" x="474"/>
        <item m="1" x="841"/>
        <item m="1" x="843"/>
        <item m="1" x="844"/>
        <item m="1" x="758"/>
        <item m="1" x="759"/>
        <item m="1" x="760"/>
        <item m="1" x="762"/>
        <item m="1" x="355"/>
        <item m="1" x="763"/>
        <item m="1" x="765"/>
        <item m="1" x="766"/>
        <item m="1" x="767"/>
        <item m="1" x="768"/>
        <item x="8"/>
        <item m="1" x="769"/>
        <item m="1" x="422"/>
        <item m="1" x="770"/>
        <item m="1" x="304"/>
        <item m="1" x="496"/>
        <item m="1" x="390"/>
        <item m="1" x="773"/>
        <item m="1" x="775"/>
        <item m="1" x="287"/>
        <item m="1" x="226"/>
        <item m="1" x="776"/>
        <item m="1" x="777"/>
        <item m="1" x="778"/>
        <item m="1" x="779"/>
        <item m="1" x="780"/>
        <item m="1" x="781"/>
        <item m="1" x="782"/>
        <item m="1" x="784"/>
        <item m="1" x="785"/>
        <item m="1" x="786"/>
        <item m="1" x="646"/>
        <item m="1" x="569"/>
        <item m="1" x="788"/>
        <item m="1" x="789"/>
        <item m="1" x="543"/>
        <item m="1" x="369"/>
        <item m="1" x="791"/>
        <item m="1" x="792"/>
        <item m="1" x="645"/>
        <item m="1" x="793"/>
        <item m="1" x="794"/>
        <item m="1" x="320"/>
        <item m="1" x="795"/>
        <item m="1" x="798"/>
        <item m="1" x="800"/>
        <item m="1" x="710"/>
        <item m="1" x="801"/>
        <item m="1" x="802"/>
        <item m="1" x="803"/>
        <item m="1" x="804"/>
        <item m="1" x="805"/>
        <item x="1"/>
        <item m="1" x="572"/>
        <item m="1" x="707"/>
        <item m="1" x="708"/>
        <item m="1" x="468"/>
        <item m="1" x="709"/>
        <item m="1" x="712"/>
        <item m="1" x="702"/>
        <item m="1" x="713"/>
        <item m="1" x="606"/>
        <item m="1" x="714"/>
        <item m="1" x="715"/>
        <item m="1" x="525"/>
        <item m="1" x="718"/>
        <item m="1" x="719"/>
        <item m="1" x="720"/>
        <item m="1" x="722"/>
        <item m="1" x="723"/>
        <item m="1" x="724"/>
        <item m="1" x="725"/>
        <item m="1" x="728"/>
        <item m="1" x="244"/>
        <item m="1" x="731"/>
        <item m="1" x="732"/>
        <item m="1" x="734"/>
        <item m="1" x="262"/>
        <item m="1" x="735"/>
        <item m="1" x="736"/>
        <item x="19"/>
        <item m="1" x="737"/>
        <item m="1" x="538"/>
        <item x="12"/>
        <item m="1" x="739"/>
        <item m="1" x="740"/>
        <item m="1" x="742"/>
        <item m="1" x="743"/>
        <item m="1" x="744"/>
        <item m="1" x="745"/>
        <item m="1" x="746"/>
        <item m="1" x="514"/>
        <item x="0"/>
        <item m="1" x="749"/>
        <item m="1" x="750"/>
        <item m="1" x="751"/>
        <item m="1" x="752"/>
        <item m="1" x="560"/>
        <item m="1" x="403"/>
        <item m="1" x="285"/>
        <item x="28"/>
        <item m="1" x="755"/>
        <item m="1" x="756"/>
        <item x="116"/>
        <item m="1" x="757"/>
        <item m="1" x="656"/>
        <item m="1" x="463"/>
        <item m="1" x="657"/>
        <item m="1" x="536"/>
        <item m="1" x="658"/>
        <item m="1" x="659"/>
        <item m="1" x="660"/>
        <item m="1" x="196"/>
        <item m="1" x="344"/>
        <item m="1" x="665"/>
        <item m="1" x="274"/>
        <item m="1" x="666"/>
        <item m="1" x="667"/>
        <item m="1" x="669"/>
        <item x="101"/>
        <item m="1" x="671"/>
        <item m="1" x="672"/>
        <item m="1" x="673"/>
        <item m="1" x="674"/>
        <item m="1" x="675"/>
        <item m="1" x="680"/>
        <item m="1" x="681"/>
        <item m="1" x="682"/>
        <item m="1" x="683"/>
        <item m="1" x="211"/>
        <item m="1" x="685"/>
        <item m="1" x="686"/>
        <item m="1" x="562"/>
        <item m="1" x="260"/>
        <item m="1" x="687"/>
        <item m="1" x="688"/>
        <item m="1" x="689"/>
        <item m="1" x="690"/>
        <item m="1" x="691"/>
        <item m="1" x="692"/>
        <item m="1" x="693"/>
        <item m="1" x="417"/>
        <item m="1" x="694"/>
        <item m="1" x="695"/>
        <item m="1" x="696"/>
        <item m="1" x="697"/>
        <item m="1" x="634"/>
        <item m="1" x="698"/>
        <item m="1" x="699"/>
        <item m="1" x="700"/>
        <item m="1" x="261"/>
        <item m="1" x="163"/>
        <item x="93"/>
        <item m="1" x="704"/>
        <item m="1" x="705"/>
        <item m="1" x="706"/>
        <item m="1" x="601"/>
        <item m="1" x="604"/>
        <item m="1" x="605"/>
        <item x="152"/>
        <item m="1" x="548"/>
        <item m="1" x="290"/>
        <item m="1" x="335"/>
        <item m="1" x="607"/>
        <item m="1" x="609"/>
        <item m="1" x="610"/>
        <item m="1" x="612"/>
        <item m="1" x="613"/>
        <item x="16"/>
        <item m="1" x="614"/>
        <item m="1" x="617"/>
        <item m="1" x="618"/>
        <item m="1" x="619"/>
        <item m="1" x="620"/>
        <item m="1" x="621"/>
        <item m="1" x="622"/>
        <item m="1" x="623"/>
        <item m="1" x="625"/>
        <item m="1" x="628"/>
        <item x="95"/>
        <item m="1" x="629"/>
        <item m="1" x="631"/>
        <item m="1" x="214"/>
        <item m="1" x="633"/>
        <item m="1" x="635"/>
        <item m="1" x="636"/>
        <item m="1" x="637"/>
        <item m="1" x="638"/>
        <item m="1" x="640"/>
        <item m="1" x="268"/>
        <item m="1" x="641"/>
        <item m="1" x="642"/>
        <item x="13"/>
        <item m="1" x="406"/>
        <item m="1" x="647"/>
        <item m="1" x="648"/>
        <item m="1" x="649"/>
        <item m="1" x="650"/>
        <item m="1" x="652"/>
        <item m="1" x="653"/>
        <item m="1" x="654"/>
        <item m="1" x="655"/>
        <item m="1" x="530"/>
        <item m="1" x="531"/>
        <item m="1" x="532"/>
        <item x="96"/>
        <item x="145"/>
        <item m="1" x="533"/>
        <item m="1" x="537"/>
        <item x="33"/>
        <item m="1" x="539"/>
        <item m="1" x="541"/>
        <item m="1" x="542"/>
        <item m="1" x="544"/>
        <item m="1" x="546"/>
        <item m="1" x="547"/>
        <item m="1" x="551"/>
        <item m="1" x="552"/>
        <item m="1" x="554"/>
        <item m="1" x="555"/>
        <item m="1" x="561"/>
        <item m="1" x="564"/>
        <item m="1" x="565"/>
        <item m="1" x="415"/>
        <item m="1" x="567"/>
        <item m="1" x="568"/>
        <item m="1" x="570"/>
        <item m="1" x="571"/>
        <item m="1" x="574"/>
        <item m="1" x="577"/>
        <item m="1" x="578"/>
        <item m="1" x="579"/>
        <item m="1" x="580"/>
        <item m="1" x="585"/>
        <item m="1" x="589"/>
        <item m="1" x="590"/>
        <item m="1" x="591"/>
        <item m="1" x="593"/>
        <item m="1" x="595"/>
        <item m="1" x="597"/>
        <item m="1" x="598"/>
        <item m="1" x="461"/>
        <item m="1" x="464"/>
        <item m="1" x="465"/>
        <item m="1" x="467"/>
        <item m="1" x="266"/>
        <item m="1" x="471"/>
        <item m="1" x="473"/>
        <item m="1" x="475"/>
        <item m="1" x="476"/>
        <item m="1" x="477"/>
        <item m="1" x="478"/>
        <item m="1" x="479"/>
        <item m="1" x="481"/>
        <item m="1" x="482"/>
        <item m="1" x="486"/>
        <item m="1" x="487"/>
        <item m="1" x="489"/>
        <item m="1" x="490"/>
        <item m="1" x="493"/>
        <item m="1" x="495"/>
        <item m="1" x="180"/>
        <item m="1" x="499"/>
        <item m="1" x="501"/>
        <item m="1" x="505"/>
        <item m="1" x="341"/>
        <item m="1" x="507"/>
        <item m="1" x="512"/>
        <item m="1" x="513"/>
        <item m="1" x="515"/>
        <item m="1" x="361"/>
        <item m="1" x="517"/>
        <item m="1" x="519"/>
        <item x="32"/>
        <item m="1" x="520"/>
        <item x="3"/>
        <item m="1" x="522"/>
        <item m="1" x="523"/>
        <item m="1" x="524"/>
        <item m="1" x="527"/>
        <item m="1" x="528"/>
        <item m="1" x="365"/>
        <item m="1" x="366"/>
        <item m="1" x="367"/>
        <item x="40"/>
        <item m="1" x="370"/>
        <item m="1" x="371"/>
        <item m="1" x="372"/>
        <item m="1" x="374"/>
        <item m="1" x="375"/>
        <item m="1" x="377"/>
        <item x="52"/>
        <item m="1" x="380"/>
        <item m="1" x="382"/>
        <item m="1" x="384"/>
        <item m="1" x="386"/>
        <item m="1" x="388"/>
        <item m="1" x="392"/>
        <item m="1" x="393"/>
        <item m="1" x="399"/>
        <item m="1" x="400"/>
        <item m="1" x="401"/>
        <item m="1" x="404"/>
        <item m="1" x="408"/>
        <item m="1" x="414"/>
        <item m="1" x="416"/>
        <item m="1" x="418"/>
        <item m="1" x="419"/>
        <item m="1" x="423"/>
        <item m="1" x="424"/>
        <item m="1" x="426"/>
        <item m="1" x="432"/>
        <item m="1" x="436"/>
        <item m="1" x="439"/>
        <item m="1" x="448"/>
        <item m="1" x="452"/>
        <item m="1" x="453"/>
        <item m="1" x="454"/>
        <item m="1" x="455"/>
        <item m="1" x="456"/>
        <item m="1" x="457"/>
        <item m="1" x="458"/>
        <item m="1" x="278"/>
        <item m="1" x="279"/>
        <item m="1" x="280"/>
        <item m="1" x="281"/>
        <item m="1" x="284"/>
        <item m="1" x="168"/>
        <item m="1" x="286"/>
        <item m="1" x="288"/>
        <item m="1" x="289"/>
        <item m="1" x="292"/>
        <item m="1" x="299"/>
        <item m="1" x="300"/>
        <item m="1" x="303"/>
        <item m="1" x="305"/>
        <item m="1" x="306"/>
        <item m="1" x="308"/>
        <item x="59"/>
        <item m="1" x="317"/>
        <item m="1" x="319"/>
        <item m="1" x="324"/>
        <item m="1" x="327"/>
        <item m="1" x="329"/>
        <item m="1" x="330"/>
        <item m="1" x="333"/>
        <item m="1" x="337"/>
        <item m="1" x="338"/>
        <item m="1" x="347"/>
        <item m="1" x="348"/>
        <item m="1" x="349"/>
        <item m="1" x="350"/>
        <item m="1" x="354"/>
        <item m="1" x="356"/>
        <item m="1" x="358"/>
        <item m="1" x="359"/>
        <item m="1" x="360"/>
        <item m="1" x="364"/>
        <item m="1" x="157"/>
        <item m="1" x="162"/>
        <item m="1" x="165"/>
        <item m="1" x="166"/>
        <item m="1" x="169"/>
        <item m="1" x="170"/>
        <item m="1" x="174"/>
        <item m="1" x="176"/>
        <item m="1" x="182"/>
        <item m="1" x="185"/>
        <item m="1" x="186"/>
        <item m="1" x="187"/>
        <item m="1" x="188"/>
        <item m="1" x="189"/>
        <item m="1" x="191"/>
        <item m="1" x="192"/>
        <item m="1" x="201"/>
        <item m="1" x="215"/>
        <item m="1" x="225"/>
        <item m="1" x="235"/>
        <item m="1" x="243"/>
        <item m="1" x="246"/>
        <item m="1" x="247"/>
        <item m="1" x="249"/>
        <item m="1" x="250"/>
        <item m="1" x="252"/>
        <item m="1" x="253"/>
        <item m="1" x="254"/>
        <item m="1" x="263"/>
        <item m="1" x="264"/>
        <item x="147"/>
        <item m="1" x="267"/>
        <item m="1" x="269"/>
        <item m="1" x="270"/>
        <item m="1" x="271"/>
        <item m="1" x="273"/>
        <item x="6"/>
        <item x="11"/>
        <item x="15"/>
        <item x="21"/>
        <item x="23"/>
        <item x="26"/>
        <item x="27"/>
        <item x="34"/>
        <item x="37"/>
        <item x="38"/>
        <item x="43"/>
        <item x="44"/>
        <item x="46"/>
        <item x="47"/>
        <item x="50"/>
        <item x="53"/>
        <item x="57"/>
        <item x="60"/>
        <item x="61"/>
        <item x="62"/>
        <item x="63"/>
        <item x="64"/>
        <item x="78"/>
        <item x="91"/>
        <item x="103"/>
        <item x="109"/>
        <item x="115"/>
        <item x="119"/>
        <item x="120"/>
        <item x="121"/>
        <item x="122"/>
        <item x="123"/>
        <item x="124"/>
        <item x="130"/>
        <item x="131"/>
        <item x="137"/>
        <item x="140"/>
        <item x="142"/>
        <item x="143"/>
        <item x="148"/>
        <item x="150"/>
        <item x="154"/>
        <item x="1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Estado Dealer" axis="axisRow" compact="0" outline="0" multipleItemSelectionAllowed="1" showAll="0" sortType="ascending" defaultSubtotal="0">
      <items count="18">
        <item x="13"/>
        <item x="11"/>
        <item x="3"/>
        <item x="0"/>
        <item x="8"/>
        <item x="5"/>
        <item x="6"/>
        <item x="14"/>
        <item x="1"/>
        <item x="12"/>
        <item m="1" x="17"/>
        <item x="7"/>
        <item x="10"/>
        <item x="2"/>
        <item x="4"/>
        <item x="15"/>
        <item x="9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Bodega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Equipamiento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Numero Motor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Numero Chasis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Proveedor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Fecha Disponibilidad" compact="0" numFmtId="164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Factura Compra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Vencimiento Documento" compact="0" numFmtId="164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Fecha Compra" compact="0" numFmtId="164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Fecha Vencto. Revisión Técnica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N° Propietarios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Folio Retoma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Fecha Retoma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Días Reservado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Precio Compra Neto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Gasto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Accesorios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Total Costo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Precio Lista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Margen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Margen %"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9">
    <field x="11"/>
    <field x="12"/>
    <field x="13"/>
    <field x="25"/>
    <field x="15"/>
    <field x="18"/>
    <field x="24"/>
    <field x="16"/>
    <field x="0"/>
  </rowFields>
  <rowItems count="270">
    <i>
      <x/>
      <x v="85"/>
      <x v="400"/>
      <x v="5"/>
      <x v="13"/>
      <x v="561"/>
      <x v="127"/>
      <x v="498"/>
      <x v="2"/>
    </i>
    <i>
      <x v="1"/>
      <x v="16"/>
      <x v="103"/>
      <x v="6"/>
      <x v="16"/>
      <x v="904"/>
      <x v="280"/>
      <x v="537"/>
      <x v="1"/>
    </i>
    <i r="1">
      <x v="17"/>
      <x v="104"/>
      <x v="6"/>
      <x v="16"/>
      <x v="687"/>
      <x v="280"/>
      <x v="114"/>
      <x v="1"/>
    </i>
    <i r="1">
      <x v="125"/>
      <x v="596"/>
      <x v="6"/>
      <x v="16"/>
      <x v="905"/>
      <x v="280"/>
      <x v="533"/>
      <x v="1"/>
    </i>
    <i>
      <x v="3"/>
      <x v="103"/>
      <x v="483"/>
      <x v="5"/>
      <x v="14"/>
      <x v="716"/>
      <x v="48"/>
      <x v="37"/>
      <x v="2"/>
    </i>
    <i r="2">
      <x v="484"/>
      <x v="2"/>
      <x v="14"/>
      <x v="722"/>
      <x v="933"/>
      <x v="452"/>
      <x v="3"/>
    </i>
    <i r="1">
      <x v="130"/>
      <x v="606"/>
      <x v="2"/>
      <x v="14"/>
      <x v="623"/>
      <x v="977"/>
      <x v="486"/>
      <x v="3"/>
    </i>
    <i>
      <x v="4"/>
      <x v="32"/>
      <x v="157"/>
      <x v="8"/>
      <x v="11"/>
      <x v="379"/>
      <x v="20"/>
      <x v="139"/>
      <x v="2"/>
    </i>
    <i r="1">
      <x v="52"/>
      <x v="266"/>
      <x v="5"/>
      <x v="16"/>
      <x v="897"/>
      <x v="98"/>
      <x v="546"/>
      <x v="2"/>
    </i>
    <i r="1">
      <x v="71"/>
      <x v="327"/>
      <x v="6"/>
      <x v="13"/>
      <x v="491"/>
      <x v="3"/>
      <x v="549"/>
      <x v="2"/>
    </i>
    <i r="1">
      <x v="125"/>
      <x v="597"/>
      <x v="6"/>
      <x v="16"/>
      <x v="892"/>
      <x v="124"/>
      <x v="19"/>
      <x v="2"/>
    </i>
    <i>
      <x v="5"/>
      <x v="110"/>
      <x v="527"/>
      <x v="5"/>
      <x v="11"/>
      <x v="295"/>
      <x v="98"/>
      <x v="561"/>
      <x v="2"/>
    </i>
    <i r="1">
      <x v="111"/>
      <x v="530"/>
      <x v="8"/>
      <x v="14"/>
      <x v="753"/>
      <x v="166"/>
      <x v="485"/>
      <x v="2"/>
    </i>
    <i r="2">
      <x v="531"/>
      <x v="5"/>
      <x v="12"/>
      <x v="375"/>
      <x v="98"/>
      <x v="555"/>
      <x v="2"/>
    </i>
    <i r="4">
      <x v="13"/>
      <x v="629"/>
      <x v="98"/>
      <x v="548"/>
      <x v="2"/>
    </i>
    <i r="1">
      <x v="112"/>
      <x v="533"/>
      <x v="7"/>
      <x v="11"/>
      <x v="344"/>
      <x v="379"/>
      <x v="51"/>
      <x v="2"/>
    </i>
    <i r="1">
      <x v="113"/>
      <x v="535"/>
      <x v="5"/>
      <x v="16"/>
      <x v="882"/>
      <x v="32"/>
      <x v="30"/>
      <x v="2"/>
    </i>
    <i r="2">
      <x v="536"/>
      <x v="5"/>
      <x v="14"/>
      <x v="735"/>
      <x v="259"/>
      <x/>
      <x v="3"/>
    </i>
    <i r="3">
      <x v="6"/>
      <x v="15"/>
      <x v="797"/>
      <x v="98"/>
      <x v="541"/>
      <x v="2"/>
    </i>
    <i r="1">
      <x v="114"/>
      <x v="538"/>
      <x v="8"/>
      <x v="12"/>
      <x v="427"/>
      <x v="94"/>
      <x v="68"/>
      <x v="2"/>
    </i>
    <i r="1">
      <x v="115"/>
      <x v="541"/>
      <x v="6"/>
      <x v="16"/>
      <x v="908"/>
      <x v="82"/>
      <x v="513"/>
      <x v="2"/>
    </i>
    <i r="1">
      <x v="116"/>
      <x v="543"/>
      <x v="5"/>
      <x v="16"/>
      <x v="911"/>
      <x v="127"/>
      <x v="504"/>
      <x v="2"/>
    </i>
    <i>
      <x v="6"/>
      <x v="23"/>
      <x v="129"/>
      <x v="5"/>
      <x v="14"/>
      <x v="694"/>
      <x v="357"/>
      <x v="15"/>
      <x v="2"/>
    </i>
    <i r="2">
      <x v="130"/>
      <x v="8"/>
      <x v="7"/>
      <x v="46"/>
      <x v="321"/>
      <x v="83"/>
      <x v="2"/>
    </i>
    <i r="1">
      <x v="50"/>
      <x v="251"/>
      <x v="11"/>
      <x v="13"/>
      <x v="529"/>
      <x v="112"/>
      <x v="65"/>
      <x v="2"/>
    </i>
    <i r="1">
      <x v="100"/>
      <x v="474"/>
      <x v="11"/>
      <x v="13"/>
      <x v="518"/>
      <x v="648"/>
      <x v="59"/>
      <x v="2"/>
    </i>
    <i>
      <x v="7"/>
      <x v="20"/>
      <x v="113"/>
      <x v="6"/>
      <x v="11"/>
      <x v="249"/>
      <x v="98"/>
      <x v="542"/>
      <x v="2"/>
    </i>
    <i r="2">
      <x v="114"/>
      <x v="8"/>
      <x v="9"/>
      <x v="178"/>
      <x v="364"/>
      <x v="82"/>
      <x v="2"/>
    </i>
    <i r="2">
      <x v="116"/>
      <x v="6"/>
      <x v="14"/>
      <x v="764"/>
      <x v="98"/>
      <x v="538"/>
      <x v="2"/>
    </i>
    <i r="5">
      <x v="767"/>
      <x v="117"/>
      <x v="494"/>
      <x v="2"/>
    </i>
    <i r="1">
      <x v="21"/>
      <x v="126"/>
      <x v="8"/>
      <x v="10"/>
      <x v="203"/>
      <x v="968"/>
      <x v="98"/>
      <x v="2"/>
    </i>
    <i r="1">
      <x v="26"/>
      <x v="136"/>
      <x v="5"/>
      <x v="14"/>
      <x v="765"/>
      <x v="82"/>
      <x v="181"/>
      <x v="2"/>
    </i>
    <i>
      <x v="9"/>
      <x v="9"/>
      <x v="58"/>
      <x v="8"/>
      <x v="15"/>
      <x v="852"/>
      <x v="384"/>
      <x v="9"/>
      <x v="2"/>
    </i>
    <i r="1">
      <x v="11"/>
      <x v="501"/>
      <x v="6"/>
      <x v="12"/>
      <x v="481"/>
      <x v="156"/>
      <x v="48"/>
      <x v="2"/>
    </i>
    <i r="2">
      <x v="502"/>
      <x v="6"/>
      <x v="15"/>
      <x v="802"/>
      <x v="98"/>
      <x v="35"/>
      <x v="2"/>
    </i>
    <i r="1">
      <x v="12"/>
      <x v="68"/>
      <x v="1"/>
      <x v="16"/>
      <x v="898"/>
      <x v="750"/>
      <x v="1"/>
      <x v="2"/>
    </i>
    <i r="1">
      <x v="24"/>
      <x v="132"/>
      <x v="16"/>
      <x v="9"/>
      <x v="170"/>
      <x v="954"/>
      <x/>
      <x v="1"/>
    </i>
    <i r="5">
      <x v="171"/>
      <x v="954"/>
      <x/>
      <x v="1"/>
    </i>
    <i r="5">
      <x v="174"/>
      <x v="954"/>
      <x/>
      <x v="1"/>
    </i>
    <i r="2">
      <x v="133"/>
      <x v="16"/>
      <x v="9"/>
      <x v="144"/>
      <x v="958"/>
      <x/>
      <x v="1"/>
    </i>
    <i r="1">
      <x v="35"/>
      <x v="134"/>
      <x v="16"/>
      <x v="4"/>
      <x v="7"/>
      <x v="965"/>
      <x/>
      <x v="2"/>
    </i>
    <i r="5">
      <x v="8"/>
      <x v="962"/>
      <x/>
      <x v="2"/>
    </i>
    <i r="1">
      <x v="84"/>
      <x v="165"/>
      <x v="5"/>
      <x v="15"/>
      <x v="794"/>
      <x v="161"/>
      <x v="48"/>
      <x v="2"/>
    </i>
    <i r="1">
      <x v="118"/>
      <x v="553"/>
      <x v="16"/>
      <x v="13"/>
      <x v="531"/>
      <x v="949"/>
      <x/>
      <x v="1"/>
    </i>
    <i>
      <x v="11"/>
      <x v="119"/>
      <x v="561"/>
      <x v="6"/>
      <x v="14"/>
      <x v="599"/>
      <x v="116"/>
      <x v="121"/>
      <x v="2"/>
    </i>
    <i r="1">
      <x v="123"/>
      <x v="580"/>
      <x v="5"/>
      <x v="15"/>
      <x v="784"/>
      <x v="123"/>
      <x v="58"/>
      <x v="2"/>
    </i>
    <i>
      <x v="13"/>
      <x v="19"/>
      <x v="107"/>
      <x v="8"/>
      <x v="13"/>
      <x v="631"/>
      <x v="324"/>
      <x v="433"/>
      <x v="2"/>
    </i>
    <i r="1">
      <x v="36"/>
      <x v="180"/>
      <x v="5"/>
      <x v="9"/>
      <x v="140"/>
      <x v="12"/>
      <x v="528"/>
      <x v="2"/>
    </i>
    <i r="2">
      <x v="181"/>
      <x v="5"/>
      <x v="14"/>
      <x v="674"/>
      <x v="960"/>
      <x v="6"/>
      <x v="2"/>
    </i>
    <i r="2">
      <x v="184"/>
      <x v="8"/>
      <x v="10"/>
      <x v="231"/>
      <x v="964"/>
      <x v="67"/>
      <x v="2"/>
    </i>
    <i r="1">
      <x v="38"/>
      <x v="187"/>
      <x v="9"/>
      <x v="8"/>
      <x v="66"/>
      <x v="750"/>
      <x v="75"/>
      <x v="2"/>
    </i>
    <i r="2">
      <x v="189"/>
      <x v="5"/>
      <x v="14"/>
      <x v="737"/>
      <x v="175"/>
      <x v="487"/>
      <x v="2"/>
    </i>
    <i r="2">
      <x v="190"/>
      <x v="1"/>
      <x v="13"/>
      <x v="492"/>
      <x v="82"/>
      <x v="65"/>
      <x v="2"/>
    </i>
    <i r="3">
      <x v="5"/>
      <x v="13"/>
      <x v="466"/>
      <x v="46"/>
      <x v="60"/>
      <x v="2"/>
    </i>
    <i r="5">
      <x v="536"/>
      <x v="219"/>
      <x v="87"/>
      <x v="2"/>
    </i>
    <i r="1">
      <x v="40"/>
      <x v="195"/>
      <x v="3"/>
      <x v="14"/>
      <x v="693"/>
      <x v="286"/>
      <x/>
      <x v="1"/>
    </i>
    <i r="2">
      <x v="200"/>
      <x v="5"/>
      <x v="15"/>
      <x v="682"/>
      <x v="347"/>
      <x v="422"/>
      <x v="1"/>
    </i>
    <i r="5">
      <x v="824"/>
      <x v="143"/>
      <x v="56"/>
      <x v="2"/>
    </i>
    <i r="3">
      <x v="8"/>
      <x v="15"/>
      <x v="808"/>
      <x v="98"/>
      <x v="560"/>
      <x v="2"/>
    </i>
    <i r="2">
      <x v="202"/>
      <x v="8"/>
      <x v="10"/>
      <x v="195"/>
      <x v="269"/>
      <x v="90"/>
      <x v="2"/>
    </i>
    <i r="1">
      <x v="41"/>
      <x v="207"/>
      <x v="8"/>
      <x v="15"/>
      <x v="803"/>
      <x v="645"/>
      <x/>
      <x v="1"/>
    </i>
    <i r="2">
      <x v="209"/>
      <x v="5"/>
      <x v="12"/>
      <x v="443"/>
      <x v="127"/>
      <x v="506"/>
      <x v="2"/>
    </i>
    <i r="2">
      <x v="346"/>
      <x v="1"/>
      <x v="14"/>
      <x v="632"/>
      <x v="82"/>
      <x v="286"/>
      <x v="2"/>
    </i>
    <i r="1">
      <x v="42"/>
      <x v="213"/>
      <x v="8"/>
      <x v="15"/>
      <x v="867"/>
      <x v="114"/>
      <x/>
      <x v="1"/>
    </i>
    <i r="1">
      <x v="66"/>
      <x v="312"/>
      <x v="5"/>
      <x v="15"/>
      <x v="627"/>
      <x v="193"/>
      <x v="474"/>
      <x v="2"/>
    </i>
    <i r="2">
      <x v="313"/>
      <x v="8"/>
      <x v="16"/>
      <x v="875"/>
      <x v="256"/>
      <x v="305"/>
      <x v="1"/>
    </i>
    <i r="1">
      <x v="90"/>
      <x v="415"/>
      <x v="5"/>
      <x v="13"/>
      <x v="527"/>
      <x v="193"/>
      <x v="476"/>
      <x v="2"/>
    </i>
    <i r="2">
      <x v="418"/>
      <x v="3"/>
      <x v="14"/>
      <x v="717"/>
      <x v="283"/>
      <x v="472"/>
      <x v="1"/>
    </i>
    <i r="2">
      <x v="419"/>
      <x v="4"/>
      <x v="16"/>
      <x v="869"/>
      <x v="195"/>
      <x/>
      <x v="1"/>
    </i>
    <i r="2">
      <x v="420"/>
      <x v="6"/>
      <x v="10"/>
      <x v="220"/>
      <x/>
      <x v="559"/>
      <x v="2"/>
    </i>
    <i r="2">
      <x v="421"/>
      <x v="4"/>
      <x v="16"/>
      <x v="906"/>
      <x v="128"/>
      <x v="434"/>
      <x v="1"/>
    </i>
    <i r="3">
      <x v="6"/>
      <x v="15"/>
      <x v="665"/>
      <x v="628"/>
      <x/>
      <x v="1"/>
    </i>
    <i r="2">
      <x v="424"/>
      <x v="5"/>
      <x v="13"/>
      <x v="498"/>
      <x v="140"/>
      <x v="102"/>
      <x v="2"/>
    </i>
    <i r="2">
      <x v="426"/>
      <x v="5"/>
      <x v="14"/>
      <x v="645"/>
      <x v="112"/>
      <x v="492"/>
      <x v="2"/>
    </i>
    <i r="2">
      <x v="427"/>
      <x v="3"/>
      <x v="14"/>
      <x v="715"/>
      <x v="508"/>
      <x v="48"/>
      <x v="1"/>
    </i>
    <i r="3">
      <x v="5"/>
      <x v="15"/>
      <x v="619"/>
      <x v="51"/>
      <x v="45"/>
      <x v="2"/>
    </i>
    <i r="2">
      <x v="430"/>
      <x v="3"/>
      <x v="15"/>
      <x v="863"/>
      <x v="397"/>
      <x v="419"/>
      <x v="1"/>
    </i>
    <i r="2">
      <x v="431"/>
      <x v="8"/>
      <x v="14"/>
      <x v="649"/>
      <x v="883"/>
      <x/>
      <x v="1"/>
    </i>
    <i r="4">
      <x v="15"/>
      <x v="662"/>
      <x v="269"/>
      <x v="74"/>
      <x v="1"/>
    </i>
    <i r="2">
      <x v="432"/>
      <x v="6"/>
      <x v="14"/>
      <x v="643"/>
      <x v="112"/>
      <x v="489"/>
      <x v="2"/>
    </i>
    <i r="1">
      <x v="109"/>
      <x v="520"/>
      <x v="6"/>
      <x v="13"/>
      <x v="610"/>
      <x v="3"/>
      <x v="553"/>
      <x v="2"/>
    </i>
    <i r="3">
      <x v="8"/>
      <x v="11"/>
      <x v="262"/>
      <x v="972"/>
      <x v="34"/>
      <x v="2"/>
    </i>
    <i r="4">
      <x v="12"/>
      <x v="397"/>
      <x v="664"/>
      <x v="32"/>
      <x v="2"/>
    </i>
    <i r="2">
      <x v="522"/>
      <x v="1"/>
      <x v="15"/>
      <x v="664"/>
      <x v="18"/>
      <x v="497"/>
      <x v="2"/>
    </i>
    <i r="2">
      <x v="523"/>
      <x v="13"/>
      <x v="16"/>
      <x v="899"/>
      <x v="217"/>
      <x/>
      <x v="1"/>
    </i>
    <i r="2">
      <x v="524"/>
      <x v="5"/>
      <x v="15"/>
      <x v="769"/>
      <x v="103"/>
      <x v="526"/>
      <x v="2"/>
    </i>
    <i r="3">
      <x v="6"/>
      <x v="14"/>
      <x v="756"/>
      <x v="166"/>
      <x v="154"/>
      <x v="2"/>
    </i>
    <i>
      <x v="14"/>
      <x v="37"/>
      <x v="186"/>
      <x v="6"/>
      <x v="15"/>
      <x v="838"/>
      <x v="976"/>
      <x/>
      <x v="3"/>
    </i>
    <i r="1">
      <x v="51"/>
      <x v="254"/>
      <x v="4"/>
      <x v="13"/>
      <x v="496"/>
      <x v="980"/>
      <x v="446"/>
      <x v="3"/>
    </i>
    <i>
      <x v="16"/>
      <x v="54"/>
      <x v="275"/>
      <x v="5"/>
      <x v="12"/>
      <x v="406"/>
      <x v="32"/>
      <x v="70"/>
      <x v="2"/>
    </i>
    <i>
      <x v="17"/>
      <x v="129"/>
      <x v="602"/>
      <x v="3"/>
      <x v="15"/>
      <x v="683"/>
      <x v="196"/>
      <x/>
      <x v="3"/>
    </i>
    <i>
      <x v="18"/>
      <x v="27"/>
      <x v="139"/>
      <x v="6"/>
      <x v="14"/>
      <x v="731"/>
      <x v="13"/>
      <x v="60"/>
      <x v="2"/>
    </i>
    <i r="1">
      <x v="124"/>
      <x v="582"/>
      <x v="6"/>
      <x v="12"/>
      <x v="480"/>
      <x v="82"/>
      <x v="523"/>
      <x v="2"/>
    </i>
    <i>
      <x v="19"/>
      <x v="30"/>
      <x v="149"/>
      <x v="8"/>
      <x v="7"/>
      <x v="52"/>
      <x v="399"/>
      <x v="451"/>
      <x v="3"/>
    </i>
    <i r="1">
      <x v="39"/>
      <x v="315"/>
      <x v="8"/>
      <x v="12"/>
      <x v="409"/>
      <x v="978"/>
      <x/>
      <x v="3"/>
    </i>
    <i r="1">
      <x v="53"/>
      <x v="242"/>
      <x v="5"/>
      <x v="9"/>
      <x v="141"/>
      <x v="84"/>
      <x v="518"/>
      <x v="2"/>
    </i>
    <i r="2">
      <x v="460"/>
      <x v="11"/>
      <x v="8"/>
      <x v="70"/>
      <x v="112"/>
      <x v="238"/>
      <x v="2"/>
    </i>
    <i r="2">
      <x v="461"/>
      <x v="5"/>
      <x v="14"/>
      <x v="702"/>
      <x v="214"/>
      <x v="71"/>
      <x v="2"/>
    </i>
    <i r="2">
      <x v="462"/>
      <x v="5"/>
      <x v="15"/>
      <x v="793"/>
      <x v="697"/>
      <x v="23"/>
      <x v="2"/>
    </i>
    <i r="2">
      <x v="559"/>
      <x v="6"/>
      <x v="14"/>
      <x v="635"/>
      <x v="98"/>
      <x v="552"/>
      <x v="2"/>
    </i>
    <i>
      <x v="20"/>
      <x v="55"/>
      <x v="277"/>
      <x v="6"/>
      <x v="12"/>
      <x v="412"/>
      <x v="98"/>
      <x v="285"/>
      <x v="2"/>
    </i>
    <i r="2">
      <x v="280"/>
      <x v="6"/>
      <x v="16"/>
      <x v="873"/>
      <x v="343"/>
      <x v="535"/>
      <x v="1"/>
    </i>
    <i r="1">
      <x v="56"/>
      <x v="283"/>
      <x v="5"/>
      <x v="12"/>
      <x v="413"/>
      <x v="127"/>
      <x v="499"/>
      <x v="2"/>
    </i>
    <i r="1">
      <x v="97"/>
      <x v="453"/>
      <x v="6"/>
      <x v="10"/>
      <x v="212"/>
      <x v="3"/>
      <x v="205"/>
      <x v="2"/>
    </i>
    <i r="1">
      <x v="98"/>
      <x v="457"/>
      <x v="6"/>
      <x v="10"/>
      <x v="201"/>
      <x v="82"/>
      <x v="531"/>
      <x v="2"/>
    </i>
    <i r="1">
      <x v="107"/>
      <x v="512"/>
      <x v="6"/>
      <x v="16"/>
      <x v="889"/>
      <x v="478"/>
      <x v="534"/>
      <x v="1"/>
    </i>
    <i r="2">
      <x v="513"/>
      <x v="6"/>
      <x v="13"/>
      <x v="579"/>
      <x/>
      <x v="295"/>
      <x v="2"/>
    </i>
    <i r="2">
      <x v="514"/>
      <x v="6"/>
      <x v="15"/>
      <x v="820"/>
      <x v="298"/>
      <x v="471"/>
      <x v="3"/>
    </i>
    <i r="2">
      <x v="515"/>
      <x v="8"/>
      <x v="13"/>
      <x v="577"/>
      <x v="820"/>
      <x v="53"/>
      <x v="2"/>
    </i>
    <i>
      <x v="21"/>
      <x v="13"/>
      <x v="69"/>
      <x v="5"/>
      <x v="15"/>
      <x v="858"/>
      <x v="162"/>
      <x v="15"/>
      <x v="2"/>
    </i>
    <i r="2">
      <x v="70"/>
      <x v="5"/>
      <x v="16"/>
      <x v="870"/>
      <x v="216"/>
      <x v="8"/>
      <x v="2"/>
    </i>
    <i r="3">
      <x v="7"/>
      <x v="15"/>
      <x v="810"/>
      <x v="448"/>
      <x v="14"/>
      <x v="2"/>
    </i>
    <i r="2">
      <x v="268"/>
      <x v="6"/>
      <x v="16"/>
      <x v="903"/>
      <x v="208"/>
      <x v="562"/>
      <x v="3"/>
    </i>
    <i r="2">
      <x v="269"/>
      <x v="2"/>
      <x v="15"/>
      <x v="840"/>
      <x v="259"/>
      <x/>
      <x v="3"/>
    </i>
    <i r="2">
      <x v="270"/>
      <x v="2"/>
      <x v="15"/>
      <x v="796"/>
      <x v="943"/>
      <x v="449"/>
      <x v="3"/>
    </i>
    <i r="3">
      <x v="5"/>
      <x v="14"/>
      <x v="622"/>
      <x v="943"/>
      <x v="450"/>
      <x v="3"/>
    </i>
    <i>
      <x v="22"/>
      <x v="29"/>
      <x v="79"/>
      <x v="5"/>
      <x v="9"/>
      <x v="109"/>
      <x v="193"/>
      <x v="473"/>
      <x v="2"/>
    </i>
    <i r="1">
      <x v="47"/>
      <x v="236"/>
      <x v="11"/>
      <x v="3"/>
      <x v="3"/>
      <x v="490"/>
      <x v="104"/>
      <x v="2"/>
    </i>
    <i>
      <x v="24"/>
      <x v="92"/>
      <x v="438"/>
      <x v="1"/>
      <x v="16"/>
      <x v="893"/>
      <x v="122"/>
      <x v="448"/>
      <x v="3"/>
    </i>
    <i>
      <x v="25"/>
      <x v="46"/>
      <x v="232"/>
      <x v="5"/>
      <x v="16"/>
      <x v="907"/>
      <x v="84"/>
      <x v="514"/>
      <x v="2"/>
    </i>
    <i r="1">
      <x v="122"/>
      <x v="575"/>
      <x v="6"/>
      <x v="15"/>
      <x v="780"/>
      <x v="84"/>
      <x v="530"/>
      <x v="2"/>
    </i>
    <i>
      <x v="26"/>
      <x v="101"/>
      <x v="478"/>
      <x v="8"/>
      <x v="14"/>
      <x v="666"/>
      <x v="372"/>
      <x/>
      <x v="1"/>
    </i>
    <i>
      <x v="27"/>
      <x v="25"/>
      <x v="135"/>
      <x v="9"/>
      <x v="13"/>
      <x v="545"/>
      <x v="98"/>
      <x v="543"/>
      <x v="2"/>
    </i>
    <i r="1">
      <x v="44"/>
      <x v="228"/>
      <x v="15"/>
      <x v="6"/>
      <x v="20"/>
      <x v="974"/>
      <x/>
      <x v="2"/>
    </i>
    <i r="3">
      <x v="16"/>
      <x v="6"/>
      <x v="26"/>
      <x v="946"/>
      <x/>
      <x v="1"/>
    </i>
    <i r="1">
      <x v="57"/>
      <x v="287"/>
      <x v="2"/>
      <x v="16"/>
      <x v="876"/>
      <x v="625"/>
      <x v="429"/>
      <x v="1"/>
    </i>
    <i r="1">
      <x v="58"/>
      <x v="290"/>
      <x v="4"/>
      <x v="15"/>
      <x v="872"/>
      <x v="20"/>
      <x/>
      <x v="1"/>
    </i>
    <i r="1">
      <x v="70"/>
      <x v="324"/>
      <x v="15"/>
      <x v="4"/>
      <x v="6"/>
      <x v="971"/>
      <x v="64"/>
      <x v="2"/>
    </i>
    <i r="2">
      <x v="326"/>
      <x v="5"/>
      <x v="15"/>
      <x v="849"/>
      <x v="166"/>
      <x v="483"/>
      <x v="2"/>
    </i>
    <i r="3">
      <x v="8"/>
      <x v="15"/>
      <x v="841"/>
      <x v="737"/>
      <x/>
      <x v="1"/>
    </i>
    <i r="1">
      <x v="96"/>
      <x v="444"/>
      <x v="6"/>
      <x v="11"/>
      <x v="339"/>
      <x/>
      <x v="554"/>
      <x v="2"/>
    </i>
    <i r="1">
      <x v="102"/>
      <x v="479"/>
      <x v="5"/>
      <x v="14"/>
      <x v="714"/>
      <x v="98"/>
      <x v="67"/>
      <x v="2"/>
    </i>
    <i r="3">
      <x v="6"/>
      <x v="13"/>
      <x v="617"/>
      <x v="98"/>
      <x v="550"/>
      <x v="2"/>
    </i>
    <i r="2">
      <x v="481"/>
      <x v="5"/>
      <x v="14"/>
      <x v="746"/>
      <x v="84"/>
      <x v="517"/>
      <x v="2"/>
    </i>
    <i r="4">
      <x v="15"/>
      <x v="789"/>
      <x v="98"/>
      <x v="544"/>
      <x v="2"/>
    </i>
    <i r="1">
      <x v="104"/>
      <x v="485"/>
      <x v="5"/>
      <x v="14"/>
      <x v="759"/>
      <x v="282"/>
      <x v="48"/>
      <x v="2"/>
    </i>
    <i r="2">
      <x v="489"/>
      <x v="2"/>
      <x v="16"/>
      <x v="881"/>
      <x v="625"/>
      <x v="428"/>
      <x v="1"/>
    </i>
    <i r="1">
      <x v="105"/>
      <x v="491"/>
      <x v="11"/>
      <x v="2"/>
      <x v="2"/>
      <x v="957"/>
      <x/>
      <x v="1"/>
    </i>
    <i r="1">
      <x v="106"/>
      <x v="498"/>
      <x v="14"/>
      <x v="4"/>
      <x v="5"/>
      <x v="963"/>
      <x v="89"/>
      <x v="2"/>
    </i>
    <i>
      <x v="28"/>
      <x v="64"/>
      <x v="310"/>
      <x v="8"/>
      <x v="15"/>
      <x v="798"/>
      <x v="943"/>
      <x/>
      <x v="1"/>
    </i>
    <i>
      <x v="29"/>
      <x v="65"/>
      <x v="297"/>
      <x v="8"/>
      <x v="12"/>
      <x v="362"/>
      <x v="205"/>
      <x/>
      <x v="2"/>
    </i>
    <i r="1">
      <x v="127"/>
      <x v="600"/>
      <x v="1"/>
      <x v="15"/>
      <x v="781"/>
      <x v="98"/>
      <x v="125"/>
      <x v="2"/>
    </i>
    <i>
      <x v="31"/>
      <x v="33"/>
      <x v="158"/>
      <x v="5"/>
      <x v="15"/>
      <x v="839"/>
      <x v="220"/>
      <x v="50"/>
      <x v="2"/>
    </i>
    <i r="1">
      <x v="34"/>
      <x v="160"/>
      <x v="5"/>
      <x v="15"/>
      <x v="776"/>
      <x v="697"/>
      <x v="27"/>
      <x v="2"/>
    </i>
    <i r="1">
      <x v="73"/>
      <x v="343"/>
      <x v="5"/>
      <x v="12"/>
      <x v="385"/>
      <x v="166"/>
      <x v="481"/>
      <x v="2"/>
    </i>
    <i>
      <x v="32"/>
      <x v="67"/>
      <x v="333"/>
      <x v="11"/>
      <x v="10"/>
      <x v="187"/>
      <x v="981"/>
      <x v="453"/>
      <x v="3"/>
    </i>
    <i r="1">
      <x v="68"/>
      <x v="609"/>
      <x v="5"/>
      <x v="14"/>
      <x v="749"/>
      <x v="276"/>
      <x v="46"/>
      <x v="2"/>
    </i>
    <i>
      <x v="33"/>
      <x v="15"/>
      <x v="95"/>
      <x v="12"/>
      <x v="10"/>
      <x v="80"/>
      <x v="950"/>
      <x/>
      <x v="1"/>
    </i>
    <i r="2">
      <x v="97"/>
      <x v="5"/>
      <x v="14"/>
      <x v="515"/>
      <x v="103"/>
      <x v="527"/>
      <x v="2"/>
    </i>
    <i r="1">
      <x v="60"/>
      <x v="300"/>
      <x v="8"/>
      <x v="8"/>
      <x v="99"/>
      <x v="157"/>
      <x v="233"/>
      <x v="2"/>
    </i>
    <i r="1">
      <x v="61"/>
      <x v="301"/>
      <x v="13"/>
      <x v="14"/>
      <x v="750"/>
      <x v="947"/>
      <x/>
      <x v="1"/>
    </i>
    <i r="1">
      <x v="62"/>
      <x v="302"/>
      <x v="14"/>
      <x v="1"/>
      <x v="1"/>
      <x v="959"/>
      <x/>
      <x v="1"/>
    </i>
    <i r="1">
      <x v="82"/>
      <x v="379"/>
      <x v="6"/>
      <x v="11"/>
      <x v="296"/>
      <x v="103"/>
      <x v="529"/>
      <x v="2"/>
    </i>
    <i r="2">
      <x v="382"/>
      <x v="1"/>
      <x v="13"/>
      <x v="547"/>
      <x v="161"/>
      <x v="57"/>
      <x v="2"/>
    </i>
    <i r="1">
      <x v="83"/>
      <x v="386"/>
      <x v="8"/>
      <x v="16"/>
      <x v="891"/>
      <x v="143"/>
      <x v="463"/>
      <x v="2"/>
    </i>
    <i>
      <x v="34"/>
      <x v="86"/>
      <x v="402"/>
      <x v="5"/>
      <x v="14"/>
      <x v="695"/>
      <x v="103"/>
      <x v="26"/>
      <x v="2"/>
    </i>
    <i r="2">
      <x v="407"/>
      <x v="1"/>
      <x v="14"/>
      <x v="758"/>
      <x v="18"/>
      <x v="496"/>
      <x v="2"/>
    </i>
    <i r="3">
      <x v="5"/>
      <x v="13"/>
      <x v="497"/>
      <x v="294"/>
      <x v="60"/>
      <x v="2"/>
    </i>
    <i r="1">
      <x v="99"/>
      <x v="470"/>
      <x v="5"/>
      <x v="10"/>
      <x v="244"/>
      <x v="94"/>
      <x v="96"/>
      <x v="2"/>
    </i>
    <i r="1">
      <x v="120"/>
      <x v="564"/>
      <x v="8"/>
      <x v="13"/>
      <x v="584"/>
      <x v="750"/>
      <x v="80"/>
      <x v="2"/>
    </i>
    <i r="1">
      <x v="121"/>
      <x v="570"/>
      <x v="11"/>
      <x v="14"/>
      <x v="651"/>
      <x v="193"/>
      <x v="282"/>
      <x v="2"/>
    </i>
    <i r="2">
      <x v="571"/>
      <x v="8"/>
      <x v="11"/>
      <x v="340"/>
      <x v="189"/>
      <x v="92"/>
      <x v="2"/>
    </i>
    <i r="2">
      <x v="572"/>
      <x v="1"/>
      <x v="13"/>
      <x v="546"/>
      <x v="98"/>
      <x v="551"/>
      <x v="2"/>
    </i>
    <i r="1">
      <x v="126"/>
      <x v="589"/>
      <x v="8"/>
      <x v="13"/>
      <x v="539"/>
      <x v="24"/>
      <x v="467"/>
      <x v="2"/>
    </i>
    <i>
      <x v="35"/>
      <x v="21"/>
      <x v="120"/>
      <x v="1"/>
      <x v="15"/>
      <x v="788"/>
      <x v="98"/>
      <x v="540"/>
      <x v="2"/>
    </i>
    <i r="3">
      <x v="5"/>
      <x v="14"/>
      <x v="754"/>
      <x v="98"/>
      <x v="539"/>
      <x v="2"/>
    </i>
    <i r="3">
      <x v="8"/>
      <x v="15"/>
      <x v="782"/>
      <x v="724"/>
      <x v="3"/>
      <x v="2"/>
    </i>
    <i r="2">
      <x v="121"/>
      <x v="2"/>
      <x v="15"/>
      <x v="761"/>
      <x v="943"/>
      <x v="454"/>
      <x v="3"/>
    </i>
    <i r="2">
      <x v="122"/>
      <x v="13"/>
      <x v="16"/>
      <x v="912"/>
      <x v="16"/>
      <x/>
      <x v="1"/>
    </i>
    <i r="2">
      <x v="123"/>
      <x v="1"/>
      <x v="15"/>
      <x v="843"/>
      <x v="18"/>
      <x v="500"/>
      <x v="2"/>
    </i>
    <i r="2">
      <x v="124"/>
      <x v="6"/>
      <x v="16"/>
      <x v="901"/>
      <x v="208"/>
      <x v="563"/>
      <x v="3"/>
    </i>
    <i r="1">
      <x v="22"/>
      <x v="128"/>
      <x v="6"/>
      <x v="16"/>
      <x v="902"/>
      <x v="208"/>
      <x v="108"/>
      <x v="3"/>
    </i>
    <i>
      <x v="36"/>
      <x v="28"/>
      <x v="140"/>
      <x v="2"/>
      <x v="15"/>
      <x v="821"/>
      <x v="288"/>
      <x v="433"/>
      <x v="1"/>
    </i>
    <i r="1">
      <x v="31"/>
      <x v="154"/>
      <x v="8"/>
      <x v="11"/>
      <x v="331"/>
      <x v="166"/>
      <x v="285"/>
      <x v="2"/>
    </i>
    <i r="2">
      <x v="341"/>
      <x v="14"/>
      <x v="16"/>
      <x v="890"/>
      <x v="258"/>
      <x/>
      <x v="1"/>
    </i>
    <i r="1">
      <x v="49"/>
      <x v="249"/>
      <x v="5"/>
      <x v="10"/>
      <x v="285"/>
      <x v="98"/>
      <x v="556"/>
      <x v="2"/>
    </i>
    <i r="1">
      <x v="69"/>
      <x v="316"/>
      <x v="1"/>
      <x v="14"/>
      <x v="706"/>
      <x v="98"/>
      <x v="35"/>
      <x v="2"/>
    </i>
    <i r="1">
      <x v="72"/>
      <x v="148"/>
      <x v="2"/>
      <x v="16"/>
      <x v="879"/>
      <x v="820"/>
      <x/>
      <x/>
    </i>
    <i r="2">
      <x v="340"/>
      <x v="2"/>
      <x v="16"/>
      <x v="832"/>
      <x v="818"/>
      <x v="432"/>
      <x v="1"/>
    </i>
    <i r="1">
      <x v="74"/>
      <x v="317"/>
      <x v="13"/>
      <x v="16"/>
      <x v="828"/>
      <x v="944"/>
      <x/>
      <x v="1"/>
    </i>
    <i r="2">
      <x v="318"/>
      <x v="2"/>
      <x v="16"/>
      <x v="878"/>
      <x v="216"/>
      <x v="440"/>
      <x/>
    </i>
    <i>
      <x v="37"/>
      <x v="6"/>
      <x v="12"/>
      <x v="6"/>
      <x v="11"/>
      <x v="268"/>
      <x v="82"/>
      <x v="378"/>
      <x v="2"/>
    </i>
    <i r="2">
      <x v="21"/>
      <x v="6"/>
      <x v="11"/>
      <x v="346"/>
      <x v="84"/>
      <x v="510"/>
      <x v="2"/>
    </i>
    <i r="1">
      <x v="7"/>
      <x v="29"/>
      <x v="6"/>
      <x v="14"/>
      <x v="652"/>
      <x v="84"/>
      <x v="130"/>
      <x v="2"/>
    </i>
    <i r="1">
      <x v="8"/>
      <x v="31"/>
      <x v="8"/>
      <x v="8"/>
      <x v="74"/>
      <x v="267"/>
      <x v="95"/>
      <x v="2"/>
    </i>
    <i r="2">
      <x v="33"/>
      <x v="1"/>
      <x v="16"/>
      <x v="883"/>
      <x v="6"/>
      <x v="558"/>
      <x v="2"/>
    </i>
    <i r="3">
      <x v="5"/>
      <x v="15"/>
      <x v="822"/>
      <x v="883"/>
      <x v="4"/>
      <x v="2"/>
    </i>
    <i r="2">
      <x v="35"/>
      <x v="8"/>
      <x v="8"/>
      <x v="68"/>
      <x v="973"/>
      <x v="103"/>
      <x v="2"/>
    </i>
    <i r="2">
      <x v="36"/>
      <x v="5"/>
      <x v="10"/>
      <x v="232"/>
      <x v="83"/>
      <x v="515"/>
      <x v="2"/>
    </i>
    <i r="2">
      <x v="42"/>
      <x v="6"/>
      <x v="12"/>
      <x v="378"/>
      <x v="82"/>
      <x v="516"/>
      <x v="2"/>
    </i>
    <i r="4">
      <x v="13"/>
      <x v="600"/>
      <x/>
      <x v="353"/>
      <x v="2"/>
    </i>
    <i r="4">
      <x v="14"/>
      <x v="740"/>
      <x v="18"/>
      <x v="145"/>
      <x v="2"/>
    </i>
    <i r="2">
      <x v="43"/>
      <x v="8"/>
      <x v="10"/>
      <x v="197"/>
      <x v="969"/>
      <x v="39"/>
      <x v="2"/>
    </i>
    <i r="2">
      <x v="48"/>
      <x v="5"/>
      <x v="13"/>
      <x v="488"/>
      <x v="967"/>
      <x v="61"/>
      <x v="2"/>
    </i>
    <i r="2">
      <x v="50"/>
      <x v="5"/>
      <x v="13"/>
      <x v="558"/>
      <x v="426"/>
      <x v="31"/>
      <x v="2"/>
    </i>
    <i r="5">
      <x v="596"/>
      <x v="216"/>
      <x v="73"/>
      <x v="2"/>
    </i>
    <i r="1">
      <x v="10"/>
      <x v="62"/>
      <x v="5"/>
      <x v="11"/>
      <x v="335"/>
      <x v="203"/>
      <x v="86"/>
      <x v="2"/>
    </i>
    <i r="4">
      <x v="13"/>
      <x v="495"/>
      <x v="818"/>
      <x v="76"/>
      <x v="2"/>
    </i>
    <i r="5">
      <x v="590"/>
      <x v="20"/>
      <x v="232"/>
      <x v="2"/>
    </i>
    <i r="4">
      <x v="15"/>
      <x v="791"/>
      <x v="134"/>
      <x v="28"/>
      <x v="2"/>
    </i>
    <i r="2">
      <x v="63"/>
      <x v="6"/>
      <x v="16"/>
      <x v="886"/>
      <x v="6"/>
      <x v="545"/>
      <x v="2"/>
    </i>
    <i r="2">
      <x v="64"/>
      <x v="6"/>
      <x v="10"/>
      <x v="255"/>
      <x v="138"/>
      <x v="67"/>
      <x v="2"/>
    </i>
    <i r="2">
      <x v="65"/>
      <x v="5"/>
      <x v="13"/>
      <x v="525"/>
      <x v="44"/>
      <x v="85"/>
      <x v="2"/>
    </i>
    <i r="3">
      <x v="6"/>
      <x v="12"/>
      <x v="482"/>
      <x v="18"/>
      <x v="503"/>
      <x v="2"/>
    </i>
    <i r="1">
      <x v="18"/>
      <x v="105"/>
      <x v="8"/>
      <x v="16"/>
      <x v="685"/>
      <x v="54"/>
      <x v="418"/>
      <x/>
    </i>
    <i r="2">
      <x v="106"/>
      <x v="16"/>
      <x v="12"/>
      <x v="461"/>
      <x v="948"/>
      <x/>
      <x v="1"/>
    </i>
    <i r="1">
      <x v="63"/>
      <x v="303"/>
      <x v="7"/>
      <x v="13"/>
      <x v="508"/>
      <x v="966"/>
      <x v="77"/>
      <x v="2"/>
    </i>
    <i r="2">
      <x v="304"/>
      <x v="5"/>
      <x v="12"/>
      <x v="410"/>
      <x v="940"/>
      <x v="439"/>
      <x/>
    </i>
    <i r="3">
      <x v="8"/>
      <x v="12"/>
      <x v="430"/>
      <x v="555"/>
      <x/>
      <x/>
    </i>
    <i r="2">
      <x v="307"/>
      <x v="2"/>
      <x v="14"/>
      <x v="637"/>
      <x v="288"/>
      <x v="415"/>
      <x v="1"/>
    </i>
    <i r="5">
      <x v="712"/>
      <x v="939"/>
      <x v="443"/>
      <x/>
    </i>
    <i r="2">
      <x v="309"/>
      <x v="5"/>
      <x v="14"/>
      <x v="676"/>
      <x v="216"/>
      <x v="36"/>
      <x v="2"/>
    </i>
    <i r="4">
      <x v="15"/>
      <x v="779"/>
      <x v="883"/>
      <x v="7"/>
      <x v="2"/>
    </i>
    <i r="3">
      <x v="8"/>
      <x v="15"/>
      <x v="866"/>
      <x v="597"/>
      <x/>
      <x/>
    </i>
    <i r="1">
      <x v="76"/>
      <x v="389"/>
      <x v="5"/>
      <x v="14"/>
      <x v="640"/>
      <x v="951"/>
      <x v="417"/>
      <x v="1"/>
    </i>
    <i r="2">
      <x v="390"/>
      <x v="2"/>
      <x v="15"/>
      <x v="770"/>
      <x v="942"/>
      <x/>
      <x v="1"/>
    </i>
    <i r="4">
      <x v="16"/>
      <x v="835"/>
      <x v="713"/>
      <x/>
      <x v="1"/>
    </i>
    <i r="2">
      <x v="391"/>
      <x v="13"/>
      <x v="16"/>
      <x v="913"/>
      <x v="136"/>
      <x/>
      <x/>
    </i>
    <i r="1">
      <x v="77"/>
      <x v="8"/>
      <x v="3"/>
      <x v="15"/>
      <x v="805"/>
      <x v="637"/>
      <x v="442"/>
      <x/>
    </i>
    <i r="2">
      <x v="14"/>
      <x v="2"/>
      <x v="14"/>
      <x v="638"/>
      <x v="945"/>
      <x v="435"/>
      <x v="1"/>
    </i>
    <i r="2">
      <x v="16"/>
      <x v="8"/>
      <x v="14"/>
      <x v="710"/>
      <x v="367"/>
      <x v="441"/>
      <x/>
    </i>
    <i r="2">
      <x v="17"/>
      <x v="2"/>
      <x v="16"/>
      <x v="829"/>
      <x v="713"/>
      <x/>
      <x v="1"/>
    </i>
    <i r="2">
      <x v="18"/>
      <x v="2"/>
      <x v="15"/>
      <x v="815"/>
      <x v="299"/>
      <x/>
      <x v="1"/>
    </i>
    <i r="3">
      <x v="13"/>
      <x v="14"/>
      <x v="700"/>
      <x v="955"/>
      <x v="536"/>
      <x v="1"/>
    </i>
    <i r="2">
      <x v="19"/>
      <x v="2"/>
      <x v="16"/>
      <x v="825"/>
      <x v="713"/>
      <x/>
      <x v="1"/>
    </i>
    <i r="2">
      <x v="20"/>
      <x v="2"/>
      <x v="16"/>
      <x v="880"/>
      <x v="820"/>
      <x/>
      <x/>
    </i>
    <i r="2">
      <x v="332"/>
      <x v="2"/>
      <x v="16"/>
      <x v="816"/>
      <x v="953"/>
      <x/>
      <x v="1"/>
    </i>
    <i r="3">
      <x v="14"/>
      <x v="16"/>
      <x v="834"/>
      <x v="713"/>
      <x/>
      <x v="1"/>
    </i>
    <i r="2">
      <x v="372"/>
      <x v="2"/>
      <x v="14"/>
      <x v="647"/>
      <x v="944"/>
      <x v="420"/>
      <x v="1"/>
    </i>
    <i r="1">
      <x v="78"/>
      <x v="26"/>
      <x v="2"/>
      <x v="16"/>
      <x v="836"/>
      <x v="713"/>
      <x/>
      <x v="1"/>
    </i>
    <i r="2">
      <x v="373"/>
      <x v="2"/>
      <x v="14"/>
      <x v="701"/>
      <x v="94"/>
      <x/>
      <x v="1"/>
    </i>
    <i r="2">
      <x v="374"/>
      <x v="2"/>
      <x v="15"/>
      <x v="818"/>
      <x v="298"/>
      <x/>
      <x v="1"/>
    </i>
    <i r="1">
      <x v="79"/>
      <x v="44"/>
      <x v="2"/>
      <x v="15"/>
      <x v="774"/>
      <x v="956"/>
      <x v="466"/>
      <x v="1"/>
    </i>
    <i r="2">
      <x v="45"/>
      <x v="2"/>
      <x v="15"/>
      <x v="773"/>
      <x v="754"/>
      <x v="414"/>
      <x v="1"/>
    </i>
    <i r="2">
      <x v="47"/>
      <x v="13"/>
      <x v="16"/>
      <x v="914"/>
      <x v="111"/>
      <x/>
      <x/>
    </i>
    <i r="3">
      <x v="14"/>
      <x v="16"/>
      <x v="909"/>
      <x v="429"/>
      <x/>
      <x/>
    </i>
    <i r="2">
      <x v="334"/>
      <x v="2"/>
      <x v="16"/>
      <x v="826"/>
      <x v="713"/>
      <x/>
      <x v="1"/>
    </i>
    <i r="2">
      <x v="335"/>
      <x v="2"/>
      <x v="15"/>
      <x v="813"/>
      <x v="94"/>
      <x/>
      <x v="1"/>
    </i>
    <i r="5">
      <x v="827"/>
      <x v="216"/>
      <x v="423"/>
      <x v="1"/>
    </i>
    <i r="5">
      <x v="833"/>
      <x v="216"/>
      <x v="427"/>
      <x v="1"/>
    </i>
    <i r="4">
      <x v="16"/>
      <x v="814"/>
      <x v="953"/>
      <x/>
      <x v="1"/>
    </i>
    <i r="5">
      <x v="817"/>
      <x v="953"/>
      <x/>
      <x v="1"/>
    </i>
    <i r="5">
      <x v="830"/>
      <x v="713"/>
      <x/>
      <x v="1"/>
    </i>
    <i r="2">
      <x v="375"/>
      <x v="2"/>
      <x v="13"/>
      <x v="581"/>
      <x v="952"/>
      <x v="426"/>
      <x v="1"/>
    </i>
    <i r="4">
      <x v="15"/>
      <x v="772"/>
      <x v="539"/>
      <x v="431"/>
      <x v="1"/>
    </i>
    <i r="1">
      <x v="80"/>
      <x v="51"/>
      <x v="2"/>
      <x v="16"/>
      <x v="861"/>
      <x v="829"/>
      <x/>
      <x v="1"/>
    </i>
    <i r="1">
      <x v="81"/>
      <x v="336"/>
      <x v="2"/>
      <x v="16"/>
      <x v="842"/>
      <x v="836"/>
      <x/>
      <x v="1"/>
    </i>
    <i r="1">
      <x v="95"/>
      <x v="443"/>
      <x v="2"/>
      <x v="16"/>
      <x v="877"/>
      <x v="820"/>
      <x/>
      <x/>
    </i>
    <i>
      <x v="38"/>
      <x v="87"/>
      <x v="2"/>
      <x v="8"/>
      <x v="15"/>
      <x v="801"/>
      <x v="37"/>
      <x/>
      <x v="3"/>
    </i>
    <i r="2">
      <x v="412"/>
      <x v="5"/>
      <x v="15"/>
      <x v="850"/>
      <x v="324"/>
      <x v="22"/>
      <x v="2"/>
    </i>
    <i r="1">
      <x v="88"/>
      <x v="72"/>
      <x v="6"/>
      <x v="13"/>
      <x v="608"/>
      <x v="3"/>
      <x v="551"/>
      <x v="2"/>
    </i>
    <i r="1">
      <x v="89"/>
      <x v="568"/>
      <x v="16"/>
      <x v="10"/>
      <x v="240"/>
      <x v="979"/>
      <x/>
      <x v="3"/>
    </i>
    <i>
      <x v="39"/>
      <x v="93"/>
      <x v="168"/>
      <x v="8"/>
      <x v="9"/>
      <x v="176"/>
      <x v="32"/>
      <x v="94"/>
      <x v="2"/>
    </i>
    <i>
      <x v="40"/>
      <x v="48"/>
      <x v="246"/>
      <x v="6"/>
      <x v="9"/>
      <x v="183"/>
      <x/>
      <x v="557"/>
      <x v="2"/>
    </i>
    <i r="1">
      <x v="59"/>
      <x v="348"/>
      <x v="8"/>
      <x v="11"/>
      <x v="275"/>
      <x v="970"/>
      <x v="83"/>
      <x v="2"/>
    </i>
    <i r="2">
      <x v="349"/>
      <x v="8"/>
      <x v="13"/>
      <x v="692"/>
      <x v="751"/>
      <x/>
      <x v="3"/>
    </i>
    <i r="2">
      <x v="350"/>
      <x v="8"/>
      <x v="14"/>
      <x v="738"/>
      <x v="704"/>
      <x/>
      <x v="3"/>
    </i>
    <i r="1">
      <x v="75"/>
      <x v="359"/>
      <x v="1"/>
      <x v="13"/>
      <x v="605"/>
      <x v="82"/>
      <x v="532"/>
      <x v="2"/>
    </i>
    <i r="3">
      <x v="6"/>
      <x v="13"/>
      <x v="526"/>
      <x v="18"/>
      <x v="39"/>
      <x v="2"/>
    </i>
    <i r="1">
      <x v="94"/>
      <x v="441"/>
      <x v="11"/>
      <x v="5"/>
      <x v="12"/>
      <x v="975"/>
      <x v="105"/>
      <x v="2"/>
    </i>
    <i r="1">
      <x v="117"/>
      <x v="547"/>
      <x v="5"/>
      <x v="14"/>
      <x v="745"/>
      <x v="267"/>
      <x v="47"/>
      <x v="2"/>
    </i>
    <i>
      <x v="41"/>
      <x v="43"/>
      <x v="220"/>
      <x/>
      <x v="13"/>
      <x v="494"/>
      <x v="98"/>
      <x v="547"/>
      <x v="2"/>
    </i>
    <i r="3">
      <x v="5"/>
      <x v="14"/>
      <x v="748"/>
      <x v="27"/>
      <x v="85"/>
      <x v="2"/>
    </i>
    <i r="3">
      <x v="6"/>
      <x v="13"/>
      <x v="501"/>
      <x v="82"/>
      <x v="214"/>
      <x v="2"/>
    </i>
    <i r="2">
      <x v="223"/>
      <x v="6"/>
      <x v="10"/>
      <x v="265"/>
      <x v="8"/>
      <x v="232"/>
      <x v="2"/>
    </i>
    <i r="1">
      <x v="128"/>
      <x v="360"/>
      <x v="11"/>
      <x v="9"/>
      <x v="134"/>
      <x v="941"/>
      <x v="8"/>
      <x v="1"/>
    </i>
    <i>
      <x v="43"/>
      <x v="91"/>
      <x v="436"/>
      <x v="6"/>
      <x v="14"/>
      <x v="626"/>
      <x v="338"/>
      <x v="480"/>
      <x v="2"/>
    </i>
    <i>
      <x v="44"/>
      <x v="14"/>
      <x v="89"/>
      <x v="11"/>
      <x v="13"/>
      <x v="565"/>
      <x v="961"/>
      <x v="19"/>
      <x v="2"/>
    </i>
    <i r="1">
      <x v="45"/>
      <x v="230"/>
      <x v="11"/>
      <x v="6"/>
      <x v="27"/>
      <x v="18"/>
      <x v="87"/>
      <x v="2"/>
    </i>
    <i>
      <x v="46"/>
      <x v="108"/>
      <x v="518"/>
      <x v="11"/>
      <x v="12"/>
      <x v="408"/>
      <x v="216"/>
      <x v="353"/>
      <x v="2"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1B80B-CD18-43E8-8F67-EC58E86B4781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F81" firstHeaderRow="1" firstDataRow="1" firstDataCol="6" rowPageCount="1" colPageCount="1"/>
  <pivotFields count="47">
    <pivotField axis="axisPage" compact="0" outline="0" multipleItemSelectionAllowed="1" showAll="0" defaultSubtotal="0">
      <items count="5">
        <item h="1" x="0"/>
        <item h="1" x="1"/>
        <item x="2"/>
        <item h="1"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8">
        <item x="32"/>
        <item x="9"/>
        <item x="25"/>
        <item x="28"/>
        <item x="11"/>
        <item x="14"/>
        <item x="16"/>
        <item x="5"/>
        <item x="30"/>
        <item x="36"/>
        <item x="3"/>
        <item x="34"/>
        <item x="27"/>
        <item x="35"/>
        <item x="22"/>
        <item x="21"/>
        <item x="10"/>
        <item x="24"/>
        <item x="33"/>
        <item x="4"/>
        <item x="6"/>
        <item x="8"/>
        <item x="26"/>
        <item x="20"/>
        <item x="31"/>
        <item x="7"/>
        <item x="15"/>
        <item x="18"/>
        <item x="1"/>
        <item x="0"/>
        <item x="17"/>
        <item x="19"/>
        <item x="13"/>
        <item x="2"/>
        <item x="23"/>
        <item x="29"/>
        <item x="12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2">
        <item x="40"/>
        <item x="61"/>
        <item x="44"/>
        <item x="71"/>
        <item x="35"/>
        <item x="69"/>
        <item x="31"/>
        <item x="63"/>
        <item x="39"/>
        <item x="28"/>
        <item x="95"/>
        <item x="29"/>
        <item x="5"/>
        <item x="89"/>
        <item x="38"/>
        <item x="43"/>
        <item x="36"/>
        <item x="15"/>
        <item x="99"/>
        <item x="17"/>
        <item x="74"/>
        <item x="109"/>
        <item x="94"/>
        <item x="76"/>
        <item x="75"/>
        <item x="50"/>
        <item x="67"/>
        <item x="47"/>
        <item x="110"/>
        <item x="45"/>
        <item x="103"/>
        <item x="0"/>
        <item x="10"/>
        <item x="24"/>
        <item x="27"/>
        <item x="108"/>
        <item x="91"/>
        <item x="20"/>
        <item x="33"/>
        <item x="58"/>
        <item x="52"/>
        <item x="102"/>
        <item x="53"/>
        <item x="65"/>
        <item x="56"/>
        <item x="73"/>
        <item x="72"/>
        <item x="51"/>
        <item x="14"/>
        <item x="23"/>
        <item x="92"/>
        <item x="25"/>
        <item x="2"/>
        <item x="26"/>
        <item x="70"/>
        <item x="18"/>
        <item x="107"/>
        <item x="93"/>
        <item x="19"/>
        <item x="22"/>
        <item x="86"/>
        <item x="4"/>
        <item x="80"/>
        <item x="90"/>
        <item x="6"/>
        <item x="3"/>
        <item x="8"/>
        <item x="1"/>
        <item x="9"/>
        <item x="83"/>
        <item x="55"/>
        <item x="42"/>
        <item x="37"/>
        <item x="46"/>
        <item x="97"/>
        <item x="54"/>
        <item x="41"/>
        <item x="101"/>
        <item x="106"/>
        <item x="16"/>
        <item x="77"/>
        <item x="100"/>
        <item x="49"/>
        <item x="68"/>
        <item x="79"/>
        <item x="81"/>
        <item x="62"/>
        <item x="78"/>
        <item x="11"/>
        <item x="60"/>
        <item x="30"/>
        <item x="13"/>
        <item x="59"/>
        <item x="98"/>
        <item x="82"/>
        <item x="96"/>
        <item x="64"/>
        <item x="21"/>
        <item x="87"/>
        <item x="32"/>
        <item x="85"/>
        <item x="84"/>
        <item x="34"/>
        <item x="12"/>
        <item x="57"/>
        <item x="48"/>
        <item x="88"/>
        <item x="66"/>
        <item x="7"/>
        <item x="104"/>
        <item x="105"/>
        <item x="1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8"/>
        <item x="6"/>
        <item x="13"/>
        <item x="14"/>
        <item x="15"/>
        <item x="7"/>
        <item x="10"/>
        <item x="11"/>
        <item x="4"/>
        <item x="9"/>
        <item x="12"/>
        <item x="3"/>
        <item x="5"/>
        <item x="2"/>
        <item x="1"/>
        <item x="0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4">
        <item x="1"/>
        <item x="54"/>
        <item x="19"/>
        <item x="110"/>
        <item x="115"/>
        <item x="163"/>
        <item x="129"/>
        <item x="160"/>
        <item x="130"/>
        <item x="106"/>
        <item x="36"/>
        <item x="67"/>
        <item x="73"/>
        <item x="220"/>
        <item x="94"/>
        <item x="166"/>
        <item x="164"/>
        <item x="83"/>
        <item x="60"/>
        <item x="149"/>
        <item x="77"/>
        <item x="12"/>
        <item x="62"/>
        <item x="22"/>
        <item x="56"/>
        <item x="64"/>
        <item x="89"/>
        <item x="178"/>
        <item x="217"/>
        <item x="114"/>
        <item x="180"/>
        <item x="126"/>
        <item x="97"/>
        <item x="191"/>
        <item x="91"/>
        <item x="203"/>
        <item x="167"/>
        <item x="124"/>
        <item x="146"/>
        <item x="90"/>
        <item x="184"/>
        <item x="187"/>
        <item x="103"/>
        <item x="88"/>
        <item x="175"/>
        <item x="169"/>
        <item x="140"/>
        <item x="151"/>
        <item x="173"/>
        <item x="69"/>
        <item x="148"/>
        <item x="208"/>
        <item x="4"/>
        <item x="96"/>
        <item x="112"/>
        <item x="123"/>
        <item x="171"/>
        <item x="11"/>
        <item x="168"/>
        <item x="201"/>
        <item x="138"/>
        <item x="198"/>
        <item x="92"/>
        <item x="125"/>
        <item x="33"/>
        <item x="113"/>
        <item x="137"/>
        <item x="139"/>
        <item x="71"/>
        <item x="182"/>
        <item x="109"/>
        <item x="196"/>
        <item x="207"/>
        <item x="111"/>
        <item x="68"/>
        <item x="185"/>
        <item x="131"/>
        <item x="157"/>
        <item x="199"/>
        <item x="165"/>
        <item x="135"/>
        <item x="98"/>
        <item x="18"/>
        <item x="132"/>
        <item x="127"/>
        <item x="104"/>
        <item x="172"/>
        <item x="80"/>
        <item x="153"/>
        <item x="197"/>
        <item x="121"/>
        <item x="145"/>
        <item x="119"/>
        <item x="190"/>
        <item x="44"/>
        <item x="108"/>
        <item x="189"/>
        <item x="76"/>
        <item x="158"/>
        <item x="219"/>
        <item x="122"/>
        <item x="102"/>
        <item x="78"/>
        <item x="134"/>
        <item x="204"/>
        <item x="213"/>
        <item x="155"/>
        <item x="117"/>
        <item x="100"/>
        <item x="24"/>
        <item x="51"/>
        <item x="28"/>
        <item x="152"/>
        <item x="161"/>
        <item x="20"/>
        <item x="27"/>
        <item x="174"/>
        <item x="183"/>
        <item x="147"/>
        <item x="35"/>
        <item x="86"/>
        <item x="48"/>
        <item x="17"/>
        <item x="133"/>
        <item x="87"/>
        <item x="141"/>
        <item x="120"/>
        <item x="37"/>
        <item x="211"/>
        <item x="9"/>
        <item x="214"/>
        <item x="205"/>
        <item x="16"/>
        <item x="154"/>
        <item x="32"/>
        <item x="136"/>
        <item x="179"/>
        <item x="8"/>
        <item x="14"/>
        <item x="5"/>
        <item x="144"/>
        <item x="3"/>
        <item x="47"/>
        <item x="118"/>
        <item x="53"/>
        <item x="218"/>
        <item x="162"/>
        <item x="84"/>
        <item x="74"/>
        <item x="75"/>
        <item x="209"/>
        <item x="192"/>
        <item x="206"/>
        <item x="142"/>
        <item x="200"/>
        <item x="70"/>
        <item x="181"/>
        <item x="186"/>
        <item x="95"/>
        <item x="194"/>
        <item x="156"/>
        <item x="222"/>
        <item x="193"/>
        <item x="15"/>
        <item x="41"/>
        <item x="13"/>
        <item x="49"/>
        <item x="25"/>
        <item x="93"/>
        <item x="99"/>
        <item x="82"/>
        <item x="177"/>
        <item x="176"/>
        <item x="101"/>
        <item x="85"/>
        <item x="215"/>
        <item x="55"/>
        <item x="210"/>
        <item x="52"/>
        <item x="6"/>
        <item x="128"/>
        <item x="72"/>
        <item x="57"/>
        <item x="45"/>
        <item x="43"/>
        <item x="212"/>
        <item x="26"/>
        <item x="116"/>
        <item x="105"/>
        <item x="31"/>
        <item x="50"/>
        <item x="39"/>
        <item x="46"/>
        <item x="29"/>
        <item x="221"/>
        <item x="150"/>
        <item x="216"/>
        <item x="34"/>
        <item x="195"/>
        <item x="188"/>
        <item x="79"/>
        <item x="143"/>
        <item x="65"/>
        <item x="42"/>
        <item x="2"/>
        <item x="58"/>
        <item x="107"/>
        <item x="59"/>
        <item x="159"/>
        <item x="40"/>
        <item x="0"/>
        <item x="30"/>
        <item x="21"/>
        <item x="7"/>
        <item x="63"/>
        <item x="66"/>
        <item x="81"/>
        <item x="202"/>
        <item x="38"/>
        <item x="61"/>
        <item x="23"/>
        <item x="170"/>
        <item x="10"/>
        <item x="2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9">
        <item h="1" x="61"/>
        <item h="1" x="57"/>
        <item h="1" x="80"/>
        <item h="1" x="129"/>
        <item h="1" x="126"/>
        <item h="1" x="82"/>
        <item h="1" x="128"/>
        <item h="1" x="109"/>
        <item h="1" x="36"/>
        <item h="1" x="51"/>
        <item h="1" x="79"/>
        <item h="1" x="105"/>
        <item h="1" x="113"/>
        <item h="1" x="47"/>
        <item h="1" x="93"/>
        <item h="1" x="98"/>
        <item h="1" x="87"/>
        <item h="1" x="68"/>
        <item h="1" x="66"/>
        <item x="65"/>
        <item x="132"/>
        <item x="78"/>
        <item x="1"/>
        <item x="123"/>
        <item x="120"/>
        <item x="64"/>
        <item x="50"/>
        <item x="107"/>
        <item x="110"/>
        <item x="9"/>
        <item x="70"/>
        <item x="121"/>
        <item x="56"/>
        <item x="111"/>
        <item x="55"/>
        <item x="39"/>
        <item x="83"/>
        <item x="21"/>
        <item x="27"/>
        <item x="0"/>
        <item x="96"/>
        <item x="139"/>
        <item x="85"/>
        <item x="22"/>
        <item x="133"/>
        <item x="19"/>
        <item x="71"/>
        <item x="31"/>
        <item x="38"/>
        <item x="16"/>
        <item x="58"/>
        <item x="76"/>
        <item x="15"/>
        <item x="67"/>
        <item x="131"/>
        <item x="28"/>
        <item x="53"/>
        <item x="91"/>
        <item x="114"/>
        <item x="140"/>
        <item x="94"/>
        <item x="103"/>
        <item x="60"/>
        <item x="106"/>
        <item x="102"/>
        <item x="104"/>
        <item x="34"/>
        <item x="8"/>
        <item x="112"/>
        <item x="90"/>
        <item x="41"/>
        <item x="146"/>
        <item x="42"/>
        <item x="33"/>
        <item x="35"/>
        <item x="99"/>
        <item x="2"/>
        <item x="97"/>
        <item x="115"/>
        <item x="119"/>
        <item x="43"/>
        <item x="135"/>
        <item x="77"/>
        <item x="24"/>
        <item x="30"/>
        <item x="88"/>
        <item x="63"/>
        <item x="127"/>
        <item x="130"/>
        <item x="125"/>
        <item x="62"/>
        <item x="3"/>
        <item x="49"/>
        <item x="6"/>
        <item x="144"/>
        <item x="108"/>
        <item x="73"/>
        <item x="138"/>
        <item x="124"/>
        <item x="84"/>
        <item x="46"/>
        <item x="59"/>
        <item x="23"/>
        <item x="12"/>
        <item x="44"/>
        <item x="14"/>
        <item x="26"/>
        <item x="145"/>
        <item x="69"/>
        <item x="136"/>
        <item x="25"/>
        <item x="37"/>
        <item x="13"/>
        <item x="10"/>
        <item x="81"/>
        <item x="45"/>
        <item x="7"/>
        <item x="147"/>
        <item x="72"/>
        <item x="95"/>
        <item x="137"/>
        <item x="142"/>
        <item x="141"/>
        <item x="5"/>
        <item x="40"/>
        <item x="4"/>
        <item x="143"/>
        <item x="75"/>
        <item x="74"/>
        <item x="17"/>
        <item x="11"/>
        <item x="29"/>
        <item x="89"/>
        <item x="122"/>
        <item x="101"/>
        <item x="118"/>
        <item x="92"/>
        <item x="134"/>
        <item x="52"/>
        <item x="20"/>
        <item x="54"/>
        <item x="117"/>
        <item x="48"/>
        <item x="18"/>
        <item x="32"/>
        <item x="86"/>
        <item x="100"/>
        <item x="116"/>
        <item x="1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12"/>
        <item x="0"/>
        <item x="5"/>
        <item x="8"/>
        <item x="3"/>
        <item x="10"/>
        <item x="14"/>
        <item x="2"/>
        <item x="11"/>
        <item h="1" x="4"/>
        <item h="1" x="9"/>
        <item x="1"/>
        <item h="1" x="7"/>
        <item h="1" x="13"/>
        <item h="1" x="6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1"/>
    <field x="12"/>
    <field x="15"/>
    <field x="24"/>
    <field x="18"/>
    <field x="25"/>
  </rowFields>
  <rowItems count="78">
    <i>
      <x v="2"/>
      <x v="86"/>
      <x v="14"/>
      <x v="39"/>
      <x v="126"/>
      <x v="4"/>
    </i>
    <i r="1">
      <x v="89"/>
      <x v="13"/>
      <x v="60"/>
      <x v="143"/>
      <x v="4"/>
    </i>
    <i>
      <x v="3"/>
      <x v="18"/>
      <x v="11"/>
      <x v="20"/>
      <x v="59"/>
      <x v="4"/>
    </i>
    <i>
      <x v="4"/>
      <x v="8"/>
      <x v="8"/>
      <x v="19"/>
      <x v="20"/>
      <x v="7"/>
    </i>
    <i r="1">
      <x v="98"/>
      <x v="10"/>
      <x v="79"/>
      <x v="44"/>
      <x v="6"/>
    </i>
    <i r="1">
      <x v="99"/>
      <x v="15"/>
      <x v="32"/>
      <x v="215"/>
      <x v="4"/>
    </i>
    <i r="1">
      <x v="100"/>
      <x v="11"/>
      <x v="55"/>
      <x v="56"/>
      <x v="7"/>
    </i>
    <i>
      <x v="5"/>
      <x v="16"/>
      <x v="6"/>
      <x v="90"/>
      <x v="12"/>
      <x v="7"/>
    </i>
    <i r="1">
      <x v="87"/>
      <x v="12"/>
      <x v="78"/>
      <x v="77"/>
      <x v="4"/>
    </i>
    <i r="1">
      <x v="96"/>
      <x v="9"/>
      <x v="40"/>
      <x v="37"/>
      <x v="4"/>
    </i>
    <i>
      <x v="6"/>
      <x v="13"/>
      <x v="8"/>
      <x v="31"/>
      <x v="27"/>
      <x v="7"/>
    </i>
    <i r="1">
      <x v="15"/>
      <x v="9"/>
      <x v="114"/>
      <x v="32"/>
      <x v="7"/>
    </i>
    <i>
      <x v="7"/>
      <x v="3"/>
      <x v="14"/>
      <x v="27"/>
      <x v="201"/>
      <x v="7"/>
    </i>
    <i r="1">
      <x v="73"/>
      <x v="14"/>
      <x v="46"/>
      <x v="174"/>
      <x v="4"/>
    </i>
    <i>
      <x v="8"/>
      <x v="106"/>
      <x v="14"/>
      <x v="24"/>
      <x v="171"/>
      <x v="4"/>
    </i>
    <i>
      <x v="10"/>
      <x v="27"/>
      <x v="9"/>
      <x v="127"/>
      <x v="34"/>
      <x v="7"/>
    </i>
    <i r="2">
      <x v="13"/>
      <x v="118"/>
      <x v="124"/>
      <x v="4"/>
    </i>
    <i r="1">
      <x v="29"/>
      <x v="7"/>
      <x v="21"/>
      <x v="14"/>
      <x v="8"/>
    </i>
    <i r="2">
      <x v="12"/>
      <x v="51"/>
      <x v="83"/>
      <x v="4"/>
    </i>
    <i r="3">
      <x v="57"/>
      <x v="65"/>
      <x v="4"/>
    </i>
    <i r="2">
      <x v="13"/>
      <x v="30"/>
      <x v="147"/>
      <x v="4"/>
    </i>
    <i r="1">
      <x v="32"/>
      <x v="9"/>
      <x v="47"/>
      <x v="29"/>
      <x v="7"/>
    </i>
    <i r="1">
      <x v="33"/>
      <x v="9"/>
      <x v="77"/>
      <x v="31"/>
      <x v="8"/>
    </i>
    <i r="4">
      <x v="33"/>
      <x v="4"/>
    </i>
    <i r="1">
      <x v="79"/>
      <x v="12"/>
      <x v="46"/>
      <x v="55"/>
      <x v="4"/>
    </i>
    <i r="3">
      <x v="50"/>
      <x v="74"/>
      <x v="4"/>
    </i>
    <i r="2">
      <x v="13"/>
      <x v="61"/>
      <x v="123"/>
      <x v="4"/>
    </i>
    <i r="3">
      <x v="86"/>
      <x v="148"/>
      <x v="4"/>
    </i>
    <i r="2">
      <x v="14"/>
      <x v="65"/>
      <x v="103"/>
      <x v="4"/>
    </i>
    <i r="1">
      <x v="97"/>
      <x v="10"/>
      <x v="128"/>
      <x v="39"/>
      <x v="7"/>
    </i>
    <i r="2">
      <x v="11"/>
      <x v="101"/>
      <x v="49"/>
      <x v="7"/>
    </i>
    <i>
      <x v="12"/>
      <x v="45"/>
      <x v="11"/>
      <x v="32"/>
      <x v="50"/>
      <x v="4"/>
    </i>
    <i>
      <x v="14"/>
      <x v="42"/>
      <x v="13"/>
      <x v="36"/>
      <x v="108"/>
      <x v="4"/>
    </i>
    <i r="3">
      <x v="61"/>
      <x v="135"/>
      <x v="4"/>
    </i>
    <i r="2">
      <x v="14"/>
      <x v="82"/>
      <x v="173"/>
      <x v="4"/>
    </i>
    <i r="1">
      <x v="93"/>
      <x v="11"/>
      <x v="88"/>
      <x v="61"/>
      <x v="4"/>
    </i>
    <i>
      <x v="15"/>
      <x v="46"/>
      <x v="13"/>
      <x v="28"/>
      <x v="118"/>
      <x v="4"/>
    </i>
    <i r="1">
      <x v="95"/>
      <x v="12"/>
      <x v="87"/>
      <x v="93"/>
      <x v="7"/>
    </i>
    <i>
      <x v="16"/>
      <x v="6"/>
      <x v="14"/>
      <x v="34"/>
      <x v="202"/>
      <x v="4"/>
    </i>
    <i r="3">
      <x v="75"/>
      <x v="180"/>
      <x v="6"/>
    </i>
    <i r="2">
      <x v="15"/>
      <x v="39"/>
      <x v="208"/>
      <x v="4"/>
    </i>
    <i>
      <x v="20"/>
      <x v="63"/>
      <x v="13"/>
      <x v="51"/>
      <x v="136"/>
      <x v="4"/>
    </i>
    <i r="1">
      <x v="90"/>
      <x v="13"/>
      <x v="58"/>
      <x v="160"/>
      <x v="4"/>
    </i>
    <i>
      <x v="22"/>
      <x v="54"/>
      <x v="11"/>
      <x v="63"/>
      <x v="46"/>
      <x v="7"/>
    </i>
    <i>
      <x v="23"/>
      <x v="24"/>
      <x v="14"/>
      <x v="33"/>
      <x v="195"/>
      <x v="4"/>
    </i>
    <i r="1">
      <x v="25"/>
      <x v="14"/>
      <x v="82"/>
      <x v="168"/>
      <x v="4"/>
    </i>
    <i>
      <x v="25"/>
      <x v="70"/>
      <x v="12"/>
      <x v="46"/>
      <x v="85"/>
      <x/>
    </i>
    <i>
      <x v="26"/>
      <x v="72"/>
      <x v="13"/>
      <x v="25"/>
      <x v="149"/>
      <x v="4"/>
    </i>
    <i r="1">
      <x v="75"/>
      <x v="12"/>
      <x v="69"/>
      <x v="73"/>
      <x v="4"/>
    </i>
    <i r="3">
      <x v="99"/>
      <x v="101"/>
      <x v="4"/>
    </i>
    <i r="1">
      <x v="85"/>
      <x v="9"/>
      <x v="55"/>
      <x v="36"/>
      <x v="4"/>
    </i>
    <i r="1">
      <x v="104"/>
      <x v="12"/>
      <x v="21"/>
      <x v="95"/>
      <x v="4"/>
    </i>
    <i r="1">
      <x v="105"/>
      <x v="10"/>
      <x v="96"/>
      <x v="43"/>
      <x v="7"/>
    </i>
    <i>
      <x v="27"/>
      <x v="15"/>
      <x v="14"/>
      <x v="108"/>
      <x v="170"/>
      <x v="7"/>
    </i>
    <i>
      <x v="29"/>
      <x v="2"/>
      <x v="7"/>
      <x v="62"/>
      <x v="17"/>
      <x v="7"/>
    </i>
    <i r="3">
      <x v="135"/>
      <x v="15"/>
      <x v="7"/>
    </i>
    <i r="2">
      <x v="9"/>
      <x v="133"/>
      <x v="30"/>
      <x v="7"/>
    </i>
    <i r="2">
      <x v="12"/>
      <x v="39"/>
      <x v="100"/>
      <x v="4"/>
    </i>
    <i r="3">
      <x v="68"/>
      <x v="88"/>
      <x v="4"/>
    </i>
    <i r="3">
      <x v="85"/>
      <x v="70"/>
      <x v="4"/>
    </i>
    <i r="2">
      <x v="14"/>
      <x v="83"/>
      <x v="187"/>
      <x v="4"/>
    </i>
    <i r="1">
      <x v="4"/>
      <x v="10"/>
      <x v="42"/>
      <x v="42"/>
      <x v="4"/>
    </i>
    <i r="2">
      <x v="12"/>
      <x v="54"/>
      <x v="78"/>
      <x v="4"/>
    </i>
    <i r="3">
      <x v="74"/>
      <x v="71"/>
      <x v="4"/>
    </i>
    <i r="3">
      <x v="95"/>
      <x v="91"/>
      <x v="4"/>
    </i>
    <i r="2">
      <x v="14"/>
      <x v="40"/>
      <x v="172"/>
      <x v="4"/>
    </i>
    <i r="1">
      <x v="52"/>
      <x v="12"/>
      <x v="89"/>
      <x v="75"/>
      <x v="6"/>
    </i>
    <i r="2">
      <x v="13"/>
      <x v="34"/>
      <x v="116"/>
      <x v="4"/>
    </i>
    <i r="3">
      <x v="39"/>
      <x v="125"/>
      <x v="4"/>
    </i>
    <i r="2">
      <x v="14"/>
      <x v="83"/>
      <x v="169"/>
      <x v="4"/>
    </i>
    <i>
      <x v="30"/>
      <x v="76"/>
      <x v="11"/>
      <x v="51"/>
      <x v="62"/>
      <x v="4"/>
    </i>
    <i r="2">
      <x v="12"/>
      <x v="64"/>
      <x v="76"/>
      <x v="4"/>
    </i>
    <i r="2">
      <x v="14"/>
      <x v="53"/>
      <x v="200"/>
      <x v="4"/>
    </i>
    <i>
      <x v="31"/>
      <x v="82"/>
      <x v="8"/>
      <x v="32"/>
      <x v="26"/>
      <x v="7"/>
    </i>
    <i>
      <x v="32"/>
      <x v="50"/>
      <x v="10"/>
      <x v="98"/>
      <x v="40"/>
      <x v="7"/>
    </i>
    <i r="1">
      <x v="102"/>
      <x v="13"/>
      <x v="62"/>
      <x v="155"/>
      <x v="4"/>
    </i>
    <i>
      <x v="33"/>
      <x v="36"/>
      <x v="13"/>
      <x v="23"/>
      <x v="156"/>
      <x v="4"/>
    </i>
    <i t="grand">
      <x/>
    </i>
  </rowItems>
  <colItems count="1">
    <i/>
  </colItems>
  <pageFields count="1">
    <pageField fld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01"/>
  <sheetViews>
    <sheetView tabSelected="1" workbookViewId="0">
      <pane ySplit="1" topLeftCell="A254" activePane="bottomLeft" state="frozen"/>
      <selection pane="bottomLeft" activeCell="O1" sqref="O1"/>
    </sheetView>
  </sheetViews>
  <sheetFormatPr baseColWidth="10" defaultColWidth="12.6640625" defaultRowHeight="15" customHeight="1" x14ac:dyDescent="0.3"/>
  <cols>
    <col min="1" max="1" width="15.77734375" customWidth="1"/>
    <col min="2" max="2" width="20" customWidth="1"/>
    <col min="3" max="3" width="33" customWidth="1"/>
    <col min="4" max="4" width="29.6640625" customWidth="1"/>
    <col min="5" max="5" width="14.33203125" customWidth="1"/>
    <col min="6" max="6" width="17.77734375" customWidth="1"/>
    <col min="7" max="7" width="17.6640625" customWidth="1"/>
    <col min="8" max="8" width="17.6640625" style="24" customWidth="1"/>
    <col min="9" max="9" width="29.109375" style="24" bestFit="1" customWidth="1"/>
    <col min="10" max="10" width="25" customWidth="1"/>
    <col min="11" max="11" width="13.109375" hidden="1" customWidth="1"/>
    <col min="12" max="12" width="16.21875" customWidth="1"/>
    <col min="13" max="13" width="13.44140625" hidden="1" customWidth="1"/>
    <col min="14" max="14" width="17" customWidth="1"/>
    <col min="15" max="15" width="13.88671875" customWidth="1"/>
    <col min="16" max="16" width="18.6640625" customWidth="1"/>
    <col min="17" max="17" width="15.44140625" customWidth="1"/>
    <col min="18" max="18" width="13.44140625" style="24" customWidth="1"/>
    <col min="19" max="30" width="10.6640625" customWidth="1"/>
  </cols>
  <sheetData>
    <row r="1" spans="1:18" ht="13.2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5120</v>
      </c>
      <c r="H1" s="18" t="s">
        <v>5113</v>
      </c>
      <c r="I1" s="25" t="s">
        <v>5101</v>
      </c>
      <c r="J1" s="2" t="s">
        <v>6</v>
      </c>
      <c r="K1" s="3" t="s">
        <v>7</v>
      </c>
      <c r="L1" s="4" t="s">
        <v>8</v>
      </c>
      <c r="M1" s="5" t="s">
        <v>9</v>
      </c>
      <c r="N1" s="4" t="s">
        <v>10</v>
      </c>
      <c r="O1" s="4" t="s">
        <v>11</v>
      </c>
      <c r="P1" s="6" t="s">
        <v>12</v>
      </c>
      <c r="Q1" s="7" t="s">
        <v>13</v>
      </c>
      <c r="R1" s="26" t="s">
        <v>10011</v>
      </c>
    </row>
    <row r="2" spans="1:18" ht="13.5" customHeight="1" x14ac:dyDescent="0.3">
      <c r="A2" s="20" t="s">
        <v>2608</v>
      </c>
      <c r="B2" s="20" t="s">
        <v>3951</v>
      </c>
      <c r="C2" s="20" t="s">
        <v>3952</v>
      </c>
      <c r="D2" s="20" t="s">
        <v>26</v>
      </c>
      <c r="E2" s="20">
        <v>2023</v>
      </c>
      <c r="F2" s="20" t="s">
        <v>1762</v>
      </c>
      <c r="G2" s="20">
        <v>47</v>
      </c>
      <c r="H2" s="20">
        <v>58362</v>
      </c>
      <c r="I2" s="19" t="s">
        <v>5142</v>
      </c>
      <c r="J2" s="11" t="str">
        <f t="shared" ref="J2:J65" si="0">CONCATENATE(B2,C2,E2)</f>
        <v>Q2Q2 35 TFSI 1.4 AUT2023</v>
      </c>
      <c r="K2" s="12"/>
      <c r="L2" s="10">
        <f>IFERROR(_xlfn.XLOOKUP(F2,'PRECIO TOMA HISTORICO '!$A:$A,'PRECIO TOMA HISTORICO '!$B:$B,_xlfn.XLOOKUP(F2,BBDD!$S:$S,BBDD!$AO:$AO,"",0,1),0,-1),"")</f>
        <v>16700000</v>
      </c>
      <c r="M2" s="9"/>
      <c r="N2" s="10">
        <f>_xlfn.XLOOKUP(F2,BBDD!$S:$S,BBDD!$AS:$AS)</f>
        <v>20990000</v>
      </c>
      <c r="O2" s="10">
        <f>IFERROR(VLOOKUP(F2,'PRECIO MERCADO'!D:E,2,0),"0")</f>
        <v>22400000</v>
      </c>
      <c r="P2" s="10">
        <f>_xlfn.XLOOKUP(F2,BBDD!$S:$S,BBDD!$AO:$AO)</f>
        <v>16500000</v>
      </c>
      <c r="Q2" s="10">
        <f>_xlfn.XLOOKUP(F2,BBDD!$S:$S,BBDD!$AR:$AR)</f>
        <v>16876740</v>
      </c>
      <c r="R2" s="24" t="str">
        <f>IF(G2&lt;=30,"ROTACION ALTA",IF(G2&lt;30,"ROTACION MEDIA",IF(G2&lt;60,"ROTACION BAJA",IF(G2&gt;60,"LIQUIDAR"))))</f>
        <v>ROTACION BAJA</v>
      </c>
    </row>
    <row r="3" spans="1:18" ht="13.5" customHeight="1" x14ac:dyDescent="0.3">
      <c r="A3" s="20" t="s">
        <v>14</v>
      </c>
      <c r="B3" s="20" t="s">
        <v>8192</v>
      </c>
      <c r="C3" s="20" t="s">
        <v>8193</v>
      </c>
      <c r="D3" s="20" t="s">
        <v>16</v>
      </c>
      <c r="E3" s="20">
        <v>2026</v>
      </c>
      <c r="F3" s="20" t="s">
        <v>8196</v>
      </c>
      <c r="G3" s="20">
        <v>228</v>
      </c>
      <c r="H3" s="20">
        <v>2500</v>
      </c>
      <c r="I3" s="19" t="s">
        <v>8149</v>
      </c>
      <c r="J3" s="11" t="str">
        <f t="shared" si="0"/>
        <v>BJ30BJ30 LV5 AWD HEV2026</v>
      </c>
      <c r="K3" s="12"/>
      <c r="L3" s="10">
        <f>IFERROR(_xlfn.XLOOKUP(F3,'PRECIO TOMA HISTORICO '!$A:$A,'PRECIO TOMA HISTORICO '!$B:$B,_xlfn.XLOOKUP(F3,BBDD!$S:$S,BBDD!$AO:$AO,"",0,1),0,-1),"")</f>
        <v>21210924</v>
      </c>
      <c r="M3" s="9"/>
      <c r="N3" s="10">
        <f>_xlfn.XLOOKUP(F3,BBDD!$S:$S,BBDD!$AS:$AS)</f>
        <v>24900000</v>
      </c>
      <c r="O3" s="10">
        <f>IFERROR(VLOOKUP(F3,'PRECIO MERCADO'!D:E,2,0),"0")</f>
        <v>20000000</v>
      </c>
      <c r="P3" s="10">
        <f>_xlfn.XLOOKUP(F3,BBDD!$S:$S,BBDD!$AO:$AO)</f>
        <v>21210924</v>
      </c>
      <c r="Q3" s="10">
        <f>_xlfn.XLOOKUP(F3,BBDD!$S:$S,BBDD!$AR:$AR)</f>
        <v>22186979</v>
      </c>
      <c r="R3" s="24" t="str">
        <f t="shared" ref="R3:R66" si="1">IF(G3&lt;=30,"ROTACION ALTA",IF(G3&lt;30,"ROTACION MEDIA",IF(G3&lt;60,"ROTACION BAJA",IF(G3&gt;60,"LIQUIDAR"))))</f>
        <v>LIQUIDAR</v>
      </c>
    </row>
    <row r="4" spans="1:18" ht="13.5" customHeight="1" x14ac:dyDescent="0.3">
      <c r="A4" s="21" t="s">
        <v>14</v>
      </c>
      <c r="B4" s="20" t="s">
        <v>10289</v>
      </c>
      <c r="C4" s="20" t="s">
        <v>11353</v>
      </c>
      <c r="D4" s="20" t="s">
        <v>16</v>
      </c>
      <c r="E4" s="20">
        <v>2026</v>
      </c>
      <c r="F4" s="20" t="s">
        <v>10290</v>
      </c>
      <c r="G4" s="20">
        <v>228</v>
      </c>
      <c r="H4" s="20">
        <v>5200</v>
      </c>
      <c r="I4" s="19" t="s">
        <v>8149</v>
      </c>
      <c r="J4" s="11" t="str">
        <f t="shared" si="0"/>
        <v>BJ60BJ60 FLAGSHIP 7P MHEV (Mild Hybrid)2026</v>
      </c>
      <c r="K4" s="12"/>
      <c r="L4" s="10">
        <f>IFERROR(_xlfn.XLOOKUP(F4,'PRECIO TOMA HISTORICO '!$A:$A,'PRECIO TOMA HISTORICO '!$B:$B,_xlfn.XLOOKUP(F4,BBDD!$S:$S,BBDD!$AO:$AO,"",0,1),0,-1),"")</f>
        <v>37849580</v>
      </c>
      <c r="M4" s="9"/>
      <c r="N4" s="10">
        <f>_xlfn.XLOOKUP(F4,BBDD!$S:$S,BBDD!$AS:$AS)</f>
        <v>44800000</v>
      </c>
      <c r="O4" s="10">
        <f>IFERROR(VLOOKUP(F4,'PRECIO MERCADO'!D:E,2,0),"0")</f>
        <v>43800000</v>
      </c>
      <c r="P4" s="10">
        <f>_xlfn.XLOOKUP(F4,BBDD!$S:$S,BBDD!$AO:$AO)</f>
        <v>37849580</v>
      </c>
      <c r="Q4" s="10">
        <f>_xlfn.XLOOKUP(F4,BBDD!$S:$S,BBDD!$AR:$AR)</f>
        <v>39771286</v>
      </c>
      <c r="R4" s="24" t="str">
        <f t="shared" si="1"/>
        <v>LIQUIDAR</v>
      </c>
    </row>
    <row r="5" spans="1:18" ht="13.5" customHeight="1" x14ac:dyDescent="0.3">
      <c r="A5" s="21" t="s">
        <v>14</v>
      </c>
      <c r="B5" s="20" t="s">
        <v>10292</v>
      </c>
      <c r="C5" s="20" t="s">
        <v>11284</v>
      </c>
      <c r="D5" s="20" t="s">
        <v>16</v>
      </c>
      <c r="E5" s="20">
        <v>2026</v>
      </c>
      <c r="F5" s="20" t="s">
        <v>10293</v>
      </c>
      <c r="G5" s="20">
        <v>228</v>
      </c>
      <c r="H5" s="20">
        <v>900</v>
      </c>
      <c r="I5" s="19" t="s">
        <v>8149</v>
      </c>
      <c r="J5" s="11" t="str">
        <f t="shared" si="0"/>
        <v>X7X7 EXCLUSIVE2026</v>
      </c>
      <c r="K5" s="12"/>
      <c r="L5" s="10">
        <f>IFERROR(_xlfn.XLOOKUP(F5,'PRECIO TOMA HISTORICO '!$A:$A,'PRECIO TOMA HISTORICO '!$B:$B,_xlfn.XLOOKUP(F5,BBDD!$S:$S,BBDD!$AO:$AO,"",0,1),0,-1),"")</f>
        <v>19320168</v>
      </c>
      <c r="M5" s="9"/>
      <c r="N5" s="10">
        <f>_xlfn.XLOOKUP(F5,BBDD!$S:$S,BBDD!$AS:$AS)</f>
        <v>22490000</v>
      </c>
      <c r="O5" s="10">
        <f>IFERROR(VLOOKUP(F5,'PRECIO MERCADO'!D:E,2,0),"0")</f>
        <v>21800000</v>
      </c>
      <c r="P5" s="10">
        <f>_xlfn.XLOOKUP(F5,BBDD!$S:$S,BBDD!$AO:$AO)</f>
        <v>19320168</v>
      </c>
      <c r="Q5" s="10">
        <f>_xlfn.XLOOKUP(F5,BBDD!$S:$S,BBDD!$AR:$AR)</f>
        <v>20341262</v>
      </c>
      <c r="R5" s="24" t="str">
        <f t="shared" si="1"/>
        <v>LIQUIDAR</v>
      </c>
    </row>
    <row r="6" spans="1:18" ht="13.5" customHeight="1" x14ac:dyDescent="0.3">
      <c r="A6" s="20" t="s">
        <v>18</v>
      </c>
      <c r="B6" s="20" t="s">
        <v>24</v>
      </c>
      <c r="C6" s="20" t="s">
        <v>25</v>
      </c>
      <c r="D6" s="20" t="s">
        <v>26</v>
      </c>
      <c r="E6" s="20">
        <v>2024</v>
      </c>
      <c r="F6" s="20" t="s">
        <v>27</v>
      </c>
      <c r="G6" s="20">
        <v>250</v>
      </c>
      <c r="H6" s="20">
        <v>30000</v>
      </c>
      <c r="I6" s="19" t="s">
        <v>5142</v>
      </c>
      <c r="J6" s="11" t="str">
        <f t="shared" si="0"/>
        <v>SONG PLUS DM-iSONG PLUS 4X2 1.5 AUT2024</v>
      </c>
      <c r="K6" s="12"/>
      <c r="L6" s="10">
        <f>IFERROR(_xlfn.XLOOKUP(F6,'PRECIO TOMA HISTORICO '!$A:$A,'PRECIO TOMA HISTORICO '!$B:$B,_xlfn.XLOOKUP(F6,BBDD!$S:$S,BBDD!$AO:$AO,"",0,1),0,-1),"")</f>
        <v>20000000</v>
      </c>
      <c r="M6" s="9"/>
      <c r="N6" s="10">
        <f>_xlfn.XLOOKUP(F6,BBDD!$S:$S,BBDD!$AS:$AS)</f>
        <v>20990000</v>
      </c>
      <c r="O6" s="10">
        <f>IFERROR(VLOOKUP(F6,'PRECIO MERCADO'!D:E,2,0),"0")</f>
        <v>22100000</v>
      </c>
      <c r="P6" s="10">
        <f>_xlfn.XLOOKUP(F6,BBDD!$S:$S,BBDD!$AO:$AO)</f>
        <v>20000000</v>
      </c>
      <c r="Q6" s="10">
        <f>_xlfn.XLOOKUP(F6,BBDD!$S:$S,BBDD!$AR:$AR)</f>
        <v>20524003</v>
      </c>
      <c r="R6" s="24" t="str">
        <f t="shared" si="1"/>
        <v>LIQUIDAR</v>
      </c>
    </row>
    <row r="7" spans="1:18" ht="13.5" customHeight="1" x14ac:dyDescent="0.3">
      <c r="A7" s="21" t="s">
        <v>18</v>
      </c>
      <c r="B7" s="21" t="s">
        <v>24</v>
      </c>
      <c r="C7" s="20" t="s">
        <v>8545</v>
      </c>
      <c r="D7" s="20" t="s">
        <v>8159</v>
      </c>
      <c r="E7" s="20">
        <v>2024</v>
      </c>
      <c r="F7" s="20" t="s">
        <v>2642</v>
      </c>
      <c r="G7" s="20">
        <v>403</v>
      </c>
      <c r="H7" s="20">
        <v>19482</v>
      </c>
      <c r="I7" s="19" t="s">
        <v>8491</v>
      </c>
      <c r="J7" s="11" t="str">
        <f t="shared" si="0"/>
        <v>SONG PLUS DM-iSONG PLUS GS2024</v>
      </c>
      <c r="K7" s="12"/>
      <c r="L7" s="10">
        <f>IFERROR(_xlfn.XLOOKUP(F7,'PRECIO TOMA HISTORICO '!$A:$A,'PRECIO TOMA HISTORICO '!$B:$B,_xlfn.XLOOKUP(F7,BBDD!$S:$S,BBDD!$AO:$AO,"",0,1),0,-1),"")</f>
        <v>29403361</v>
      </c>
      <c r="M7" s="9"/>
      <c r="N7" s="10">
        <f>_xlfn.XLOOKUP(F7,BBDD!$S:$S,BBDD!$AS:$AS)</f>
        <v>28990000</v>
      </c>
      <c r="O7" s="10">
        <f>IFERROR(VLOOKUP(F7,'PRECIO MERCADO'!D:E,2,0),"0")</f>
        <v>24700000</v>
      </c>
      <c r="P7" s="10">
        <f>_xlfn.XLOOKUP(F7,BBDD!$S:$S,BBDD!$AO:$AO)</f>
        <v>29403361</v>
      </c>
      <c r="Q7" s="10">
        <f>_xlfn.XLOOKUP(F7,BBDD!$S:$S,BBDD!$AR:$AR)</f>
        <v>30640616</v>
      </c>
      <c r="R7" s="24" t="str">
        <f t="shared" si="1"/>
        <v>LIQUIDAR</v>
      </c>
    </row>
    <row r="8" spans="1:18" ht="13.5" customHeight="1" x14ac:dyDescent="0.3">
      <c r="A8" s="21" t="s">
        <v>18</v>
      </c>
      <c r="B8" s="20" t="s">
        <v>9890</v>
      </c>
      <c r="C8" s="20" t="s">
        <v>9891</v>
      </c>
      <c r="D8" s="20" t="s">
        <v>8159</v>
      </c>
      <c r="E8" s="20">
        <v>2024</v>
      </c>
      <c r="F8" s="20" t="s">
        <v>9894</v>
      </c>
      <c r="G8" s="20">
        <v>960</v>
      </c>
      <c r="H8" s="20">
        <v>15100</v>
      </c>
      <c r="I8" s="19" t="s">
        <v>8491</v>
      </c>
      <c r="J8" s="11" t="str">
        <f t="shared" si="0"/>
        <v>YUAN PLUS EVYUAN PLUS EV GS2024</v>
      </c>
      <c r="K8" s="12"/>
      <c r="L8" s="10">
        <f>IFERROR(_xlfn.XLOOKUP(F8,'PRECIO TOMA HISTORICO '!$A:$A,'PRECIO TOMA HISTORICO '!$B:$B,_xlfn.XLOOKUP(F8,BBDD!$S:$S,BBDD!$AO:$AO,"",0,1),0,-1),"")</f>
        <v>30243697</v>
      </c>
      <c r="M8" s="9"/>
      <c r="N8" s="10">
        <f>_xlfn.XLOOKUP(F8,BBDD!$S:$S,BBDD!$AS:$AS)</f>
        <v>19790000</v>
      </c>
      <c r="O8" s="10">
        <f>IFERROR(VLOOKUP(F8,'PRECIO MERCADO'!D:E,2,0),"0")</f>
        <v>19700000</v>
      </c>
      <c r="P8" s="10">
        <f>_xlfn.XLOOKUP(F8,BBDD!$S:$S,BBDD!$AO:$AO)</f>
        <v>30243697</v>
      </c>
      <c r="Q8" s="10">
        <f>_xlfn.XLOOKUP(F8,BBDD!$S:$S,BBDD!$AR:$AR)</f>
        <v>31091577</v>
      </c>
      <c r="R8" s="24" t="str">
        <f t="shared" si="1"/>
        <v>LIQUIDAR</v>
      </c>
    </row>
    <row r="9" spans="1:18" ht="13.5" customHeight="1" x14ac:dyDescent="0.3">
      <c r="A9" s="20" t="s">
        <v>2494</v>
      </c>
      <c r="B9" s="20" t="s">
        <v>2495</v>
      </c>
      <c r="C9" s="20" t="s">
        <v>4009</v>
      </c>
      <c r="D9" s="20" t="s">
        <v>40</v>
      </c>
      <c r="E9" s="20">
        <v>2021</v>
      </c>
      <c r="F9" s="20" t="s">
        <v>9754</v>
      </c>
      <c r="G9" s="20">
        <v>64</v>
      </c>
      <c r="H9" s="20">
        <v>90000</v>
      </c>
      <c r="I9" s="19" t="s">
        <v>5142</v>
      </c>
      <c r="J9" s="11" t="str">
        <f t="shared" si="0"/>
        <v>CS15CS15 HB 4X2 1.52021</v>
      </c>
      <c r="K9" s="12"/>
      <c r="L9" s="10">
        <f>IFERROR(_xlfn.XLOOKUP(F9,'PRECIO TOMA HISTORICO '!$A:$A,'PRECIO TOMA HISTORICO '!$B:$B,_xlfn.XLOOKUP(F9,BBDD!$S:$S,BBDD!$AO:$AO,"",0,1),0,-1),"")</f>
        <v>5200000</v>
      </c>
      <c r="M9" s="9"/>
      <c r="N9" s="10">
        <f>_xlfn.XLOOKUP(F9,BBDD!$S:$S,BBDD!$AS:$AS)</f>
        <v>7290000</v>
      </c>
      <c r="O9" s="10">
        <f>IFERROR(VLOOKUP(F9,'PRECIO MERCADO'!D:E,2,0),"0")</f>
        <v>7290000</v>
      </c>
      <c r="P9" s="10">
        <f>_xlfn.XLOOKUP(F9,BBDD!$S:$S,BBDD!$AO:$AO)</f>
        <v>5200000</v>
      </c>
      <c r="Q9" s="10">
        <f>_xlfn.XLOOKUP(F9,BBDD!$S:$S,BBDD!$AR:$AR)</f>
        <v>5407240</v>
      </c>
      <c r="R9" s="24" t="str">
        <f t="shared" si="1"/>
        <v>LIQUIDAR</v>
      </c>
    </row>
    <row r="10" spans="1:18" ht="13.5" customHeight="1" x14ac:dyDescent="0.3">
      <c r="A10" s="21" t="s">
        <v>2494</v>
      </c>
      <c r="B10" s="20" t="s">
        <v>3656</v>
      </c>
      <c r="C10" s="20" t="s">
        <v>11472</v>
      </c>
      <c r="D10" s="20" t="s">
        <v>26</v>
      </c>
      <c r="E10" s="20">
        <v>2026</v>
      </c>
      <c r="F10" s="20" t="s">
        <v>11475</v>
      </c>
      <c r="G10" s="20">
        <v>14</v>
      </c>
      <c r="H10" s="20">
        <v>5250</v>
      </c>
      <c r="I10" s="19" t="s">
        <v>5142</v>
      </c>
      <c r="J10" s="11" t="str">
        <f t="shared" si="0"/>
        <v>HUNTERHUNTER 4X4 2.02026</v>
      </c>
      <c r="K10" s="12"/>
      <c r="L10" s="10">
        <f>IFERROR(_xlfn.XLOOKUP(F10,'PRECIO TOMA HISTORICO '!$A:$A,'PRECIO TOMA HISTORICO '!$B:$B,_xlfn.XLOOKUP(F10,BBDD!$S:$S,BBDD!$AO:$AO,"",0,1),0,-1),"")</f>
        <v>15000000</v>
      </c>
      <c r="M10" s="9"/>
      <c r="N10" s="10">
        <f>_xlfn.XLOOKUP(F10,BBDD!$S:$S,BBDD!$AS:$AS)</f>
        <v>17990000</v>
      </c>
      <c r="O10" s="10">
        <f>IFERROR(VLOOKUP(F10,'PRECIO MERCADO'!D:E,2,0),"0")</f>
        <v>17100000</v>
      </c>
      <c r="P10" s="10">
        <f>_xlfn.XLOOKUP(F10,BBDD!$S:$S,BBDD!$AO:$AO)</f>
        <v>15000000</v>
      </c>
      <c r="Q10" s="10">
        <f>_xlfn.XLOOKUP(F10,BBDD!$S:$S,BBDD!$AR:$AR)</f>
        <v>15354240</v>
      </c>
      <c r="R10" s="24" t="str">
        <f t="shared" si="1"/>
        <v>ROTACION ALTA</v>
      </c>
    </row>
    <row r="11" spans="1:18" ht="13.5" customHeight="1" x14ac:dyDescent="0.3">
      <c r="A11" s="21" t="s">
        <v>2494</v>
      </c>
      <c r="B11" s="20" t="s">
        <v>11495</v>
      </c>
      <c r="C11" s="20" t="s">
        <v>11496</v>
      </c>
      <c r="D11" s="20" t="s">
        <v>16</v>
      </c>
      <c r="E11" s="20">
        <v>2023</v>
      </c>
      <c r="F11" s="20" t="s">
        <v>11499</v>
      </c>
      <c r="G11" s="20">
        <v>6</v>
      </c>
      <c r="H11" s="20">
        <v>34836</v>
      </c>
      <c r="I11" s="19" t="s">
        <v>5142</v>
      </c>
      <c r="J11" s="11" t="str">
        <f t="shared" si="0"/>
        <v>MS201MS201 DCAB 1.22023</v>
      </c>
      <c r="K11" s="12"/>
      <c r="L11" s="10">
        <f>IFERROR(_xlfn.XLOOKUP(F11,'PRECIO TOMA HISTORICO '!$A:$A,'PRECIO TOMA HISTORICO '!$B:$B,_xlfn.XLOOKUP(F11,BBDD!$S:$S,BBDD!$AO:$AO,"",0,1),0,-1),"")</f>
        <v>5100000</v>
      </c>
      <c r="M11" s="9"/>
      <c r="N11" s="10">
        <f>_xlfn.XLOOKUP(F11,BBDD!$S:$S,BBDD!$AS:$AS)</f>
        <v>6290000</v>
      </c>
      <c r="O11" s="10">
        <f>IFERROR(VLOOKUP(F11,'PRECIO MERCADO'!D:E,2,0),"0")</f>
        <v>7060000</v>
      </c>
      <c r="P11" s="10">
        <f>_xlfn.XLOOKUP(F11,BBDD!$S:$S,BBDD!$AO:$AO)</f>
        <v>5100000</v>
      </c>
      <c r="Q11" s="10">
        <f>_xlfn.XLOOKUP(F11,BBDD!$S:$S,BBDD!$AR:$AR)</f>
        <v>5305740</v>
      </c>
      <c r="R11" s="24" t="str">
        <f t="shared" si="1"/>
        <v>ROTACION ALTA</v>
      </c>
    </row>
    <row r="12" spans="1:18" ht="13.5" customHeight="1" x14ac:dyDescent="0.3">
      <c r="A12" s="21" t="s">
        <v>2494</v>
      </c>
      <c r="B12" s="20" t="s">
        <v>10292</v>
      </c>
      <c r="C12" s="20" t="s">
        <v>11019</v>
      </c>
      <c r="D12" s="20" t="s">
        <v>16</v>
      </c>
      <c r="E12" s="20">
        <v>2026</v>
      </c>
      <c r="F12" s="20" t="s">
        <v>10860</v>
      </c>
      <c r="G12" s="20">
        <v>21</v>
      </c>
      <c r="H12" s="20">
        <v>15600</v>
      </c>
      <c r="I12" s="19" t="s">
        <v>5142</v>
      </c>
      <c r="J12" s="11" t="str">
        <f t="shared" si="0"/>
        <v>X7X7 PLUS TURBO 1.52026</v>
      </c>
      <c r="K12" s="12"/>
      <c r="L12" s="10">
        <f>IFERROR(_xlfn.XLOOKUP(F12,'PRECIO TOMA HISTORICO '!$A:$A,'PRECIO TOMA HISTORICO '!$B:$B,_xlfn.XLOOKUP(F12,BBDD!$S:$S,BBDD!$AO:$AO,"",0,1),0,-1),"")</f>
        <v>11550000</v>
      </c>
      <c r="M12" s="9"/>
      <c r="N12" s="10">
        <f>_xlfn.XLOOKUP(F12,BBDD!$S:$S,BBDD!$AS:$AS)</f>
        <v>14200000</v>
      </c>
      <c r="O12" s="10">
        <f>IFERROR(VLOOKUP(F12,'PRECIO MERCADO'!D:E,2,0),"0")</f>
        <v>14400000</v>
      </c>
      <c r="P12" s="10">
        <f>_xlfn.XLOOKUP(F12,BBDD!$S:$S,BBDD!$AO:$AO)</f>
        <v>11550000</v>
      </c>
      <c r="Q12" s="10">
        <f>_xlfn.XLOOKUP(F12,BBDD!$S:$S,BBDD!$AR:$AR)</f>
        <v>11852490</v>
      </c>
      <c r="R12" s="24" t="str">
        <f t="shared" si="1"/>
        <v>ROTACION ALTA</v>
      </c>
    </row>
    <row r="13" spans="1:18" ht="13.5" customHeight="1" x14ac:dyDescent="0.3">
      <c r="A13" s="20" t="s">
        <v>28</v>
      </c>
      <c r="B13" s="20" t="s">
        <v>2496</v>
      </c>
      <c r="C13" s="20" t="s">
        <v>4025</v>
      </c>
      <c r="D13" s="20" t="s">
        <v>26</v>
      </c>
      <c r="E13" s="20">
        <v>2021</v>
      </c>
      <c r="F13" s="20" t="s">
        <v>11706</v>
      </c>
      <c r="G13" s="20">
        <v>14</v>
      </c>
      <c r="H13" s="20">
        <v>30197</v>
      </c>
      <c r="I13" s="19" t="s">
        <v>5142</v>
      </c>
      <c r="J13" s="11" t="str">
        <f t="shared" si="0"/>
        <v>TIGGO 2TIGGO 2 1.52021</v>
      </c>
      <c r="K13" s="12"/>
      <c r="L13" s="10">
        <f>IFERROR(_xlfn.XLOOKUP(F13,'PRECIO TOMA HISTORICO '!$A:$A,'PRECIO TOMA HISTORICO '!$B:$B,_xlfn.XLOOKUP(F13,BBDD!$S:$S,BBDD!$AO:$AO,"",0,1),0,-1),"")</f>
        <v>6000000</v>
      </c>
      <c r="M13" s="9"/>
      <c r="N13" s="10">
        <f>_xlfn.XLOOKUP(F13,BBDD!$S:$S,BBDD!$AS:$AS)</f>
        <v>7290000</v>
      </c>
      <c r="O13" s="10">
        <f>IFERROR(VLOOKUP(F13,'PRECIO MERCADO'!D:E,2,0),"0")</f>
        <v>7310000</v>
      </c>
      <c r="P13" s="10">
        <f>_xlfn.XLOOKUP(F13,BBDD!$S:$S,BBDD!$AO:$AO)</f>
        <v>6000000</v>
      </c>
      <c r="Q13" s="10">
        <f>_xlfn.XLOOKUP(F13,BBDD!$S:$S,BBDD!$AR:$AR)</f>
        <v>6219240</v>
      </c>
      <c r="R13" s="24" t="str">
        <f t="shared" si="1"/>
        <v>ROTACION ALTA</v>
      </c>
    </row>
    <row r="14" spans="1:18" ht="13.5" customHeight="1" x14ac:dyDescent="0.3">
      <c r="A14" s="21" t="s">
        <v>28</v>
      </c>
      <c r="B14" s="20" t="s">
        <v>2575</v>
      </c>
      <c r="C14" s="20" t="s">
        <v>10966</v>
      </c>
      <c r="D14" s="20" t="s">
        <v>40</v>
      </c>
      <c r="E14" s="20">
        <v>2024</v>
      </c>
      <c r="F14" s="20" t="s">
        <v>689</v>
      </c>
      <c r="G14" s="20">
        <v>74</v>
      </c>
      <c r="H14" s="20">
        <v>30883</v>
      </c>
      <c r="I14" s="19" t="s">
        <v>5142</v>
      </c>
      <c r="J14" s="11" t="str">
        <f t="shared" si="0"/>
        <v>TIGGO 2 PROTIGGO 2 PRO FL GLS 1.5 AUT2024</v>
      </c>
      <c r="K14" s="12"/>
      <c r="L14" s="10">
        <f>IFERROR(_xlfn.XLOOKUP(F14,'PRECIO TOMA HISTORICO '!$A:$A,'PRECIO TOMA HISTORICO '!$B:$B,_xlfn.XLOOKUP(F14,BBDD!$S:$S,BBDD!$AO:$AO,"",0,1),0,-1),"")</f>
        <v>7500000</v>
      </c>
      <c r="M14" s="9"/>
      <c r="N14" s="10">
        <f>_xlfn.XLOOKUP(F14,BBDD!$S:$S,BBDD!$AS:$AS)</f>
        <v>9290000</v>
      </c>
      <c r="O14" s="10">
        <f>IFERROR(VLOOKUP(F14,'PRECIO MERCADO'!D:E,2,0),"0")</f>
        <v>9400000</v>
      </c>
      <c r="P14" s="10">
        <f>_xlfn.XLOOKUP(F14,BBDD!$S:$S,BBDD!$AO:$AO)</f>
        <v>7500000</v>
      </c>
      <c r="Q14" s="10">
        <f>_xlfn.XLOOKUP(F14,BBDD!$S:$S,BBDD!$AR:$AR)</f>
        <v>7741740</v>
      </c>
      <c r="R14" s="24" t="str">
        <f t="shared" si="1"/>
        <v>LIQUIDAR</v>
      </c>
    </row>
    <row r="15" spans="1:18" ht="13.5" customHeight="1" x14ac:dyDescent="0.3">
      <c r="A15" s="21" t="s">
        <v>28</v>
      </c>
      <c r="B15" s="21" t="s">
        <v>2575</v>
      </c>
      <c r="C15" s="20" t="s">
        <v>4032</v>
      </c>
      <c r="D15" s="20" t="s">
        <v>26</v>
      </c>
      <c r="E15" s="20">
        <v>2022</v>
      </c>
      <c r="F15" s="20" t="s">
        <v>11583</v>
      </c>
      <c r="G15" s="20">
        <v>14</v>
      </c>
      <c r="H15" s="20">
        <v>20125</v>
      </c>
      <c r="I15" s="19" t="s">
        <v>5142</v>
      </c>
      <c r="J15" s="11" t="str">
        <f t="shared" si="0"/>
        <v>TIGGO 2 PROTIGGO 2 PRO GLS MT 1.52022</v>
      </c>
      <c r="K15" s="12"/>
      <c r="L15" s="10">
        <f>IFERROR(_xlfn.XLOOKUP(F15,'PRECIO TOMA HISTORICO '!$A:$A,'PRECIO TOMA HISTORICO '!$B:$B,_xlfn.XLOOKUP(F15,BBDD!$S:$S,BBDD!$AO:$AO,"",0,1),0,-1),"")</f>
        <v>6200000</v>
      </c>
      <c r="M15" s="9"/>
      <c r="N15" s="10">
        <f>_xlfn.XLOOKUP(F15,BBDD!$S:$S,BBDD!$AS:$AS)</f>
        <v>7590000</v>
      </c>
      <c r="O15" s="10">
        <f>IFERROR(VLOOKUP(F15,'PRECIO MERCADO'!D:E,2,0),"0")</f>
        <v>7640000</v>
      </c>
      <c r="P15" s="10">
        <f>_xlfn.XLOOKUP(F15,BBDD!$S:$S,BBDD!$AO:$AO)</f>
        <v>6200000</v>
      </c>
      <c r="Q15" s="10">
        <f>_xlfn.XLOOKUP(F15,BBDD!$S:$S,BBDD!$AR:$AR)</f>
        <v>6422240</v>
      </c>
      <c r="R15" s="24" t="str">
        <f t="shared" si="1"/>
        <v>ROTACION ALTA</v>
      </c>
    </row>
    <row r="16" spans="1:18" ht="13.5" customHeight="1" x14ac:dyDescent="0.3">
      <c r="A16" s="21" t="s">
        <v>28</v>
      </c>
      <c r="B16" s="21" t="s">
        <v>2575</v>
      </c>
      <c r="C16" s="21" t="s">
        <v>4032</v>
      </c>
      <c r="D16" s="21" t="s">
        <v>26</v>
      </c>
      <c r="E16" s="20">
        <v>2023</v>
      </c>
      <c r="F16" s="20" t="s">
        <v>11489</v>
      </c>
      <c r="G16" s="20">
        <v>14</v>
      </c>
      <c r="H16" s="20">
        <v>24500</v>
      </c>
      <c r="I16" s="19" t="s">
        <v>5142</v>
      </c>
      <c r="J16" s="11" t="str">
        <f t="shared" si="0"/>
        <v>TIGGO 2 PROTIGGO 2 PRO GLS MT 1.52023</v>
      </c>
      <c r="K16" s="12"/>
      <c r="L16" s="10">
        <f>IFERROR(_xlfn.XLOOKUP(F16,'PRECIO TOMA HISTORICO '!$A:$A,'PRECIO TOMA HISTORICO '!$B:$B,_xlfn.XLOOKUP(F16,BBDD!$S:$S,BBDD!$AO:$AO,"",0,1),0,-1),"")</f>
        <v>6500000</v>
      </c>
      <c r="M16" s="9"/>
      <c r="N16" s="10">
        <f>_xlfn.XLOOKUP(F16,BBDD!$S:$S,BBDD!$AS:$AS)</f>
        <v>7890000</v>
      </c>
      <c r="O16" s="10">
        <f>IFERROR(VLOOKUP(F16,'PRECIO MERCADO'!D:E,2,0),"0")</f>
        <v>8000000</v>
      </c>
      <c r="P16" s="10">
        <f>_xlfn.XLOOKUP(F16,BBDD!$S:$S,BBDD!$AO:$AO)</f>
        <v>6500000</v>
      </c>
      <c r="Q16" s="10">
        <f>_xlfn.XLOOKUP(F16,BBDD!$S:$S,BBDD!$AR:$AR)</f>
        <v>6726740</v>
      </c>
      <c r="R16" s="24" t="str">
        <f t="shared" si="1"/>
        <v>ROTACION ALTA</v>
      </c>
    </row>
    <row r="17" spans="1:18" ht="13.5" customHeight="1" x14ac:dyDescent="0.3">
      <c r="A17" s="21" t="s">
        <v>28</v>
      </c>
      <c r="B17" s="20" t="s">
        <v>31</v>
      </c>
      <c r="C17" s="20" t="s">
        <v>32</v>
      </c>
      <c r="D17" s="20" t="s">
        <v>33</v>
      </c>
      <c r="E17" s="20">
        <v>2021</v>
      </c>
      <c r="F17" s="20" t="s">
        <v>34</v>
      </c>
      <c r="G17" s="20">
        <v>328</v>
      </c>
      <c r="H17" s="20">
        <v>40095</v>
      </c>
      <c r="I17" s="19" t="s">
        <v>5142</v>
      </c>
      <c r="J17" s="11" t="str">
        <f t="shared" si="0"/>
        <v>TIGGO 3TIGGO 3 1.52021</v>
      </c>
      <c r="K17" s="12"/>
      <c r="L17" s="10">
        <f>IFERROR(_xlfn.XLOOKUP(F17,'PRECIO TOMA HISTORICO '!$A:$A,'PRECIO TOMA HISTORICO '!$B:$B,_xlfn.XLOOKUP(F17,BBDD!$S:$S,BBDD!$AO:$AO,"",0,1),0,-1),"")</f>
        <v>6200000</v>
      </c>
      <c r="M17" s="9"/>
      <c r="N17" s="10">
        <f>_xlfn.XLOOKUP(F17,BBDD!$S:$S,BBDD!$AS:$AS)</f>
        <v>8190000</v>
      </c>
      <c r="O17" s="10">
        <f>IFERROR(VLOOKUP(F17,'PRECIO MERCADO'!D:E,2,0),"0")</f>
        <v>8400000</v>
      </c>
      <c r="P17" s="10">
        <f>_xlfn.XLOOKUP(F17,BBDD!$S:$S,BBDD!$AO:$AO)</f>
        <v>6200000</v>
      </c>
      <c r="Q17" s="10">
        <f>_xlfn.XLOOKUP(F17,BBDD!$S:$S,BBDD!$AR:$AR)</f>
        <v>6419030</v>
      </c>
      <c r="R17" s="24" t="str">
        <f t="shared" si="1"/>
        <v>LIQUIDAR</v>
      </c>
    </row>
    <row r="18" spans="1:18" ht="13.5" customHeight="1" x14ac:dyDescent="0.3">
      <c r="A18" s="21" t="s">
        <v>28</v>
      </c>
      <c r="B18" s="20" t="s">
        <v>35</v>
      </c>
      <c r="C18" s="20" t="s">
        <v>36</v>
      </c>
      <c r="D18" s="20" t="s">
        <v>26</v>
      </c>
      <c r="E18" s="20">
        <v>2026</v>
      </c>
      <c r="F18" s="20" t="s">
        <v>37</v>
      </c>
      <c r="G18" s="20">
        <v>138</v>
      </c>
      <c r="H18" s="20">
        <v>22255</v>
      </c>
      <c r="I18" s="19" t="s">
        <v>5142</v>
      </c>
      <c r="J18" s="11" t="str">
        <f t="shared" si="0"/>
        <v>TIGGO 3 PROTIGGO 3 PRO GLS 1.5 AUT2026</v>
      </c>
      <c r="K18" s="12"/>
      <c r="L18" s="10">
        <f>IFERROR(_xlfn.XLOOKUP(F18,'PRECIO TOMA HISTORICO '!$A:$A,'PRECIO TOMA HISTORICO '!$B:$B,_xlfn.XLOOKUP(F18,BBDD!$S:$S,BBDD!$AO:$AO,"",0,1),0,-1),"")</f>
        <v>10000000</v>
      </c>
      <c r="M18" s="9"/>
      <c r="N18" s="10">
        <f>_xlfn.XLOOKUP(F18,BBDD!$S:$S,BBDD!$AS:$AS)</f>
        <v>11690000</v>
      </c>
      <c r="O18" s="10">
        <f>IFERROR(VLOOKUP(F18,'PRECIO MERCADO'!D:E,2,0),"0")</f>
        <v>11300000</v>
      </c>
      <c r="P18" s="10">
        <f>_xlfn.XLOOKUP(F18,BBDD!$S:$S,BBDD!$AO:$AO)</f>
        <v>10000000</v>
      </c>
      <c r="Q18" s="10">
        <f>_xlfn.XLOOKUP(F18,BBDD!$S:$S,BBDD!$AR:$AR)</f>
        <v>10279240</v>
      </c>
      <c r="R18" s="24" t="str">
        <f t="shared" si="1"/>
        <v>LIQUIDAR</v>
      </c>
    </row>
    <row r="19" spans="1:18" ht="13.5" customHeight="1" x14ac:dyDescent="0.3">
      <c r="A19" s="21" t="s">
        <v>28</v>
      </c>
      <c r="B19" s="21" t="s">
        <v>35</v>
      </c>
      <c r="C19" s="20" t="s">
        <v>8528</v>
      </c>
      <c r="D19" s="20" t="s">
        <v>26</v>
      </c>
      <c r="E19" s="20">
        <v>2024</v>
      </c>
      <c r="F19" s="20" t="s">
        <v>544</v>
      </c>
      <c r="G19" s="20">
        <v>378</v>
      </c>
      <c r="H19" s="20">
        <v>0</v>
      </c>
      <c r="I19" s="19" t="s">
        <v>8491</v>
      </c>
      <c r="J19" s="11" t="str">
        <f t="shared" si="0"/>
        <v>TIGGO 3 PROTIGGO 3 PRO GLX 1.52024</v>
      </c>
      <c r="K19" s="12"/>
      <c r="L19" s="10">
        <f>IFERROR(_xlfn.XLOOKUP(F19,'PRECIO TOMA HISTORICO '!$A:$A,'PRECIO TOMA HISTORICO '!$B:$B,_xlfn.XLOOKUP(F19,BBDD!$S:$S,BBDD!$AO:$AO,"",0,1),0,-1),"")</f>
        <v>13000000</v>
      </c>
      <c r="M19" s="9"/>
      <c r="N19" s="10">
        <f>_xlfn.XLOOKUP(F19,BBDD!$S:$S,BBDD!$AS:$AS)</f>
        <v>11990000</v>
      </c>
      <c r="O19" s="10">
        <f>IFERROR(VLOOKUP(F19,'PRECIO MERCADO'!D:E,2,0),"0")</f>
        <v>10400000</v>
      </c>
      <c r="P19" s="10">
        <f>_xlfn.XLOOKUP(F19,BBDD!$S:$S,BBDD!$AO:$AO)</f>
        <v>11990000</v>
      </c>
      <c r="Q19" s="10">
        <f>_xlfn.XLOOKUP(F19,BBDD!$S:$S,BBDD!$AR:$AR)</f>
        <v>11990000</v>
      </c>
      <c r="R19" s="24" t="str">
        <f t="shared" si="1"/>
        <v>LIQUIDAR</v>
      </c>
    </row>
    <row r="20" spans="1:18" ht="13.5" customHeight="1" x14ac:dyDescent="0.3">
      <c r="A20" s="21" t="s">
        <v>28</v>
      </c>
      <c r="B20" s="21" t="s">
        <v>35</v>
      </c>
      <c r="C20" s="21" t="s">
        <v>8528</v>
      </c>
      <c r="D20" s="20" t="s">
        <v>16</v>
      </c>
      <c r="E20" s="20">
        <v>2025</v>
      </c>
      <c r="F20" s="20" t="s">
        <v>11428</v>
      </c>
      <c r="G20" s="20">
        <v>14</v>
      </c>
      <c r="H20" s="20">
        <v>15440</v>
      </c>
      <c r="I20" s="19" t="s">
        <v>5142</v>
      </c>
      <c r="J20" s="11" t="str">
        <f t="shared" si="0"/>
        <v>TIGGO 3 PROTIGGO 3 PRO GLX 1.52025</v>
      </c>
      <c r="K20" s="12"/>
      <c r="L20" s="10">
        <f>IFERROR(_xlfn.XLOOKUP(F20,'PRECIO TOMA HISTORICO '!$A:$A,'PRECIO TOMA HISTORICO '!$B:$B,_xlfn.XLOOKUP(F20,BBDD!$S:$S,BBDD!$AO:$AO,"",0,1),0,-1),"")</f>
        <v>8400000</v>
      </c>
      <c r="M20" s="9"/>
      <c r="N20" s="10">
        <f>_xlfn.XLOOKUP(F20,BBDD!$S:$S,BBDD!$AS:$AS)</f>
        <v>10490000</v>
      </c>
      <c r="O20" s="10">
        <f>IFERROR(VLOOKUP(F20,'PRECIO MERCADO'!D:E,2,0),"0")</f>
        <v>10900000</v>
      </c>
      <c r="P20" s="10">
        <f>_xlfn.XLOOKUP(F20,BBDD!$S:$S,BBDD!$AO:$AO)</f>
        <v>8400000</v>
      </c>
      <c r="Q20" s="10">
        <f>_xlfn.XLOOKUP(F20,BBDD!$S:$S,BBDD!$AR:$AR)</f>
        <v>8655240</v>
      </c>
      <c r="R20" s="24" t="str">
        <f t="shared" si="1"/>
        <v>ROTACION ALTA</v>
      </c>
    </row>
    <row r="21" spans="1:18" ht="13.5" customHeight="1" x14ac:dyDescent="0.3">
      <c r="A21" s="21" t="s">
        <v>28</v>
      </c>
      <c r="B21" s="20" t="s">
        <v>38</v>
      </c>
      <c r="C21" s="20" t="s">
        <v>39</v>
      </c>
      <c r="D21" s="20" t="s">
        <v>40</v>
      </c>
      <c r="E21" s="20">
        <v>2022</v>
      </c>
      <c r="F21" s="20" t="s">
        <v>41</v>
      </c>
      <c r="G21" s="20">
        <v>223</v>
      </c>
      <c r="H21" s="20">
        <v>56079</v>
      </c>
      <c r="I21" s="19" t="s">
        <v>5142</v>
      </c>
      <c r="J21" s="11" t="str">
        <f t="shared" si="0"/>
        <v>TIGGO 7 PROTIGGO 7 GLX CVT PRO 1.5 AUT2022</v>
      </c>
      <c r="K21" s="12"/>
      <c r="L21" s="10">
        <f>IFERROR(_xlfn.XLOOKUP(F21,'PRECIO TOMA HISTORICO '!$A:$A,'PRECIO TOMA HISTORICO '!$B:$B,_xlfn.XLOOKUP(F21,BBDD!$S:$S,BBDD!$AO:$AO,"",0,1),0,-1),"")</f>
        <v>10000000</v>
      </c>
      <c r="M21" s="9"/>
      <c r="N21" s="10">
        <f>_xlfn.XLOOKUP(F21,BBDD!$S:$S,BBDD!$AS:$AS)</f>
        <v>11990000</v>
      </c>
      <c r="O21" s="10">
        <f>IFERROR(VLOOKUP(F21,'PRECIO MERCADO'!D:E,2,0),"0")</f>
        <v>11900000</v>
      </c>
      <c r="P21" s="10">
        <f>_xlfn.XLOOKUP(F21,BBDD!$S:$S,BBDD!$AO:$AO)</f>
        <v>10000000</v>
      </c>
      <c r="Q21" s="10">
        <f>_xlfn.XLOOKUP(F21,BBDD!$S:$S,BBDD!$AR:$AR)</f>
        <v>10276030</v>
      </c>
      <c r="R21" s="24" t="str">
        <f t="shared" si="1"/>
        <v>LIQUIDAR</v>
      </c>
    </row>
    <row r="22" spans="1:18" ht="13.5" customHeight="1" x14ac:dyDescent="0.3">
      <c r="A22" s="21" t="s">
        <v>28</v>
      </c>
      <c r="B22" s="20" t="s">
        <v>42</v>
      </c>
      <c r="C22" s="20" t="s">
        <v>10913</v>
      </c>
      <c r="D22" s="20" t="s">
        <v>16</v>
      </c>
      <c r="E22" s="20">
        <v>2026</v>
      </c>
      <c r="F22" s="20" t="s">
        <v>10542</v>
      </c>
      <c r="G22" s="20">
        <v>19</v>
      </c>
      <c r="H22" s="20">
        <v>1504</v>
      </c>
      <c r="I22" s="19" t="s">
        <v>5142</v>
      </c>
      <c r="J22" s="11" t="str">
        <f t="shared" si="0"/>
        <v>TIGGO 8TIGGO 8 LTD 1.52026</v>
      </c>
      <c r="K22" s="12"/>
      <c r="L22" s="10">
        <f>IFERROR(_xlfn.XLOOKUP(F22,'PRECIO TOMA HISTORICO '!$A:$A,'PRECIO TOMA HISTORICO '!$B:$B,_xlfn.XLOOKUP(F22,BBDD!$S:$S,BBDD!$AO:$AO,"",0,1),0,-1),"")</f>
        <v>10300000</v>
      </c>
      <c r="M22" s="9"/>
      <c r="N22" s="10">
        <f>_xlfn.XLOOKUP(F22,BBDD!$S:$S,BBDD!$AS:$AS)</f>
        <v>11990000</v>
      </c>
      <c r="O22" s="10">
        <f>IFERROR(VLOOKUP(F22,'PRECIO MERCADO'!D:E,2,0),"0")</f>
        <v>13100000</v>
      </c>
      <c r="P22" s="10">
        <f>_xlfn.XLOOKUP(F22,BBDD!$S:$S,BBDD!$AO:$AO)</f>
        <v>10300000</v>
      </c>
      <c r="Q22" s="10">
        <f>_xlfn.XLOOKUP(F22,BBDD!$S:$S,BBDD!$AR:$AR)</f>
        <v>10583740</v>
      </c>
      <c r="R22" s="24" t="str">
        <f t="shared" si="1"/>
        <v>ROTACION ALTA</v>
      </c>
    </row>
    <row r="23" spans="1:18" ht="13.5" customHeight="1" x14ac:dyDescent="0.3">
      <c r="A23" s="21" t="s">
        <v>28</v>
      </c>
      <c r="B23" s="20" t="s">
        <v>10254</v>
      </c>
      <c r="C23" s="20" t="s">
        <v>10255</v>
      </c>
      <c r="D23" s="20" t="s">
        <v>26</v>
      </c>
      <c r="E23" s="20">
        <v>2026</v>
      </c>
      <c r="F23" s="20" t="s">
        <v>10009</v>
      </c>
      <c r="G23" s="20">
        <v>47</v>
      </c>
      <c r="H23" s="20">
        <v>3500</v>
      </c>
      <c r="I23" s="19" t="s">
        <v>5142</v>
      </c>
      <c r="J23" s="11" t="str">
        <f t="shared" si="0"/>
        <v>TIGGO 8 PRO MAXTIGGO 8 PRO MAX GLX 1.5 AUT2026</v>
      </c>
      <c r="K23" s="12"/>
      <c r="L23" s="10">
        <f>IFERROR(_xlfn.XLOOKUP(F23,'PRECIO TOMA HISTORICO '!$A:$A,'PRECIO TOMA HISTORICO '!$B:$B,_xlfn.XLOOKUP(F23,BBDD!$S:$S,BBDD!$AO:$AO,"",0,1),0,-1),"")</f>
        <v>21700000</v>
      </c>
      <c r="M23" s="9"/>
      <c r="N23" s="10">
        <f>_xlfn.XLOOKUP(F23,BBDD!$S:$S,BBDD!$AS:$AS)</f>
        <v>26990000</v>
      </c>
      <c r="O23" s="10">
        <f>IFERROR(VLOOKUP(F23,'PRECIO MERCADO'!D:E,2,0),"0")</f>
        <v>25900000</v>
      </c>
      <c r="P23" s="10">
        <f>_xlfn.XLOOKUP(F23,BBDD!$S:$S,BBDD!$AO:$AO)</f>
        <v>22500000</v>
      </c>
      <c r="Q23" s="10">
        <f>_xlfn.XLOOKUP(F23,BBDD!$S:$S,BBDD!$AR:$AR)</f>
        <v>22966740</v>
      </c>
      <c r="R23" s="24" t="str">
        <f t="shared" si="1"/>
        <v>ROTACION BAJA</v>
      </c>
    </row>
    <row r="24" spans="1:18" ht="13.5" customHeight="1" x14ac:dyDescent="0.3">
      <c r="A24" s="20" t="s">
        <v>45</v>
      </c>
      <c r="B24" s="20" t="s">
        <v>46</v>
      </c>
      <c r="C24" s="20" t="s">
        <v>4053</v>
      </c>
      <c r="D24" s="20" t="s">
        <v>26</v>
      </c>
      <c r="E24" s="20">
        <v>2024</v>
      </c>
      <c r="F24" s="20" t="s">
        <v>7758</v>
      </c>
      <c r="G24" s="20">
        <v>91</v>
      </c>
      <c r="H24" s="20">
        <v>12000</v>
      </c>
      <c r="I24" s="19" t="s">
        <v>5142</v>
      </c>
      <c r="J24" s="11" t="str">
        <f t="shared" si="0"/>
        <v>CAPTIVACAPTIVA 1.5 AT2024</v>
      </c>
      <c r="K24" s="12"/>
      <c r="L24" s="10">
        <f>IFERROR(_xlfn.XLOOKUP(F24,'PRECIO TOMA HISTORICO '!$A:$A,'PRECIO TOMA HISTORICO '!$B:$B,_xlfn.XLOOKUP(F24,BBDD!$S:$S,BBDD!$AO:$AO,"",0,1),0,-1),"")</f>
        <v>12400000</v>
      </c>
      <c r="M24" s="9"/>
      <c r="N24" s="10">
        <f>_xlfn.XLOOKUP(F24,BBDD!$S:$S,BBDD!$AS:$AS)</f>
        <v>14590000</v>
      </c>
      <c r="O24" s="10">
        <f>IFERROR(VLOOKUP(F24,'PRECIO MERCADO'!D:E,2,0),"0")</f>
        <v>14700000</v>
      </c>
      <c r="P24" s="10">
        <f>_xlfn.XLOOKUP(F24,BBDD!$S:$S,BBDD!$AO:$AO)</f>
        <v>12400000</v>
      </c>
      <c r="Q24" s="10">
        <f>_xlfn.XLOOKUP(F24,BBDD!$S:$S,BBDD!$AR:$AR)</f>
        <v>12715240</v>
      </c>
      <c r="R24" s="24" t="str">
        <f t="shared" si="1"/>
        <v>LIQUIDAR</v>
      </c>
    </row>
    <row r="25" spans="1:18" ht="13.5" customHeight="1" x14ac:dyDescent="0.3">
      <c r="A25" s="21" t="s">
        <v>45</v>
      </c>
      <c r="B25" s="21" t="s">
        <v>46</v>
      </c>
      <c r="C25" s="20" t="s">
        <v>47</v>
      </c>
      <c r="D25" s="20" t="s">
        <v>40</v>
      </c>
      <c r="E25" s="20">
        <v>2017</v>
      </c>
      <c r="F25" s="20" t="s">
        <v>48</v>
      </c>
      <c r="G25" s="20">
        <v>384</v>
      </c>
      <c r="H25" s="20">
        <v>75000</v>
      </c>
      <c r="I25" s="19" t="s">
        <v>5142</v>
      </c>
      <c r="J25" s="11" t="str">
        <f t="shared" si="0"/>
        <v>CAPTIVACAPTIVA LS 2.4 AT2017</v>
      </c>
      <c r="K25" s="13"/>
      <c r="L25" s="10">
        <f>IFERROR(_xlfn.XLOOKUP(F25,'PRECIO TOMA HISTORICO '!$A:$A,'PRECIO TOMA HISTORICO '!$B:$B,_xlfn.XLOOKUP(F25,BBDD!$S:$S,BBDD!$AO:$AO,"",0,1),0,-1),"")</f>
        <v>7300000</v>
      </c>
      <c r="M25" s="9"/>
      <c r="N25" s="10">
        <f>_xlfn.XLOOKUP(F25,BBDD!$S:$S,BBDD!$AS:$AS)</f>
        <v>9590000</v>
      </c>
      <c r="O25" s="10">
        <f>IFERROR(VLOOKUP(F25,'PRECIO MERCADO'!D:E,2,0),"0")</f>
        <v>9300000</v>
      </c>
      <c r="P25" s="10">
        <f>_xlfn.XLOOKUP(F25,BBDD!$S:$S,BBDD!$AO:$AO)</f>
        <v>7300000</v>
      </c>
      <c r="Q25" s="10">
        <f>_xlfn.XLOOKUP(F25,BBDD!$S:$S,BBDD!$AR:$AR)</f>
        <v>7535530</v>
      </c>
      <c r="R25" s="24" t="str">
        <f t="shared" si="1"/>
        <v>LIQUIDAR</v>
      </c>
    </row>
    <row r="26" spans="1:18" ht="13.5" customHeight="1" x14ac:dyDescent="0.3">
      <c r="A26" s="21" t="s">
        <v>45</v>
      </c>
      <c r="B26" s="20" t="s">
        <v>2764</v>
      </c>
      <c r="C26" s="20" t="s">
        <v>4066</v>
      </c>
      <c r="D26" s="20" t="s">
        <v>63</v>
      </c>
      <c r="E26" s="20">
        <v>2023</v>
      </c>
      <c r="F26" s="20" t="s">
        <v>9967</v>
      </c>
      <c r="G26" s="20">
        <v>55</v>
      </c>
      <c r="H26" s="20">
        <v>52000</v>
      </c>
      <c r="I26" s="19" t="s">
        <v>5142</v>
      </c>
      <c r="J26" s="11" t="str">
        <f t="shared" si="0"/>
        <v>GROOVEGROOVE 1.52023</v>
      </c>
      <c r="K26" s="13"/>
      <c r="L26" s="10">
        <f>IFERROR(_xlfn.XLOOKUP(F26,'PRECIO TOMA HISTORICO '!$A:$A,'PRECIO TOMA HISTORICO '!$B:$B,_xlfn.XLOOKUP(F26,BBDD!$S:$S,BBDD!$AO:$AO,"",0,1),0,-1),"")</f>
        <v>7800000</v>
      </c>
      <c r="M26" s="9"/>
      <c r="N26" s="10">
        <f>_xlfn.XLOOKUP(F26,BBDD!$S:$S,BBDD!$AS:$AS)</f>
        <v>9890000</v>
      </c>
      <c r="O26" s="10">
        <f>IFERROR(VLOOKUP(F26,'PRECIO MERCADO'!D:E,2,0),"0")</f>
        <v>9900000</v>
      </c>
      <c r="P26" s="10">
        <f>_xlfn.XLOOKUP(F26,BBDD!$S:$S,BBDD!$AO:$AO)</f>
        <v>8100000</v>
      </c>
      <c r="Q26" s="10">
        <f>_xlfn.XLOOKUP(F26,BBDD!$S:$S,BBDD!$AR:$AR)</f>
        <v>8350740</v>
      </c>
      <c r="R26" s="24" t="str">
        <f t="shared" si="1"/>
        <v>ROTACION BAJA</v>
      </c>
    </row>
    <row r="27" spans="1:18" ht="13.5" customHeight="1" x14ac:dyDescent="0.3">
      <c r="A27" s="21" t="s">
        <v>45</v>
      </c>
      <c r="B27" s="20" t="s">
        <v>49</v>
      </c>
      <c r="C27" s="20" t="s">
        <v>50</v>
      </c>
      <c r="D27" s="20" t="s">
        <v>63</v>
      </c>
      <c r="E27" s="20">
        <v>2023</v>
      </c>
      <c r="F27" s="20" t="s">
        <v>51</v>
      </c>
      <c r="G27" s="20">
        <v>327</v>
      </c>
      <c r="H27" s="20">
        <v>44495</v>
      </c>
      <c r="I27" s="19" t="s">
        <v>5142</v>
      </c>
      <c r="J27" s="11" t="str">
        <f t="shared" si="0"/>
        <v>SILVERADOSILVERADO CC LTZ 4X4 3.0 AUT2023</v>
      </c>
      <c r="K27" s="12"/>
      <c r="L27" s="10">
        <f>IFERROR(_xlfn.XLOOKUP(F27,'PRECIO TOMA HISTORICO '!$A:$A,'PRECIO TOMA HISTORICO '!$B:$B,_xlfn.XLOOKUP(F27,BBDD!$S:$S,BBDD!$AO:$AO,"",0,1),0,-1),"")</f>
        <v>48000000</v>
      </c>
      <c r="M27" s="9"/>
      <c r="N27" s="10">
        <f>_xlfn.XLOOKUP(F27,BBDD!$S:$S,BBDD!$AS:$AS)</f>
        <v>48990000</v>
      </c>
      <c r="O27" s="10">
        <f>IFERROR(VLOOKUP(F27,'PRECIO MERCADO'!D:E,2,0),"0")</f>
        <v>47500000</v>
      </c>
      <c r="P27" s="10">
        <f>_xlfn.XLOOKUP(F27,BBDD!$S:$S,BBDD!$AO:$AO)</f>
        <v>48000000</v>
      </c>
      <c r="Q27" s="10">
        <f>_xlfn.XLOOKUP(F27,BBDD!$S:$S,BBDD!$AR:$AR)</f>
        <v>48846030</v>
      </c>
      <c r="R27" s="24" t="str">
        <f t="shared" si="1"/>
        <v>LIQUIDAR</v>
      </c>
    </row>
    <row r="28" spans="1:18" ht="13.5" customHeight="1" x14ac:dyDescent="0.3">
      <c r="A28" s="20" t="s">
        <v>60</v>
      </c>
      <c r="B28" s="20" t="s">
        <v>61</v>
      </c>
      <c r="C28" s="20" t="s">
        <v>11435</v>
      </c>
      <c r="D28" s="20" t="s">
        <v>16</v>
      </c>
      <c r="E28" s="20">
        <v>2021</v>
      </c>
      <c r="F28" s="20" t="s">
        <v>11438</v>
      </c>
      <c r="G28" s="20">
        <v>14</v>
      </c>
      <c r="H28" s="20">
        <v>57477</v>
      </c>
      <c r="I28" s="19" t="s">
        <v>5142</v>
      </c>
      <c r="J28" s="11" t="str">
        <f t="shared" si="0"/>
        <v>C3C3 1.52021</v>
      </c>
      <c r="K28" s="12"/>
      <c r="L28" s="10">
        <f>IFERROR(_xlfn.XLOOKUP(F28,'PRECIO TOMA HISTORICO '!$A:$A,'PRECIO TOMA HISTORICO '!$B:$B,_xlfn.XLOOKUP(F28,BBDD!$S:$S,BBDD!$AO:$AO,"",0,1),0,-1),"")</f>
        <v>7600000</v>
      </c>
      <c r="M28" s="9"/>
      <c r="N28" s="10">
        <f>_xlfn.XLOOKUP(F28,BBDD!$S:$S,BBDD!$AS:$AS)</f>
        <v>9590000</v>
      </c>
      <c r="O28" s="10">
        <f>IFERROR(VLOOKUP(F28,'PRECIO MERCADO'!D:E,2,0),"0")</f>
        <v>9400000</v>
      </c>
      <c r="P28" s="10">
        <f>_xlfn.XLOOKUP(F28,BBDD!$S:$S,BBDD!$AO:$AO)</f>
        <v>7600000</v>
      </c>
      <c r="Q28" s="10">
        <f>_xlfn.XLOOKUP(F28,BBDD!$S:$S,BBDD!$AR:$AR)</f>
        <v>7843240</v>
      </c>
      <c r="R28" s="24" t="str">
        <f t="shared" si="1"/>
        <v>ROTACION ALTA</v>
      </c>
    </row>
    <row r="29" spans="1:18" ht="13.5" customHeight="1" x14ac:dyDescent="0.3">
      <c r="A29" s="21" t="s">
        <v>60</v>
      </c>
      <c r="B29" s="21" t="s">
        <v>61</v>
      </c>
      <c r="C29" s="20" t="s">
        <v>62</v>
      </c>
      <c r="D29" s="20" t="s">
        <v>40</v>
      </c>
      <c r="E29" s="20">
        <v>2019</v>
      </c>
      <c r="F29" s="20" t="s">
        <v>64</v>
      </c>
      <c r="G29" s="20">
        <v>134</v>
      </c>
      <c r="H29" s="20">
        <v>72580</v>
      </c>
      <c r="I29" s="19" t="s">
        <v>5142</v>
      </c>
      <c r="J29" s="11" t="str">
        <f t="shared" si="0"/>
        <v>C3C3 AIRCROSS 1.2 AUT2019</v>
      </c>
      <c r="K29" s="12"/>
      <c r="L29" s="10">
        <f>IFERROR(_xlfn.XLOOKUP(F29,'PRECIO TOMA HISTORICO '!$A:$A,'PRECIO TOMA HISTORICO '!$B:$B,_xlfn.XLOOKUP(F29,BBDD!$S:$S,BBDD!$AO:$AO,"",0,1),0,-1),"")</f>
        <v>8300000</v>
      </c>
      <c r="M29" s="9"/>
      <c r="N29" s="10">
        <f>_xlfn.XLOOKUP(F29,BBDD!$S:$S,BBDD!$AS:$AS)</f>
        <v>9290000</v>
      </c>
      <c r="O29" s="10">
        <f>IFERROR(VLOOKUP(F29,'PRECIO MERCADO'!D:E,2,0),"0")</f>
        <v>10700000</v>
      </c>
      <c r="P29" s="10">
        <f>_xlfn.XLOOKUP(F29,BBDD!$S:$S,BBDD!$AO:$AO)</f>
        <v>8300000</v>
      </c>
      <c r="Q29" s="10">
        <f>_xlfn.XLOOKUP(F29,BBDD!$S:$S,BBDD!$AR:$AR)</f>
        <v>8553740</v>
      </c>
      <c r="R29" s="24" t="str">
        <f t="shared" si="1"/>
        <v>LIQUIDAR</v>
      </c>
    </row>
    <row r="30" spans="1:18" ht="13.5" customHeight="1" x14ac:dyDescent="0.3">
      <c r="A30" s="21" t="s">
        <v>60</v>
      </c>
      <c r="B30" s="21" t="s">
        <v>61</v>
      </c>
      <c r="C30" s="20" t="s">
        <v>4109</v>
      </c>
      <c r="D30" s="20" t="s">
        <v>16</v>
      </c>
      <c r="E30" s="20">
        <v>2024</v>
      </c>
      <c r="F30" s="20" t="s">
        <v>742</v>
      </c>
      <c r="G30" s="20">
        <v>14</v>
      </c>
      <c r="H30" s="20">
        <v>38242</v>
      </c>
      <c r="I30" s="19" t="s">
        <v>5142</v>
      </c>
      <c r="J30" s="11" t="str">
        <f t="shared" si="0"/>
        <v>C3C3 PURETECH 4X2 1.22024</v>
      </c>
      <c r="K30" s="12"/>
      <c r="L30" s="10">
        <f>IFERROR(_xlfn.XLOOKUP(F30,'PRECIO TOMA HISTORICO '!$A:$A,'PRECIO TOMA HISTORICO '!$B:$B,_xlfn.XLOOKUP(F30,BBDD!$S:$S,BBDD!$AO:$AO,"",0,1),0,-1),"")</f>
        <v>7600000</v>
      </c>
      <c r="M30" s="9"/>
      <c r="N30" s="10">
        <f>_xlfn.XLOOKUP(F30,BBDD!$S:$S,BBDD!$AS:$AS)</f>
        <v>7990000</v>
      </c>
      <c r="O30" s="10">
        <f>IFERROR(VLOOKUP(F30,'PRECIO MERCADO'!D:E,2,0),"0")</f>
        <v>7830000</v>
      </c>
      <c r="P30" s="10">
        <f>_xlfn.XLOOKUP(F30,BBDD!$S:$S,BBDD!$AO:$AO)</f>
        <v>6600000</v>
      </c>
      <c r="Q30" s="10">
        <f>_xlfn.XLOOKUP(F30,BBDD!$S:$S,BBDD!$AR:$AR)</f>
        <v>6828240</v>
      </c>
      <c r="R30" s="24" t="str">
        <f t="shared" si="1"/>
        <v>ROTACION ALTA</v>
      </c>
    </row>
    <row r="31" spans="1:18" ht="13.5" customHeight="1" x14ac:dyDescent="0.3">
      <c r="A31" s="21" t="s">
        <v>60</v>
      </c>
      <c r="B31" s="21" t="s">
        <v>61</v>
      </c>
      <c r="C31" s="21" t="s">
        <v>4109</v>
      </c>
      <c r="D31" s="21" t="s">
        <v>16</v>
      </c>
      <c r="E31" s="21">
        <v>2024</v>
      </c>
      <c r="F31" s="20" t="s">
        <v>9995</v>
      </c>
      <c r="G31" s="20">
        <v>50</v>
      </c>
      <c r="H31" s="20">
        <v>16831</v>
      </c>
      <c r="I31" s="19" t="s">
        <v>5142</v>
      </c>
      <c r="J31" s="11" t="str">
        <f t="shared" si="0"/>
        <v>C3C3 PURETECH 4X2 1.22024</v>
      </c>
      <c r="K31" s="12"/>
      <c r="L31" s="10">
        <f>IFERROR(_xlfn.XLOOKUP(F31,'PRECIO TOMA HISTORICO '!$A:$A,'PRECIO TOMA HISTORICO '!$B:$B,_xlfn.XLOOKUP(F31,BBDD!$S:$S,BBDD!$AO:$AO,"",0,1),0,-1),"")</f>
        <v>6500000</v>
      </c>
      <c r="M31" s="9"/>
      <c r="N31" s="10">
        <f>_xlfn.XLOOKUP(F31,BBDD!$S:$S,BBDD!$AS:$AS)</f>
        <v>8290000</v>
      </c>
      <c r="O31" s="10">
        <f>IFERROR(VLOOKUP(F31,'PRECIO MERCADO'!D:E,2,0),"0")</f>
        <v>8200000</v>
      </c>
      <c r="P31" s="10">
        <f>_xlfn.XLOOKUP(F31,BBDD!$S:$S,BBDD!$AO:$AO)</f>
        <v>6650000</v>
      </c>
      <c r="Q31" s="10">
        <f>_xlfn.XLOOKUP(F31,BBDD!$S:$S,BBDD!$AR:$AR)</f>
        <v>6878990</v>
      </c>
      <c r="R31" s="24" t="str">
        <f t="shared" si="1"/>
        <v>ROTACION BAJA</v>
      </c>
    </row>
    <row r="32" spans="1:18" ht="13.5" customHeight="1" x14ac:dyDescent="0.3">
      <c r="A32" s="21" t="s">
        <v>60</v>
      </c>
      <c r="B32" s="20" t="s">
        <v>65</v>
      </c>
      <c r="C32" s="20" t="s">
        <v>66</v>
      </c>
      <c r="D32" s="20" t="s">
        <v>40</v>
      </c>
      <c r="E32" s="20">
        <v>2020</v>
      </c>
      <c r="F32" s="20" t="s">
        <v>67</v>
      </c>
      <c r="G32" s="20">
        <v>624</v>
      </c>
      <c r="H32" s="20">
        <v>96150</v>
      </c>
      <c r="I32" s="19" t="s">
        <v>5142</v>
      </c>
      <c r="J32" s="11" t="str">
        <f t="shared" si="0"/>
        <v>C5C5 AIRCROSS 1.5 AUT2020</v>
      </c>
      <c r="K32" s="12"/>
      <c r="L32" s="10">
        <f>IFERROR(_xlfn.XLOOKUP(F32,'PRECIO TOMA HISTORICO '!$A:$A,'PRECIO TOMA HISTORICO '!$B:$B,_xlfn.XLOOKUP(F32,BBDD!$S:$S,BBDD!$AO:$AO,"",0,1),0,-1),"")</f>
        <v>14190000</v>
      </c>
      <c r="M32" s="9"/>
      <c r="N32" s="10">
        <f>_xlfn.XLOOKUP(F32,BBDD!$S:$S,BBDD!$AS:$AS)</f>
        <v>13990000</v>
      </c>
      <c r="O32" s="10">
        <f>IFERROR(VLOOKUP(F32,'PRECIO MERCADO'!D:E,2,0),"0")</f>
        <v>13500000</v>
      </c>
      <c r="P32" s="10">
        <f>_xlfn.XLOOKUP(F32,BBDD!$S:$S,BBDD!$AO:$AO)</f>
        <v>14190000</v>
      </c>
      <c r="Q32" s="10">
        <f>_xlfn.XLOOKUP(F32,BBDD!$S:$S,BBDD!$AR:$AR)</f>
        <v>14528880</v>
      </c>
      <c r="R32" s="24" t="str">
        <f t="shared" si="1"/>
        <v>LIQUIDAR</v>
      </c>
    </row>
    <row r="33" spans="1:18" ht="13.5" customHeight="1" x14ac:dyDescent="0.3">
      <c r="A33" s="21" t="s">
        <v>60</v>
      </c>
      <c r="B33" s="20" t="s">
        <v>3150</v>
      </c>
      <c r="C33" s="20" t="s">
        <v>11072</v>
      </c>
      <c r="D33" s="20" t="s">
        <v>26</v>
      </c>
      <c r="E33" s="20">
        <v>2024</v>
      </c>
      <c r="F33" s="20" t="s">
        <v>3151</v>
      </c>
      <c r="G33" s="20">
        <v>19</v>
      </c>
      <c r="H33" s="20">
        <v>51000</v>
      </c>
      <c r="I33" s="19" t="s">
        <v>5142</v>
      </c>
      <c r="J33" s="11" t="str">
        <f t="shared" si="0"/>
        <v>C-ELYSEEC-ELYSEE 1.52024</v>
      </c>
      <c r="K33" s="12"/>
      <c r="L33" s="10">
        <f>IFERROR(_xlfn.XLOOKUP(F33,'PRECIO TOMA HISTORICO '!$A:$A,'PRECIO TOMA HISTORICO '!$B:$B,_xlfn.XLOOKUP(F33,BBDD!$S:$S,BBDD!$AO:$AO,"",0,1),0,-1),"")</f>
        <v>9250000</v>
      </c>
      <c r="M33" s="9"/>
      <c r="N33" s="10">
        <f>_xlfn.XLOOKUP(F33,BBDD!$S:$S,BBDD!$AS:$AS)</f>
        <v>11490000</v>
      </c>
      <c r="O33" s="10">
        <f>IFERROR(VLOOKUP(F33,'PRECIO MERCADO'!D:E,2,0),"0")</f>
        <v>11900000</v>
      </c>
      <c r="P33" s="10">
        <f>_xlfn.XLOOKUP(F33,BBDD!$S:$S,BBDD!$AO:$AO)</f>
        <v>9250000</v>
      </c>
      <c r="Q33" s="10">
        <f>_xlfn.XLOOKUP(F33,BBDD!$S:$S,BBDD!$AR:$AR)</f>
        <v>9517990</v>
      </c>
      <c r="R33" s="24" t="str">
        <f t="shared" si="1"/>
        <v>ROTACION ALTA</v>
      </c>
    </row>
    <row r="34" spans="1:18" ht="13.5" customHeight="1" x14ac:dyDescent="0.3">
      <c r="A34" s="20" t="s">
        <v>68</v>
      </c>
      <c r="B34" s="20" t="s">
        <v>4130</v>
      </c>
      <c r="C34" s="20" t="s">
        <v>4131</v>
      </c>
      <c r="D34" s="20" t="s">
        <v>40</v>
      </c>
      <c r="E34" s="20">
        <v>2025</v>
      </c>
      <c r="F34" s="20" t="s">
        <v>325</v>
      </c>
      <c r="G34" s="20">
        <v>120</v>
      </c>
      <c r="H34" s="20">
        <v>6443</v>
      </c>
      <c r="I34" s="19" t="s">
        <v>5142</v>
      </c>
      <c r="J34" s="11" t="str">
        <f t="shared" si="0"/>
        <v>500500 1.5 CVT2025</v>
      </c>
      <c r="K34" s="12"/>
      <c r="L34" s="10">
        <f>IFERROR(_xlfn.XLOOKUP(F34,'PRECIO TOMA HISTORICO '!$A:$A,'PRECIO TOMA HISTORICO '!$B:$B,_xlfn.XLOOKUP(F34,BBDD!$S:$S,BBDD!$AO:$AO,"",0,1),0,-1),"")</f>
        <v>9000000</v>
      </c>
      <c r="M34" s="9"/>
      <c r="N34" s="10">
        <f>_xlfn.XLOOKUP(F34,BBDD!$S:$S,BBDD!$AS:$AS)</f>
        <v>11290000</v>
      </c>
      <c r="O34" s="10">
        <f>IFERROR(VLOOKUP(F34,'PRECIO MERCADO'!D:E,2,0),"0")</f>
        <v>11300000</v>
      </c>
      <c r="P34" s="10">
        <f>_xlfn.XLOOKUP(F34,BBDD!$S:$S,BBDD!$AO:$AO)</f>
        <v>9000000</v>
      </c>
      <c r="Q34" s="10">
        <f>_xlfn.XLOOKUP(F34,BBDD!$S:$S,BBDD!$AR:$AR)</f>
        <v>9264240</v>
      </c>
      <c r="R34" s="24" t="str">
        <f t="shared" si="1"/>
        <v>LIQUIDAR</v>
      </c>
    </row>
    <row r="35" spans="1:18" ht="13.5" customHeight="1" x14ac:dyDescent="0.3">
      <c r="A35" s="21" t="s">
        <v>68</v>
      </c>
      <c r="B35" s="20" t="s">
        <v>4134</v>
      </c>
      <c r="C35" s="20" t="s">
        <v>69</v>
      </c>
      <c r="D35" s="20" t="s">
        <v>16</v>
      </c>
      <c r="E35" s="20">
        <v>2022</v>
      </c>
      <c r="F35" s="20" t="s">
        <v>10718</v>
      </c>
      <c r="G35" s="20">
        <v>38</v>
      </c>
      <c r="H35" s="20">
        <v>37000</v>
      </c>
      <c r="I35" s="19" t="s">
        <v>5142</v>
      </c>
      <c r="J35" s="11" t="str">
        <f t="shared" si="0"/>
        <v>560SUV 560 1.82022</v>
      </c>
      <c r="K35" s="12"/>
      <c r="L35" s="10">
        <f>IFERROR(_xlfn.XLOOKUP(F35,'PRECIO TOMA HISTORICO '!$A:$A,'PRECIO TOMA HISTORICO '!$B:$B,_xlfn.XLOOKUP(F35,BBDD!$S:$S,BBDD!$AO:$AO,"",0,1),0,-1),"")</f>
        <v>6500000</v>
      </c>
      <c r="M35" s="9"/>
      <c r="N35" s="10">
        <f>_xlfn.XLOOKUP(F35,BBDD!$S:$S,BBDD!$AS:$AS)</f>
        <v>7990000</v>
      </c>
      <c r="O35" s="10">
        <f>IFERROR(VLOOKUP(F35,'PRECIO MERCADO'!D:E,2,0),"0")</f>
        <v>8100000</v>
      </c>
      <c r="P35" s="10">
        <f>_xlfn.XLOOKUP(F35,BBDD!$S:$S,BBDD!$AO:$AO)</f>
        <v>6500000</v>
      </c>
      <c r="Q35" s="10">
        <f>_xlfn.XLOOKUP(F35,BBDD!$S:$S,BBDD!$AR:$AR)</f>
        <v>6500000</v>
      </c>
      <c r="R35" s="24" t="str">
        <f t="shared" si="1"/>
        <v>ROTACION BAJA</v>
      </c>
    </row>
    <row r="36" spans="1:18" ht="13.5" customHeight="1" x14ac:dyDescent="0.3">
      <c r="A36" s="21" t="s">
        <v>68</v>
      </c>
      <c r="B36" s="21" t="s">
        <v>4134</v>
      </c>
      <c r="C36" s="20" t="s">
        <v>71</v>
      </c>
      <c r="D36" s="20" t="s">
        <v>16</v>
      </c>
      <c r="E36" s="20">
        <v>2025</v>
      </c>
      <c r="F36" s="20" t="s">
        <v>11637</v>
      </c>
      <c r="G36" s="20">
        <v>14</v>
      </c>
      <c r="H36" s="20">
        <v>28000</v>
      </c>
      <c r="I36" s="19" t="s">
        <v>5142</v>
      </c>
      <c r="J36" s="11" t="str">
        <f t="shared" si="0"/>
        <v>560SUV 560 4X2 1.82025</v>
      </c>
      <c r="K36" s="12"/>
      <c r="L36" s="10">
        <f>IFERROR(_xlfn.XLOOKUP(F36,'PRECIO TOMA HISTORICO '!$A:$A,'PRECIO TOMA HISTORICO '!$B:$B,_xlfn.XLOOKUP(F36,BBDD!$S:$S,BBDD!$AO:$AO,"",0,1),0,-1),"")</f>
        <v>8300000</v>
      </c>
      <c r="M36" s="9"/>
      <c r="N36" s="10">
        <f>_xlfn.XLOOKUP(F36,BBDD!$S:$S,BBDD!$AS:$AS)</f>
        <v>9990000</v>
      </c>
      <c r="O36" s="10">
        <f>IFERROR(VLOOKUP(F36,'PRECIO MERCADO'!D:E,2,0),"0")</f>
        <v>10100000</v>
      </c>
      <c r="P36" s="10">
        <f>_xlfn.XLOOKUP(F36,BBDD!$S:$S,BBDD!$AO:$AO)</f>
        <v>8300000</v>
      </c>
      <c r="Q36" s="10">
        <f>_xlfn.XLOOKUP(F36,BBDD!$S:$S,BBDD!$AR:$AR)</f>
        <v>8553740</v>
      </c>
      <c r="R36" s="24" t="str">
        <f t="shared" si="1"/>
        <v>ROTACION ALTA</v>
      </c>
    </row>
    <row r="37" spans="1:18" ht="13.5" customHeight="1" x14ac:dyDescent="0.3">
      <c r="A37" s="21" t="s">
        <v>68</v>
      </c>
      <c r="B37" s="20" t="s">
        <v>11028</v>
      </c>
      <c r="C37" s="20" t="s">
        <v>11029</v>
      </c>
      <c r="D37" s="20" t="s">
        <v>20</v>
      </c>
      <c r="E37" s="20">
        <v>2026</v>
      </c>
      <c r="F37" s="20" t="s">
        <v>5675</v>
      </c>
      <c r="G37" s="20">
        <v>108</v>
      </c>
      <c r="H37" s="20">
        <v>598</v>
      </c>
      <c r="I37" s="19" t="s">
        <v>5142</v>
      </c>
      <c r="J37" s="11" t="str">
        <f t="shared" si="0"/>
        <v>600600 PHEV 4X2 1.5 AUT2026</v>
      </c>
      <c r="K37" s="12"/>
      <c r="L37" s="10">
        <f>IFERROR(_xlfn.XLOOKUP(F37,'PRECIO TOMA HISTORICO '!$A:$A,'PRECIO TOMA HISTORICO '!$B:$B,_xlfn.XLOOKUP(F37,BBDD!$S:$S,BBDD!$AO:$AO,"",0,1),0,-1),"")</f>
        <v>16500000</v>
      </c>
      <c r="M37" s="9"/>
      <c r="N37" s="10">
        <f>_xlfn.XLOOKUP(F37,BBDD!$S:$S,BBDD!$AS:$AS)</f>
        <v>18990000</v>
      </c>
      <c r="O37" s="10">
        <f>IFERROR(VLOOKUP(F37,'PRECIO MERCADO'!D:E,2,0),"0")</f>
        <v>19900000</v>
      </c>
      <c r="P37" s="10">
        <f>_xlfn.XLOOKUP(F37,BBDD!$S:$S,BBDD!$AO:$AO)</f>
        <v>16500000</v>
      </c>
      <c r="Q37" s="10">
        <f>_xlfn.XLOOKUP(F37,BBDD!$S:$S,BBDD!$AR:$AR)</f>
        <v>16876740</v>
      </c>
      <c r="R37" s="24" t="str">
        <f t="shared" si="1"/>
        <v>LIQUIDAR</v>
      </c>
    </row>
    <row r="38" spans="1:18" ht="13.5" customHeight="1" x14ac:dyDescent="0.3">
      <c r="A38" s="21" t="s">
        <v>68</v>
      </c>
      <c r="B38" s="20" t="s">
        <v>4142</v>
      </c>
      <c r="C38" s="20" t="s">
        <v>8316</v>
      </c>
      <c r="D38" s="20" t="s">
        <v>8086</v>
      </c>
      <c r="E38" s="20">
        <v>2019</v>
      </c>
      <c r="F38" s="20" t="s">
        <v>8326</v>
      </c>
      <c r="G38" s="20">
        <v>2643</v>
      </c>
      <c r="H38" s="20">
        <v>0</v>
      </c>
      <c r="I38" s="19" t="s">
        <v>8149</v>
      </c>
      <c r="J38" s="11" t="str">
        <f t="shared" si="0"/>
        <v>CARGOCARGO BOX CS C21 AC2019</v>
      </c>
      <c r="K38" s="12"/>
      <c r="L38" s="10">
        <f>IFERROR(_xlfn.XLOOKUP(F38,'PRECIO TOMA HISTORICO '!$A:$A,'PRECIO TOMA HISTORICO '!$B:$B,_xlfn.XLOOKUP(F38,BBDD!$S:$S,BBDD!$AO:$AO,"",0,1),0,-1),"")</f>
        <v>0</v>
      </c>
      <c r="M38" s="9"/>
      <c r="N38" s="10">
        <f>_xlfn.XLOOKUP(F38,BBDD!$S:$S,BBDD!$AS:$AS)</f>
        <v>7190000</v>
      </c>
      <c r="O38" s="10" t="str">
        <f>IFERROR(VLOOKUP(F38,'PRECIO MERCADO'!D:E,2,0),"0")</f>
        <v>0</v>
      </c>
      <c r="P38" s="10">
        <f>_xlfn.XLOOKUP(F38,BBDD!$S:$S,BBDD!$AO:$AO)</f>
        <v>0</v>
      </c>
      <c r="Q38" s="10">
        <f>_xlfn.XLOOKUP(F38,BBDD!$S:$S,BBDD!$AR:$AR)</f>
        <v>2454691</v>
      </c>
      <c r="R38" s="24" t="str">
        <f t="shared" si="1"/>
        <v>LIQUIDAR</v>
      </c>
    </row>
    <row r="39" spans="1:18" ht="13.5" customHeight="1" x14ac:dyDescent="0.3">
      <c r="A39" s="21" t="s">
        <v>68</v>
      </c>
      <c r="B39" s="21" t="s">
        <v>4142</v>
      </c>
      <c r="C39" s="21" t="s">
        <v>8316</v>
      </c>
      <c r="D39" s="21" t="s">
        <v>8086</v>
      </c>
      <c r="E39" s="21">
        <v>2019</v>
      </c>
      <c r="F39" s="20" t="s">
        <v>8414</v>
      </c>
      <c r="G39" s="20">
        <v>2643</v>
      </c>
      <c r="H39" s="20">
        <v>0</v>
      </c>
      <c r="I39" s="19" t="s">
        <v>8149</v>
      </c>
      <c r="J39" s="11" t="str">
        <f t="shared" si="0"/>
        <v>CARGOCARGO BOX CS C21 AC2019</v>
      </c>
      <c r="K39" s="12"/>
      <c r="L39" s="10">
        <f>IFERROR(_xlfn.XLOOKUP(F39,'PRECIO TOMA HISTORICO '!$A:$A,'PRECIO TOMA HISTORICO '!$B:$B,_xlfn.XLOOKUP(F39,BBDD!$S:$S,BBDD!$AO:$AO,"",0,1),0,-1),"")</f>
        <v>0</v>
      </c>
      <c r="M39" s="9"/>
      <c r="N39" s="10">
        <f>_xlfn.XLOOKUP(F39,BBDD!$S:$S,BBDD!$AS:$AS)</f>
        <v>7190000</v>
      </c>
      <c r="O39" s="10" t="str">
        <f>IFERROR(VLOOKUP(F39,'PRECIO MERCADO'!D:E,2,0),"0")</f>
        <v>0</v>
      </c>
      <c r="P39" s="10">
        <f>_xlfn.XLOOKUP(F39,BBDD!$S:$S,BBDD!$AO:$AO)</f>
        <v>0</v>
      </c>
      <c r="Q39" s="10">
        <f>_xlfn.XLOOKUP(F39,BBDD!$S:$S,BBDD!$AR:$AR)</f>
        <v>2502458</v>
      </c>
      <c r="R39" s="24" t="str">
        <f t="shared" si="1"/>
        <v>LIQUIDAR</v>
      </c>
    </row>
    <row r="40" spans="1:18" ht="13.5" customHeight="1" x14ac:dyDescent="0.3">
      <c r="A40" s="21" t="s">
        <v>68</v>
      </c>
      <c r="B40" s="21" t="s">
        <v>4142</v>
      </c>
      <c r="C40" s="21" t="s">
        <v>8316</v>
      </c>
      <c r="D40" s="21" t="s">
        <v>8086</v>
      </c>
      <c r="E40" s="21">
        <v>2019</v>
      </c>
      <c r="F40" s="20" t="s">
        <v>8319</v>
      </c>
      <c r="G40" s="20">
        <v>2643</v>
      </c>
      <c r="H40" s="20">
        <v>0</v>
      </c>
      <c r="I40" s="19" t="s">
        <v>8149</v>
      </c>
      <c r="J40" s="11" t="str">
        <f t="shared" si="0"/>
        <v>CARGOCARGO BOX CS C21 AC2019</v>
      </c>
      <c r="K40" s="12"/>
      <c r="L40" s="10">
        <f>IFERROR(_xlfn.XLOOKUP(F40,'PRECIO TOMA HISTORICO '!$A:$A,'PRECIO TOMA HISTORICO '!$B:$B,_xlfn.XLOOKUP(F40,BBDD!$S:$S,BBDD!$AO:$AO,"",0,1),0,-1),"")</f>
        <v>0</v>
      </c>
      <c r="M40" s="9"/>
      <c r="N40" s="10">
        <f>_xlfn.XLOOKUP(F40,BBDD!$S:$S,BBDD!$AS:$AS)</f>
        <v>7190000</v>
      </c>
      <c r="O40" s="10" t="str">
        <f>IFERROR(VLOOKUP(F40,'PRECIO MERCADO'!D:E,2,0),"0")</f>
        <v>0</v>
      </c>
      <c r="P40" s="10">
        <f>_xlfn.XLOOKUP(F40,BBDD!$S:$S,BBDD!$AO:$AO)</f>
        <v>0</v>
      </c>
      <c r="Q40" s="10">
        <f>_xlfn.XLOOKUP(F40,BBDD!$S:$S,BBDD!$AR:$AR)</f>
        <v>2315480</v>
      </c>
      <c r="R40" s="24" t="str">
        <f t="shared" si="1"/>
        <v>LIQUIDAR</v>
      </c>
    </row>
    <row r="41" spans="1:18" ht="13.5" customHeight="1" x14ac:dyDescent="0.3">
      <c r="A41" s="21" t="s">
        <v>68</v>
      </c>
      <c r="B41" s="21" t="s">
        <v>4142</v>
      </c>
      <c r="C41" s="20" t="s">
        <v>8258</v>
      </c>
      <c r="D41" s="20" t="s">
        <v>8086</v>
      </c>
      <c r="E41" s="20">
        <v>2019</v>
      </c>
      <c r="F41" s="20" t="s">
        <v>8261</v>
      </c>
      <c r="G41" s="20">
        <v>2749</v>
      </c>
      <c r="H41" s="20">
        <v>0</v>
      </c>
      <c r="I41" s="19" t="s">
        <v>8149</v>
      </c>
      <c r="J41" s="11" t="str">
        <f t="shared" si="0"/>
        <v>CARGOCARGO BOX CS XL 1.3 DA EV2019</v>
      </c>
      <c r="K41" s="12"/>
      <c r="L41" s="10">
        <f>IFERROR(_xlfn.XLOOKUP(F41,'PRECIO TOMA HISTORICO '!$A:$A,'PRECIO TOMA HISTORICO '!$B:$B,_xlfn.XLOOKUP(F41,BBDD!$S:$S,BBDD!$AO:$AO,"",0,1),0,-1),"")</f>
        <v>0</v>
      </c>
      <c r="M41" s="9"/>
      <c r="N41" s="10">
        <f>_xlfn.XLOOKUP(F41,BBDD!$S:$S,BBDD!$AS:$AS)</f>
        <v>5790000</v>
      </c>
      <c r="O41" s="10" t="str">
        <f>IFERROR(VLOOKUP(F41,'PRECIO MERCADO'!D:E,2,0),"0")</f>
        <v>0</v>
      </c>
      <c r="P41" s="10">
        <f>_xlfn.XLOOKUP(F41,BBDD!$S:$S,BBDD!$AO:$AO)</f>
        <v>0</v>
      </c>
      <c r="Q41" s="10">
        <f>_xlfn.XLOOKUP(F41,BBDD!$S:$S,BBDD!$AR:$AR)</f>
        <v>2624366</v>
      </c>
      <c r="R41" s="24" t="str">
        <f t="shared" si="1"/>
        <v>LIQUIDAR</v>
      </c>
    </row>
    <row r="42" spans="1:18" ht="13.5" customHeight="1" x14ac:dyDescent="0.3">
      <c r="A42" s="21" t="s">
        <v>68</v>
      </c>
      <c r="B42" s="20" t="s">
        <v>68</v>
      </c>
      <c r="C42" s="20" t="s">
        <v>78</v>
      </c>
      <c r="D42" s="20" t="s">
        <v>8086</v>
      </c>
      <c r="E42" s="20">
        <v>2014</v>
      </c>
      <c r="F42" s="20" t="s">
        <v>8084</v>
      </c>
      <c r="G42" s="20">
        <v>4479</v>
      </c>
      <c r="H42" s="20">
        <v>0</v>
      </c>
      <c r="I42" s="19" t="s">
        <v>5142</v>
      </c>
      <c r="J42" s="11" t="str">
        <f t="shared" si="0"/>
        <v>DFSKCARGO BOX XL 1.32014</v>
      </c>
      <c r="K42" s="12"/>
      <c r="L42" s="10">
        <f>IFERROR(_xlfn.XLOOKUP(F42,'PRECIO TOMA HISTORICO '!$A:$A,'PRECIO TOMA HISTORICO '!$B:$B,_xlfn.XLOOKUP(F42,BBDD!$S:$S,BBDD!$AO:$AO,"",0,1),0,-1),"")</f>
        <v>108561</v>
      </c>
      <c r="M42" s="9"/>
      <c r="N42" s="10">
        <f>_xlfn.XLOOKUP(F42,BBDD!$S:$S,BBDD!$AS:$AS)</f>
        <v>4867100</v>
      </c>
      <c r="O42" s="10" t="str">
        <f>IFERROR(VLOOKUP(F42,'PRECIO MERCADO'!D:E,2,0),"0")</f>
        <v>0</v>
      </c>
      <c r="P42" s="10">
        <f>_xlfn.XLOOKUP(F42,BBDD!$S:$S,BBDD!$AO:$AO)</f>
        <v>108561</v>
      </c>
      <c r="Q42" s="10">
        <f>_xlfn.XLOOKUP(F42,BBDD!$S:$S,BBDD!$AR:$AR)</f>
        <v>3198702</v>
      </c>
      <c r="R42" s="24" t="str">
        <f t="shared" si="1"/>
        <v>LIQUIDAR</v>
      </c>
    </row>
    <row r="43" spans="1:18" ht="13.5" customHeight="1" x14ac:dyDescent="0.3">
      <c r="A43" s="21" t="s">
        <v>68</v>
      </c>
      <c r="B43" s="21" t="s">
        <v>68</v>
      </c>
      <c r="C43" s="21" t="s">
        <v>78</v>
      </c>
      <c r="D43" s="21" t="s">
        <v>8086</v>
      </c>
      <c r="E43" s="21">
        <v>2014</v>
      </c>
      <c r="F43" s="20" t="s">
        <v>8116</v>
      </c>
      <c r="G43" s="20">
        <v>4486</v>
      </c>
      <c r="H43" s="20">
        <v>0</v>
      </c>
      <c r="I43" s="19" t="s">
        <v>5142</v>
      </c>
      <c r="J43" s="11" t="str">
        <f t="shared" si="0"/>
        <v>DFSKCARGO BOX XL 1.32014</v>
      </c>
      <c r="K43" s="12"/>
      <c r="L43" s="10">
        <f>IFERROR(_xlfn.XLOOKUP(F43,'PRECIO TOMA HISTORICO '!$A:$A,'PRECIO TOMA HISTORICO '!$B:$B,_xlfn.XLOOKUP(F43,BBDD!$S:$S,BBDD!$AO:$AO,"",0,1),0,-1),"")</f>
        <v>82597</v>
      </c>
      <c r="M43" s="9"/>
      <c r="N43" s="10">
        <f>_xlfn.XLOOKUP(F43,BBDD!$S:$S,BBDD!$AS:$AS)</f>
        <v>3490000</v>
      </c>
      <c r="O43" s="10" t="str">
        <f>IFERROR(VLOOKUP(F43,'PRECIO MERCADO'!D:E,2,0),"0")</f>
        <v>0</v>
      </c>
      <c r="P43" s="10">
        <f>_xlfn.XLOOKUP(F43,BBDD!$S:$S,BBDD!$AO:$AO)</f>
        <v>82597</v>
      </c>
      <c r="Q43" s="10">
        <f>_xlfn.XLOOKUP(F43,BBDD!$S:$S,BBDD!$AR:$AR)</f>
        <v>4099448</v>
      </c>
      <c r="R43" s="24" t="str">
        <f t="shared" si="1"/>
        <v>LIQUIDAR</v>
      </c>
    </row>
    <row r="44" spans="1:18" ht="13.5" customHeight="1" x14ac:dyDescent="0.3">
      <c r="A44" s="21" t="s">
        <v>68</v>
      </c>
      <c r="B44" s="20" t="s">
        <v>79</v>
      </c>
      <c r="C44" s="20" t="s">
        <v>80</v>
      </c>
      <c r="D44" s="20" t="s">
        <v>26</v>
      </c>
      <c r="E44" s="20">
        <v>2025</v>
      </c>
      <c r="F44" s="20" t="s">
        <v>81</v>
      </c>
      <c r="G44" s="20">
        <v>181</v>
      </c>
      <c r="H44" s="20">
        <v>37000</v>
      </c>
      <c r="I44" s="19" t="s">
        <v>5142</v>
      </c>
      <c r="J44" s="11" t="str">
        <f t="shared" si="0"/>
        <v>PICK UP D1D1 LUXURY 4X4 2.32025</v>
      </c>
      <c r="K44" s="12"/>
      <c r="L44" s="10">
        <f>IFERROR(_xlfn.XLOOKUP(F44,'PRECIO TOMA HISTORICO '!$A:$A,'PRECIO TOMA HISTORICO '!$B:$B,_xlfn.XLOOKUP(F44,BBDD!$S:$S,BBDD!$AO:$AO,"",0,1),0,-1),"")</f>
        <v>13900000</v>
      </c>
      <c r="M44" s="9"/>
      <c r="N44" s="10">
        <f>_xlfn.XLOOKUP(F44,BBDD!$S:$S,BBDD!$AS:$AS)</f>
        <v>15190000</v>
      </c>
      <c r="O44" s="10">
        <f>IFERROR(VLOOKUP(F44,'PRECIO MERCADO'!D:E,2,0),"0")</f>
        <v>16500000</v>
      </c>
      <c r="P44" s="10">
        <f>_xlfn.XLOOKUP(F44,BBDD!$S:$S,BBDD!$AO:$AO)</f>
        <v>13900000</v>
      </c>
      <c r="Q44" s="10">
        <f>_xlfn.XLOOKUP(F44,BBDD!$S:$S,BBDD!$AR:$AR)</f>
        <v>14234530</v>
      </c>
      <c r="R44" s="24" t="str">
        <f t="shared" si="1"/>
        <v>LIQUIDAR</v>
      </c>
    </row>
    <row r="45" spans="1:18" ht="13.5" customHeight="1" x14ac:dyDescent="0.3">
      <c r="A45" s="21" t="s">
        <v>68</v>
      </c>
      <c r="B45" s="20" t="s">
        <v>2568</v>
      </c>
      <c r="C45" s="20" t="s">
        <v>8305</v>
      </c>
      <c r="D45" s="20" t="s">
        <v>8086</v>
      </c>
      <c r="E45" s="20">
        <v>2023</v>
      </c>
      <c r="F45" s="20" t="s">
        <v>8308</v>
      </c>
      <c r="G45" s="20">
        <v>1365</v>
      </c>
      <c r="H45" s="20">
        <v>0</v>
      </c>
      <c r="I45" s="19" t="s">
        <v>8149</v>
      </c>
      <c r="J45" s="11" t="str">
        <f t="shared" si="0"/>
        <v>TRUCKTRUCK CS C31 1.5 I2023</v>
      </c>
      <c r="K45" s="12"/>
      <c r="L45" s="10">
        <f>IFERROR(_xlfn.XLOOKUP(F45,'PRECIO TOMA HISTORICO '!$A:$A,'PRECIO TOMA HISTORICO '!$B:$B,_xlfn.XLOOKUP(F45,BBDD!$S:$S,BBDD!$AO:$AO,"",0,1),0,-1),"")</f>
        <v>0</v>
      </c>
      <c r="M45" s="9"/>
      <c r="N45" s="10">
        <f>_xlfn.XLOOKUP(F45,BBDD!$S:$S,BBDD!$AS:$AS)</f>
        <v>9290000</v>
      </c>
      <c r="O45" s="10" t="str">
        <f>IFERROR(VLOOKUP(F45,'PRECIO MERCADO'!D:E,2,0),"0")</f>
        <v>0</v>
      </c>
      <c r="P45" s="10">
        <f>_xlfn.XLOOKUP(F45,BBDD!$S:$S,BBDD!$AO:$AO)</f>
        <v>0</v>
      </c>
      <c r="Q45" s="10">
        <f>_xlfn.XLOOKUP(F45,BBDD!$S:$S,BBDD!$AR:$AR)</f>
        <v>1443780</v>
      </c>
      <c r="R45" s="24" t="str">
        <f t="shared" si="1"/>
        <v>LIQUIDAR</v>
      </c>
    </row>
    <row r="46" spans="1:18" ht="13.5" customHeight="1" x14ac:dyDescent="0.3">
      <c r="A46" s="20" t="s">
        <v>82</v>
      </c>
      <c r="B46" s="20" t="s">
        <v>2574</v>
      </c>
      <c r="C46" s="20" t="s">
        <v>10990</v>
      </c>
      <c r="D46" s="20" t="s">
        <v>16</v>
      </c>
      <c r="E46" s="20">
        <v>2024</v>
      </c>
      <c r="F46" s="20" t="s">
        <v>10523</v>
      </c>
      <c r="G46" s="20">
        <v>20</v>
      </c>
      <c r="H46" s="20">
        <v>32000</v>
      </c>
      <c r="I46" s="19" t="s">
        <v>5142</v>
      </c>
      <c r="J46" s="11" t="str">
        <f t="shared" si="0"/>
        <v>TXLTXL UNLIMITED 4WD 2.0 AUT2024</v>
      </c>
      <c r="K46" s="12"/>
      <c r="L46" s="10">
        <f>IFERROR(_xlfn.XLOOKUP(F46,'PRECIO TOMA HISTORICO '!$A:$A,'PRECIO TOMA HISTORICO '!$B:$B,_xlfn.XLOOKUP(F46,BBDD!$S:$S,BBDD!$AO:$AO,"",0,1),0,-1),"")</f>
        <v>15000000</v>
      </c>
      <c r="M46" s="9"/>
      <c r="N46" s="10">
        <f>_xlfn.XLOOKUP(F46,BBDD!$S:$S,BBDD!$AS:$AS)</f>
        <v>17490000</v>
      </c>
      <c r="O46" s="10">
        <f>IFERROR(VLOOKUP(F46,'PRECIO MERCADO'!D:E,2,0),"0")</f>
        <v>17900000</v>
      </c>
      <c r="P46" s="10">
        <f>_xlfn.XLOOKUP(F46,BBDD!$S:$S,BBDD!$AO:$AO)</f>
        <v>15000000</v>
      </c>
      <c r="Q46" s="10">
        <f>_xlfn.XLOOKUP(F46,BBDD!$S:$S,BBDD!$AR:$AR)</f>
        <v>15354240</v>
      </c>
      <c r="R46" s="24" t="str">
        <f t="shared" si="1"/>
        <v>ROTACION ALTA</v>
      </c>
    </row>
    <row r="47" spans="1:18" ht="13.5" customHeight="1" x14ac:dyDescent="0.3">
      <c r="A47" s="21" t="s">
        <v>82</v>
      </c>
      <c r="B47" s="20" t="s">
        <v>3030</v>
      </c>
      <c r="C47" s="20" t="s">
        <v>5494</v>
      </c>
      <c r="D47" s="20" t="s">
        <v>26</v>
      </c>
      <c r="E47" s="20">
        <v>2025</v>
      </c>
      <c r="F47" s="20" t="s">
        <v>3031</v>
      </c>
      <c r="G47" s="20">
        <v>113</v>
      </c>
      <c r="H47" s="20">
        <v>44200</v>
      </c>
      <c r="I47" s="19" t="s">
        <v>5142</v>
      </c>
      <c r="J47" s="11" t="str">
        <f t="shared" si="0"/>
        <v>VXVX UNLIMITED 4X4 2.0 AUT2025</v>
      </c>
      <c r="K47" s="12"/>
      <c r="L47" s="10">
        <f>IFERROR(_xlfn.XLOOKUP(F47,'PRECIO TOMA HISTORICO '!$A:$A,'PRECIO TOMA HISTORICO '!$B:$B,_xlfn.XLOOKUP(F47,BBDD!$S:$S,BBDD!$AO:$AO,"",0,1),0,-1),"")</f>
        <v>22000000</v>
      </c>
      <c r="M47" s="9"/>
      <c r="N47" s="10">
        <f>_xlfn.XLOOKUP(F47,BBDD!$S:$S,BBDD!$AS:$AS)</f>
        <v>25990000</v>
      </c>
      <c r="O47" s="10">
        <f>IFERROR(VLOOKUP(F47,'PRECIO MERCADO'!D:E,2,0),"0")</f>
        <v>30400000</v>
      </c>
      <c r="P47" s="10">
        <f>_xlfn.XLOOKUP(F47,BBDD!$S:$S,BBDD!$AO:$AO)</f>
        <v>22000000</v>
      </c>
      <c r="Q47" s="10">
        <f>_xlfn.XLOOKUP(F47,BBDD!$S:$S,BBDD!$AR:$AR)</f>
        <v>22459240</v>
      </c>
      <c r="R47" s="24" t="str">
        <f t="shared" si="1"/>
        <v>LIQUIDAR</v>
      </c>
    </row>
    <row r="48" spans="1:18" ht="13.5" customHeight="1" x14ac:dyDescent="0.3">
      <c r="A48" s="20" t="s">
        <v>86</v>
      </c>
      <c r="B48" s="20" t="s">
        <v>87</v>
      </c>
      <c r="C48" s="20" t="s">
        <v>4182</v>
      </c>
      <c r="D48" s="20" t="s">
        <v>40</v>
      </c>
      <c r="E48" s="20">
        <v>2023</v>
      </c>
      <c r="F48" s="20" t="s">
        <v>423</v>
      </c>
      <c r="G48" s="20">
        <v>221</v>
      </c>
      <c r="H48" s="20">
        <v>40200</v>
      </c>
      <c r="I48" s="19" t="s">
        <v>5142</v>
      </c>
      <c r="J48" s="11" t="str">
        <f t="shared" si="0"/>
        <v>BRONCOBRONCO SPORT 4X4 1.5 AUT2023</v>
      </c>
      <c r="K48" s="12"/>
      <c r="L48" s="10">
        <f>IFERROR(_xlfn.XLOOKUP(F48,'PRECIO TOMA HISTORICO '!$A:$A,'PRECIO TOMA HISTORICO '!$B:$B,_xlfn.XLOOKUP(F48,BBDD!$S:$S,BBDD!$AO:$AO,"",0,1),0,-1),"")</f>
        <v>18300000</v>
      </c>
      <c r="M48" s="9"/>
      <c r="N48" s="10">
        <f>_xlfn.XLOOKUP(F48,BBDD!$S:$S,BBDD!$AS:$AS)</f>
        <v>20990000</v>
      </c>
      <c r="O48" s="10">
        <f>IFERROR(VLOOKUP(F48,'PRECIO MERCADO'!D:E,2,0),"0")</f>
        <v>21100000</v>
      </c>
      <c r="P48" s="10">
        <f>_xlfn.XLOOKUP(F48,BBDD!$S:$S,BBDD!$AO:$AO)</f>
        <v>18300000</v>
      </c>
      <c r="Q48" s="10">
        <f>_xlfn.XLOOKUP(F48,BBDD!$S:$S,BBDD!$AR:$AR)</f>
        <v>19029196</v>
      </c>
      <c r="R48" s="24" t="str">
        <f t="shared" si="1"/>
        <v>LIQUIDAR</v>
      </c>
    </row>
    <row r="49" spans="1:18" ht="13.5" customHeight="1" x14ac:dyDescent="0.3">
      <c r="A49" s="21" t="s">
        <v>86</v>
      </c>
      <c r="B49" s="20" t="s">
        <v>93</v>
      </c>
      <c r="C49" s="20" t="s">
        <v>4195</v>
      </c>
      <c r="D49" s="20" t="s">
        <v>26</v>
      </c>
      <c r="E49" s="20">
        <v>2019</v>
      </c>
      <c r="F49" s="20" t="s">
        <v>10754</v>
      </c>
      <c r="G49" s="20">
        <v>33</v>
      </c>
      <c r="H49" s="20">
        <v>77179</v>
      </c>
      <c r="I49" s="19" t="s">
        <v>5142</v>
      </c>
      <c r="J49" s="11" t="str">
        <f t="shared" si="0"/>
        <v>EDGEEDGE 3.5 AUT2019</v>
      </c>
      <c r="K49" s="12"/>
      <c r="L49" s="10">
        <f>IFERROR(_xlfn.XLOOKUP(F49,'PRECIO TOMA HISTORICO '!$A:$A,'PRECIO TOMA HISTORICO '!$B:$B,_xlfn.XLOOKUP(F49,BBDD!$S:$S,BBDD!$AO:$AO,"",0,1),0,-1),"")</f>
        <v>12000000</v>
      </c>
      <c r="M49" s="9"/>
      <c r="N49" s="10">
        <f>_xlfn.XLOOKUP(F49,BBDD!$S:$S,BBDD!$AS:$AS)</f>
        <v>14790000</v>
      </c>
      <c r="O49" s="10">
        <f>IFERROR(VLOOKUP(F49,'PRECIO MERCADO'!D:E,2,0),"0")</f>
        <v>15900000</v>
      </c>
      <c r="P49" s="10">
        <f>_xlfn.XLOOKUP(F49,BBDD!$S:$S,BBDD!$AO:$AO)</f>
        <v>12000000</v>
      </c>
      <c r="Q49" s="10">
        <f>_xlfn.XLOOKUP(F49,BBDD!$S:$S,BBDD!$AR:$AR)</f>
        <v>12309240</v>
      </c>
      <c r="R49" s="24" t="str">
        <f t="shared" si="1"/>
        <v>ROTACION BAJA</v>
      </c>
    </row>
    <row r="50" spans="1:18" ht="13.5" customHeight="1" x14ac:dyDescent="0.3">
      <c r="A50" s="21" t="s">
        <v>86</v>
      </c>
      <c r="B50" s="21" t="s">
        <v>93</v>
      </c>
      <c r="C50" s="20" t="s">
        <v>94</v>
      </c>
      <c r="D50" s="20" t="s">
        <v>26</v>
      </c>
      <c r="E50" s="20">
        <v>2024</v>
      </c>
      <c r="F50" s="20" t="s">
        <v>95</v>
      </c>
      <c r="G50" s="20">
        <v>852</v>
      </c>
      <c r="H50" s="20">
        <v>5000</v>
      </c>
      <c r="I50" s="19" t="s">
        <v>5142</v>
      </c>
      <c r="J50" s="11" t="str">
        <f t="shared" si="0"/>
        <v>EDGEEDGE AWD 2.0 CVT2024</v>
      </c>
      <c r="K50" s="12"/>
      <c r="L50" s="10">
        <f>IFERROR(_xlfn.XLOOKUP(F50,'PRECIO TOMA HISTORICO '!$A:$A,'PRECIO TOMA HISTORICO '!$B:$B,_xlfn.XLOOKUP(F50,BBDD!$S:$S,BBDD!$AO:$AO,"",0,1),0,-1),"")</f>
        <v>33990000</v>
      </c>
      <c r="M50" s="9"/>
      <c r="N50" s="10">
        <f>_xlfn.XLOOKUP(F50,BBDD!$S:$S,BBDD!$AS:$AS)</f>
        <v>27990000</v>
      </c>
      <c r="O50" s="10">
        <f>IFERROR(VLOOKUP(F50,'PRECIO MERCADO'!D:E,2,0),"0")</f>
        <v>26100000</v>
      </c>
      <c r="P50" s="10">
        <f>_xlfn.XLOOKUP(F50,BBDD!$S:$S,BBDD!$AO:$AO)</f>
        <v>33990000</v>
      </c>
      <c r="Q50" s="10">
        <f>_xlfn.XLOOKUP(F50,BBDD!$S:$S,BBDD!$AR:$AR)</f>
        <v>34699880</v>
      </c>
      <c r="R50" s="24" t="str">
        <f t="shared" si="1"/>
        <v>LIQUIDAR</v>
      </c>
    </row>
    <row r="51" spans="1:18" ht="13.5" customHeight="1" x14ac:dyDescent="0.3">
      <c r="A51" s="21" t="s">
        <v>86</v>
      </c>
      <c r="B51" s="21" t="s">
        <v>93</v>
      </c>
      <c r="C51" s="20" t="s">
        <v>96</v>
      </c>
      <c r="D51" s="20" t="s">
        <v>40</v>
      </c>
      <c r="E51" s="20">
        <v>2020</v>
      </c>
      <c r="F51" s="20" t="s">
        <v>97</v>
      </c>
      <c r="G51" s="20">
        <v>1281</v>
      </c>
      <c r="H51" s="20">
        <v>55000</v>
      </c>
      <c r="I51" s="19" t="s">
        <v>5142</v>
      </c>
      <c r="J51" s="11" t="str">
        <f t="shared" si="0"/>
        <v>EDGEEDGE SEL 4X4 2.0 AUT2020</v>
      </c>
      <c r="K51" s="12"/>
      <c r="L51" s="10">
        <f>IFERROR(_xlfn.XLOOKUP(F51,'PRECIO TOMA HISTORICO '!$A:$A,'PRECIO TOMA HISTORICO '!$B:$B,_xlfn.XLOOKUP(F51,BBDD!$S:$S,BBDD!$AO:$AO,"",0,1),0,-1),"")</f>
        <v>18000000</v>
      </c>
      <c r="M51" s="9"/>
      <c r="N51" s="10">
        <f>_xlfn.XLOOKUP(F51,BBDD!$S:$S,BBDD!$AS:$AS)</f>
        <v>18490000</v>
      </c>
      <c r="O51" s="10">
        <f>IFERROR(VLOOKUP(F51,'PRECIO MERCADO'!D:E,2,0),"0")</f>
        <v>19200000</v>
      </c>
      <c r="P51" s="10">
        <f>_xlfn.XLOOKUP(F51,BBDD!$S:$S,BBDD!$AO:$AO)</f>
        <v>18000000</v>
      </c>
      <c r="Q51" s="10">
        <f>_xlfn.XLOOKUP(F51,BBDD!$S:$S,BBDD!$AR:$AR)</f>
        <v>18673380</v>
      </c>
      <c r="R51" s="24" t="str">
        <f t="shared" si="1"/>
        <v>LIQUIDAR</v>
      </c>
    </row>
    <row r="52" spans="1:18" ht="13.5" customHeight="1" x14ac:dyDescent="0.3">
      <c r="A52" s="21" t="s">
        <v>86</v>
      </c>
      <c r="B52" s="20" t="s">
        <v>98</v>
      </c>
      <c r="C52" s="20" t="s">
        <v>4207</v>
      </c>
      <c r="D52" s="20" t="s">
        <v>116</v>
      </c>
      <c r="E52" s="20">
        <v>2018</v>
      </c>
      <c r="F52" s="20" t="s">
        <v>3827</v>
      </c>
      <c r="G52" s="20">
        <v>108</v>
      </c>
      <c r="H52" s="20">
        <v>66252</v>
      </c>
      <c r="I52" s="19" t="s">
        <v>5142</v>
      </c>
      <c r="J52" s="11" t="str">
        <f t="shared" si="0"/>
        <v>ESCAPEESCAPE 4X4 2.0 AUT2018</v>
      </c>
      <c r="K52" s="12"/>
      <c r="L52" s="10">
        <f>IFERROR(_xlfn.XLOOKUP(F52,'PRECIO TOMA HISTORICO '!$A:$A,'PRECIO TOMA HISTORICO '!$B:$B,_xlfn.XLOOKUP(F52,BBDD!$S:$S,BBDD!$AO:$AO,"",0,1),0,-1),"")</f>
        <v>8600000</v>
      </c>
      <c r="M52" s="9"/>
      <c r="N52" s="10">
        <f>_xlfn.XLOOKUP(F52,BBDD!$S:$S,BBDD!$AS:$AS)</f>
        <v>10490000</v>
      </c>
      <c r="O52" s="10">
        <f>IFERROR(VLOOKUP(F52,'PRECIO MERCADO'!D:E,2,0),"0")</f>
        <v>10800000</v>
      </c>
      <c r="P52" s="10">
        <f>_xlfn.XLOOKUP(F52,BBDD!$S:$S,BBDD!$AO:$AO)</f>
        <v>8600000</v>
      </c>
      <c r="Q52" s="10">
        <f>_xlfn.XLOOKUP(F52,BBDD!$S:$S,BBDD!$AR:$AR)</f>
        <v>8858240</v>
      </c>
      <c r="R52" s="24" t="str">
        <f t="shared" si="1"/>
        <v>LIQUIDAR</v>
      </c>
    </row>
    <row r="53" spans="1:18" ht="13.5" customHeight="1" x14ac:dyDescent="0.3">
      <c r="A53" s="21" t="s">
        <v>86</v>
      </c>
      <c r="B53" s="21" t="s">
        <v>98</v>
      </c>
      <c r="C53" s="20" t="s">
        <v>11694</v>
      </c>
      <c r="D53" s="20" t="s">
        <v>26</v>
      </c>
      <c r="E53" s="20">
        <v>2024</v>
      </c>
      <c r="F53" s="20" t="s">
        <v>8810</v>
      </c>
      <c r="G53" s="20">
        <v>62</v>
      </c>
      <c r="H53" s="20">
        <v>27891</v>
      </c>
      <c r="I53" s="19" t="s">
        <v>5142</v>
      </c>
      <c r="J53" s="11" t="str">
        <f t="shared" si="0"/>
        <v>ESCAPEESCAPE DURA D4 2.5 AUT2024</v>
      </c>
      <c r="K53" s="12"/>
      <c r="L53" s="10">
        <f>IFERROR(_xlfn.XLOOKUP(F53,'PRECIO TOMA HISTORICO '!$A:$A,'PRECIO TOMA HISTORICO '!$B:$B,_xlfn.XLOOKUP(F53,BBDD!$S:$S,BBDD!$AO:$AO,"",0,1),0,-1),"")</f>
        <v>18750000</v>
      </c>
      <c r="M53" s="9"/>
      <c r="N53" s="10">
        <f>_xlfn.XLOOKUP(F53,BBDD!$S:$S,BBDD!$AS:$AS)</f>
        <v>21990000</v>
      </c>
      <c r="O53" s="10">
        <f>IFERROR(VLOOKUP(F53,'PRECIO MERCADO'!D:E,2,0),"0")</f>
        <v>23600000</v>
      </c>
      <c r="P53" s="10">
        <f>_xlfn.XLOOKUP(F53,BBDD!$S:$S,BBDD!$AO:$AO)</f>
        <v>18750000</v>
      </c>
      <c r="Q53" s="10">
        <f>_xlfn.XLOOKUP(F53,BBDD!$S:$S,BBDD!$AR:$AR)</f>
        <v>19160490</v>
      </c>
      <c r="R53" s="24" t="str">
        <f t="shared" si="1"/>
        <v>LIQUIDAR</v>
      </c>
    </row>
    <row r="54" spans="1:18" ht="13.5" customHeight="1" x14ac:dyDescent="0.3">
      <c r="A54" s="21" t="s">
        <v>86</v>
      </c>
      <c r="B54" s="21" t="s">
        <v>98</v>
      </c>
      <c r="C54" s="20" t="s">
        <v>99</v>
      </c>
      <c r="D54" s="20" t="s">
        <v>20</v>
      </c>
      <c r="E54" s="20">
        <v>2023</v>
      </c>
      <c r="F54" s="20" t="s">
        <v>11066</v>
      </c>
      <c r="G54" s="20">
        <v>19</v>
      </c>
      <c r="H54" s="20">
        <v>52000</v>
      </c>
      <c r="I54" s="19" t="s">
        <v>5142</v>
      </c>
      <c r="J54" s="11" t="str">
        <f t="shared" si="0"/>
        <v>ESCAPEESCAPE FHEV 2.5 AUT2023</v>
      </c>
      <c r="K54" s="12"/>
      <c r="L54" s="10">
        <f>IFERROR(_xlfn.XLOOKUP(F54,'PRECIO TOMA HISTORICO '!$A:$A,'PRECIO TOMA HISTORICO '!$B:$B,_xlfn.XLOOKUP(F54,BBDD!$S:$S,BBDD!$AO:$AO,"",0,1),0,-1),"")</f>
        <v>16500000</v>
      </c>
      <c r="M54" s="9"/>
      <c r="N54" s="10">
        <f>_xlfn.XLOOKUP(F54,BBDD!$S:$S,BBDD!$AS:$AS)</f>
        <v>19490000</v>
      </c>
      <c r="O54" s="10">
        <f>IFERROR(VLOOKUP(F54,'PRECIO MERCADO'!D:E,2,0),"0")</f>
        <v>20700000</v>
      </c>
      <c r="P54" s="10">
        <f>_xlfn.XLOOKUP(F54,BBDD!$S:$S,BBDD!$AO:$AO)</f>
        <v>16500000</v>
      </c>
      <c r="Q54" s="10">
        <f>_xlfn.XLOOKUP(F54,BBDD!$S:$S,BBDD!$AR:$AR)</f>
        <v>16876740</v>
      </c>
      <c r="R54" s="24" t="str">
        <f t="shared" si="1"/>
        <v>ROTACION ALTA</v>
      </c>
    </row>
    <row r="55" spans="1:18" ht="13.5" customHeight="1" x14ac:dyDescent="0.3">
      <c r="A55" s="21" t="s">
        <v>86</v>
      </c>
      <c r="B55" s="21" t="s">
        <v>98</v>
      </c>
      <c r="C55" s="21" t="s">
        <v>99</v>
      </c>
      <c r="D55" s="20" t="s">
        <v>26</v>
      </c>
      <c r="E55" s="20">
        <v>2023</v>
      </c>
      <c r="F55" s="20" t="s">
        <v>100</v>
      </c>
      <c r="G55" s="20">
        <v>230</v>
      </c>
      <c r="H55" s="20">
        <v>45000</v>
      </c>
      <c r="I55" s="19" t="s">
        <v>5142</v>
      </c>
      <c r="J55" s="11" t="str">
        <f t="shared" si="0"/>
        <v>ESCAPEESCAPE FHEV 2.5 AUT2023</v>
      </c>
      <c r="K55" s="12"/>
      <c r="L55" s="10">
        <f>IFERROR(_xlfn.XLOOKUP(F55,'PRECIO TOMA HISTORICO '!$A:$A,'PRECIO TOMA HISTORICO '!$B:$B,_xlfn.XLOOKUP(F55,BBDD!$S:$S,BBDD!$AO:$AO,"",0,1),0,-1),"")</f>
        <v>17500000</v>
      </c>
      <c r="M55" s="9"/>
      <c r="N55" s="10">
        <f>_xlfn.XLOOKUP(F55,BBDD!$S:$S,BBDD!$AS:$AS)</f>
        <v>18990000</v>
      </c>
      <c r="O55" s="10">
        <f>IFERROR(VLOOKUP(F55,'PRECIO MERCADO'!D:E,2,0),"0")</f>
        <v>22100000</v>
      </c>
      <c r="P55" s="10">
        <f>_xlfn.XLOOKUP(F55,BBDD!$S:$S,BBDD!$AO:$AO)</f>
        <v>17500000</v>
      </c>
      <c r="Q55" s="10">
        <f>_xlfn.XLOOKUP(F55,BBDD!$S:$S,BBDD!$AR:$AR)</f>
        <v>17888530</v>
      </c>
      <c r="R55" s="24" t="str">
        <f t="shared" si="1"/>
        <v>LIQUIDAR</v>
      </c>
    </row>
    <row r="56" spans="1:18" ht="13.5" customHeight="1" x14ac:dyDescent="0.3">
      <c r="A56" s="21" t="s">
        <v>86</v>
      </c>
      <c r="B56" s="21" t="s">
        <v>98</v>
      </c>
      <c r="C56" s="21" t="s">
        <v>99</v>
      </c>
      <c r="D56" s="21" t="s">
        <v>26</v>
      </c>
      <c r="E56" s="21">
        <v>2023</v>
      </c>
      <c r="F56" s="20" t="s">
        <v>101</v>
      </c>
      <c r="G56" s="20">
        <v>209</v>
      </c>
      <c r="H56" s="20">
        <v>80000</v>
      </c>
      <c r="I56" s="19" t="s">
        <v>5142</v>
      </c>
      <c r="J56" s="11" t="str">
        <f t="shared" si="0"/>
        <v>ESCAPEESCAPE FHEV 2.5 AUT2023</v>
      </c>
      <c r="K56" s="12"/>
      <c r="L56" s="10">
        <f>IFERROR(_xlfn.XLOOKUP(F56,'PRECIO TOMA HISTORICO '!$A:$A,'PRECIO TOMA HISTORICO '!$B:$B,_xlfn.XLOOKUP(F56,BBDD!$S:$S,BBDD!$AO:$AO,"",0,1),0,-1),"")</f>
        <v>15400000</v>
      </c>
      <c r="M56" s="9"/>
      <c r="N56" s="10">
        <f>_xlfn.XLOOKUP(F56,BBDD!$S:$S,BBDD!$AS:$AS)</f>
        <v>16990000</v>
      </c>
      <c r="O56" s="10">
        <f>IFERROR(VLOOKUP(F56,'PRECIO MERCADO'!D:E,2,0),"0")</f>
        <v>19700000</v>
      </c>
      <c r="P56" s="10">
        <f>_xlfn.XLOOKUP(F56,BBDD!$S:$S,BBDD!$AO:$AO)</f>
        <v>15400000</v>
      </c>
      <c r="Q56" s="10">
        <f>_xlfn.XLOOKUP(F56,BBDD!$S:$S,BBDD!$AR:$AR)</f>
        <v>15757030</v>
      </c>
      <c r="R56" s="24" t="str">
        <f t="shared" si="1"/>
        <v>LIQUIDAR</v>
      </c>
    </row>
    <row r="57" spans="1:18" ht="13.5" customHeight="1" x14ac:dyDescent="0.3">
      <c r="A57" s="21" t="s">
        <v>86</v>
      </c>
      <c r="B57" s="20" t="s">
        <v>106</v>
      </c>
      <c r="C57" s="20" t="s">
        <v>4215</v>
      </c>
      <c r="D57" s="20" t="s">
        <v>8221</v>
      </c>
      <c r="E57" s="20">
        <v>2024</v>
      </c>
      <c r="F57" s="20" t="s">
        <v>8338</v>
      </c>
      <c r="G57" s="20">
        <v>217</v>
      </c>
      <c r="H57" s="20">
        <v>0</v>
      </c>
      <c r="I57" s="19" t="s">
        <v>8149</v>
      </c>
      <c r="J57" s="11" t="str">
        <f t="shared" si="0"/>
        <v>EXPLOREREXPLORER 2WD 2.3 AUT2024</v>
      </c>
      <c r="K57" s="12"/>
      <c r="L57" s="10">
        <f>IFERROR(_xlfn.XLOOKUP(F57,'PRECIO TOMA HISTORICO '!$A:$A,'PRECIO TOMA HISTORICO '!$B:$B,_xlfn.XLOOKUP(F57,BBDD!$S:$S,BBDD!$AO:$AO,"",0,1),0,-1),"")</f>
        <v>49771695</v>
      </c>
      <c r="M57" s="9"/>
      <c r="N57" s="10">
        <f>_xlfn.XLOOKUP(F57,BBDD!$S:$S,BBDD!$AS:$AS)</f>
        <v>49771695</v>
      </c>
      <c r="O57" s="10">
        <f>IFERROR(VLOOKUP(F57,'PRECIO MERCADO'!D:E,2,0),"0")</f>
        <v>31400000</v>
      </c>
      <c r="P57" s="10">
        <f>_xlfn.XLOOKUP(F57,BBDD!$S:$S,BBDD!$AO:$AO)</f>
        <v>49771695</v>
      </c>
      <c r="Q57" s="10">
        <f>_xlfn.XLOOKUP(F57,BBDD!$S:$S,BBDD!$AR:$AR)</f>
        <v>49771695</v>
      </c>
      <c r="R57" s="24" t="str">
        <f t="shared" si="1"/>
        <v>LIQUIDAR</v>
      </c>
    </row>
    <row r="58" spans="1:18" ht="13.5" customHeight="1" x14ac:dyDescent="0.3">
      <c r="A58" s="21" t="s">
        <v>86</v>
      </c>
      <c r="B58" s="21" t="s">
        <v>106</v>
      </c>
      <c r="C58" s="20" t="s">
        <v>8181</v>
      </c>
      <c r="D58" s="20" t="s">
        <v>26</v>
      </c>
      <c r="E58" s="20">
        <v>2025</v>
      </c>
      <c r="F58" s="20" t="s">
        <v>666</v>
      </c>
      <c r="G58" s="20">
        <v>300</v>
      </c>
      <c r="H58" s="20">
        <v>13051</v>
      </c>
      <c r="I58" s="19" t="s">
        <v>8149</v>
      </c>
      <c r="J58" s="11" t="str">
        <f t="shared" si="0"/>
        <v>EXPLOREREXPLORER ACTIVE 4X4 2.3 AUT2025</v>
      </c>
      <c r="K58" s="12"/>
      <c r="L58" s="10">
        <f>IFERROR(_xlfn.XLOOKUP(F58,'PRECIO TOMA HISTORICO '!$A:$A,'PRECIO TOMA HISTORICO '!$B:$B,_xlfn.XLOOKUP(F58,BBDD!$S:$S,BBDD!$AO:$AO,"",0,1),0,-1),"")</f>
        <v>43000000</v>
      </c>
      <c r="M58" s="9"/>
      <c r="N58" s="10">
        <f>_xlfn.XLOOKUP(F58,BBDD!$S:$S,BBDD!$AS:$AS)</f>
        <v>38990000</v>
      </c>
      <c r="O58" s="10">
        <f>IFERROR(VLOOKUP(F58,'PRECIO MERCADO'!D:E,2,0),"0")</f>
        <v>39000000</v>
      </c>
      <c r="P58" s="10">
        <f>_xlfn.XLOOKUP(F58,BBDD!$S:$S,BBDD!$AO:$AO)</f>
        <v>43000000</v>
      </c>
      <c r="Q58" s="10">
        <f>_xlfn.XLOOKUP(F58,BBDD!$S:$S,BBDD!$AR:$AR)</f>
        <v>43000000</v>
      </c>
      <c r="R58" s="24" t="str">
        <f t="shared" si="1"/>
        <v>LIQUIDAR</v>
      </c>
    </row>
    <row r="59" spans="1:18" ht="13.5" customHeight="1" x14ac:dyDescent="0.3">
      <c r="A59" s="21" t="s">
        <v>86</v>
      </c>
      <c r="B59" s="21" t="s">
        <v>106</v>
      </c>
      <c r="C59" s="21" t="s">
        <v>8181</v>
      </c>
      <c r="D59" s="21" t="s">
        <v>26</v>
      </c>
      <c r="E59" s="21">
        <v>2025</v>
      </c>
      <c r="F59" s="20" t="s">
        <v>8599</v>
      </c>
      <c r="G59" s="20">
        <v>85</v>
      </c>
      <c r="H59" s="20">
        <v>43000</v>
      </c>
      <c r="I59" s="19" t="s">
        <v>5142</v>
      </c>
      <c r="J59" s="11" t="str">
        <f t="shared" si="0"/>
        <v>EXPLOREREXPLORER ACTIVE 4X4 2.3 AUT2025</v>
      </c>
      <c r="K59" s="12"/>
      <c r="L59" s="10">
        <f>IFERROR(_xlfn.XLOOKUP(F59,'PRECIO TOMA HISTORICO '!$A:$A,'PRECIO TOMA HISTORICO '!$B:$B,_xlfn.XLOOKUP(F59,BBDD!$S:$S,BBDD!$AO:$AO,"",0,1),0,-1),"")</f>
        <v>30000000</v>
      </c>
      <c r="M59" s="9"/>
      <c r="N59" s="10">
        <f>_xlfn.XLOOKUP(F59,BBDD!$S:$S,BBDD!$AS:$AS)</f>
        <v>36990000</v>
      </c>
      <c r="O59" s="10">
        <f>IFERROR(VLOOKUP(F59,'PRECIO MERCADO'!D:E,2,0),"0")</f>
        <v>37500000</v>
      </c>
      <c r="P59" s="10">
        <f>_xlfn.XLOOKUP(F59,BBDD!$S:$S,BBDD!$AO:$AO)</f>
        <v>30000000</v>
      </c>
      <c r="Q59" s="10">
        <f>_xlfn.XLOOKUP(F59,BBDD!$S:$S,BBDD!$AR:$AR)</f>
        <v>30579240</v>
      </c>
      <c r="R59" s="24" t="str">
        <f t="shared" si="1"/>
        <v>LIQUIDAR</v>
      </c>
    </row>
    <row r="60" spans="1:18" ht="13.5" customHeight="1" x14ac:dyDescent="0.3">
      <c r="A60" s="21" t="s">
        <v>86</v>
      </c>
      <c r="B60" s="21" t="s">
        <v>106</v>
      </c>
      <c r="C60" s="21" t="s">
        <v>8181</v>
      </c>
      <c r="D60" s="20" t="s">
        <v>40</v>
      </c>
      <c r="E60" s="20">
        <v>2025</v>
      </c>
      <c r="F60" s="20" t="s">
        <v>11688</v>
      </c>
      <c r="G60" s="20">
        <v>14</v>
      </c>
      <c r="H60" s="20">
        <v>20600</v>
      </c>
      <c r="I60" s="19" t="s">
        <v>5142</v>
      </c>
      <c r="J60" s="11" t="str">
        <f t="shared" si="0"/>
        <v>EXPLOREREXPLORER ACTIVE 4X4 2.3 AUT2025</v>
      </c>
      <c r="K60" s="12"/>
      <c r="L60" s="10">
        <f>IFERROR(_xlfn.XLOOKUP(F60,'PRECIO TOMA HISTORICO '!$A:$A,'PRECIO TOMA HISTORICO '!$B:$B,_xlfn.XLOOKUP(F60,BBDD!$S:$S,BBDD!$AO:$AO,"",0,1),0,-1),"")</f>
        <v>30000000</v>
      </c>
      <c r="M60" s="9"/>
      <c r="N60" s="10">
        <f>_xlfn.XLOOKUP(F60,BBDD!$S:$S,BBDD!$AS:$AS)</f>
        <v>35590000</v>
      </c>
      <c r="O60" s="10">
        <f>IFERROR(VLOOKUP(F60,'PRECIO MERCADO'!D:E,2,0),"0")</f>
        <v>37700000</v>
      </c>
      <c r="P60" s="10">
        <f>_xlfn.XLOOKUP(F60,BBDD!$S:$S,BBDD!$AO:$AO)</f>
        <v>30000000</v>
      </c>
      <c r="Q60" s="10">
        <f>_xlfn.XLOOKUP(F60,BBDD!$S:$S,BBDD!$AR:$AR)</f>
        <v>30579240</v>
      </c>
      <c r="R60" s="24" t="str">
        <f t="shared" si="1"/>
        <v>ROTACION ALTA</v>
      </c>
    </row>
    <row r="61" spans="1:18" ht="13.5" customHeight="1" x14ac:dyDescent="0.3">
      <c r="A61" s="21" t="s">
        <v>86</v>
      </c>
      <c r="B61" s="21" t="s">
        <v>106</v>
      </c>
      <c r="C61" s="20" t="s">
        <v>109</v>
      </c>
      <c r="D61" s="20" t="s">
        <v>40</v>
      </c>
      <c r="E61" s="20">
        <v>2020</v>
      </c>
      <c r="F61" s="20" t="s">
        <v>110</v>
      </c>
      <c r="G61" s="20">
        <v>199</v>
      </c>
      <c r="H61" s="20">
        <v>84600</v>
      </c>
      <c r="I61" s="19" t="s">
        <v>5142</v>
      </c>
      <c r="J61" s="11" t="str">
        <f t="shared" si="0"/>
        <v>EXPLOREREXPLORER LTD 4X4 2.3 AUT2020</v>
      </c>
      <c r="K61" s="12"/>
      <c r="L61" s="10">
        <f>IFERROR(_xlfn.XLOOKUP(F61,'PRECIO TOMA HISTORICO '!$A:$A,'PRECIO TOMA HISTORICO '!$B:$B,_xlfn.XLOOKUP(F61,BBDD!$S:$S,BBDD!$AO:$AO,"",0,1),0,-1),"")</f>
        <v>17000000</v>
      </c>
      <c r="M61" s="9"/>
      <c r="N61" s="10">
        <f>_xlfn.XLOOKUP(F61,BBDD!$S:$S,BBDD!$AS:$AS)</f>
        <v>22990000</v>
      </c>
      <c r="O61" s="10">
        <f>IFERROR(VLOOKUP(F61,'PRECIO MERCADO'!D:E,2,0),"0")</f>
        <v>25300000</v>
      </c>
      <c r="P61" s="10">
        <f>_xlfn.XLOOKUP(F61,BBDD!$S:$S,BBDD!$AO:$AO)</f>
        <v>17000000</v>
      </c>
      <c r="Q61" s="10">
        <f>_xlfn.XLOOKUP(F61,BBDD!$S:$S,BBDD!$AR:$AR)</f>
        <v>17381030</v>
      </c>
      <c r="R61" s="24" t="str">
        <f t="shared" si="1"/>
        <v>LIQUIDAR</v>
      </c>
    </row>
    <row r="62" spans="1:18" ht="13.5" customHeight="1" x14ac:dyDescent="0.3">
      <c r="A62" s="21" t="s">
        <v>86</v>
      </c>
      <c r="B62" s="20" t="s">
        <v>111</v>
      </c>
      <c r="C62" s="20" t="s">
        <v>8392</v>
      </c>
      <c r="D62" s="20" t="s">
        <v>40</v>
      </c>
      <c r="E62" s="20">
        <v>2025</v>
      </c>
      <c r="F62" s="20" t="s">
        <v>1021</v>
      </c>
      <c r="G62" s="20">
        <v>476</v>
      </c>
      <c r="H62" s="20">
        <v>0</v>
      </c>
      <c r="I62" s="19" t="s">
        <v>8149</v>
      </c>
      <c r="J62" s="11" t="str">
        <f t="shared" si="0"/>
        <v>F-150F150 CC LARIAT SPORT 4X42025</v>
      </c>
      <c r="K62" s="12"/>
      <c r="L62" s="10">
        <f>IFERROR(_xlfn.XLOOKUP(F62,'PRECIO TOMA HISTORICO '!$A:$A,'PRECIO TOMA HISTORICO '!$B:$B,_xlfn.XLOOKUP(F62,BBDD!$S:$S,BBDD!$AO:$AO,"",0,1),0,-1),"")</f>
        <v>57227100</v>
      </c>
      <c r="M62" s="9"/>
      <c r="N62" s="10">
        <f>_xlfn.XLOOKUP(F62,BBDD!$S:$S,BBDD!$AS:$AS)</f>
        <v>61000000</v>
      </c>
      <c r="O62" s="10">
        <f>IFERROR(VLOOKUP(F62,'PRECIO MERCADO'!D:E,2,0),"0")</f>
        <v>49800000</v>
      </c>
      <c r="P62" s="10">
        <f>_xlfn.XLOOKUP(F62,BBDD!$S:$S,BBDD!$AO:$AO)</f>
        <v>48090000</v>
      </c>
      <c r="Q62" s="10">
        <f>_xlfn.XLOOKUP(F62,BBDD!$S:$S,BBDD!$AR:$AR)</f>
        <v>48090000</v>
      </c>
      <c r="R62" s="24" t="str">
        <f t="shared" si="1"/>
        <v>LIQUIDAR</v>
      </c>
    </row>
    <row r="63" spans="1:18" ht="13.5" customHeight="1" x14ac:dyDescent="0.3">
      <c r="A63" s="21" t="s">
        <v>86</v>
      </c>
      <c r="B63" s="21" t="s">
        <v>111</v>
      </c>
      <c r="C63" s="20" t="s">
        <v>113</v>
      </c>
      <c r="D63" s="20" t="s">
        <v>26</v>
      </c>
      <c r="E63" s="20">
        <v>2022</v>
      </c>
      <c r="F63" s="20" t="s">
        <v>2376</v>
      </c>
      <c r="G63" s="20">
        <v>47</v>
      </c>
      <c r="H63" s="20">
        <v>72706</v>
      </c>
      <c r="I63" s="19" t="s">
        <v>5142</v>
      </c>
      <c r="J63" s="11" t="str">
        <f t="shared" si="0"/>
        <v>F-150F150 LARIAT LUXURY 4X4 5.0L AUT2022</v>
      </c>
      <c r="K63" s="12"/>
      <c r="L63" s="10">
        <f>IFERROR(_xlfn.XLOOKUP(F63,'PRECIO TOMA HISTORICO '!$A:$A,'PRECIO TOMA HISTORICO '!$B:$B,_xlfn.XLOOKUP(F63,BBDD!$S:$S,BBDD!$AO:$AO,"",0,1),0,-1),"")</f>
        <v>29200000</v>
      </c>
      <c r="M63" s="9"/>
      <c r="N63" s="10">
        <f>_xlfn.XLOOKUP(F63,BBDD!$S:$S,BBDD!$AS:$AS)</f>
        <v>35990000</v>
      </c>
      <c r="O63" s="10">
        <f>IFERROR(VLOOKUP(F63,'PRECIO MERCADO'!D:E,2,0),"0")</f>
        <v>36300000</v>
      </c>
      <c r="P63" s="10">
        <f>_xlfn.XLOOKUP(F63,BBDD!$S:$S,BBDD!$AO:$AO)</f>
        <v>29200000</v>
      </c>
      <c r="Q63" s="10">
        <f>_xlfn.XLOOKUP(F63,BBDD!$S:$S,BBDD!$AR:$AR)</f>
        <v>29767240</v>
      </c>
      <c r="R63" s="24" t="str">
        <f t="shared" si="1"/>
        <v>ROTACION BAJA</v>
      </c>
    </row>
    <row r="64" spans="1:18" ht="13.5" customHeight="1" x14ac:dyDescent="0.3">
      <c r="A64" s="21" t="s">
        <v>86</v>
      </c>
      <c r="B64" s="21" t="s">
        <v>111</v>
      </c>
      <c r="C64" s="20" t="s">
        <v>10958</v>
      </c>
      <c r="D64" s="20" t="s">
        <v>20</v>
      </c>
      <c r="E64" s="20">
        <v>2024</v>
      </c>
      <c r="F64" s="20" t="s">
        <v>7497</v>
      </c>
      <c r="G64" s="20">
        <v>19</v>
      </c>
      <c r="H64" s="20">
        <v>61400</v>
      </c>
      <c r="I64" s="19" t="s">
        <v>5142</v>
      </c>
      <c r="J64" s="11" t="str">
        <f t="shared" si="0"/>
        <v>F-150NEW F150 LARIAT LUXURY 4X4 5.02024</v>
      </c>
      <c r="K64" s="12"/>
      <c r="L64" s="10">
        <f>IFERROR(_xlfn.XLOOKUP(F64,'PRECIO TOMA HISTORICO '!$A:$A,'PRECIO TOMA HISTORICO '!$B:$B,_xlfn.XLOOKUP(F64,BBDD!$S:$S,BBDD!$AO:$AO,"",0,1),0,-1),"")</f>
        <v>34750000</v>
      </c>
      <c r="M64" s="9"/>
      <c r="N64" s="10">
        <f>_xlfn.XLOOKUP(F64,BBDD!$S:$S,BBDD!$AS:$AS)</f>
        <v>41290000</v>
      </c>
      <c r="O64" s="10">
        <f>IFERROR(VLOOKUP(F64,'PRECIO MERCADO'!D:E,2,0),"0")</f>
        <v>44600000</v>
      </c>
      <c r="P64" s="10">
        <f>_xlfn.XLOOKUP(F64,BBDD!$S:$S,BBDD!$AO:$AO)</f>
        <v>34750000</v>
      </c>
      <c r="Q64" s="10">
        <f>_xlfn.XLOOKUP(F64,BBDD!$S:$S,BBDD!$AR:$AR)</f>
        <v>35400490</v>
      </c>
      <c r="R64" s="24" t="str">
        <f t="shared" si="1"/>
        <v>ROTACION ALTA</v>
      </c>
    </row>
    <row r="65" spans="1:18" ht="13.5" customHeight="1" x14ac:dyDescent="0.3">
      <c r="A65" s="21" t="s">
        <v>86</v>
      </c>
      <c r="B65" s="20" t="s">
        <v>8295</v>
      </c>
      <c r="C65" s="20" t="s">
        <v>8296</v>
      </c>
      <c r="D65" s="20" t="s">
        <v>40</v>
      </c>
      <c r="E65" s="20">
        <v>2025</v>
      </c>
      <c r="F65" s="20" t="s">
        <v>8299</v>
      </c>
      <c r="G65" s="20">
        <v>119</v>
      </c>
      <c r="H65" s="20">
        <v>0</v>
      </c>
      <c r="I65" s="19" t="s">
        <v>8149</v>
      </c>
      <c r="J65" s="11" t="str">
        <f t="shared" si="0"/>
        <v>F-150 MCAF-150 Platinum CC 4X4 3.5L2025</v>
      </c>
      <c r="K65" s="12"/>
      <c r="L65" s="10">
        <f>IFERROR(_xlfn.XLOOKUP(F65,'PRECIO TOMA HISTORICO '!$A:$A,'PRECIO TOMA HISTORICO '!$B:$B,_xlfn.XLOOKUP(F65,BBDD!$S:$S,BBDD!$AO:$AO,"",0,1),0,-1),"")</f>
        <v>58536100</v>
      </c>
      <c r="M65" s="9"/>
      <c r="N65" s="10">
        <f>_xlfn.XLOOKUP(F65,BBDD!$S:$S,BBDD!$AS:$AS)</f>
        <v>58536100</v>
      </c>
      <c r="O65" s="10">
        <f>IFERROR(VLOOKUP(F65,'PRECIO MERCADO'!D:E,2,0),"0")</f>
        <v>56000000</v>
      </c>
      <c r="P65" s="10">
        <f>_xlfn.XLOOKUP(F65,BBDD!$S:$S,BBDD!$AO:$AO)</f>
        <v>58536100</v>
      </c>
      <c r="Q65" s="10">
        <f>_xlfn.XLOOKUP(F65,BBDD!$S:$S,BBDD!$AR:$AR)</f>
        <v>58536100</v>
      </c>
      <c r="R65" s="24" t="str">
        <f t="shared" si="1"/>
        <v>LIQUIDAR</v>
      </c>
    </row>
    <row r="66" spans="1:18" ht="13.5" customHeight="1" x14ac:dyDescent="0.3">
      <c r="A66" s="21" t="s">
        <v>86</v>
      </c>
      <c r="B66" s="20" t="s">
        <v>3840</v>
      </c>
      <c r="C66" s="20" t="s">
        <v>9561</v>
      </c>
      <c r="D66" s="20" t="s">
        <v>26</v>
      </c>
      <c r="E66" s="20">
        <v>2025</v>
      </c>
      <c r="F66" s="20" t="s">
        <v>8789</v>
      </c>
      <c r="G66" s="20">
        <v>80</v>
      </c>
      <c r="H66" s="20">
        <v>31490</v>
      </c>
      <c r="I66" s="19" t="s">
        <v>5142</v>
      </c>
      <c r="J66" s="11" t="str">
        <f t="shared" ref="J66:J116" si="2">CONCATENATE(B66,C66,E66)</f>
        <v>MAVERICKMAVERICK LARIAT 2.5 AUT2025</v>
      </c>
      <c r="K66" s="12"/>
      <c r="L66" s="10">
        <f>IFERROR(_xlfn.XLOOKUP(F66,'PRECIO TOMA HISTORICO '!$A:$A,'PRECIO TOMA HISTORICO '!$B:$B,_xlfn.XLOOKUP(F66,BBDD!$S:$S,BBDD!$AO:$AO,"",0,1),0,-1),"")</f>
        <v>22500000</v>
      </c>
      <c r="M66" s="9"/>
      <c r="N66" s="10">
        <f>_xlfn.XLOOKUP(F66,BBDD!$S:$S,BBDD!$AS:$AS)</f>
        <v>25990000</v>
      </c>
      <c r="O66" s="10">
        <f>IFERROR(VLOOKUP(F66,'PRECIO MERCADO'!D:E,2,0),"0")</f>
        <v>25500000</v>
      </c>
      <c r="P66" s="10">
        <f>_xlfn.XLOOKUP(F66,BBDD!$S:$S,BBDD!$AO:$AO)</f>
        <v>22500000</v>
      </c>
      <c r="Q66" s="10">
        <f>_xlfn.XLOOKUP(F66,BBDD!$S:$S,BBDD!$AR:$AR)</f>
        <v>22966740</v>
      </c>
      <c r="R66" s="24" t="str">
        <f t="shared" si="1"/>
        <v>LIQUIDAR</v>
      </c>
    </row>
    <row r="67" spans="1:18" ht="13.5" customHeight="1" x14ac:dyDescent="0.3">
      <c r="A67" s="21" t="s">
        <v>86</v>
      </c>
      <c r="B67" s="21" t="s">
        <v>3840</v>
      </c>
      <c r="C67" s="20" t="s">
        <v>8264</v>
      </c>
      <c r="D67" s="20" t="s">
        <v>40</v>
      </c>
      <c r="E67" s="20">
        <v>2026</v>
      </c>
      <c r="F67" s="20" t="s">
        <v>357</v>
      </c>
      <c r="G67" s="20">
        <v>155</v>
      </c>
      <c r="H67" s="20">
        <v>5964</v>
      </c>
      <c r="I67" s="19" t="s">
        <v>8149</v>
      </c>
      <c r="J67" s="11" t="str">
        <f t="shared" si="2"/>
        <v>MAVERICKMAVERICK LARIAT BLACK 4X4 2.0 AUT2026</v>
      </c>
      <c r="K67" s="12"/>
      <c r="L67" s="10">
        <f>IFERROR(_xlfn.XLOOKUP(F67,'PRECIO TOMA HISTORICO '!$A:$A,'PRECIO TOMA HISTORICO '!$B:$B,_xlfn.XLOOKUP(F67,BBDD!$S:$S,BBDD!$AO:$AO,"",0,1),0,-1),"")</f>
        <v>33921345</v>
      </c>
      <c r="M67" s="9"/>
      <c r="N67" s="10">
        <f>_xlfn.XLOOKUP(F67,BBDD!$S:$S,BBDD!$AS:$AS)</f>
        <v>29990000</v>
      </c>
      <c r="O67" s="10">
        <f>IFERROR(VLOOKUP(F67,'PRECIO MERCADO'!D:E,2,0),"0")</f>
        <v>31100000</v>
      </c>
      <c r="P67" s="10">
        <f>_xlfn.XLOOKUP(F67,BBDD!$S:$S,BBDD!$AO:$AO)</f>
        <v>33921345</v>
      </c>
      <c r="Q67" s="10">
        <f>_xlfn.XLOOKUP(F67,BBDD!$S:$S,BBDD!$AR:$AR)</f>
        <v>33921345</v>
      </c>
      <c r="R67" s="24" t="str">
        <f t="shared" ref="R67:R130" si="3">IF(G67&lt;=30,"ROTACION ALTA",IF(G67&lt;30,"ROTACION MEDIA",IF(G67&lt;60,"ROTACION BAJA",IF(G67&gt;60,"LIQUIDAR"))))</f>
        <v>LIQUIDAR</v>
      </c>
    </row>
    <row r="68" spans="1:18" ht="13.5" customHeight="1" x14ac:dyDescent="0.3">
      <c r="A68" s="21" t="s">
        <v>86</v>
      </c>
      <c r="B68" s="20" t="s">
        <v>122</v>
      </c>
      <c r="C68" s="20" t="s">
        <v>4262</v>
      </c>
      <c r="D68" s="20" t="s">
        <v>26</v>
      </c>
      <c r="E68" s="20">
        <v>2023</v>
      </c>
      <c r="F68" s="20" t="s">
        <v>8795</v>
      </c>
      <c r="G68" s="20">
        <v>80</v>
      </c>
      <c r="H68" s="20">
        <v>101000</v>
      </c>
      <c r="I68" s="19" t="s">
        <v>5142</v>
      </c>
      <c r="J68" s="11" t="str">
        <f t="shared" si="2"/>
        <v>RANGERRANGER DCAB 4X4 3.2 AUT2023</v>
      </c>
      <c r="K68" s="12"/>
      <c r="L68" s="10">
        <f>IFERROR(_xlfn.XLOOKUP(F68,'PRECIO TOMA HISTORICO '!$A:$A,'PRECIO TOMA HISTORICO '!$B:$B,_xlfn.XLOOKUP(F68,BBDD!$S:$S,BBDD!$AO:$AO,"",0,1),0,-1),"")</f>
        <v>19700000</v>
      </c>
      <c r="M68" s="9"/>
      <c r="N68" s="10">
        <f>_xlfn.XLOOKUP(F68,BBDD!$S:$S,BBDD!$AS:$AS)</f>
        <v>24990000</v>
      </c>
      <c r="O68" s="10">
        <f>IFERROR(VLOOKUP(F68,'PRECIO MERCADO'!D:E,2,0),"0")</f>
        <v>25300000</v>
      </c>
      <c r="P68" s="10">
        <f>_xlfn.XLOOKUP(F68,BBDD!$S:$S,BBDD!$AO:$AO)</f>
        <v>19700000</v>
      </c>
      <c r="Q68" s="10">
        <f>_xlfn.XLOOKUP(F68,BBDD!$S:$S,BBDD!$AR:$AR)</f>
        <v>20124740</v>
      </c>
      <c r="R68" s="24" t="str">
        <f t="shared" si="3"/>
        <v>LIQUIDAR</v>
      </c>
    </row>
    <row r="69" spans="1:18" ht="13.5" customHeight="1" x14ac:dyDescent="0.3">
      <c r="A69" s="21" t="s">
        <v>86</v>
      </c>
      <c r="B69" s="21" t="s">
        <v>122</v>
      </c>
      <c r="C69" s="20" t="s">
        <v>9534</v>
      </c>
      <c r="D69" s="20" t="s">
        <v>8221</v>
      </c>
      <c r="E69" s="20">
        <v>2024</v>
      </c>
      <c r="F69" s="20" t="s">
        <v>332</v>
      </c>
      <c r="G69" s="20">
        <v>77</v>
      </c>
      <c r="H69" s="20">
        <v>33641</v>
      </c>
      <c r="I69" s="19" t="s">
        <v>8149</v>
      </c>
      <c r="J69" s="11" t="str">
        <f t="shared" si="2"/>
        <v>RANGERRanger Dsl XLS 4x2 2.0L MT2024</v>
      </c>
      <c r="K69" s="12"/>
      <c r="L69" s="10">
        <f>IFERROR(_xlfn.XLOOKUP(F69,'PRECIO TOMA HISTORICO '!$A:$A,'PRECIO TOMA HISTORICO '!$B:$B,_xlfn.XLOOKUP(F69,BBDD!$S:$S,BBDD!$AO:$AO,"",0,1),0,-1),"")</f>
        <v>27953100</v>
      </c>
      <c r="M69" s="9"/>
      <c r="N69" s="10">
        <f>_xlfn.XLOOKUP(F69,BBDD!$S:$S,BBDD!$AS:$AS)</f>
        <v>24990000</v>
      </c>
      <c r="O69" s="10">
        <f>IFERROR(VLOOKUP(F69,'PRECIO MERCADO'!D:E,2,0),"0")</f>
        <v>24400000</v>
      </c>
      <c r="P69" s="10">
        <f>_xlfn.XLOOKUP(F69,BBDD!$S:$S,BBDD!$AO:$AO)</f>
        <v>23490000</v>
      </c>
      <c r="Q69" s="10">
        <f>_xlfn.XLOOKUP(F69,BBDD!$S:$S,BBDD!$AR:$AR)</f>
        <v>23490000</v>
      </c>
      <c r="R69" s="24" t="str">
        <f t="shared" si="3"/>
        <v>LIQUIDAR</v>
      </c>
    </row>
    <row r="70" spans="1:18" ht="13.5" customHeight="1" x14ac:dyDescent="0.3">
      <c r="A70" s="21" t="s">
        <v>86</v>
      </c>
      <c r="B70" s="21" t="s">
        <v>122</v>
      </c>
      <c r="C70" s="20" t="s">
        <v>9881</v>
      </c>
      <c r="D70" s="20" t="s">
        <v>8505</v>
      </c>
      <c r="E70" s="20">
        <v>2026</v>
      </c>
      <c r="F70" s="20" t="s">
        <v>9689</v>
      </c>
      <c r="G70" s="20">
        <v>67</v>
      </c>
      <c r="H70" s="20">
        <v>0</v>
      </c>
      <c r="I70" s="19" t="s">
        <v>8149</v>
      </c>
      <c r="J70" s="11" t="str">
        <f t="shared" si="2"/>
        <v>RANGERRanger Dsl XLS 4x4 2.0L2026</v>
      </c>
      <c r="K70" s="12"/>
      <c r="L70" s="10">
        <f>IFERROR(_xlfn.XLOOKUP(F70,'PRECIO TOMA HISTORICO '!$A:$A,'PRECIO TOMA HISTORICO '!$B:$B,_xlfn.XLOOKUP(F70,BBDD!$S:$S,BBDD!$AO:$AO,"",0,1),0,-1),"")</f>
        <v>27190000</v>
      </c>
      <c r="M70" s="9"/>
      <c r="N70" s="10">
        <f>_xlfn.XLOOKUP(F70,BBDD!$S:$S,BBDD!$AS:$AS)</f>
        <v>33310000</v>
      </c>
      <c r="O70" s="10">
        <f>IFERROR(VLOOKUP(F70,'PRECIO MERCADO'!D:E,2,0),"0")</f>
        <v>33100000</v>
      </c>
      <c r="P70" s="10">
        <f>_xlfn.XLOOKUP(F70,BBDD!$S:$S,BBDD!$AO:$AO)</f>
        <v>27190000</v>
      </c>
      <c r="Q70" s="10">
        <f>_xlfn.XLOOKUP(F70,BBDD!$S:$S,BBDD!$AR:$AR)</f>
        <v>27190000</v>
      </c>
      <c r="R70" s="24" t="str">
        <f t="shared" si="3"/>
        <v>LIQUIDAR</v>
      </c>
    </row>
    <row r="71" spans="1:18" ht="13.5" customHeight="1" x14ac:dyDescent="0.3">
      <c r="A71" s="21" t="s">
        <v>86</v>
      </c>
      <c r="B71" s="21" t="s">
        <v>122</v>
      </c>
      <c r="C71" s="20" t="s">
        <v>11678</v>
      </c>
      <c r="D71" s="20" t="s">
        <v>16</v>
      </c>
      <c r="E71" s="20">
        <v>2020</v>
      </c>
      <c r="F71" s="20" t="s">
        <v>11681</v>
      </c>
      <c r="G71" s="20">
        <v>1</v>
      </c>
      <c r="H71" s="20">
        <v>34289</v>
      </c>
      <c r="I71" s="19" t="s">
        <v>5142</v>
      </c>
      <c r="J71" s="11" t="str">
        <f t="shared" si="2"/>
        <v>RANGERRANGER LTD 2.52020</v>
      </c>
      <c r="K71" s="12"/>
      <c r="L71" s="10">
        <f>IFERROR(_xlfn.XLOOKUP(F71,'PRECIO TOMA HISTORICO '!$A:$A,'PRECIO TOMA HISTORICO '!$B:$B,_xlfn.XLOOKUP(F71,BBDD!$S:$S,BBDD!$AO:$AO,"",0,1),0,-1),"")</f>
        <v>11600000</v>
      </c>
      <c r="M71" s="9"/>
      <c r="N71" s="10">
        <f>_xlfn.XLOOKUP(F71,BBDD!$S:$S,BBDD!$AS:$AS)</f>
        <v>14590000</v>
      </c>
      <c r="O71" s="10">
        <f>IFERROR(VLOOKUP(F71,'PRECIO MERCADO'!D:E,2,0),"0")</f>
        <v>16600000</v>
      </c>
      <c r="P71" s="10">
        <f>_xlfn.XLOOKUP(F71,BBDD!$S:$S,BBDD!$AO:$AO)</f>
        <v>11600000</v>
      </c>
      <c r="Q71" s="10">
        <f>_xlfn.XLOOKUP(F71,BBDD!$S:$S,BBDD!$AR:$AR)</f>
        <v>11903240</v>
      </c>
      <c r="R71" s="24" t="str">
        <f t="shared" si="3"/>
        <v>ROTACION ALTA</v>
      </c>
    </row>
    <row r="72" spans="1:18" ht="13.5" customHeight="1" x14ac:dyDescent="0.3">
      <c r="A72" s="21" t="s">
        <v>86</v>
      </c>
      <c r="B72" s="21" t="s">
        <v>122</v>
      </c>
      <c r="C72" s="20" t="s">
        <v>123</v>
      </c>
      <c r="D72" s="20" t="s">
        <v>8505</v>
      </c>
      <c r="E72" s="20">
        <v>2026</v>
      </c>
      <c r="F72" s="20" t="s">
        <v>348</v>
      </c>
      <c r="G72" s="20">
        <v>147</v>
      </c>
      <c r="H72" s="20">
        <v>2366</v>
      </c>
      <c r="I72" s="19" t="s">
        <v>8149</v>
      </c>
      <c r="J72" s="11" t="str">
        <f t="shared" si="2"/>
        <v>RANGERRANGER LTD 4X4 3.0 AUT2026</v>
      </c>
      <c r="K72" s="12"/>
      <c r="L72" s="10">
        <f>IFERROR(_xlfn.XLOOKUP(F72,'PRECIO TOMA HISTORICO '!$A:$A,'PRECIO TOMA HISTORICO '!$B:$B,_xlfn.XLOOKUP(F72,BBDD!$S:$S,BBDD!$AO:$AO,"",0,1),0,-1),"")</f>
        <v>47288100</v>
      </c>
      <c r="M72" s="9"/>
      <c r="N72" s="10">
        <f>_xlfn.XLOOKUP(F72,BBDD!$S:$S,BBDD!$AS:$AS)</f>
        <v>42900000</v>
      </c>
      <c r="O72" s="10">
        <f>IFERROR(VLOOKUP(F72,'PRECIO MERCADO'!D:E,2,0),"0")</f>
        <v>44100000</v>
      </c>
      <c r="P72" s="10">
        <f>_xlfn.XLOOKUP(F72,BBDD!$S:$S,BBDD!$AO:$AO)</f>
        <v>39737899</v>
      </c>
      <c r="Q72" s="10">
        <f>_xlfn.XLOOKUP(F72,BBDD!$S:$S,BBDD!$AR:$AR)</f>
        <v>39737899</v>
      </c>
      <c r="R72" s="24" t="str">
        <f t="shared" si="3"/>
        <v>LIQUIDAR</v>
      </c>
    </row>
    <row r="73" spans="1:18" ht="13.5" customHeight="1" x14ac:dyDescent="0.3">
      <c r="A73" s="21" t="s">
        <v>86</v>
      </c>
      <c r="B73" s="21" t="s">
        <v>122</v>
      </c>
      <c r="C73" s="21" t="s">
        <v>123</v>
      </c>
      <c r="D73" s="20" t="s">
        <v>16</v>
      </c>
      <c r="E73" s="20">
        <v>2025</v>
      </c>
      <c r="F73" s="20" t="s">
        <v>7995</v>
      </c>
      <c r="G73" s="20">
        <v>341</v>
      </c>
      <c r="H73" s="20">
        <v>0</v>
      </c>
      <c r="I73" s="19" t="s">
        <v>8149</v>
      </c>
      <c r="J73" s="11" t="str">
        <f t="shared" si="2"/>
        <v>RANGERRANGER LTD 4X4 3.0 AUT2025</v>
      </c>
      <c r="K73" s="12"/>
      <c r="L73" s="10">
        <f>IFERROR(_xlfn.XLOOKUP(F73,'PRECIO TOMA HISTORICO '!$A:$A,'PRECIO TOMA HISTORICO '!$B:$B,_xlfn.XLOOKUP(F73,BBDD!$S:$S,BBDD!$AO:$AO,"",0,1),0,-1),"")</f>
        <v>39290000</v>
      </c>
      <c r="M73" s="9"/>
      <c r="N73" s="10">
        <f>_xlfn.XLOOKUP(F73,BBDD!$S:$S,BBDD!$AS:$AS)</f>
        <v>0</v>
      </c>
      <c r="O73" s="10">
        <f>IFERROR(VLOOKUP(F73,'PRECIO MERCADO'!D:E,2,0),"0")</f>
        <v>41900000</v>
      </c>
      <c r="P73" s="10">
        <f>_xlfn.XLOOKUP(F73,BBDD!$S:$S,BBDD!$AO:$AO)</f>
        <v>39290000</v>
      </c>
      <c r="Q73" s="10">
        <f>_xlfn.XLOOKUP(F73,BBDD!$S:$S,BBDD!$AR:$AR)</f>
        <v>39290000</v>
      </c>
      <c r="R73" s="24" t="str">
        <f t="shared" si="3"/>
        <v>LIQUIDAR</v>
      </c>
    </row>
    <row r="74" spans="1:18" ht="13.5" customHeight="1" x14ac:dyDescent="0.3">
      <c r="A74" s="21" t="s">
        <v>86</v>
      </c>
      <c r="B74" s="21" t="s">
        <v>122</v>
      </c>
      <c r="C74" s="20" t="s">
        <v>125</v>
      </c>
      <c r="D74" s="20" t="s">
        <v>26</v>
      </c>
      <c r="E74" s="20">
        <v>2023</v>
      </c>
      <c r="F74" s="20" t="s">
        <v>126</v>
      </c>
      <c r="G74" s="20">
        <v>204</v>
      </c>
      <c r="H74" s="20">
        <v>114000</v>
      </c>
      <c r="I74" s="19" t="s">
        <v>5142</v>
      </c>
      <c r="J74" s="11" t="str">
        <f t="shared" si="2"/>
        <v>RANGERRANGER RAPTOR 4X4 2.0 AUT2023</v>
      </c>
      <c r="K74" s="13"/>
      <c r="L74" s="10">
        <f>IFERROR(_xlfn.XLOOKUP(F74,'PRECIO TOMA HISTORICO '!$A:$A,'PRECIO TOMA HISTORICO '!$B:$B,_xlfn.XLOOKUP(F74,BBDD!$S:$S,BBDD!$AO:$AO,"",0,1),0,-1),"")</f>
        <v>26500000</v>
      </c>
      <c r="M74" s="9"/>
      <c r="N74" s="10">
        <f>_xlfn.XLOOKUP(F74,BBDD!$S:$S,BBDD!$AS:$AS)</f>
        <v>28990000</v>
      </c>
      <c r="O74" s="10">
        <f>IFERROR(VLOOKUP(F74,'PRECIO MERCADO'!D:E,2,0),"0")</f>
        <v>33400000</v>
      </c>
      <c r="P74" s="10">
        <f>_xlfn.XLOOKUP(F74,BBDD!$S:$S,BBDD!$AO:$AO)</f>
        <v>26500000</v>
      </c>
      <c r="Q74" s="10">
        <f>_xlfn.XLOOKUP(F74,BBDD!$S:$S,BBDD!$AR:$AR)</f>
        <v>27023530</v>
      </c>
      <c r="R74" s="24" t="str">
        <f t="shared" si="3"/>
        <v>LIQUIDAR</v>
      </c>
    </row>
    <row r="75" spans="1:18" ht="13.5" customHeight="1" x14ac:dyDescent="0.3">
      <c r="A75" s="21" t="s">
        <v>86</v>
      </c>
      <c r="B75" s="21" t="s">
        <v>122</v>
      </c>
      <c r="C75" s="20" t="s">
        <v>4271</v>
      </c>
      <c r="D75" s="20" t="s">
        <v>26</v>
      </c>
      <c r="E75" s="20">
        <v>2024</v>
      </c>
      <c r="F75" s="20" t="s">
        <v>3910</v>
      </c>
      <c r="G75" s="20">
        <v>55</v>
      </c>
      <c r="H75" s="20">
        <v>38300</v>
      </c>
      <c r="I75" s="19" t="s">
        <v>5142</v>
      </c>
      <c r="J75" s="11" t="str">
        <f t="shared" si="2"/>
        <v>RANGERRANGER XL M 4X4 2.22024</v>
      </c>
      <c r="K75" s="13"/>
      <c r="L75" s="10">
        <f>IFERROR(_xlfn.XLOOKUP(F75,'PRECIO TOMA HISTORICO '!$A:$A,'PRECIO TOMA HISTORICO '!$B:$B,_xlfn.XLOOKUP(F75,BBDD!$S:$S,BBDD!$AO:$AO,"",0,1),0,-1),"")</f>
        <v>18000000</v>
      </c>
      <c r="M75" s="9"/>
      <c r="N75" s="10">
        <f>_xlfn.XLOOKUP(F75,BBDD!$S:$S,BBDD!$AS:$AS)</f>
        <v>20990000</v>
      </c>
      <c r="O75" s="10">
        <f>IFERROR(VLOOKUP(F75,'PRECIO MERCADO'!D:E,2,0),"0")</f>
        <v>22500000</v>
      </c>
      <c r="P75" s="10">
        <f>_xlfn.XLOOKUP(F75,BBDD!$S:$S,BBDD!$AO:$AO)</f>
        <v>18000000</v>
      </c>
      <c r="Q75" s="10">
        <f>_xlfn.XLOOKUP(F75,BBDD!$S:$S,BBDD!$AR:$AR)</f>
        <v>18399240</v>
      </c>
      <c r="R75" s="24" t="str">
        <f t="shared" si="3"/>
        <v>ROTACION BAJA</v>
      </c>
    </row>
    <row r="76" spans="1:18" ht="13.5" customHeight="1" x14ac:dyDescent="0.3">
      <c r="A76" s="21" t="s">
        <v>86</v>
      </c>
      <c r="B76" s="21" t="s">
        <v>122</v>
      </c>
      <c r="C76" s="20" t="s">
        <v>130</v>
      </c>
      <c r="D76" s="20" t="s">
        <v>8221</v>
      </c>
      <c r="E76" s="20">
        <v>2024</v>
      </c>
      <c r="F76" s="20" t="s">
        <v>569</v>
      </c>
      <c r="G76" s="20">
        <v>298</v>
      </c>
      <c r="H76" s="20">
        <v>37000</v>
      </c>
      <c r="I76" s="19" t="s">
        <v>8149</v>
      </c>
      <c r="J76" s="11" t="str">
        <f t="shared" si="2"/>
        <v>RANGERRANGER XLS 2.02024</v>
      </c>
      <c r="K76" s="12"/>
      <c r="L76" s="10">
        <f>IFERROR(_xlfn.XLOOKUP(F76,'PRECIO TOMA HISTORICO '!$A:$A,'PRECIO TOMA HISTORICO '!$B:$B,_xlfn.XLOOKUP(F76,BBDD!$S:$S,BBDD!$AO:$AO,"",0,1),0,-1),"")</f>
        <v>27953100</v>
      </c>
      <c r="M76" s="9"/>
      <c r="N76" s="10">
        <f>_xlfn.XLOOKUP(F76,BBDD!$S:$S,BBDD!$AS:$AS)</f>
        <v>24990000</v>
      </c>
      <c r="O76" s="10">
        <f>IFERROR(VLOOKUP(F76,'PRECIO MERCADO'!D:E,2,0),"0")</f>
        <v>25200000</v>
      </c>
      <c r="P76" s="10">
        <f>_xlfn.XLOOKUP(F76,BBDD!$S:$S,BBDD!$AO:$AO)</f>
        <v>23490000</v>
      </c>
      <c r="Q76" s="10">
        <f>_xlfn.XLOOKUP(F76,BBDD!$S:$S,BBDD!$AR:$AR)</f>
        <v>23490000</v>
      </c>
      <c r="R76" s="24" t="str">
        <f t="shared" si="3"/>
        <v>LIQUIDAR</v>
      </c>
    </row>
    <row r="77" spans="1:18" ht="13.5" customHeight="1" x14ac:dyDescent="0.3">
      <c r="A77" s="21" t="s">
        <v>86</v>
      </c>
      <c r="B77" s="21" t="s">
        <v>122</v>
      </c>
      <c r="C77" s="21" t="s">
        <v>130</v>
      </c>
      <c r="D77" s="20" t="s">
        <v>26</v>
      </c>
      <c r="E77" s="20">
        <v>2025</v>
      </c>
      <c r="F77" s="20" t="s">
        <v>131</v>
      </c>
      <c r="G77" s="20">
        <v>270</v>
      </c>
      <c r="H77" s="20">
        <v>34500</v>
      </c>
      <c r="I77" s="19" t="s">
        <v>5142</v>
      </c>
      <c r="J77" s="11" t="str">
        <f t="shared" si="2"/>
        <v>RANGERRANGER XLS 2.02025</v>
      </c>
      <c r="K77" s="12"/>
      <c r="L77" s="10">
        <f>IFERROR(_xlfn.XLOOKUP(F77,'PRECIO TOMA HISTORICO '!$A:$A,'PRECIO TOMA HISTORICO '!$B:$B,_xlfn.XLOOKUP(F77,BBDD!$S:$S,BBDD!$AO:$AO,"",0,1),0,-1),"")</f>
        <v>27000000</v>
      </c>
      <c r="M77" s="9"/>
      <c r="N77" s="10">
        <f>_xlfn.XLOOKUP(F77,BBDD!$S:$S,BBDD!$AS:$AS)</f>
        <v>28490000</v>
      </c>
      <c r="O77" s="10">
        <f>IFERROR(VLOOKUP(F77,'PRECIO MERCADO'!D:E,2,0),"0")</f>
        <v>26400000</v>
      </c>
      <c r="P77" s="10">
        <f>_xlfn.XLOOKUP(F77,BBDD!$S:$S,BBDD!$AO:$AO)</f>
        <v>27000000</v>
      </c>
      <c r="Q77" s="10">
        <f>_xlfn.XLOOKUP(F77,BBDD!$S:$S,BBDD!$AR:$AR)</f>
        <v>27531030</v>
      </c>
      <c r="R77" s="24" t="str">
        <f t="shared" si="3"/>
        <v>LIQUIDAR</v>
      </c>
    </row>
    <row r="78" spans="1:18" ht="13.5" customHeight="1" x14ac:dyDescent="0.3">
      <c r="A78" s="21" t="s">
        <v>86</v>
      </c>
      <c r="B78" s="21" t="s">
        <v>122</v>
      </c>
      <c r="C78" s="20" t="s">
        <v>4275</v>
      </c>
      <c r="D78" s="20" t="s">
        <v>8221</v>
      </c>
      <c r="E78" s="20">
        <v>2025</v>
      </c>
      <c r="F78" s="20" t="s">
        <v>402</v>
      </c>
      <c r="G78" s="20">
        <v>201</v>
      </c>
      <c r="H78" s="20">
        <v>28620</v>
      </c>
      <c r="I78" s="19" t="s">
        <v>8149</v>
      </c>
      <c r="J78" s="11" t="str">
        <f t="shared" si="2"/>
        <v>RANGERRANGER XLT 4X4 2.02025</v>
      </c>
      <c r="K78" s="12"/>
      <c r="L78" s="10">
        <f>IFERROR(_xlfn.XLOOKUP(F78,'PRECIO TOMA HISTORICO '!$A:$A,'PRECIO TOMA HISTORICO '!$B:$B,_xlfn.XLOOKUP(F78,BBDD!$S:$S,BBDD!$AO:$AO,"",0,1),0,-1),"")</f>
        <v>37000000</v>
      </c>
      <c r="M78" s="9"/>
      <c r="N78" s="10">
        <f>_xlfn.XLOOKUP(F78,BBDD!$S:$S,BBDD!$AS:$AS)</f>
        <v>32990000</v>
      </c>
      <c r="O78" s="10">
        <f>IFERROR(VLOOKUP(F78,'PRECIO MERCADO'!D:E,2,0),"0")</f>
        <v>31000000</v>
      </c>
      <c r="P78" s="10">
        <f>_xlfn.XLOOKUP(F78,BBDD!$S:$S,BBDD!$AO:$AO)</f>
        <v>37000000</v>
      </c>
      <c r="Q78" s="10">
        <f>_xlfn.XLOOKUP(F78,BBDD!$S:$S,BBDD!$AR:$AR)</f>
        <v>37000000</v>
      </c>
      <c r="R78" s="24" t="str">
        <f t="shared" si="3"/>
        <v>LIQUIDAR</v>
      </c>
    </row>
    <row r="79" spans="1:18" ht="13.5" customHeight="1" x14ac:dyDescent="0.3">
      <c r="A79" s="21" t="s">
        <v>86</v>
      </c>
      <c r="B79" s="21" t="s">
        <v>122</v>
      </c>
      <c r="C79" s="20" t="s">
        <v>4276</v>
      </c>
      <c r="D79" s="20" t="s">
        <v>40</v>
      </c>
      <c r="E79" s="20">
        <v>2024</v>
      </c>
      <c r="F79" s="20" t="s">
        <v>533</v>
      </c>
      <c r="G79" s="20">
        <v>348</v>
      </c>
      <c r="H79" s="20">
        <v>0</v>
      </c>
      <c r="I79" s="19" t="s">
        <v>8149</v>
      </c>
      <c r="J79" s="11" t="str">
        <f t="shared" si="2"/>
        <v>RANGERRANGER XLT 4X4 2.0 AUT2024</v>
      </c>
      <c r="K79" s="12"/>
      <c r="L79" s="10">
        <f>IFERROR(_xlfn.XLOOKUP(F79,'PRECIO TOMA HISTORICO '!$A:$A,'PRECIO TOMA HISTORICO '!$B:$B,_xlfn.XLOOKUP(F79,BBDD!$S:$S,BBDD!$AO:$AO,"",0,1),0,-1),"")</f>
        <v>39151000</v>
      </c>
      <c r="M79" s="9"/>
      <c r="N79" s="10">
        <f>_xlfn.XLOOKUP(F79,BBDD!$S:$S,BBDD!$AS:$AS)</f>
        <v>39151000</v>
      </c>
      <c r="O79" s="10">
        <f>IFERROR(VLOOKUP(F79,'PRECIO MERCADO'!D:E,2,0),"0")</f>
        <v>31900000</v>
      </c>
      <c r="P79" s="10">
        <f>_xlfn.XLOOKUP(F79,BBDD!$S:$S,BBDD!$AO:$AO)</f>
        <v>32900000</v>
      </c>
      <c r="Q79" s="10">
        <f>_xlfn.XLOOKUP(F79,BBDD!$S:$S,BBDD!$AR:$AR)</f>
        <v>32900000</v>
      </c>
      <c r="R79" s="24" t="str">
        <f t="shared" si="3"/>
        <v>LIQUIDAR</v>
      </c>
    </row>
    <row r="80" spans="1:18" ht="13.5" customHeight="1" x14ac:dyDescent="0.3">
      <c r="A80" s="21" t="s">
        <v>86</v>
      </c>
      <c r="B80" s="21" t="s">
        <v>122</v>
      </c>
      <c r="C80" s="21" t="s">
        <v>4276</v>
      </c>
      <c r="D80" s="21" t="s">
        <v>40</v>
      </c>
      <c r="E80" s="20">
        <v>2025</v>
      </c>
      <c r="F80" s="20" t="s">
        <v>397</v>
      </c>
      <c r="G80" s="20">
        <v>199</v>
      </c>
      <c r="H80" s="20">
        <v>66000</v>
      </c>
      <c r="I80" s="19" t="s">
        <v>8149</v>
      </c>
      <c r="J80" s="11" t="str">
        <f t="shared" si="2"/>
        <v>RANGERRANGER XLT 4X4 2.0 AUT2025</v>
      </c>
      <c r="K80" s="12"/>
      <c r="L80" s="10">
        <f>IFERROR(_xlfn.XLOOKUP(F80,'PRECIO TOMA HISTORICO '!$A:$A,'PRECIO TOMA HISTORICO '!$B:$B,_xlfn.XLOOKUP(F80,BBDD!$S:$S,BBDD!$AO:$AO,"",0,1),0,-1),"")</f>
        <v>25000000</v>
      </c>
      <c r="M80" s="9"/>
      <c r="N80" s="10">
        <f>_xlfn.XLOOKUP(F80,BBDD!$S:$S,BBDD!$AS:$AS)</f>
        <v>32990000</v>
      </c>
      <c r="O80" s="10">
        <f>IFERROR(VLOOKUP(F80,'PRECIO MERCADO'!D:E,2,0),"0")</f>
        <v>32600000</v>
      </c>
      <c r="P80" s="10">
        <f>_xlfn.XLOOKUP(F80,BBDD!$S:$S,BBDD!$AO:$AO)</f>
        <v>25000000</v>
      </c>
      <c r="Q80" s="10">
        <f>_xlfn.XLOOKUP(F80,BBDD!$S:$S,BBDD!$AR:$AR)</f>
        <v>25000000</v>
      </c>
      <c r="R80" s="24" t="str">
        <f t="shared" si="3"/>
        <v>LIQUIDAR</v>
      </c>
    </row>
    <row r="81" spans="1:18" ht="13.5" customHeight="1" x14ac:dyDescent="0.3">
      <c r="A81" s="21" t="s">
        <v>86</v>
      </c>
      <c r="B81" s="21" t="s">
        <v>122</v>
      </c>
      <c r="C81" s="20" t="s">
        <v>10030</v>
      </c>
      <c r="D81" s="20" t="s">
        <v>16</v>
      </c>
      <c r="E81" s="20">
        <v>2024</v>
      </c>
      <c r="F81" s="20" t="s">
        <v>3908</v>
      </c>
      <c r="G81" s="20">
        <v>55</v>
      </c>
      <c r="H81" s="20">
        <v>45600</v>
      </c>
      <c r="I81" s="19" t="s">
        <v>5142</v>
      </c>
      <c r="J81" s="11" t="str">
        <f t="shared" si="2"/>
        <v>RANGERRANGER XLT M 4X2 2.52024</v>
      </c>
      <c r="K81" s="13"/>
      <c r="L81" s="10">
        <f>IFERROR(_xlfn.XLOOKUP(F81,'PRECIO TOMA HISTORICO '!$A:$A,'PRECIO TOMA HISTORICO '!$B:$B,_xlfn.XLOOKUP(F81,BBDD!$S:$S,BBDD!$AO:$AO,"",0,1),0,-1),"")</f>
        <v>16500000</v>
      </c>
      <c r="M81" s="9"/>
      <c r="N81" s="10">
        <f>_xlfn.XLOOKUP(F81,BBDD!$S:$S,BBDD!$AS:$AS)</f>
        <v>19590000</v>
      </c>
      <c r="O81" s="10">
        <f>IFERROR(VLOOKUP(F81,'PRECIO MERCADO'!D:E,2,0),"0")</f>
        <v>19800000</v>
      </c>
      <c r="P81" s="10">
        <f>_xlfn.XLOOKUP(F81,BBDD!$S:$S,BBDD!$AO:$AO)</f>
        <v>16350000</v>
      </c>
      <c r="Q81" s="10">
        <f>_xlfn.XLOOKUP(F81,BBDD!$S:$S,BBDD!$AR:$AR)</f>
        <v>16724490</v>
      </c>
      <c r="R81" s="24" t="str">
        <f t="shared" si="3"/>
        <v>ROTACION BAJA</v>
      </c>
    </row>
    <row r="82" spans="1:18" ht="13.5" customHeight="1" x14ac:dyDescent="0.3">
      <c r="A82" s="21" t="s">
        <v>86</v>
      </c>
      <c r="B82" s="20" t="s">
        <v>134</v>
      </c>
      <c r="C82" s="20" t="s">
        <v>135</v>
      </c>
      <c r="D82" s="20" t="s">
        <v>16</v>
      </c>
      <c r="E82" s="20">
        <v>2023</v>
      </c>
      <c r="F82" s="20" t="s">
        <v>10797</v>
      </c>
      <c r="G82" s="20">
        <v>6</v>
      </c>
      <c r="H82" s="20">
        <v>26330</v>
      </c>
      <c r="I82" s="19" t="s">
        <v>5142</v>
      </c>
      <c r="J82" s="11" t="str">
        <f t="shared" si="2"/>
        <v>TERRITORYTERRITORY 1.5 AUT2023</v>
      </c>
      <c r="K82" s="12"/>
      <c r="L82" s="10">
        <f>IFERROR(_xlfn.XLOOKUP(F82,'PRECIO TOMA HISTORICO '!$A:$A,'PRECIO TOMA HISTORICO '!$B:$B,_xlfn.XLOOKUP(F82,BBDD!$S:$S,BBDD!$AO:$AO,"",0,1),0,-1),"")</f>
        <v>10100000</v>
      </c>
      <c r="M82" s="9"/>
      <c r="N82" s="10">
        <f>_xlfn.XLOOKUP(F82,BBDD!$S:$S,BBDD!$AS:$AS)</f>
        <v>12190000</v>
      </c>
      <c r="O82" s="10">
        <f>IFERROR(VLOOKUP(F82,'PRECIO MERCADO'!D:E,2,0),"0")</f>
        <v>13200000</v>
      </c>
      <c r="P82" s="10">
        <f>_xlfn.XLOOKUP(F82,BBDD!$S:$S,BBDD!$AO:$AO)</f>
        <v>10100000</v>
      </c>
      <c r="Q82" s="10">
        <f>_xlfn.XLOOKUP(F82,BBDD!$S:$S,BBDD!$AR:$AR)</f>
        <v>10380740</v>
      </c>
      <c r="R82" s="24" t="str">
        <f t="shared" si="3"/>
        <v>ROTACION ALTA</v>
      </c>
    </row>
    <row r="83" spans="1:18" ht="13.5" customHeight="1" x14ac:dyDescent="0.3">
      <c r="A83" s="21" t="s">
        <v>86</v>
      </c>
      <c r="B83" s="21" t="s">
        <v>134</v>
      </c>
      <c r="C83" s="21" t="s">
        <v>135</v>
      </c>
      <c r="D83" s="20" t="s">
        <v>40</v>
      </c>
      <c r="E83" s="20">
        <v>2021</v>
      </c>
      <c r="F83" s="20" t="s">
        <v>136</v>
      </c>
      <c r="G83" s="20">
        <v>1327</v>
      </c>
      <c r="H83" s="20">
        <v>26963</v>
      </c>
      <c r="I83" s="19" t="s">
        <v>5142</v>
      </c>
      <c r="J83" s="11" t="str">
        <f t="shared" si="2"/>
        <v>TERRITORYTERRITORY 1.5 AUT2021</v>
      </c>
      <c r="K83" s="12"/>
      <c r="L83" s="10">
        <f>IFERROR(_xlfn.XLOOKUP(F83,'PRECIO TOMA HISTORICO '!$A:$A,'PRECIO TOMA HISTORICO '!$B:$B,_xlfn.XLOOKUP(F83,BBDD!$S:$S,BBDD!$AO:$AO,"",0,1),0,-1),"")</f>
        <v>15500000</v>
      </c>
      <c r="M83" s="9"/>
      <c r="N83" s="10">
        <f>_xlfn.XLOOKUP(F83,BBDD!$S:$S,BBDD!$AS:$AS)</f>
        <v>12990000</v>
      </c>
      <c r="O83" s="10">
        <f>IFERROR(VLOOKUP(F83,'PRECIO MERCADO'!D:E,2,0),"0")</f>
        <v>13200000</v>
      </c>
      <c r="P83" s="10">
        <f>_xlfn.XLOOKUP(F83,BBDD!$S:$S,BBDD!$AO:$AO)</f>
        <v>15500000</v>
      </c>
      <c r="Q83" s="10">
        <f>_xlfn.XLOOKUP(F83,BBDD!$S:$S,BBDD!$AR:$AR)</f>
        <v>16399467</v>
      </c>
      <c r="R83" s="24" t="str">
        <f t="shared" si="3"/>
        <v>LIQUIDAR</v>
      </c>
    </row>
    <row r="84" spans="1:18" ht="13.5" customHeight="1" x14ac:dyDescent="0.3">
      <c r="A84" s="21" t="s">
        <v>86</v>
      </c>
      <c r="B84" s="21" t="s">
        <v>134</v>
      </c>
      <c r="C84" s="21" t="s">
        <v>135</v>
      </c>
      <c r="D84" s="21" t="s">
        <v>40</v>
      </c>
      <c r="E84" s="20">
        <v>2022</v>
      </c>
      <c r="F84" s="20" t="s">
        <v>137</v>
      </c>
      <c r="G84" s="20">
        <v>504</v>
      </c>
      <c r="H84" s="20">
        <v>25200</v>
      </c>
      <c r="I84" s="19" t="s">
        <v>5142</v>
      </c>
      <c r="J84" s="11" t="str">
        <f t="shared" si="2"/>
        <v>TERRITORYTERRITORY 1.5 AUT2022</v>
      </c>
      <c r="K84" s="12"/>
      <c r="L84" s="10">
        <f>IFERROR(_xlfn.XLOOKUP(F84,'PRECIO TOMA HISTORICO '!$A:$A,'PRECIO TOMA HISTORICO '!$B:$B,_xlfn.XLOOKUP(F84,BBDD!$S:$S,BBDD!$AO:$AO,"",0,1),0,-1),"")</f>
        <v>10300000</v>
      </c>
      <c r="M84" s="9"/>
      <c r="N84" s="10">
        <f>_xlfn.XLOOKUP(F84,BBDD!$S:$S,BBDD!$AS:$AS)</f>
        <v>10490000</v>
      </c>
      <c r="O84" s="10">
        <f>IFERROR(VLOOKUP(F84,'PRECIO MERCADO'!D:E,2,0),"0")</f>
        <v>12800000</v>
      </c>
      <c r="P84" s="10">
        <f>_xlfn.XLOOKUP(F84,BBDD!$S:$S,BBDD!$AO:$AO)</f>
        <v>10300000</v>
      </c>
      <c r="Q84" s="10">
        <f>_xlfn.XLOOKUP(F84,BBDD!$S:$S,BBDD!$AR:$AR)</f>
        <v>10580530</v>
      </c>
      <c r="R84" s="24" t="str">
        <f t="shared" si="3"/>
        <v>LIQUIDAR</v>
      </c>
    </row>
    <row r="85" spans="1:18" ht="13.5" customHeight="1" x14ac:dyDescent="0.3">
      <c r="A85" s="21" t="s">
        <v>86</v>
      </c>
      <c r="B85" s="21" t="s">
        <v>134</v>
      </c>
      <c r="C85" s="20" t="s">
        <v>4281</v>
      </c>
      <c r="D85" s="20" t="s">
        <v>20</v>
      </c>
      <c r="E85" s="20">
        <v>2025</v>
      </c>
      <c r="F85" s="20" t="s">
        <v>3641</v>
      </c>
      <c r="G85" s="20">
        <v>46</v>
      </c>
      <c r="H85" s="20">
        <v>19088</v>
      </c>
      <c r="I85" s="19" t="s">
        <v>5142</v>
      </c>
      <c r="J85" s="11" t="str">
        <f t="shared" si="2"/>
        <v>TERRITORYTERRITORY TITANIUM 1.5 AUT2025</v>
      </c>
      <c r="K85" s="12"/>
      <c r="L85" s="10">
        <f>IFERROR(_xlfn.XLOOKUP(F85,'PRECIO TOMA HISTORICO '!$A:$A,'PRECIO TOMA HISTORICO '!$B:$B,_xlfn.XLOOKUP(F85,BBDD!$S:$S,BBDD!$AO:$AO,"",0,1),0,-1),"")</f>
        <v>15000000</v>
      </c>
      <c r="M85" s="9"/>
      <c r="N85" s="10">
        <f>_xlfn.XLOOKUP(F85,BBDD!$S:$S,BBDD!$AS:$AS)</f>
        <v>18190000</v>
      </c>
      <c r="O85" s="10">
        <f>IFERROR(VLOOKUP(F85,'PRECIO MERCADO'!D:E,2,0),"0")</f>
        <v>17800000</v>
      </c>
      <c r="P85" s="10">
        <f>_xlfn.XLOOKUP(F85,BBDD!$S:$S,BBDD!$AO:$AO)</f>
        <v>15000000</v>
      </c>
      <c r="Q85" s="10">
        <f>_xlfn.XLOOKUP(F85,BBDD!$S:$S,BBDD!$AR:$AR)</f>
        <v>15354240</v>
      </c>
      <c r="R85" s="24" t="str">
        <f t="shared" si="3"/>
        <v>ROTACION BAJA</v>
      </c>
    </row>
    <row r="86" spans="1:18" ht="13.5" customHeight="1" x14ac:dyDescent="0.3">
      <c r="A86" s="21" t="s">
        <v>86</v>
      </c>
      <c r="B86" s="21" t="s">
        <v>134</v>
      </c>
      <c r="C86" s="20" t="s">
        <v>9521</v>
      </c>
      <c r="D86" s="20" t="s">
        <v>9526</v>
      </c>
      <c r="E86" s="20">
        <v>2026</v>
      </c>
      <c r="F86" s="20" t="s">
        <v>9524</v>
      </c>
      <c r="G86" s="20">
        <v>271</v>
      </c>
      <c r="H86" s="20">
        <v>0</v>
      </c>
      <c r="I86" s="19" t="s">
        <v>8149</v>
      </c>
      <c r="J86" s="11" t="str">
        <f t="shared" si="2"/>
        <v>TERRITORYTerritory Titanium 1.5 FHEV2026</v>
      </c>
      <c r="K86" s="12"/>
      <c r="L86" s="10">
        <f>IFERROR(_xlfn.XLOOKUP(F86,'PRECIO TOMA HISTORICO '!$A:$A,'PRECIO TOMA HISTORICO '!$B:$B,_xlfn.XLOOKUP(F86,BBDD!$S:$S,BBDD!$AO:$AO,"",0,1),0,-1),"")</f>
        <v>24100168</v>
      </c>
      <c r="M86" s="9"/>
      <c r="N86" s="10">
        <f>_xlfn.XLOOKUP(F86,BBDD!$S:$S,BBDD!$AS:$AS)</f>
        <v>27386555</v>
      </c>
      <c r="O86" s="10" t="str">
        <f>IFERROR(VLOOKUP(F86,'PRECIO MERCADO'!D:E,2,0),"0")</f>
        <v>0</v>
      </c>
      <c r="P86" s="10">
        <f>_xlfn.XLOOKUP(F86,BBDD!$S:$S,BBDD!$AO:$AO)</f>
        <v>24100168</v>
      </c>
      <c r="Q86" s="10">
        <f>_xlfn.XLOOKUP(F86,BBDD!$S:$S,BBDD!$AR:$AR)</f>
        <v>24803491</v>
      </c>
      <c r="R86" s="24" t="str">
        <f t="shared" si="3"/>
        <v>LIQUIDAR</v>
      </c>
    </row>
    <row r="87" spans="1:18" ht="13.5" customHeight="1" x14ac:dyDescent="0.3">
      <c r="A87" s="21" t="s">
        <v>86</v>
      </c>
      <c r="B87" s="21" t="s">
        <v>134</v>
      </c>
      <c r="C87" s="20" t="s">
        <v>138</v>
      </c>
      <c r="D87" s="20" t="s">
        <v>26</v>
      </c>
      <c r="E87" s="20">
        <v>2025</v>
      </c>
      <c r="F87" s="20" t="s">
        <v>10873</v>
      </c>
      <c r="G87" s="20">
        <v>26</v>
      </c>
      <c r="H87" s="20">
        <v>24180</v>
      </c>
      <c r="I87" s="19" t="s">
        <v>5142</v>
      </c>
      <c r="J87" s="11" t="str">
        <f t="shared" si="2"/>
        <v>TERRITORYTERRITORY TITANIUM 4X2 1.5 AUT2025</v>
      </c>
      <c r="K87" s="12"/>
      <c r="L87" s="10">
        <f>IFERROR(_xlfn.XLOOKUP(F87,'PRECIO TOMA HISTORICO '!$A:$A,'PRECIO TOMA HISTORICO '!$B:$B,_xlfn.XLOOKUP(F87,BBDD!$S:$S,BBDD!$AO:$AO,"",0,1),0,-1),"")</f>
        <v>14200000</v>
      </c>
      <c r="M87" s="9"/>
      <c r="N87" s="10">
        <f>_xlfn.XLOOKUP(F87,BBDD!$S:$S,BBDD!$AS:$AS)</f>
        <v>16990000</v>
      </c>
      <c r="O87" s="10">
        <f>IFERROR(VLOOKUP(F87,'PRECIO MERCADO'!D:E,2,0),"0")</f>
        <v>17400000</v>
      </c>
      <c r="P87" s="10">
        <f>_xlfn.XLOOKUP(F87,BBDD!$S:$S,BBDD!$AO:$AO)</f>
        <v>14200000</v>
      </c>
      <c r="Q87" s="10">
        <f>_xlfn.XLOOKUP(F87,BBDD!$S:$S,BBDD!$AR:$AR)</f>
        <v>14542240</v>
      </c>
      <c r="R87" s="24" t="str">
        <f t="shared" si="3"/>
        <v>ROTACION ALTA</v>
      </c>
    </row>
    <row r="88" spans="1:18" ht="13.5" customHeight="1" x14ac:dyDescent="0.3">
      <c r="A88" s="21" t="s">
        <v>86</v>
      </c>
      <c r="B88" s="21" t="s">
        <v>134</v>
      </c>
      <c r="C88" s="21" t="s">
        <v>138</v>
      </c>
      <c r="D88" s="20" t="s">
        <v>16</v>
      </c>
      <c r="E88" s="20">
        <v>2024</v>
      </c>
      <c r="F88" s="20" t="s">
        <v>9621</v>
      </c>
      <c r="G88" s="20">
        <v>74</v>
      </c>
      <c r="H88" s="20">
        <v>42000</v>
      </c>
      <c r="I88" s="19" t="s">
        <v>5142</v>
      </c>
      <c r="J88" s="11" t="str">
        <f t="shared" si="2"/>
        <v>TERRITORYTERRITORY TITANIUM 4X2 1.5 AUT2024</v>
      </c>
      <c r="K88" s="12"/>
      <c r="L88" s="10">
        <f>IFERROR(_xlfn.XLOOKUP(F88,'PRECIO TOMA HISTORICO '!$A:$A,'PRECIO TOMA HISTORICO '!$B:$B,_xlfn.XLOOKUP(F88,BBDD!$S:$S,BBDD!$AO:$AO,"",0,1),0,-1),"")</f>
        <v>12600000</v>
      </c>
      <c r="M88" s="9"/>
      <c r="N88" s="10">
        <f>_xlfn.XLOOKUP(F88,BBDD!$S:$S,BBDD!$AS:$AS)</f>
        <v>15990000</v>
      </c>
      <c r="O88" s="10">
        <f>IFERROR(VLOOKUP(F88,'PRECIO MERCADO'!D:E,2,0),"0")</f>
        <v>15800000</v>
      </c>
      <c r="P88" s="10">
        <f>_xlfn.XLOOKUP(F88,BBDD!$S:$S,BBDD!$AO:$AO)</f>
        <v>12600000</v>
      </c>
      <c r="Q88" s="10">
        <f>_xlfn.XLOOKUP(F88,BBDD!$S:$S,BBDD!$AR:$AR)</f>
        <v>12918240</v>
      </c>
      <c r="R88" s="24" t="str">
        <f t="shared" si="3"/>
        <v>LIQUIDAR</v>
      </c>
    </row>
    <row r="89" spans="1:18" ht="13.5" customHeight="1" x14ac:dyDescent="0.3">
      <c r="A89" s="20" t="s">
        <v>140</v>
      </c>
      <c r="B89" s="20" t="s">
        <v>4292</v>
      </c>
      <c r="C89" s="20" t="s">
        <v>10847</v>
      </c>
      <c r="D89" s="20" t="s">
        <v>16</v>
      </c>
      <c r="E89" s="20">
        <v>2025</v>
      </c>
      <c r="F89" s="20" t="s">
        <v>10850</v>
      </c>
      <c r="G89" s="20">
        <v>718</v>
      </c>
      <c r="H89" s="20">
        <v>0</v>
      </c>
      <c r="I89" s="19" t="s">
        <v>8491</v>
      </c>
      <c r="J89" s="11" t="str">
        <f t="shared" si="2"/>
        <v>EMZOOM 1.5 TEMZOOM 1.5T AT GL R-Style2025</v>
      </c>
      <c r="K89" s="12"/>
      <c r="L89" s="10">
        <f>IFERROR(_xlfn.XLOOKUP(F89,'PRECIO TOMA HISTORICO '!$A:$A,'PRECIO TOMA HISTORICO '!$B:$B,_xlfn.XLOOKUP(F89,BBDD!$S:$S,BBDD!$AO:$AO,"",0,1),0,-1),"")</f>
        <v>15454453</v>
      </c>
      <c r="M89" s="9"/>
      <c r="N89" s="10">
        <f>_xlfn.XLOOKUP(F89,BBDD!$S:$S,BBDD!$AS:$AS)</f>
        <v>16798319</v>
      </c>
      <c r="O89" s="10" t="str">
        <f>IFERROR(VLOOKUP(F89,'PRECIO MERCADO'!D:E,2,0),"0")</f>
        <v>0</v>
      </c>
      <c r="P89" s="10">
        <f>_xlfn.XLOOKUP(F89,BBDD!$S:$S,BBDD!$AO:$AO)</f>
        <v>15454453</v>
      </c>
      <c r="Q89" s="10">
        <f>_xlfn.XLOOKUP(F89,BBDD!$S:$S,BBDD!$AR:$AR)</f>
        <v>16859763</v>
      </c>
      <c r="R89" s="24" t="str">
        <f t="shared" si="3"/>
        <v>LIQUIDAR</v>
      </c>
    </row>
    <row r="90" spans="1:18" ht="13.5" customHeight="1" x14ac:dyDescent="0.3">
      <c r="A90" s="21" t="s">
        <v>140</v>
      </c>
      <c r="B90" s="20" t="s">
        <v>4300</v>
      </c>
      <c r="C90" s="20" t="s">
        <v>4294</v>
      </c>
      <c r="D90" s="20" t="s">
        <v>8505</v>
      </c>
      <c r="E90" s="20">
        <v>2023</v>
      </c>
      <c r="F90" s="20" t="s">
        <v>8504</v>
      </c>
      <c r="G90" s="20">
        <v>890</v>
      </c>
      <c r="H90" s="20">
        <v>3400</v>
      </c>
      <c r="I90" s="19" t="s">
        <v>8491</v>
      </c>
      <c r="J90" s="11" t="str">
        <f t="shared" si="2"/>
        <v>GS4 POWER 1.5TGS4 POWER 1.52023</v>
      </c>
      <c r="K90" s="12"/>
      <c r="L90" s="10">
        <f>IFERROR(_xlfn.XLOOKUP(F90,'PRECIO TOMA HISTORICO '!$A:$A,'PRECIO TOMA HISTORICO '!$B:$B,_xlfn.XLOOKUP(F90,BBDD!$S:$S,BBDD!$AO:$AO,"",0,1),0,-1),"")</f>
        <v>21408968</v>
      </c>
      <c r="M90" s="9"/>
      <c r="N90" s="10">
        <f>_xlfn.XLOOKUP(F90,BBDD!$S:$S,BBDD!$AS:$AS)</f>
        <v>21408969</v>
      </c>
      <c r="O90" s="10">
        <f>IFERROR(VLOOKUP(F90,'PRECIO MERCADO'!D:E,2,0),"0")</f>
        <v>10700000</v>
      </c>
      <c r="P90" s="10">
        <f>_xlfn.XLOOKUP(F90,BBDD!$S:$S,BBDD!$AO:$AO)</f>
        <v>21408968</v>
      </c>
      <c r="Q90" s="10">
        <f>_xlfn.XLOOKUP(F90,BBDD!$S:$S,BBDD!$AR:$AR)</f>
        <v>21776722</v>
      </c>
      <c r="R90" s="24" t="str">
        <f t="shared" si="3"/>
        <v>LIQUIDAR</v>
      </c>
    </row>
    <row r="91" spans="1:18" ht="13.5" customHeight="1" x14ac:dyDescent="0.3">
      <c r="A91" s="20" t="s">
        <v>147</v>
      </c>
      <c r="B91" s="20" t="s">
        <v>153</v>
      </c>
      <c r="C91" s="20" t="s">
        <v>154</v>
      </c>
      <c r="D91" s="20" t="s">
        <v>26</v>
      </c>
      <c r="E91" s="20">
        <v>2022</v>
      </c>
      <c r="F91" s="20" t="s">
        <v>155</v>
      </c>
      <c r="G91" s="20">
        <v>138</v>
      </c>
      <c r="H91" s="20">
        <v>58239</v>
      </c>
      <c r="I91" s="19" t="s">
        <v>5142</v>
      </c>
      <c r="J91" s="11" t="str">
        <f t="shared" si="2"/>
        <v>JOLIONJOLION TURBO DCT 1.5 AUT2022</v>
      </c>
      <c r="K91" s="12"/>
      <c r="L91" s="10">
        <f>IFERROR(_xlfn.XLOOKUP(F91,'PRECIO TOMA HISTORICO '!$A:$A,'PRECIO TOMA HISTORICO '!$B:$B,_xlfn.XLOOKUP(F91,BBDD!$S:$S,BBDD!$AO:$AO,"",0,1),0,-1),"")</f>
        <v>10100000</v>
      </c>
      <c r="M91" s="9"/>
      <c r="N91" s="10">
        <f>_xlfn.XLOOKUP(F91,BBDD!$S:$S,BBDD!$AS:$AS)</f>
        <v>11190000</v>
      </c>
      <c r="O91" s="10">
        <f>IFERROR(VLOOKUP(F91,'PRECIO MERCADO'!D:E,2,0),"0")</f>
        <v>12500000</v>
      </c>
      <c r="P91" s="10">
        <f>_xlfn.XLOOKUP(F91,BBDD!$S:$S,BBDD!$AO:$AO)</f>
        <v>10100000</v>
      </c>
      <c r="Q91" s="10">
        <f>_xlfn.XLOOKUP(F91,BBDD!$S:$S,BBDD!$AR:$AR)</f>
        <v>10380740</v>
      </c>
      <c r="R91" s="24" t="str">
        <f t="shared" si="3"/>
        <v>LIQUIDAR</v>
      </c>
    </row>
    <row r="92" spans="1:18" ht="13.5" customHeight="1" x14ac:dyDescent="0.3">
      <c r="A92" s="20" t="s">
        <v>8581</v>
      </c>
      <c r="B92" s="20" t="s">
        <v>8582</v>
      </c>
      <c r="C92" s="20" t="s">
        <v>8583</v>
      </c>
      <c r="D92" s="20" t="s">
        <v>8221</v>
      </c>
      <c r="E92" s="20">
        <v>2025</v>
      </c>
      <c r="F92" s="20" t="s">
        <v>489</v>
      </c>
      <c r="G92" s="20">
        <v>246</v>
      </c>
      <c r="H92" s="20">
        <v>0</v>
      </c>
      <c r="I92" s="19" t="s">
        <v>8491</v>
      </c>
      <c r="J92" s="11" t="str">
        <f t="shared" si="2"/>
        <v>XZU SERIE 300XZU 9172025</v>
      </c>
      <c r="K92" s="12"/>
      <c r="L92" s="10">
        <f>IFERROR(_xlfn.XLOOKUP(F92,'PRECIO TOMA HISTORICO '!$A:$A,'PRECIO TOMA HISTORICO '!$B:$B,_xlfn.XLOOKUP(F92,BBDD!$S:$S,BBDD!$AO:$AO,"",0,1),0,-1),"")</f>
        <v>44811592</v>
      </c>
      <c r="M92" s="9"/>
      <c r="N92" s="10">
        <f>_xlfn.XLOOKUP(F92,BBDD!$S:$S,BBDD!$AS:$AS)</f>
        <v>38000000</v>
      </c>
      <c r="O92" s="10" t="str">
        <f>IFERROR(VLOOKUP(F92,'PRECIO MERCADO'!D:E,2,0),"0")</f>
        <v>0</v>
      </c>
      <c r="P92" s="10">
        <f>_xlfn.XLOOKUP(F92,BBDD!$S:$S,BBDD!$AO:$AO)</f>
        <v>37656800</v>
      </c>
      <c r="Q92" s="10">
        <f>_xlfn.XLOOKUP(F92,BBDD!$S:$S,BBDD!$AR:$AR)</f>
        <v>37656800</v>
      </c>
      <c r="R92" s="24" t="str">
        <f t="shared" si="3"/>
        <v>LIQUIDAR</v>
      </c>
    </row>
    <row r="93" spans="1:18" ht="13.5" customHeight="1" x14ac:dyDescent="0.3">
      <c r="A93" s="20" t="s">
        <v>2474</v>
      </c>
      <c r="B93" s="20" t="s">
        <v>10296</v>
      </c>
      <c r="C93" s="20" t="s">
        <v>10928</v>
      </c>
      <c r="D93" s="20" t="s">
        <v>16</v>
      </c>
      <c r="E93" s="20">
        <v>2024</v>
      </c>
      <c r="F93" s="20" t="s">
        <v>10297</v>
      </c>
      <c r="G93" s="20">
        <v>34</v>
      </c>
      <c r="H93" s="20">
        <v>45000</v>
      </c>
      <c r="I93" s="19" t="s">
        <v>5142</v>
      </c>
      <c r="J93" s="11" t="str">
        <f t="shared" si="2"/>
        <v>CIVICCIVIC TOURING 1.5 AUT2024</v>
      </c>
      <c r="K93" s="12"/>
      <c r="L93" s="10">
        <f>IFERROR(_xlfn.XLOOKUP(F93,'PRECIO TOMA HISTORICO '!$A:$A,'PRECIO TOMA HISTORICO '!$B:$B,_xlfn.XLOOKUP(F93,BBDD!$S:$S,BBDD!$AO:$AO,"",0,1),0,-1),"")</f>
        <v>17000000</v>
      </c>
      <c r="M93" s="9"/>
      <c r="N93" s="10">
        <f>_xlfn.XLOOKUP(F93,BBDD!$S:$S,BBDD!$AS:$AS)</f>
        <v>20590000</v>
      </c>
      <c r="O93" s="10">
        <f>IFERROR(VLOOKUP(F93,'PRECIO MERCADO'!D:E,2,0),"0")</f>
        <v>21300000</v>
      </c>
      <c r="P93" s="10">
        <f>_xlfn.XLOOKUP(F93,BBDD!$S:$S,BBDD!$AO:$AO)</f>
        <v>17000000</v>
      </c>
      <c r="Q93" s="10">
        <f>_xlfn.XLOOKUP(F93,BBDD!$S:$S,BBDD!$AR:$AR)</f>
        <v>17384240</v>
      </c>
      <c r="R93" s="24" t="str">
        <f t="shared" si="3"/>
        <v>ROTACION BAJA</v>
      </c>
    </row>
    <row r="94" spans="1:18" ht="13.5" customHeight="1" x14ac:dyDescent="0.3">
      <c r="A94" s="21" t="s">
        <v>2474</v>
      </c>
      <c r="B94" s="20" t="s">
        <v>4339</v>
      </c>
      <c r="C94" s="20" t="s">
        <v>4341</v>
      </c>
      <c r="D94" s="20" t="s">
        <v>16</v>
      </c>
      <c r="E94" s="20">
        <v>2022</v>
      </c>
      <c r="F94" s="20" t="s">
        <v>11051</v>
      </c>
      <c r="G94" s="20">
        <v>19</v>
      </c>
      <c r="H94" s="20">
        <v>53750</v>
      </c>
      <c r="I94" s="19" t="s">
        <v>5142</v>
      </c>
      <c r="J94" s="11" t="str">
        <f t="shared" si="2"/>
        <v>WRWR V LX 1.5 AUT2022</v>
      </c>
      <c r="K94" s="12"/>
      <c r="L94" s="10">
        <f>IFERROR(_xlfn.XLOOKUP(F94,'PRECIO TOMA HISTORICO '!$A:$A,'PRECIO TOMA HISTORICO '!$B:$B,_xlfn.XLOOKUP(F94,BBDD!$S:$S,BBDD!$AO:$AO,"",0,1),0,-1),"")</f>
        <v>9600000</v>
      </c>
      <c r="M94" s="9"/>
      <c r="N94" s="10">
        <f>_xlfn.XLOOKUP(F94,BBDD!$S:$S,BBDD!$AS:$AS)</f>
        <v>11990000</v>
      </c>
      <c r="O94" s="10" t="str">
        <f>IFERROR(VLOOKUP(F94,'PRECIO MERCADO'!D:E,2,0),"0")</f>
        <v>0</v>
      </c>
      <c r="P94" s="10">
        <f>_xlfn.XLOOKUP(F94,BBDD!$S:$S,BBDD!$AO:$AO)</f>
        <v>9600000</v>
      </c>
      <c r="Q94" s="10">
        <f>_xlfn.XLOOKUP(F94,BBDD!$S:$S,BBDD!$AR:$AR)</f>
        <v>9873240</v>
      </c>
      <c r="R94" s="24" t="str">
        <f t="shared" si="3"/>
        <v>ROTACION ALTA</v>
      </c>
    </row>
    <row r="95" spans="1:18" ht="13.5" customHeight="1" x14ac:dyDescent="0.3">
      <c r="A95" s="20" t="s">
        <v>156</v>
      </c>
      <c r="B95" s="20" t="s">
        <v>8539</v>
      </c>
      <c r="C95" s="20" t="s">
        <v>8540</v>
      </c>
      <c r="D95" s="20" t="s">
        <v>40</v>
      </c>
      <c r="E95" s="20">
        <v>2017</v>
      </c>
      <c r="F95" s="20" t="s">
        <v>582</v>
      </c>
      <c r="G95" s="20">
        <v>294</v>
      </c>
      <c r="H95" s="20">
        <v>200000</v>
      </c>
      <c r="I95" s="19" t="s">
        <v>8491</v>
      </c>
      <c r="J95" s="11" t="str">
        <f t="shared" si="2"/>
        <v>COUNTYCOUNTY 4.02017</v>
      </c>
      <c r="K95" s="12"/>
      <c r="L95" s="10">
        <f>IFERROR(_xlfn.XLOOKUP(F95,'PRECIO TOMA HISTORICO '!$A:$A,'PRECIO TOMA HISTORICO '!$B:$B,_xlfn.XLOOKUP(F95,BBDD!$S:$S,BBDD!$AO:$AO,"",0,1),0,-1),"")</f>
        <v>15000000</v>
      </c>
      <c r="M95" s="9"/>
      <c r="N95" s="10">
        <f>_xlfn.XLOOKUP(F95,BBDD!$S:$S,BBDD!$AS:$AS)</f>
        <v>17690000</v>
      </c>
      <c r="O95" s="10" t="str">
        <f>IFERROR(VLOOKUP(F95,'PRECIO MERCADO'!D:E,2,0),"0")</f>
        <v>0</v>
      </c>
      <c r="P95" s="10">
        <f>_xlfn.XLOOKUP(F95,BBDD!$S:$S,BBDD!$AO:$AO)</f>
        <v>12605042</v>
      </c>
      <c r="Q95" s="10">
        <f>_xlfn.XLOOKUP(F95,BBDD!$S:$S,BBDD!$AR:$AR)</f>
        <v>12605042</v>
      </c>
      <c r="R95" s="24" t="str">
        <f t="shared" si="3"/>
        <v>LIQUIDAR</v>
      </c>
    </row>
    <row r="96" spans="1:18" ht="13.5" customHeight="1" x14ac:dyDescent="0.3">
      <c r="A96" s="21" t="s">
        <v>156</v>
      </c>
      <c r="B96" s="20" t="s">
        <v>8573</v>
      </c>
      <c r="C96" s="20" t="s">
        <v>8574</v>
      </c>
      <c r="D96" s="20" t="s">
        <v>40</v>
      </c>
      <c r="E96" s="20">
        <v>2022</v>
      </c>
      <c r="F96" s="20" t="s">
        <v>8577</v>
      </c>
      <c r="G96" s="20">
        <v>418</v>
      </c>
      <c r="H96" s="20">
        <v>0</v>
      </c>
      <c r="I96" s="19" t="s">
        <v>8491</v>
      </c>
      <c r="J96" s="11" t="str">
        <f t="shared" si="2"/>
        <v>EX6MIGHTY EX6 DLX2022</v>
      </c>
      <c r="K96" s="12"/>
      <c r="L96" s="10">
        <f>IFERROR(_xlfn.XLOOKUP(F96,'PRECIO TOMA HISTORICO '!$A:$A,'PRECIO TOMA HISTORICO '!$B:$B,_xlfn.XLOOKUP(F96,BBDD!$S:$S,BBDD!$AO:$AO,"",0,1),0,-1),"")</f>
        <v>31092437</v>
      </c>
      <c r="M96" s="9"/>
      <c r="N96" s="10">
        <f>_xlfn.XLOOKUP(F96,BBDD!$S:$S,BBDD!$AS:$AS)</f>
        <v>37000000</v>
      </c>
      <c r="O96" s="10" t="str">
        <f>IFERROR(VLOOKUP(F96,'PRECIO MERCADO'!D:E,2,0),"0")</f>
        <v>0</v>
      </c>
      <c r="P96" s="10">
        <f>_xlfn.XLOOKUP(F96,BBDD!$S:$S,BBDD!$AO:$AO)</f>
        <v>31092437</v>
      </c>
      <c r="Q96" s="10">
        <f>_xlfn.XLOOKUP(F96,BBDD!$S:$S,BBDD!$AR:$AR)</f>
        <v>31092437</v>
      </c>
      <c r="R96" s="24" t="str">
        <f t="shared" si="3"/>
        <v>LIQUIDAR</v>
      </c>
    </row>
    <row r="97" spans="1:18" ht="13.5" customHeight="1" x14ac:dyDescent="0.3">
      <c r="A97" s="21" t="s">
        <v>156</v>
      </c>
      <c r="B97" s="20" t="s">
        <v>156</v>
      </c>
      <c r="C97" s="20" t="s">
        <v>4367</v>
      </c>
      <c r="D97" s="20" t="s">
        <v>26</v>
      </c>
      <c r="E97" s="20">
        <v>2019</v>
      </c>
      <c r="F97" s="20" t="s">
        <v>7464</v>
      </c>
      <c r="G97" s="20">
        <v>25</v>
      </c>
      <c r="H97" s="20">
        <v>83740</v>
      </c>
      <c r="I97" s="19" t="s">
        <v>5142</v>
      </c>
      <c r="J97" s="11" t="str">
        <f t="shared" si="2"/>
        <v>HYUNDAIGRAND I10 BA GLS 1.22019</v>
      </c>
      <c r="K97" s="12"/>
      <c r="L97" s="10">
        <f>IFERROR(_xlfn.XLOOKUP(F97,'PRECIO TOMA HISTORICO '!$A:$A,'PRECIO TOMA HISTORICO '!$B:$B,_xlfn.XLOOKUP(F97,BBDD!$S:$S,BBDD!$AO:$AO,"",0,1),0,-1),"")</f>
        <v>5500000</v>
      </c>
      <c r="M97" s="9"/>
      <c r="N97" s="10">
        <f>_xlfn.XLOOKUP(F97,BBDD!$S:$S,BBDD!$AS:$AS)</f>
        <v>6990000</v>
      </c>
      <c r="O97" s="10">
        <f>IFERROR(VLOOKUP(F97,'PRECIO MERCADO'!D:E,2,0),"0")</f>
        <v>6820000</v>
      </c>
      <c r="P97" s="10">
        <f>_xlfn.XLOOKUP(F97,BBDD!$S:$S,BBDD!$AO:$AO)</f>
        <v>5500000</v>
      </c>
      <c r="Q97" s="10">
        <f>_xlfn.XLOOKUP(F97,BBDD!$S:$S,BBDD!$AR:$AR)</f>
        <v>5711740</v>
      </c>
      <c r="R97" s="24" t="str">
        <f t="shared" si="3"/>
        <v>ROTACION ALTA</v>
      </c>
    </row>
    <row r="98" spans="1:18" ht="13.5" customHeight="1" x14ac:dyDescent="0.3">
      <c r="A98" s="21" t="s">
        <v>156</v>
      </c>
      <c r="B98" s="21" t="s">
        <v>156</v>
      </c>
      <c r="C98" s="20" t="s">
        <v>10046</v>
      </c>
      <c r="D98" s="20" t="s">
        <v>63</v>
      </c>
      <c r="E98" s="20">
        <v>2018</v>
      </c>
      <c r="F98" s="20" t="s">
        <v>10049</v>
      </c>
      <c r="G98" s="20">
        <v>55</v>
      </c>
      <c r="H98" s="20">
        <v>68000</v>
      </c>
      <c r="I98" s="19" t="s">
        <v>5142</v>
      </c>
      <c r="J98" s="11" t="str">
        <f t="shared" si="2"/>
        <v>HYUNDAISANTA FE GLS 2.42018</v>
      </c>
      <c r="K98" s="12"/>
      <c r="L98" s="10">
        <f>IFERROR(_xlfn.XLOOKUP(F98,'PRECIO TOMA HISTORICO '!$A:$A,'PRECIO TOMA HISTORICO '!$B:$B,_xlfn.XLOOKUP(F98,BBDD!$S:$S,BBDD!$AO:$AO,"",0,1),0,-1),"")</f>
        <v>9200000</v>
      </c>
      <c r="M98" s="9"/>
      <c r="N98" s="10">
        <f>_xlfn.XLOOKUP(F98,BBDD!$S:$S,BBDD!$AS:$AS)</f>
        <v>11990000</v>
      </c>
      <c r="O98" s="10">
        <f>IFERROR(VLOOKUP(F98,'PRECIO MERCADO'!D:E,2,0),"0")</f>
        <v>13800000</v>
      </c>
      <c r="P98" s="10">
        <f>_xlfn.XLOOKUP(F98,BBDD!$S:$S,BBDD!$AO:$AO)</f>
        <v>9200000</v>
      </c>
      <c r="Q98" s="10">
        <f>_xlfn.XLOOKUP(F98,BBDD!$S:$S,BBDD!$AR:$AR)</f>
        <v>9467240</v>
      </c>
      <c r="R98" s="24" t="str">
        <f t="shared" si="3"/>
        <v>ROTACION BAJA</v>
      </c>
    </row>
    <row r="99" spans="1:18" ht="13.5" customHeight="1" x14ac:dyDescent="0.3">
      <c r="A99" s="21" t="s">
        <v>156</v>
      </c>
      <c r="B99" s="21" t="s">
        <v>156</v>
      </c>
      <c r="C99" s="20" t="s">
        <v>159</v>
      </c>
      <c r="D99" s="20" t="s">
        <v>26</v>
      </c>
      <c r="E99" s="20">
        <v>2024</v>
      </c>
      <c r="F99" s="20" t="s">
        <v>160</v>
      </c>
      <c r="G99" s="20">
        <v>251</v>
      </c>
      <c r="H99" s="20">
        <v>58500</v>
      </c>
      <c r="I99" s="19" t="s">
        <v>5142</v>
      </c>
      <c r="J99" s="11" t="str">
        <f t="shared" si="2"/>
        <v>HYUNDAISANTA FE MX5 GDI 2.5 AUT2024</v>
      </c>
      <c r="K99" s="12"/>
      <c r="L99" s="10">
        <f>IFERROR(_xlfn.XLOOKUP(F99,'PRECIO TOMA HISTORICO '!$A:$A,'PRECIO TOMA HISTORICO '!$B:$B,_xlfn.XLOOKUP(F99,BBDD!$S:$S,BBDD!$AO:$AO,"",0,1),0,-1),"")</f>
        <v>23500000</v>
      </c>
      <c r="M99" s="9"/>
      <c r="N99" s="10">
        <f>_xlfn.XLOOKUP(F99,BBDD!$S:$S,BBDD!$AS:$AS)</f>
        <v>25390000</v>
      </c>
      <c r="O99" s="10">
        <f>IFERROR(VLOOKUP(F99,'PRECIO MERCADO'!D:E,2,0),"0")</f>
        <v>28400000</v>
      </c>
      <c r="P99" s="10">
        <f>_xlfn.XLOOKUP(F99,BBDD!$S:$S,BBDD!$AO:$AO)</f>
        <v>23500000</v>
      </c>
      <c r="Q99" s="10">
        <f>_xlfn.XLOOKUP(F99,BBDD!$S:$S,BBDD!$AR:$AR)</f>
        <v>24403834</v>
      </c>
      <c r="R99" s="24" t="str">
        <f t="shared" si="3"/>
        <v>LIQUIDAR</v>
      </c>
    </row>
    <row r="100" spans="1:18" ht="13.5" customHeight="1" x14ac:dyDescent="0.3">
      <c r="A100" s="21" t="s">
        <v>156</v>
      </c>
      <c r="B100" s="21" t="s">
        <v>156</v>
      </c>
      <c r="C100" s="20" t="s">
        <v>161</v>
      </c>
      <c r="D100" s="20" t="s">
        <v>26</v>
      </c>
      <c r="E100" s="20">
        <v>2025</v>
      </c>
      <c r="F100" s="20" t="s">
        <v>162</v>
      </c>
      <c r="G100" s="20">
        <v>347</v>
      </c>
      <c r="H100" s="20">
        <v>17000</v>
      </c>
      <c r="I100" s="19" t="s">
        <v>5142</v>
      </c>
      <c r="J100" s="11" t="str">
        <f t="shared" si="2"/>
        <v>HYUNDAISANTA FE MX5 GDI 4X4 2.5 AUT2025</v>
      </c>
      <c r="K100" s="12"/>
      <c r="L100" s="10">
        <f>IFERROR(_xlfn.XLOOKUP(F100,'PRECIO TOMA HISTORICO '!$A:$A,'PRECIO TOMA HISTORICO '!$B:$B,_xlfn.XLOOKUP(F100,BBDD!$S:$S,BBDD!$AO:$AO,"",0,1),0,-1),"")</f>
        <v>28700000</v>
      </c>
      <c r="M100" s="9"/>
      <c r="N100" s="10">
        <f>_xlfn.XLOOKUP(F100,BBDD!$S:$S,BBDD!$AS:$AS)</f>
        <v>29990000</v>
      </c>
      <c r="O100" s="10">
        <f>IFERROR(VLOOKUP(F100,'PRECIO MERCADO'!D:E,2,0),"0")</f>
        <v>32100000</v>
      </c>
      <c r="P100" s="10">
        <f>_xlfn.XLOOKUP(F100,BBDD!$S:$S,BBDD!$AO:$AO)</f>
        <v>28700000</v>
      </c>
      <c r="Q100" s="10">
        <f>_xlfn.XLOOKUP(F100,BBDD!$S:$S,BBDD!$AR:$AR)</f>
        <v>29753703</v>
      </c>
      <c r="R100" s="24" t="str">
        <f t="shared" si="3"/>
        <v>LIQUIDAR</v>
      </c>
    </row>
    <row r="101" spans="1:18" ht="13.5" customHeight="1" x14ac:dyDescent="0.3">
      <c r="A101" s="21" t="s">
        <v>156</v>
      </c>
      <c r="B101" s="21" t="s">
        <v>156</v>
      </c>
      <c r="C101" s="20" t="s">
        <v>4380</v>
      </c>
      <c r="D101" s="20" t="s">
        <v>16</v>
      </c>
      <c r="E101" s="20">
        <v>2024</v>
      </c>
      <c r="F101" s="20" t="s">
        <v>11561</v>
      </c>
      <c r="G101" s="20">
        <v>14</v>
      </c>
      <c r="H101" s="20">
        <v>80110</v>
      </c>
      <c r="I101" s="19" t="s">
        <v>5142</v>
      </c>
      <c r="J101" s="11" t="str">
        <f t="shared" si="2"/>
        <v>HYUNDAITUCSON NX4 GDI 7DCT 1.6 AUT2024</v>
      </c>
      <c r="K101" s="12"/>
      <c r="L101" s="10">
        <f>IFERROR(_xlfn.XLOOKUP(F101,'PRECIO TOMA HISTORICO '!$A:$A,'PRECIO TOMA HISTORICO '!$B:$B,_xlfn.XLOOKUP(F101,BBDD!$S:$S,BBDD!$AO:$AO,"",0,1),0,-1),"")</f>
        <v>15500000</v>
      </c>
      <c r="M101" s="9"/>
      <c r="N101" s="10">
        <f>_xlfn.XLOOKUP(F101,BBDD!$S:$S,BBDD!$AS:$AS)</f>
        <v>17990000</v>
      </c>
      <c r="O101" s="10">
        <f>IFERROR(VLOOKUP(F101,'PRECIO MERCADO'!D:E,2,0),"0")</f>
        <v>19400000</v>
      </c>
      <c r="P101" s="10">
        <f>_xlfn.XLOOKUP(F101,BBDD!$S:$S,BBDD!$AO:$AO)</f>
        <v>15500000</v>
      </c>
      <c r="Q101" s="10">
        <f>_xlfn.XLOOKUP(F101,BBDD!$S:$S,BBDD!$AR:$AR)</f>
        <v>15861740</v>
      </c>
      <c r="R101" s="24" t="str">
        <f t="shared" si="3"/>
        <v>ROTACION ALTA</v>
      </c>
    </row>
    <row r="102" spans="1:18" ht="13.5" customHeight="1" x14ac:dyDescent="0.3">
      <c r="A102" s="20" t="s">
        <v>167</v>
      </c>
      <c r="B102" s="20" t="s">
        <v>4409</v>
      </c>
      <c r="C102" s="20" t="s">
        <v>4410</v>
      </c>
      <c r="D102" s="20" t="s">
        <v>16</v>
      </c>
      <c r="E102" s="20">
        <v>2022</v>
      </c>
      <c r="F102" s="20" t="s">
        <v>11654</v>
      </c>
      <c r="G102" s="20">
        <v>14</v>
      </c>
      <c r="H102" s="20">
        <v>46000</v>
      </c>
      <c r="I102" s="19" t="s">
        <v>5142</v>
      </c>
      <c r="J102" s="11" t="str">
        <f t="shared" si="2"/>
        <v>JSJS2 HATCHBACK 1.52022</v>
      </c>
      <c r="K102" s="12"/>
      <c r="L102" s="10">
        <f>IFERROR(_xlfn.XLOOKUP(F102,'PRECIO TOMA HISTORICO '!$A:$A,'PRECIO TOMA HISTORICO '!$B:$B,_xlfn.XLOOKUP(F102,BBDD!$S:$S,BBDD!$AO:$AO,"",0,1),0,-1),"")</f>
        <v>5850000</v>
      </c>
      <c r="M102" s="9"/>
      <c r="N102" s="10">
        <f>_xlfn.XLOOKUP(F102,BBDD!$S:$S,BBDD!$AS:$AS)</f>
        <v>7590000</v>
      </c>
      <c r="O102" s="10">
        <f>IFERROR(VLOOKUP(F102,'PRECIO MERCADO'!D:E,2,0),"0")</f>
        <v>7590000</v>
      </c>
      <c r="P102" s="10">
        <f>_xlfn.XLOOKUP(F102,BBDD!$S:$S,BBDD!$AO:$AO)</f>
        <v>5850000</v>
      </c>
      <c r="Q102" s="10">
        <f>_xlfn.XLOOKUP(F102,BBDD!$S:$S,BBDD!$AR:$AR)</f>
        <v>6066990</v>
      </c>
      <c r="R102" s="24" t="str">
        <f t="shared" si="3"/>
        <v>ROTACION ALTA</v>
      </c>
    </row>
    <row r="103" spans="1:18" ht="13.5" customHeight="1" x14ac:dyDescent="0.3">
      <c r="A103" s="21" t="s">
        <v>167</v>
      </c>
      <c r="B103" s="21" t="s">
        <v>4409</v>
      </c>
      <c r="C103" s="20" t="s">
        <v>11326</v>
      </c>
      <c r="D103" s="20" t="s">
        <v>16</v>
      </c>
      <c r="E103" s="20">
        <v>2026</v>
      </c>
      <c r="F103" s="20" t="s">
        <v>11329</v>
      </c>
      <c r="G103" s="20">
        <v>326</v>
      </c>
      <c r="H103" s="20">
        <v>6800</v>
      </c>
      <c r="I103" s="19" t="s">
        <v>8149</v>
      </c>
      <c r="J103" s="11" t="str">
        <f t="shared" si="2"/>
        <v>JSJS4 1.5T CVT ADVANCE2026</v>
      </c>
      <c r="K103" s="12"/>
      <c r="L103" s="10">
        <f>IFERROR(_xlfn.XLOOKUP(F103,'PRECIO TOMA HISTORICO '!$A:$A,'PRECIO TOMA HISTORICO '!$B:$B,_xlfn.XLOOKUP(F103,BBDD!$S:$S,BBDD!$AO:$AO,"",0,1),0,-1),"")</f>
        <v>13802352</v>
      </c>
      <c r="M103" s="9"/>
      <c r="N103" s="10">
        <f>_xlfn.XLOOKUP(F103,BBDD!$S:$S,BBDD!$AS:$AS)</f>
        <v>14865546</v>
      </c>
      <c r="O103" s="10" t="str">
        <f>IFERROR(VLOOKUP(F103,'PRECIO MERCADO'!D:E,2,0),"0")</f>
        <v>0</v>
      </c>
      <c r="P103" s="10">
        <f>_xlfn.XLOOKUP(F103,BBDD!$S:$S,BBDD!$AO:$AO)</f>
        <v>13802352</v>
      </c>
      <c r="Q103" s="10">
        <f>_xlfn.XLOOKUP(F103,BBDD!$S:$S,BBDD!$AR:$AR)</f>
        <v>14412634</v>
      </c>
      <c r="R103" s="24" t="str">
        <f t="shared" si="3"/>
        <v>LIQUIDAR</v>
      </c>
    </row>
    <row r="104" spans="1:18" ht="13.5" customHeight="1" x14ac:dyDescent="0.3">
      <c r="A104" s="21" t="s">
        <v>167</v>
      </c>
      <c r="B104" s="20" t="s">
        <v>10198</v>
      </c>
      <c r="C104" s="20" t="s">
        <v>10199</v>
      </c>
      <c r="D104" s="20" t="s">
        <v>26</v>
      </c>
      <c r="E104" s="20">
        <v>2022</v>
      </c>
      <c r="F104" s="20" t="s">
        <v>10202</v>
      </c>
      <c r="G104" s="20">
        <v>47</v>
      </c>
      <c r="H104" s="20">
        <v>102547</v>
      </c>
      <c r="I104" s="19" t="s">
        <v>5142</v>
      </c>
      <c r="J104" s="11" t="str">
        <f t="shared" si="2"/>
        <v>JS8JS8 TURBO 1.52022</v>
      </c>
      <c r="K104" s="12"/>
      <c r="L104" s="10">
        <f>IFERROR(_xlfn.XLOOKUP(F104,'PRECIO TOMA HISTORICO '!$A:$A,'PRECIO TOMA HISTORICO '!$B:$B,_xlfn.XLOOKUP(F104,BBDD!$S:$S,BBDD!$AO:$AO,"",0,1),0,-1),"")</f>
        <v>8500000</v>
      </c>
      <c r="M104" s="9"/>
      <c r="N104" s="10">
        <f>_xlfn.XLOOKUP(F104,BBDD!$S:$S,BBDD!$AS:$AS)</f>
        <v>10790000</v>
      </c>
      <c r="O104" s="10">
        <f>IFERROR(VLOOKUP(F104,'PRECIO MERCADO'!D:E,2,0),"0")</f>
        <v>11100000</v>
      </c>
      <c r="P104" s="10">
        <f>_xlfn.XLOOKUP(F104,BBDD!$S:$S,BBDD!$AO:$AO)</f>
        <v>8500000</v>
      </c>
      <c r="Q104" s="10">
        <f>_xlfn.XLOOKUP(F104,BBDD!$S:$S,BBDD!$AR:$AR)</f>
        <v>8756740</v>
      </c>
      <c r="R104" s="24" t="str">
        <f t="shared" si="3"/>
        <v>ROTACION BAJA</v>
      </c>
    </row>
    <row r="105" spans="1:18" ht="13.5" customHeight="1" x14ac:dyDescent="0.3">
      <c r="A105" s="21" t="s">
        <v>167</v>
      </c>
      <c r="B105" s="20" t="s">
        <v>3395</v>
      </c>
      <c r="C105" s="20" t="s">
        <v>4404</v>
      </c>
      <c r="D105" s="20" t="s">
        <v>16</v>
      </c>
      <c r="E105" s="20">
        <v>2020</v>
      </c>
      <c r="F105" s="20" t="s">
        <v>11509</v>
      </c>
      <c r="G105" s="20">
        <v>6</v>
      </c>
      <c r="H105" s="20">
        <v>61000</v>
      </c>
      <c r="I105" s="19" t="s">
        <v>5142</v>
      </c>
      <c r="J105" s="11" t="str">
        <f t="shared" si="2"/>
        <v>S2S2 CE 1.52020</v>
      </c>
      <c r="K105" s="12"/>
      <c r="L105" s="10">
        <f>IFERROR(_xlfn.XLOOKUP(F105,'PRECIO TOMA HISTORICO '!$A:$A,'PRECIO TOMA HISTORICO '!$B:$B,_xlfn.XLOOKUP(F105,BBDD!$S:$S,BBDD!$AO:$AO,"",0,1),0,-1),"")</f>
        <v>5000000</v>
      </c>
      <c r="M105" s="9"/>
      <c r="N105" s="10">
        <f>_xlfn.XLOOKUP(F105,BBDD!$S:$S,BBDD!$AS:$AS)</f>
        <v>6390000</v>
      </c>
      <c r="O105" s="10">
        <f>IFERROR(VLOOKUP(F105,'PRECIO MERCADO'!D:E,2,0),"0")</f>
        <v>6800000</v>
      </c>
      <c r="P105" s="10">
        <f>_xlfn.XLOOKUP(F105,BBDD!$S:$S,BBDD!$AO:$AO)</f>
        <v>5000000</v>
      </c>
      <c r="Q105" s="10">
        <f>_xlfn.XLOOKUP(F105,BBDD!$S:$S,BBDD!$AR:$AR)</f>
        <v>5204240</v>
      </c>
      <c r="R105" s="24" t="str">
        <f t="shared" si="3"/>
        <v>ROTACION ALTA</v>
      </c>
    </row>
    <row r="106" spans="1:18" ht="13.5" customHeight="1" x14ac:dyDescent="0.3">
      <c r="A106" s="21" t="s">
        <v>167</v>
      </c>
      <c r="B106" s="20" t="s">
        <v>3363</v>
      </c>
      <c r="C106" s="20" t="s">
        <v>11139</v>
      </c>
      <c r="D106" s="20" t="s">
        <v>16</v>
      </c>
      <c r="E106" s="20">
        <v>2020</v>
      </c>
      <c r="F106" s="20" t="s">
        <v>11142</v>
      </c>
      <c r="G106" s="20">
        <v>19</v>
      </c>
      <c r="H106" s="20">
        <v>75110</v>
      </c>
      <c r="I106" s="19" t="s">
        <v>5142</v>
      </c>
      <c r="J106" s="11" t="str">
        <f t="shared" si="2"/>
        <v>S4S4 HB 1.62020</v>
      </c>
      <c r="K106" s="12"/>
      <c r="L106" s="10">
        <f>IFERROR(_xlfn.XLOOKUP(F106,'PRECIO TOMA HISTORICO '!$A:$A,'PRECIO TOMA HISTORICO '!$B:$B,_xlfn.XLOOKUP(F106,BBDD!$S:$S,BBDD!$AO:$AO,"",0,1),0,-1),"")</f>
        <v>5000000</v>
      </c>
      <c r="M106" s="9"/>
      <c r="N106" s="10">
        <f>_xlfn.XLOOKUP(F106,BBDD!$S:$S,BBDD!$AS:$AS)</f>
        <v>7490000</v>
      </c>
      <c r="O106" s="10">
        <f>IFERROR(VLOOKUP(F106,'PRECIO MERCADO'!D:E,2,0),"0")</f>
        <v>7370000</v>
      </c>
      <c r="P106" s="10">
        <f>_xlfn.XLOOKUP(F106,BBDD!$S:$S,BBDD!$AO:$AO)</f>
        <v>5000000</v>
      </c>
      <c r="Q106" s="10">
        <f>_xlfn.XLOOKUP(F106,BBDD!$S:$S,BBDD!$AR:$AR)</f>
        <v>5204240</v>
      </c>
      <c r="R106" s="24" t="str">
        <f t="shared" si="3"/>
        <v>ROTACION ALTA</v>
      </c>
    </row>
    <row r="107" spans="1:18" ht="13.5" customHeight="1" x14ac:dyDescent="0.3">
      <c r="A107" s="21" t="s">
        <v>167</v>
      </c>
      <c r="B107" s="20" t="s">
        <v>170</v>
      </c>
      <c r="C107" s="20" t="s">
        <v>11293</v>
      </c>
      <c r="D107" s="20" t="s">
        <v>16</v>
      </c>
      <c r="E107" s="20">
        <v>2026</v>
      </c>
      <c r="F107" s="20" t="s">
        <v>9674</v>
      </c>
      <c r="G107" s="20">
        <v>323</v>
      </c>
      <c r="H107" s="20">
        <v>4750</v>
      </c>
      <c r="I107" s="19" t="s">
        <v>8149</v>
      </c>
      <c r="J107" s="11" t="str">
        <f t="shared" si="2"/>
        <v>T8T8 2.0T 4X4 DSL MT COMFORT2026</v>
      </c>
      <c r="K107" s="12"/>
      <c r="L107" s="10">
        <f>IFERROR(_xlfn.XLOOKUP(F107,'PRECIO TOMA HISTORICO '!$A:$A,'PRECIO TOMA HISTORICO '!$B:$B,_xlfn.XLOOKUP(F107,BBDD!$S:$S,BBDD!$AO:$AO,"",0,1),0,-1),"")</f>
        <v>16316817</v>
      </c>
      <c r="M107" s="9"/>
      <c r="N107" s="10">
        <f>_xlfn.XLOOKUP(F107,BBDD!$S:$S,BBDD!$AS:$AS)</f>
        <v>17690000</v>
      </c>
      <c r="O107" s="10">
        <f>IFERROR(VLOOKUP(F107,'PRECIO MERCADO'!D:E,2,0),"0")</f>
        <v>18700000</v>
      </c>
      <c r="P107" s="10">
        <f>_xlfn.XLOOKUP(F107,BBDD!$S:$S,BBDD!$AO:$AO)</f>
        <v>16316817</v>
      </c>
      <c r="Q107" s="10">
        <f>_xlfn.XLOOKUP(F107,BBDD!$S:$S,BBDD!$AR:$AR)</f>
        <v>16505532</v>
      </c>
      <c r="R107" s="24" t="str">
        <f t="shared" si="3"/>
        <v>LIQUIDAR</v>
      </c>
    </row>
    <row r="108" spans="1:18" ht="13.5" customHeight="1" x14ac:dyDescent="0.3">
      <c r="A108" s="21" t="s">
        <v>167</v>
      </c>
      <c r="B108" s="21" t="s">
        <v>170</v>
      </c>
      <c r="C108" s="20" t="s">
        <v>11668</v>
      </c>
      <c r="D108" s="20" t="s">
        <v>16</v>
      </c>
      <c r="E108" s="20">
        <v>2023</v>
      </c>
      <c r="F108" s="20" t="s">
        <v>11671</v>
      </c>
      <c r="G108" s="20">
        <v>1</v>
      </c>
      <c r="H108" s="20">
        <v>54000</v>
      </c>
      <c r="I108" s="19" t="s">
        <v>5142</v>
      </c>
      <c r="J108" s="11" t="str">
        <f t="shared" si="2"/>
        <v>T8T8 PLUS DCAB 4X4 2.02023</v>
      </c>
      <c r="K108" s="12"/>
      <c r="L108" s="10">
        <f>IFERROR(_xlfn.XLOOKUP(F108,'PRECIO TOMA HISTORICO '!$A:$A,'PRECIO TOMA HISTORICO '!$B:$B,_xlfn.XLOOKUP(F108,BBDD!$S:$S,BBDD!$AO:$AO,"",0,1),0,-1),"")</f>
        <v>9750000</v>
      </c>
      <c r="M108" s="9"/>
      <c r="N108" s="10">
        <f>_xlfn.XLOOKUP(F108,BBDD!$S:$S,BBDD!$AS:$AS)</f>
        <v>11990000</v>
      </c>
      <c r="O108" s="10">
        <f>IFERROR(VLOOKUP(F108,'PRECIO MERCADO'!D:E,2,0),"0")</f>
        <v>13500000</v>
      </c>
      <c r="P108" s="10">
        <f>_xlfn.XLOOKUP(F108,BBDD!$S:$S,BBDD!$AO:$AO)</f>
        <v>9750000</v>
      </c>
      <c r="Q108" s="10">
        <f>_xlfn.XLOOKUP(F108,BBDD!$S:$S,BBDD!$AR:$AR)</f>
        <v>10025490</v>
      </c>
      <c r="R108" s="24" t="str">
        <f t="shared" si="3"/>
        <v>ROTACION ALTA</v>
      </c>
    </row>
    <row r="109" spans="1:18" ht="13.5" customHeight="1" x14ac:dyDescent="0.3">
      <c r="A109" s="21" t="s">
        <v>167</v>
      </c>
      <c r="B109" s="21" t="s">
        <v>170</v>
      </c>
      <c r="C109" s="20" t="s">
        <v>9515</v>
      </c>
      <c r="D109" s="20" t="s">
        <v>16</v>
      </c>
      <c r="E109" s="20">
        <v>2025</v>
      </c>
      <c r="F109" s="20" t="s">
        <v>3732</v>
      </c>
      <c r="G109" s="20">
        <v>144</v>
      </c>
      <c r="H109" s="20">
        <v>12507</v>
      </c>
      <c r="I109" s="19" t="s">
        <v>8491</v>
      </c>
      <c r="J109" s="11" t="str">
        <f t="shared" si="2"/>
        <v>T8T8 PRO 2.0T 4X4 DSL AT ADVANCE2025</v>
      </c>
      <c r="K109" s="12"/>
      <c r="L109" s="10">
        <f>IFERROR(_xlfn.XLOOKUP(F109,'PRECIO TOMA HISTORICO '!$A:$A,'PRECIO TOMA HISTORICO '!$B:$B,_xlfn.XLOOKUP(F109,BBDD!$S:$S,BBDD!$AO:$AO,"",0,1),0,-1),"")</f>
        <v>13434000</v>
      </c>
      <c r="M109" s="9"/>
      <c r="N109" s="10">
        <f>_xlfn.XLOOKUP(F109,BBDD!$S:$S,BBDD!$AS:$AS)</f>
        <v>18990000</v>
      </c>
      <c r="O109" s="10">
        <f>IFERROR(VLOOKUP(F109,'PRECIO MERCADO'!D:E,2,0),"0")</f>
        <v>17500000</v>
      </c>
      <c r="P109" s="10">
        <f>_xlfn.XLOOKUP(F109,BBDD!$S:$S,BBDD!$AO:$AO)</f>
        <v>13434000</v>
      </c>
      <c r="Q109" s="10">
        <f>_xlfn.XLOOKUP(F109,BBDD!$S:$S,BBDD!$AR:$AR)</f>
        <v>14064975</v>
      </c>
      <c r="R109" s="24" t="str">
        <f t="shared" si="3"/>
        <v>LIQUIDAR</v>
      </c>
    </row>
    <row r="110" spans="1:18" ht="13.5" customHeight="1" x14ac:dyDescent="0.3">
      <c r="A110" s="21" t="s">
        <v>167</v>
      </c>
      <c r="B110" s="21" t="s">
        <v>170</v>
      </c>
      <c r="C110" s="20" t="s">
        <v>171</v>
      </c>
      <c r="D110" s="20" t="s">
        <v>40</v>
      </c>
      <c r="E110" s="20">
        <v>2023</v>
      </c>
      <c r="F110" s="20" t="s">
        <v>172</v>
      </c>
      <c r="G110" s="20">
        <v>368</v>
      </c>
      <c r="H110" s="20">
        <v>40695</v>
      </c>
      <c r="I110" s="19" t="s">
        <v>5142</v>
      </c>
      <c r="J110" s="11" t="str">
        <f t="shared" si="2"/>
        <v>T8T8 PRO TM 4X4 2.02023</v>
      </c>
      <c r="K110" s="12"/>
      <c r="L110" s="10">
        <f>IFERROR(_xlfn.XLOOKUP(F110,'PRECIO TOMA HISTORICO '!$A:$A,'PRECIO TOMA HISTORICO '!$B:$B,_xlfn.XLOOKUP(F110,BBDD!$S:$S,BBDD!$AO:$AO,"",0,1),0,-1),"")</f>
        <v>10600000</v>
      </c>
      <c r="M110" s="9"/>
      <c r="N110" s="10">
        <f>_xlfn.XLOOKUP(F110,BBDD!$S:$S,BBDD!$AS:$AS)</f>
        <v>12790000</v>
      </c>
      <c r="O110" s="10">
        <f>IFERROR(VLOOKUP(F110,'PRECIO MERCADO'!D:E,2,0),"0")</f>
        <v>15400000</v>
      </c>
      <c r="P110" s="10">
        <f>_xlfn.XLOOKUP(F110,BBDD!$S:$S,BBDD!$AO:$AO)</f>
        <v>10600000</v>
      </c>
      <c r="Q110" s="10">
        <f>_xlfn.XLOOKUP(F110,BBDD!$S:$S,BBDD!$AR:$AR)</f>
        <v>10885030</v>
      </c>
      <c r="R110" s="24" t="str">
        <f t="shared" si="3"/>
        <v>LIQUIDAR</v>
      </c>
    </row>
    <row r="111" spans="1:18" ht="13.5" customHeight="1" x14ac:dyDescent="0.3">
      <c r="A111" s="20" t="s">
        <v>173</v>
      </c>
      <c r="B111" s="20" t="s">
        <v>4423</v>
      </c>
      <c r="C111" s="20" t="s">
        <v>174</v>
      </c>
      <c r="D111" s="20" t="s">
        <v>26</v>
      </c>
      <c r="E111" s="20">
        <v>2025</v>
      </c>
      <c r="F111" s="20" t="s">
        <v>175</v>
      </c>
      <c r="G111" s="20">
        <v>140</v>
      </c>
      <c r="H111" s="20">
        <v>12000</v>
      </c>
      <c r="I111" s="19" t="s">
        <v>5142</v>
      </c>
      <c r="J111" s="11" t="str">
        <f t="shared" si="2"/>
        <v>77 DCT 1.6 AUT2025</v>
      </c>
      <c r="K111" s="12"/>
      <c r="L111" s="10">
        <f>IFERROR(_xlfn.XLOOKUP(F111,'PRECIO TOMA HISTORICO '!$A:$A,'PRECIO TOMA HISTORICO '!$B:$B,_xlfn.XLOOKUP(F111,BBDD!$S:$S,BBDD!$AO:$AO,"",0,1),0,-1),"")</f>
        <v>17500000</v>
      </c>
      <c r="M111" s="9"/>
      <c r="N111" s="10">
        <f>_xlfn.XLOOKUP(F111,BBDD!$S:$S,BBDD!$AS:$AS)</f>
        <v>17990000</v>
      </c>
      <c r="O111" s="10">
        <f>IFERROR(VLOOKUP(F111,'PRECIO MERCADO'!D:E,2,0),"0")</f>
        <v>17400000</v>
      </c>
      <c r="P111" s="10">
        <f>_xlfn.XLOOKUP(F111,BBDD!$S:$S,BBDD!$AO:$AO)</f>
        <v>17500000</v>
      </c>
      <c r="Q111" s="10">
        <f>_xlfn.XLOOKUP(F111,BBDD!$S:$S,BBDD!$AR:$AR)</f>
        <v>17891740</v>
      </c>
      <c r="R111" s="24" t="str">
        <f t="shared" si="3"/>
        <v>LIQUIDAR</v>
      </c>
    </row>
    <row r="112" spans="1:18" ht="13.5" customHeight="1" x14ac:dyDescent="0.3">
      <c r="A112" s="21" t="s">
        <v>173</v>
      </c>
      <c r="B112" s="21" t="s">
        <v>4423</v>
      </c>
      <c r="C112" s="20" t="s">
        <v>176</v>
      </c>
      <c r="D112" s="20" t="s">
        <v>26</v>
      </c>
      <c r="E112" s="20">
        <v>2026</v>
      </c>
      <c r="F112" s="20" t="s">
        <v>178</v>
      </c>
      <c r="G112" s="20">
        <v>162</v>
      </c>
      <c r="H112" s="20">
        <v>6400</v>
      </c>
      <c r="I112" s="19" t="s">
        <v>5142</v>
      </c>
      <c r="J112" s="11" t="str">
        <f t="shared" si="2"/>
        <v>77 DCT FWD 1.6 AUT2026</v>
      </c>
      <c r="K112" s="12"/>
      <c r="L112" s="10">
        <f>IFERROR(_xlfn.XLOOKUP(F112,'PRECIO TOMA HISTORICO '!$A:$A,'PRECIO TOMA HISTORICO '!$B:$B,_xlfn.XLOOKUP(F112,BBDD!$S:$S,BBDD!$AO:$AO,"",0,1),0,-1),"")</f>
        <v>14500000</v>
      </c>
      <c r="M112" s="9"/>
      <c r="N112" s="10">
        <f>_xlfn.XLOOKUP(F112,BBDD!$S:$S,BBDD!$AS:$AS)</f>
        <v>15990000</v>
      </c>
      <c r="O112" s="10">
        <f>IFERROR(VLOOKUP(F112,'PRECIO MERCADO'!D:E,2,0),"0")</f>
        <v>17500000</v>
      </c>
      <c r="P112" s="10">
        <f>_xlfn.XLOOKUP(F112,BBDD!$S:$S,BBDD!$AO:$AO)</f>
        <v>14500000</v>
      </c>
      <c r="Q112" s="10">
        <f>_xlfn.XLOOKUP(F112,BBDD!$S:$S,BBDD!$AR:$AR)</f>
        <v>14846740</v>
      </c>
      <c r="R112" s="24" t="str">
        <f t="shared" si="3"/>
        <v>LIQUIDAR</v>
      </c>
    </row>
    <row r="113" spans="1:18" ht="13.5" customHeight="1" x14ac:dyDescent="0.3">
      <c r="A113" s="21" t="s">
        <v>173</v>
      </c>
      <c r="B113" s="21" t="s">
        <v>4423</v>
      </c>
      <c r="C113" s="21" t="s">
        <v>176</v>
      </c>
      <c r="D113" s="20" t="s">
        <v>33</v>
      </c>
      <c r="E113" s="20">
        <v>2025</v>
      </c>
      <c r="F113" s="20" t="s">
        <v>179</v>
      </c>
      <c r="G113" s="20">
        <v>309</v>
      </c>
      <c r="H113" s="20">
        <v>10200</v>
      </c>
      <c r="I113" s="19" t="s">
        <v>5142</v>
      </c>
      <c r="J113" s="11" t="str">
        <f t="shared" si="2"/>
        <v>77 DCT FWD 1.6 AUT2025</v>
      </c>
      <c r="K113" s="12"/>
      <c r="L113" s="10">
        <f>IFERROR(_xlfn.XLOOKUP(F113,'PRECIO TOMA HISTORICO '!$A:$A,'PRECIO TOMA HISTORICO '!$B:$B,_xlfn.XLOOKUP(F113,BBDD!$S:$S,BBDD!$AO:$AO,"",0,1),0,-1),"")</f>
        <v>15500000</v>
      </c>
      <c r="M113" s="9"/>
      <c r="N113" s="10">
        <f>_xlfn.XLOOKUP(F113,BBDD!$S:$S,BBDD!$AS:$AS)</f>
        <v>16490000</v>
      </c>
      <c r="O113" s="10">
        <f>IFERROR(VLOOKUP(F113,'PRECIO MERCADO'!D:E,2,0),"0")</f>
        <v>18000000</v>
      </c>
      <c r="P113" s="10">
        <f>_xlfn.XLOOKUP(F113,BBDD!$S:$S,BBDD!$AO:$AO)</f>
        <v>15500000</v>
      </c>
      <c r="Q113" s="10">
        <f>_xlfn.XLOOKUP(F113,BBDD!$S:$S,BBDD!$AR:$AR)</f>
        <v>15858530</v>
      </c>
      <c r="R113" s="24" t="str">
        <f t="shared" si="3"/>
        <v>LIQUIDAR</v>
      </c>
    </row>
    <row r="114" spans="1:18" ht="13.5" customHeight="1" x14ac:dyDescent="0.3">
      <c r="A114" s="21" t="s">
        <v>173</v>
      </c>
      <c r="B114" s="21" t="s">
        <v>4423</v>
      </c>
      <c r="C114" s="20" t="s">
        <v>11713</v>
      </c>
      <c r="D114" s="20" t="s">
        <v>16</v>
      </c>
      <c r="E114" s="20">
        <v>2026</v>
      </c>
      <c r="F114" s="20" t="s">
        <v>10862</v>
      </c>
      <c r="G114" s="20">
        <v>231</v>
      </c>
      <c r="H114" s="20">
        <v>750</v>
      </c>
      <c r="I114" s="19" t="s">
        <v>8491</v>
      </c>
      <c r="J114" s="11" t="str">
        <f t="shared" si="2"/>
        <v>7J7 1.5T Patagonia PHEV2026</v>
      </c>
      <c r="K114" s="12"/>
      <c r="L114" s="10">
        <f>IFERROR(_xlfn.XLOOKUP(F114,'PRECIO TOMA HISTORICO '!$A:$A,'PRECIO TOMA HISTORICO '!$B:$B,_xlfn.XLOOKUP(F114,BBDD!$S:$S,BBDD!$AO:$AO,"",0,1),0,-1),"")</f>
        <v>22454454</v>
      </c>
      <c r="M114" s="9"/>
      <c r="N114" s="10">
        <f>_xlfn.XLOOKUP(F114,BBDD!$S:$S,BBDD!$AS:$AS)</f>
        <v>23690000</v>
      </c>
      <c r="O114" s="10">
        <f>IFERROR(VLOOKUP(F114,'PRECIO MERCADO'!D:E,2,0),"0")</f>
        <v>23700000</v>
      </c>
      <c r="P114" s="10">
        <f>_xlfn.XLOOKUP(F114,BBDD!$S:$S,BBDD!$AO:$AO)</f>
        <v>22454454</v>
      </c>
      <c r="Q114" s="10">
        <f>_xlfn.XLOOKUP(F114,BBDD!$S:$S,BBDD!$AR:$AR)</f>
        <v>23015521</v>
      </c>
      <c r="R114" s="24" t="str">
        <f t="shared" si="3"/>
        <v>LIQUIDAR</v>
      </c>
    </row>
    <row r="115" spans="1:18" ht="13.5" customHeight="1" x14ac:dyDescent="0.3">
      <c r="A115" s="21" t="s">
        <v>173</v>
      </c>
      <c r="B115" s="21" t="s">
        <v>4423</v>
      </c>
      <c r="C115" s="20" t="s">
        <v>9577</v>
      </c>
      <c r="D115" s="20" t="s">
        <v>8159</v>
      </c>
      <c r="E115" s="20">
        <v>2025</v>
      </c>
      <c r="F115" s="20" t="s">
        <v>8808</v>
      </c>
      <c r="G115" s="20">
        <v>378</v>
      </c>
      <c r="H115" s="20">
        <v>0</v>
      </c>
      <c r="I115" s="19" t="s">
        <v>8491</v>
      </c>
      <c r="J115" s="11" t="str">
        <f t="shared" si="2"/>
        <v>7J7 1.5T PHEV2025</v>
      </c>
      <c r="K115" s="12"/>
      <c r="L115" s="10">
        <f>IFERROR(_xlfn.XLOOKUP(F115,'PRECIO TOMA HISTORICO '!$A:$A,'PRECIO TOMA HISTORICO '!$B:$B,_xlfn.XLOOKUP(F115,BBDD!$S:$S,BBDD!$AO:$AO,"",0,1),0,-1),"")</f>
        <v>23227563</v>
      </c>
      <c r="M115" s="9"/>
      <c r="N115" s="10">
        <f>_xlfn.XLOOKUP(F115,BBDD!$S:$S,BBDD!$AS:$AS)</f>
        <v>21490000</v>
      </c>
      <c r="O115" s="10">
        <f>IFERROR(VLOOKUP(F115,'PRECIO MERCADO'!D:E,2,0),"0")</f>
        <v>21800000</v>
      </c>
      <c r="P115" s="10">
        <f>_xlfn.XLOOKUP(F115,BBDD!$S:$S,BBDD!$AO:$AO)</f>
        <v>23227563</v>
      </c>
      <c r="Q115" s="10">
        <f>_xlfn.XLOOKUP(F115,BBDD!$S:$S,BBDD!$AR:$AR)</f>
        <v>23227563</v>
      </c>
      <c r="R115" s="24" t="str">
        <f t="shared" si="3"/>
        <v>LIQUIDAR</v>
      </c>
    </row>
    <row r="116" spans="1:18" ht="13.5" customHeight="1" x14ac:dyDescent="0.3">
      <c r="A116" s="21" t="s">
        <v>173</v>
      </c>
      <c r="B116" s="21" t="s">
        <v>4423</v>
      </c>
      <c r="C116" s="20" t="s">
        <v>8516</v>
      </c>
      <c r="D116" s="20" t="s">
        <v>8159</v>
      </c>
      <c r="E116" s="20">
        <v>2025</v>
      </c>
      <c r="F116" s="20" t="s">
        <v>2640</v>
      </c>
      <c r="G116" s="20">
        <v>393</v>
      </c>
      <c r="H116" s="20">
        <v>8508</v>
      </c>
      <c r="I116" s="19" t="s">
        <v>8491</v>
      </c>
      <c r="J116" s="11" t="str">
        <f t="shared" si="2"/>
        <v>7J7 1.6T PRIME2025</v>
      </c>
      <c r="K116" s="12"/>
      <c r="L116" s="10">
        <f>IFERROR(_xlfn.XLOOKUP(F116,'PRECIO TOMA HISTORICO '!$A:$A,'PRECIO TOMA HISTORICO '!$B:$B,_xlfn.XLOOKUP(F116,BBDD!$S:$S,BBDD!$AO:$AO,"",0,1),0,-1),"")</f>
        <v>17732643</v>
      </c>
      <c r="M116" s="9"/>
      <c r="N116" s="10">
        <f>_xlfn.XLOOKUP(F116,BBDD!$S:$S,BBDD!$AS:$AS)</f>
        <v>17990000</v>
      </c>
      <c r="O116" s="10">
        <f>IFERROR(VLOOKUP(F116,'PRECIO MERCADO'!D:E,2,0),"0")</f>
        <v>17700000</v>
      </c>
      <c r="P116" s="10">
        <f>_xlfn.XLOOKUP(F116,BBDD!$S:$S,BBDD!$AO:$AO)</f>
        <v>17732643</v>
      </c>
      <c r="Q116" s="10">
        <f>_xlfn.XLOOKUP(F116,BBDD!$S:$S,BBDD!$AR:$AR)</f>
        <v>18767756</v>
      </c>
      <c r="R116" s="24" t="str">
        <f t="shared" si="3"/>
        <v>LIQUIDAR</v>
      </c>
    </row>
    <row r="117" spans="1:18" ht="13.5" customHeight="1" x14ac:dyDescent="0.3">
      <c r="A117" s="21" t="s">
        <v>173</v>
      </c>
      <c r="B117" s="21" t="s">
        <v>4423</v>
      </c>
      <c r="C117" s="21" t="s">
        <v>8516</v>
      </c>
      <c r="D117" s="20" t="s">
        <v>26</v>
      </c>
      <c r="E117" s="20">
        <v>2024</v>
      </c>
      <c r="F117" s="20" t="s">
        <v>3034</v>
      </c>
      <c r="G117" s="20">
        <v>393</v>
      </c>
      <c r="H117" s="20">
        <v>10171</v>
      </c>
      <c r="I117" s="19" t="s">
        <v>8491</v>
      </c>
      <c r="J117" s="11" t="str">
        <f t="shared" ref="J117:J126" si="4">CONCATENATE(B117,C117,E117)</f>
        <v>7J7 1.6T PRIME2024</v>
      </c>
      <c r="K117" s="12"/>
      <c r="L117" s="10">
        <f>IFERROR(_xlfn.XLOOKUP(F117,'PRECIO TOMA HISTORICO '!$A:$A,'PRECIO TOMA HISTORICO '!$B:$B,_xlfn.XLOOKUP(F117,BBDD!$S:$S,BBDD!$AO:$AO,"",0,1),0,-1),"")</f>
        <v>17583866</v>
      </c>
      <c r="M117" s="9"/>
      <c r="N117" s="10">
        <f>_xlfn.XLOOKUP(F117,BBDD!$S:$S,BBDD!$AS:$AS)</f>
        <v>18090000</v>
      </c>
      <c r="O117" s="10">
        <f>IFERROR(VLOOKUP(F117,'PRECIO MERCADO'!D:E,2,0),"0")</f>
        <v>17000000</v>
      </c>
      <c r="P117" s="10">
        <f>_xlfn.XLOOKUP(F117,BBDD!$S:$S,BBDD!$AO:$AO)</f>
        <v>17583866</v>
      </c>
      <c r="Q117" s="10">
        <f>_xlfn.XLOOKUP(F117,BBDD!$S:$S,BBDD!$AR:$AR)</f>
        <v>19002765</v>
      </c>
      <c r="R117" s="24" t="str">
        <f t="shared" si="3"/>
        <v>LIQUIDAR</v>
      </c>
    </row>
    <row r="118" spans="1:18" ht="13.5" customHeight="1" x14ac:dyDescent="0.3">
      <c r="A118" s="20" t="s">
        <v>180</v>
      </c>
      <c r="B118" s="20" t="s">
        <v>181</v>
      </c>
      <c r="C118" s="20" t="s">
        <v>4433</v>
      </c>
      <c r="D118" s="20" t="s">
        <v>26</v>
      </c>
      <c r="E118" s="20">
        <v>2019</v>
      </c>
      <c r="F118" s="20" t="s">
        <v>3921</v>
      </c>
      <c r="G118" s="20">
        <v>80</v>
      </c>
      <c r="H118" s="20">
        <v>44500</v>
      </c>
      <c r="I118" s="19" t="s">
        <v>5142</v>
      </c>
      <c r="J118" s="11" t="str">
        <f t="shared" si="4"/>
        <v>COMPASSALL NEW COMPASS SPORT LX 2.42019</v>
      </c>
      <c r="K118" s="12"/>
      <c r="L118" s="10">
        <f>IFERROR(_xlfn.XLOOKUP(F118,'PRECIO TOMA HISTORICO '!$A:$A,'PRECIO TOMA HISTORICO '!$B:$B,_xlfn.XLOOKUP(F118,BBDD!$S:$S,BBDD!$AO:$AO,"",0,1),0,-1),"")</f>
        <v>9500000</v>
      </c>
      <c r="M118" s="9"/>
      <c r="N118" s="10">
        <f>_xlfn.XLOOKUP(F118,BBDD!$S:$S,BBDD!$AS:$AS)</f>
        <v>10490000</v>
      </c>
      <c r="O118" s="10">
        <f>IFERROR(VLOOKUP(F118,'PRECIO MERCADO'!D:E,2,0),"0")</f>
        <v>12000000</v>
      </c>
      <c r="P118" s="10">
        <f>_xlfn.XLOOKUP(F118,BBDD!$S:$S,BBDD!$AO:$AO)</f>
        <v>9500000</v>
      </c>
      <c r="Q118" s="10">
        <f>_xlfn.XLOOKUP(F118,BBDD!$S:$S,BBDD!$AR:$AR)</f>
        <v>9771740</v>
      </c>
      <c r="R118" s="24" t="str">
        <f t="shared" si="3"/>
        <v>LIQUIDAR</v>
      </c>
    </row>
    <row r="119" spans="1:18" ht="13.5" customHeight="1" x14ac:dyDescent="0.3">
      <c r="A119" s="21" t="s">
        <v>180</v>
      </c>
      <c r="B119" s="20" t="s">
        <v>183</v>
      </c>
      <c r="C119" s="20" t="s">
        <v>184</v>
      </c>
      <c r="D119" s="20" t="s">
        <v>63</v>
      </c>
      <c r="E119" s="20">
        <v>2013</v>
      </c>
      <c r="F119" s="20" t="s">
        <v>185</v>
      </c>
      <c r="G119" s="20">
        <v>1560</v>
      </c>
      <c r="H119" s="20">
        <v>160000</v>
      </c>
      <c r="I119" s="19" t="s">
        <v>5142</v>
      </c>
      <c r="J119" s="11" t="str">
        <f t="shared" si="4"/>
        <v>GRAND CHEROKEEGRAND CHEROKEE LAREDO 4X4 3.0 AUT2013</v>
      </c>
      <c r="K119" s="12"/>
      <c r="L119" s="10">
        <f>IFERROR(_xlfn.XLOOKUP(F119,'PRECIO TOMA HISTORICO '!$A:$A,'PRECIO TOMA HISTORICO '!$B:$B,_xlfn.XLOOKUP(F119,BBDD!$S:$S,BBDD!$AO:$AO,"",0,1),0,-1),"")</f>
        <v>13800000</v>
      </c>
      <c r="M119" s="9"/>
      <c r="N119" s="10">
        <f>_xlfn.XLOOKUP(F119,BBDD!$S:$S,BBDD!$AS:$AS)</f>
        <v>11490000</v>
      </c>
      <c r="O119" s="10">
        <f>IFERROR(VLOOKUP(F119,'PRECIO MERCADO'!D:E,2,0),"0")</f>
        <v>11200000</v>
      </c>
      <c r="P119" s="10">
        <f>_xlfn.XLOOKUP(F119,BBDD!$S:$S,BBDD!$AO:$AO)</f>
        <v>13800000</v>
      </c>
      <c r="Q119" s="10">
        <f>_xlfn.XLOOKUP(F119,BBDD!$S:$S,BBDD!$AR:$AR)</f>
        <v>14313046</v>
      </c>
      <c r="R119" s="24" t="str">
        <f t="shared" si="3"/>
        <v>LIQUIDAR</v>
      </c>
    </row>
    <row r="120" spans="1:18" ht="13.5" customHeight="1" x14ac:dyDescent="0.3">
      <c r="A120" s="20" t="s">
        <v>2992</v>
      </c>
      <c r="B120" s="20" t="s">
        <v>8510</v>
      </c>
      <c r="C120" s="20" t="s">
        <v>8511</v>
      </c>
      <c r="D120" s="20" t="s">
        <v>20</v>
      </c>
      <c r="E120" s="20">
        <v>2026</v>
      </c>
      <c r="F120" s="20" t="s">
        <v>364</v>
      </c>
      <c r="G120" s="20">
        <v>176</v>
      </c>
      <c r="H120" s="20">
        <v>748</v>
      </c>
      <c r="I120" s="19" t="s">
        <v>8491</v>
      </c>
      <c r="J120" s="11" t="str">
        <f t="shared" si="4"/>
        <v>REMAXREMAX CRDI DC 4X4 2.52026</v>
      </c>
      <c r="K120" s="12"/>
      <c r="L120" s="10">
        <f>IFERROR(_xlfn.XLOOKUP(F120,'PRECIO TOMA HISTORICO '!$A:$A,'PRECIO TOMA HISTORICO '!$B:$B,_xlfn.XLOOKUP(F120,BBDD!$S:$S,BBDD!$AO:$AO,"",0,1),0,-1),"")</f>
        <v>17243100</v>
      </c>
      <c r="M120" s="9"/>
      <c r="N120" s="10">
        <f>_xlfn.XLOOKUP(F120,BBDD!$S:$S,BBDD!$AS:$AS)</f>
        <v>14990000</v>
      </c>
      <c r="O120" s="10">
        <f>IFERROR(VLOOKUP(F120,'PRECIO MERCADO'!D:E,2,0),"0")</f>
        <v>15800000</v>
      </c>
      <c r="P120" s="10">
        <f>_xlfn.XLOOKUP(F120,BBDD!$S:$S,BBDD!$AO:$AO)</f>
        <v>14500000</v>
      </c>
      <c r="Q120" s="10">
        <f>_xlfn.XLOOKUP(F120,BBDD!$S:$S,BBDD!$AR:$AR)</f>
        <v>14500000</v>
      </c>
      <c r="R120" s="24" t="str">
        <f t="shared" si="3"/>
        <v>LIQUIDAR</v>
      </c>
    </row>
    <row r="121" spans="1:18" ht="13.5" customHeight="1" x14ac:dyDescent="0.3">
      <c r="A121" s="20" t="s">
        <v>2521</v>
      </c>
      <c r="B121" s="20" t="s">
        <v>2522</v>
      </c>
      <c r="C121" s="20" t="s">
        <v>4458</v>
      </c>
      <c r="D121" s="20" t="s">
        <v>26</v>
      </c>
      <c r="E121" s="20">
        <v>2026</v>
      </c>
      <c r="F121" s="20" t="s">
        <v>10854</v>
      </c>
      <c r="G121" s="20">
        <v>25</v>
      </c>
      <c r="H121" s="20">
        <v>7392</v>
      </c>
      <c r="I121" s="19" t="s">
        <v>5142</v>
      </c>
      <c r="J121" s="11" t="str">
        <f t="shared" si="4"/>
        <v>GRAND AVENUEGRAND AVENUE 4X4 2.32026</v>
      </c>
      <c r="K121" s="12"/>
      <c r="L121" s="10">
        <f>IFERROR(_xlfn.XLOOKUP(F121,'PRECIO TOMA HISTORICO '!$A:$A,'PRECIO TOMA HISTORICO '!$B:$B,_xlfn.XLOOKUP(F121,BBDD!$S:$S,BBDD!$AO:$AO,"",0,1),0,-1),"")</f>
        <v>18000000</v>
      </c>
      <c r="M121" s="9"/>
      <c r="N121" s="10">
        <f>_xlfn.XLOOKUP(F121,BBDD!$S:$S,BBDD!$AS:$AS)</f>
        <v>19990000</v>
      </c>
      <c r="O121" s="10">
        <f>IFERROR(VLOOKUP(F121,'PRECIO MERCADO'!D:E,2,0),"0")</f>
        <v>20300000</v>
      </c>
      <c r="P121" s="10">
        <f>_xlfn.XLOOKUP(F121,BBDD!$S:$S,BBDD!$AO:$AO)</f>
        <v>18000000</v>
      </c>
      <c r="Q121" s="10">
        <f>_xlfn.XLOOKUP(F121,BBDD!$S:$S,BBDD!$AR:$AR)</f>
        <v>18399240</v>
      </c>
      <c r="R121" s="24" t="str">
        <f t="shared" si="3"/>
        <v>ROTACION ALTA</v>
      </c>
    </row>
    <row r="122" spans="1:18" ht="13.5" customHeight="1" x14ac:dyDescent="0.3">
      <c r="A122" s="21" t="s">
        <v>2521</v>
      </c>
      <c r="B122" s="20" t="s">
        <v>2543</v>
      </c>
      <c r="C122" s="20" t="s">
        <v>4460</v>
      </c>
      <c r="D122" s="20" t="s">
        <v>16</v>
      </c>
      <c r="E122" s="20">
        <v>2025</v>
      </c>
      <c r="F122" s="20" t="s">
        <v>10853</v>
      </c>
      <c r="G122" s="20">
        <v>25</v>
      </c>
      <c r="H122" s="20">
        <v>71526</v>
      </c>
      <c r="I122" s="19" t="s">
        <v>5142</v>
      </c>
      <c r="J122" s="11" t="str">
        <f t="shared" si="4"/>
        <v>VIGUSVIGUS 4X4 2.02025</v>
      </c>
      <c r="K122" s="12"/>
      <c r="L122" s="10">
        <f>IFERROR(_xlfn.XLOOKUP(F122,'PRECIO TOMA HISTORICO '!$A:$A,'PRECIO TOMA HISTORICO '!$B:$B,_xlfn.XLOOKUP(F122,BBDD!$S:$S,BBDD!$AO:$AO,"",0,1),0,-1),"")</f>
        <v>11500000</v>
      </c>
      <c r="M122" s="9"/>
      <c r="N122" s="10">
        <f>_xlfn.XLOOKUP(F122,BBDD!$S:$S,BBDD!$AS:$AS)</f>
        <v>13990000</v>
      </c>
      <c r="O122" s="10">
        <f>IFERROR(VLOOKUP(F122,'PRECIO MERCADO'!D:E,2,0),"0")</f>
        <v>14200000</v>
      </c>
      <c r="P122" s="10">
        <f>_xlfn.XLOOKUP(F122,BBDD!$S:$S,BBDD!$AO:$AO)</f>
        <v>11500000</v>
      </c>
      <c r="Q122" s="10">
        <f>_xlfn.XLOOKUP(F122,BBDD!$S:$S,BBDD!$AR:$AR)</f>
        <v>11801740</v>
      </c>
      <c r="R122" s="24" t="str">
        <f t="shared" si="3"/>
        <v>ROTACION ALTA</v>
      </c>
    </row>
    <row r="123" spans="1:18" ht="13.5" customHeight="1" x14ac:dyDescent="0.3">
      <c r="A123" s="20" t="s">
        <v>2498</v>
      </c>
      <c r="B123" s="20" t="s">
        <v>2499</v>
      </c>
      <c r="C123" s="20" t="s">
        <v>4513</v>
      </c>
      <c r="D123" s="20" t="s">
        <v>40</v>
      </c>
      <c r="E123" s="20">
        <v>2024</v>
      </c>
      <c r="F123" s="20" t="s">
        <v>8151</v>
      </c>
      <c r="G123" s="20">
        <v>203</v>
      </c>
      <c r="H123" s="20">
        <v>0</v>
      </c>
      <c r="I123" s="19" t="s">
        <v>8149</v>
      </c>
      <c r="J123" s="11" t="str">
        <f t="shared" si="4"/>
        <v>SOLUTOSOLUTO MPI 1.42024</v>
      </c>
      <c r="K123" s="12"/>
      <c r="L123" s="10">
        <f>IFERROR(_xlfn.XLOOKUP(F123,'PRECIO TOMA HISTORICO '!$A:$A,'PRECIO TOMA HISTORICO '!$B:$B,_xlfn.XLOOKUP(F123,BBDD!$S:$S,BBDD!$AO:$AO,"",0,1),0,-1),"")</f>
        <v>11082000</v>
      </c>
      <c r="M123" s="9"/>
      <c r="N123" s="10">
        <f>_xlfn.XLOOKUP(F123,BBDD!$S:$S,BBDD!$AS:$AS)</f>
        <v>11082000</v>
      </c>
      <c r="O123" s="10">
        <f>IFERROR(VLOOKUP(F123,'PRECIO MERCADO'!D:E,2,0),"0")</f>
        <v>8600000</v>
      </c>
      <c r="P123" s="10">
        <f>_xlfn.XLOOKUP(F123,BBDD!$S:$S,BBDD!$AO:$AO)</f>
        <v>11082000</v>
      </c>
      <c r="Q123" s="10">
        <f>_xlfn.XLOOKUP(F123,BBDD!$S:$S,BBDD!$AR:$AR)</f>
        <v>11082000</v>
      </c>
      <c r="R123" s="24" t="str">
        <f t="shared" si="3"/>
        <v>LIQUIDAR</v>
      </c>
    </row>
    <row r="124" spans="1:18" ht="13.5" customHeight="1" x14ac:dyDescent="0.3">
      <c r="A124" s="20" t="s">
        <v>186</v>
      </c>
      <c r="B124" s="20" t="s">
        <v>4472</v>
      </c>
      <c r="C124" s="20" t="s">
        <v>11446</v>
      </c>
      <c r="D124" s="20" t="s">
        <v>116</v>
      </c>
      <c r="E124" s="20">
        <v>2023</v>
      </c>
      <c r="F124" s="20" t="s">
        <v>11207</v>
      </c>
      <c r="G124" s="20">
        <v>14</v>
      </c>
      <c r="H124" s="20">
        <v>57917</v>
      </c>
      <c r="I124" s="19" t="s">
        <v>5142</v>
      </c>
      <c r="J124" s="11" t="str">
        <f t="shared" si="4"/>
        <v>CARNIVALCARNIVAL EX GSL 3.5 AUT2023</v>
      </c>
      <c r="K124" s="12"/>
      <c r="L124" s="10">
        <f>IFERROR(_xlfn.XLOOKUP(F124,'PRECIO TOMA HISTORICO '!$A:$A,'PRECIO TOMA HISTORICO '!$B:$B,_xlfn.XLOOKUP(F124,BBDD!$S:$S,BBDD!$AO:$AO,"",0,1),0,-1),"")</f>
        <v>19000000</v>
      </c>
      <c r="M124" s="9"/>
      <c r="N124" s="10">
        <f>_xlfn.XLOOKUP(F124,BBDD!$S:$S,BBDD!$AS:$AS)</f>
        <v>23490000</v>
      </c>
      <c r="O124" s="10">
        <f>IFERROR(VLOOKUP(F124,'PRECIO MERCADO'!D:E,2,0),"0")</f>
        <v>31400000</v>
      </c>
      <c r="P124" s="10">
        <f>_xlfn.XLOOKUP(F124,BBDD!$S:$S,BBDD!$AO:$AO)</f>
        <v>19000000</v>
      </c>
      <c r="Q124" s="10">
        <f>_xlfn.XLOOKUP(F124,BBDD!$S:$S,BBDD!$AR:$AR)</f>
        <v>19414240</v>
      </c>
      <c r="R124" s="24" t="str">
        <f t="shared" si="3"/>
        <v>ROTACION ALTA</v>
      </c>
    </row>
    <row r="125" spans="1:18" ht="15" customHeight="1" x14ac:dyDescent="0.3">
      <c r="A125" s="21" t="s">
        <v>186</v>
      </c>
      <c r="B125" s="20" t="s">
        <v>187</v>
      </c>
      <c r="C125" s="20" t="s">
        <v>8140</v>
      </c>
      <c r="D125" s="20" t="s">
        <v>8134</v>
      </c>
      <c r="E125" s="20">
        <v>2016</v>
      </c>
      <c r="F125" s="20" t="s">
        <v>8143</v>
      </c>
      <c r="G125" s="20">
        <v>3963</v>
      </c>
      <c r="H125" s="20">
        <v>0</v>
      </c>
      <c r="I125" s="19" t="s">
        <v>5142</v>
      </c>
      <c r="J125" s="11" t="str">
        <f t="shared" si="4"/>
        <v>FRONTIERFRONTIER C/C 2.5 6MT2016</v>
      </c>
      <c r="K125" s="12"/>
      <c r="L125" s="10">
        <f>IFERROR(_xlfn.XLOOKUP(F125,'PRECIO TOMA HISTORICO '!$A:$A,'PRECIO TOMA HISTORICO '!$B:$B,_xlfn.XLOOKUP(F125,BBDD!$S:$S,BBDD!$AO:$AO,"",0,1),0,-1),"")</f>
        <v>323597</v>
      </c>
      <c r="M125" s="9"/>
      <c r="N125" s="10">
        <f>_xlfn.XLOOKUP(F125,BBDD!$S:$S,BBDD!$AS:$AS)</f>
        <v>14800000</v>
      </c>
      <c r="O125" s="10" t="str">
        <f>IFERROR(VLOOKUP(F125,'PRECIO MERCADO'!D:E,2,0),"0")</f>
        <v>0</v>
      </c>
      <c r="P125" s="10">
        <f>_xlfn.XLOOKUP(F125,BBDD!$S:$S,BBDD!$AO:$AO)</f>
        <v>323597</v>
      </c>
      <c r="Q125" s="10">
        <f>_xlfn.XLOOKUP(F125,BBDD!$S:$S,BBDD!$AR:$AR)</f>
        <v>3489228</v>
      </c>
      <c r="R125" s="24" t="str">
        <f t="shared" si="3"/>
        <v>LIQUIDAR</v>
      </c>
    </row>
    <row r="126" spans="1:18" ht="15" customHeight="1" x14ac:dyDescent="0.3">
      <c r="A126" s="21" t="s">
        <v>186</v>
      </c>
      <c r="B126" s="21" t="s">
        <v>187</v>
      </c>
      <c r="C126" s="21" t="s">
        <v>8140</v>
      </c>
      <c r="D126" s="20" t="s">
        <v>8086</v>
      </c>
      <c r="E126" s="20">
        <v>2016</v>
      </c>
      <c r="F126" s="20" t="s">
        <v>8232</v>
      </c>
      <c r="G126" s="20">
        <v>3911</v>
      </c>
      <c r="H126" s="20">
        <v>0</v>
      </c>
      <c r="I126" s="19" t="s">
        <v>8149</v>
      </c>
      <c r="J126" s="11" t="str">
        <f t="shared" si="4"/>
        <v>FRONTIERFRONTIER C/C 2.5 6MT2016</v>
      </c>
      <c r="K126" s="12"/>
      <c r="L126" s="10">
        <f>IFERROR(_xlfn.XLOOKUP(F126,'PRECIO TOMA HISTORICO '!$A:$A,'PRECIO TOMA HISTORICO '!$B:$B,_xlfn.XLOOKUP(F126,BBDD!$S:$S,BBDD!$AO:$AO,"",0,1),0,-1),"")</f>
        <v>13050001</v>
      </c>
      <c r="M126" s="9"/>
      <c r="N126" s="10">
        <f>_xlfn.XLOOKUP(F126,BBDD!$S:$S,BBDD!$AS:$AS)</f>
        <v>13100840</v>
      </c>
      <c r="O126" s="10" t="str">
        <f>IFERROR(VLOOKUP(F126,'PRECIO MERCADO'!D:E,2,0),"0")</f>
        <v>0</v>
      </c>
      <c r="P126" s="10">
        <f>_xlfn.XLOOKUP(F126,BBDD!$S:$S,BBDD!$AO:$AO)</f>
        <v>13050001</v>
      </c>
      <c r="Q126" s="10">
        <f>_xlfn.XLOOKUP(F126,BBDD!$S:$S,BBDD!$AR:$AR)</f>
        <v>15626088</v>
      </c>
      <c r="R126" s="24" t="str">
        <f t="shared" si="3"/>
        <v>LIQUIDAR</v>
      </c>
    </row>
    <row r="127" spans="1:18" ht="15" customHeight="1" x14ac:dyDescent="0.3">
      <c r="A127" s="21" t="s">
        <v>186</v>
      </c>
      <c r="B127" s="20" t="s">
        <v>2830</v>
      </c>
      <c r="C127" s="20" t="s">
        <v>8376</v>
      </c>
      <c r="D127" s="20" t="s">
        <v>8159</v>
      </c>
      <c r="E127" s="20">
        <v>2026</v>
      </c>
      <c r="F127" s="20" t="s">
        <v>3613</v>
      </c>
      <c r="G127" s="20">
        <v>180</v>
      </c>
      <c r="H127" s="20">
        <v>3756</v>
      </c>
      <c r="I127" s="19" t="s">
        <v>8149</v>
      </c>
      <c r="J127" s="11" t="str">
        <f t="shared" ref="J127" si="5">CONCATENATE(B127,C127,E127)</f>
        <v>K3 CROSSK3 CROSS EX 1.6L 6AT2026</v>
      </c>
      <c r="K127" s="12"/>
      <c r="L127" s="10">
        <f>IFERROR(_xlfn.XLOOKUP(F127,'PRECIO TOMA HISTORICO '!$A:$A,'PRECIO TOMA HISTORICO '!$B:$B,_xlfn.XLOOKUP(F127,BBDD!$S:$S,BBDD!$AO:$AO,"",0,1),0,-1),"")</f>
        <v>14110588</v>
      </c>
      <c r="M127" s="9"/>
      <c r="N127" s="10">
        <f>_xlfn.XLOOKUP(F127,BBDD!$S:$S,BBDD!$AS:$AS)</f>
        <v>16798319</v>
      </c>
      <c r="O127" s="10">
        <f>IFERROR(VLOOKUP(F127,'PRECIO MERCADO'!D:E,2,0),"0")</f>
        <v>19000000</v>
      </c>
      <c r="P127" s="10">
        <f>_xlfn.XLOOKUP(F127,BBDD!$S:$S,BBDD!$AO:$AO)</f>
        <v>14110588</v>
      </c>
      <c r="Q127" s="10">
        <f>_xlfn.XLOOKUP(F127,BBDD!$S:$S,BBDD!$AR:$AR)</f>
        <v>14842239</v>
      </c>
      <c r="R127" s="24" t="str">
        <f t="shared" si="3"/>
        <v>LIQUIDAR</v>
      </c>
    </row>
    <row r="128" spans="1:18" ht="15" customHeight="1" x14ac:dyDescent="0.3">
      <c r="A128" s="21" t="s">
        <v>186</v>
      </c>
      <c r="B128" s="20" t="s">
        <v>4481</v>
      </c>
      <c r="C128" s="20" t="s">
        <v>10014</v>
      </c>
      <c r="D128" s="20" t="s">
        <v>8505</v>
      </c>
      <c r="E128" s="20">
        <v>2025</v>
      </c>
      <c r="F128" s="20" t="s">
        <v>7500</v>
      </c>
      <c r="G128" s="20">
        <v>64</v>
      </c>
      <c r="H128" s="20">
        <v>0</v>
      </c>
      <c r="I128" s="19" t="s">
        <v>8149</v>
      </c>
      <c r="J128" s="11" t="str">
        <f t="shared" ref="J128:J191" si="6">CONCATENATE(B128,C128,E128)</f>
        <v>K3 SEDANK3 EX 1.6L 6AT FULL2025</v>
      </c>
      <c r="K128" s="12"/>
      <c r="L128" s="10">
        <f>IFERROR(_xlfn.XLOOKUP(F128,'PRECIO TOMA HISTORICO '!$A:$A,'PRECIO TOMA HISTORICO '!$B:$B,_xlfn.XLOOKUP(F128,BBDD!$S:$S,BBDD!$AO:$AO,"",0,1),0,-1),"")</f>
        <v>20610000</v>
      </c>
      <c r="M128" s="9"/>
      <c r="N128" s="10">
        <f>_xlfn.XLOOKUP(F128,BBDD!$S:$S,BBDD!$AS:$AS)</f>
        <v>18899160</v>
      </c>
      <c r="O128" s="10">
        <f>IFERROR(VLOOKUP(F128,'PRECIO MERCADO'!D:E,2,0),"0")</f>
        <v>17900000</v>
      </c>
      <c r="P128" s="10">
        <f>_xlfn.XLOOKUP(F128,BBDD!$S:$S,BBDD!$AO:$AO)</f>
        <v>20614000</v>
      </c>
      <c r="Q128" s="10">
        <f>_xlfn.XLOOKUP(F128,BBDD!$S:$S,BBDD!$AR:$AR)</f>
        <v>20614000</v>
      </c>
      <c r="R128" s="24" t="str">
        <f t="shared" si="3"/>
        <v>LIQUIDAR</v>
      </c>
    </row>
    <row r="129" spans="1:18" ht="15" customHeight="1" x14ac:dyDescent="0.3">
      <c r="A129" s="21" t="s">
        <v>186</v>
      </c>
      <c r="B129" s="20" t="s">
        <v>188</v>
      </c>
      <c r="C129" s="20" t="s">
        <v>189</v>
      </c>
      <c r="D129" s="20" t="s">
        <v>8134</v>
      </c>
      <c r="E129" s="20">
        <v>2014</v>
      </c>
      <c r="F129" s="20" t="s">
        <v>8132</v>
      </c>
      <c r="G129" s="20">
        <v>2954</v>
      </c>
      <c r="H129" s="20">
        <v>50000</v>
      </c>
      <c r="I129" s="19" t="s">
        <v>5142</v>
      </c>
      <c r="J129" s="11" t="str">
        <f t="shared" si="6"/>
        <v>MORNINGMORNING LX 1.02014</v>
      </c>
      <c r="K129" s="12"/>
      <c r="L129" s="10">
        <f>IFERROR(_xlfn.XLOOKUP(F129,'PRECIO TOMA HISTORICO '!$A:$A,'PRECIO TOMA HISTORICO '!$B:$B,_xlfn.XLOOKUP(F129,BBDD!$S:$S,BBDD!$AO:$AO,"",0,1),0,-1),"")</f>
        <v>0</v>
      </c>
      <c r="M129" s="9"/>
      <c r="N129" s="10">
        <f>_xlfn.XLOOKUP(F129,BBDD!$S:$S,BBDD!$AS:$AS)</f>
        <v>4390000</v>
      </c>
      <c r="O129" s="10" t="str">
        <f>IFERROR(VLOOKUP(F129,'PRECIO MERCADO'!D:E,2,0),"0")</f>
        <v>0</v>
      </c>
      <c r="P129" s="10">
        <f>_xlfn.XLOOKUP(F129,BBDD!$S:$S,BBDD!$AO:$AO)</f>
        <v>0</v>
      </c>
      <c r="Q129" s="10">
        <f>_xlfn.XLOOKUP(F129,BBDD!$S:$S,BBDD!$AR:$AR)</f>
        <v>1812732</v>
      </c>
      <c r="R129" s="24" t="str">
        <f t="shared" si="3"/>
        <v>LIQUIDAR</v>
      </c>
    </row>
    <row r="130" spans="1:18" ht="15" customHeight="1" x14ac:dyDescent="0.3">
      <c r="A130" s="21" t="s">
        <v>186</v>
      </c>
      <c r="B130" s="21" t="s">
        <v>188</v>
      </c>
      <c r="C130" s="20" t="s">
        <v>4488</v>
      </c>
      <c r="D130" s="20" t="s">
        <v>26</v>
      </c>
      <c r="E130" s="20">
        <v>2025</v>
      </c>
      <c r="F130" s="20" t="s">
        <v>9647</v>
      </c>
      <c r="G130" s="20">
        <v>74</v>
      </c>
      <c r="H130" s="20">
        <v>41752</v>
      </c>
      <c r="I130" s="19" t="s">
        <v>5142</v>
      </c>
      <c r="J130" s="11" t="str">
        <f t="shared" si="6"/>
        <v>MORNINGMORNING MPI 1.22025</v>
      </c>
      <c r="K130" s="12"/>
      <c r="L130" s="10">
        <f>IFERROR(_xlfn.XLOOKUP(F130,'PRECIO TOMA HISTORICO '!$A:$A,'PRECIO TOMA HISTORICO '!$B:$B,_xlfn.XLOOKUP(F130,BBDD!$S:$S,BBDD!$AO:$AO,"",0,1),0,-1),"")</f>
        <v>7900000</v>
      </c>
      <c r="M130" s="9"/>
      <c r="N130" s="10">
        <f>_xlfn.XLOOKUP(F130,BBDD!$S:$S,BBDD!$AS:$AS)</f>
        <v>9990000</v>
      </c>
      <c r="O130" s="10">
        <f>IFERROR(VLOOKUP(F130,'PRECIO MERCADO'!D:E,2,0),"0")</f>
        <v>9900000</v>
      </c>
      <c r="P130" s="10">
        <f>_xlfn.XLOOKUP(F130,BBDD!$S:$S,BBDD!$AO:$AO)</f>
        <v>7900000</v>
      </c>
      <c r="Q130" s="10">
        <f>_xlfn.XLOOKUP(F130,BBDD!$S:$S,BBDD!$AR:$AR)</f>
        <v>8147740</v>
      </c>
      <c r="R130" s="24" t="str">
        <f t="shared" si="3"/>
        <v>LIQUIDAR</v>
      </c>
    </row>
    <row r="131" spans="1:18" ht="15" customHeight="1" x14ac:dyDescent="0.3">
      <c r="A131" s="21" t="s">
        <v>186</v>
      </c>
      <c r="B131" s="21" t="s">
        <v>188</v>
      </c>
      <c r="C131" s="21" t="s">
        <v>4488</v>
      </c>
      <c r="D131" s="20" t="s">
        <v>40</v>
      </c>
      <c r="E131" s="20">
        <v>2025</v>
      </c>
      <c r="F131" s="20" t="s">
        <v>3906</v>
      </c>
      <c r="G131" s="20">
        <v>349</v>
      </c>
      <c r="H131" s="20">
        <v>0</v>
      </c>
      <c r="I131" s="19" t="s">
        <v>8149</v>
      </c>
      <c r="J131" s="11" t="str">
        <f t="shared" si="6"/>
        <v>MORNINGMORNING MPI 1.22025</v>
      </c>
      <c r="K131" s="12"/>
      <c r="L131" s="10">
        <f>IFERROR(_xlfn.XLOOKUP(F131,'PRECIO TOMA HISTORICO '!$A:$A,'PRECIO TOMA HISTORICO '!$B:$B,_xlfn.XLOOKUP(F131,BBDD!$S:$S,BBDD!$AO:$AO,"",0,1),0,-1),"")</f>
        <v>12473300</v>
      </c>
      <c r="M131" s="9"/>
      <c r="N131" s="10">
        <f>_xlfn.XLOOKUP(F131,BBDD!$S:$S,BBDD!$AS:$AS)</f>
        <v>11490000</v>
      </c>
      <c r="O131" s="10">
        <f>IFERROR(VLOOKUP(F131,'PRECIO MERCADO'!D:E,2,0),"0")</f>
        <v>11500000</v>
      </c>
      <c r="P131" s="10">
        <f>_xlfn.XLOOKUP(F131,BBDD!$S:$S,BBDD!$AO:$AO)</f>
        <v>12473300</v>
      </c>
      <c r="Q131" s="10">
        <f>_xlfn.XLOOKUP(F131,BBDD!$S:$S,BBDD!$AR:$AR)</f>
        <v>12473300</v>
      </c>
      <c r="R131" s="24" t="str">
        <f t="shared" ref="R131:R194" si="7">IF(G131&lt;=30,"ROTACION ALTA",IF(G131&lt;30,"ROTACION MEDIA",IF(G131&lt;60,"ROTACION BAJA",IF(G131&gt;60,"LIQUIDAR"))))</f>
        <v>LIQUIDAR</v>
      </c>
    </row>
    <row r="132" spans="1:18" ht="15" customHeight="1" x14ac:dyDescent="0.3">
      <c r="A132" s="21" t="s">
        <v>186</v>
      </c>
      <c r="B132" s="20" t="s">
        <v>4491</v>
      </c>
      <c r="C132" s="20" t="s">
        <v>4492</v>
      </c>
      <c r="D132" s="20" t="s">
        <v>16</v>
      </c>
      <c r="E132" s="20">
        <v>2021</v>
      </c>
      <c r="F132" s="20" t="s">
        <v>11576</v>
      </c>
      <c r="G132" s="20">
        <v>1</v>
      </c>
      <c r="H132" s="20">
        <v>18508</v>
      </c>
      <c r="I132" s="19" t="s">
        <v>5142</v>
      </c>
      <c r="J132" s="11" t="str">
        <f t="shared" si="6"/>
        <v>RIORIO 4 6MT 1.42021</v>
      </c>
      <c r="K132" s="12"/>
      <c r="L132" s="10">
        <f>IFERROR(_xlfn.XLOOKUP(F132,'PRECIO TOMA HISTORICO '!$A:$A,'PRECIO TOMA HISTORICO '!$B:$B,_xlfn.XLOOKUP(F132,BBDD!$S:$S,BBDD!$AO:$AO,"",0,1),0,-1),"")</f>
        <v>7400000</v>
      </c>
      <c r="M132" s="9"/>
      <c r="N132" s="10">
        <f>_xlfn.XLOOKUP(F132,BBDD!$S:$S,BBDD!$AS:$AS)</f>
        <v>9590000</v>
      </c>
      <c r="O132" s="10">
        <f>IFERROR(VLOOKUP(F132,'PRECIO MERCADO'!D:E,2,0),"0")</f>
        <v>9100000</v>
      </c>
      <c r="P132" s="10">
        <f>_xlfn.XLOOKUP(F132,BBDD!$S:$S,BBDD!$AO:$AO)</f>
        <v>7400000</v>
      </c>
      <c r="Q132" s="10">
        <f>_xlfn.XLOOKUP(F132,BBDD!$S:$S,BBDD!$AR:$AR)</f>
        <v>7640240</v>
      </c>
      <c r="R132" s="24" t="str">
        <f t="shared" si="7"/>
        <v>ROTACION ALTA</v>
      </c>
    </row>
    <row r="133" spans="1:18" ht="15" customHeight="1" x14ac:dyDescent="0.3">
      <c r="A133" s="21" t="s">
        <v>186</v>
      </c>
      <c r="B133" s="20" t="s">
        <v>2664</v>
      </c>
      <c r="C133" s="20" t="s">
        <v>4514</v>
      </c>
      <c r="D133" s="20" t="s">
        <v>26</v>
      </c>
      <c r="E133" s="20">
        <v>2024</v>
      </c>
      <c r="F133" s="20" t="s">
        <v>10795</v>
      </c>
      <c r="G133" s="20">
        <v>14</v>
      </c>
      <c r="H133" s="20">
        <v>55000</v>
      </c>
      <c r="I133" s="19" t="s">
        <v>5142</v>
      </c>
      <c r="J133" s="11" t="str">
        <f t="shared" si="6"/>
        <v>SONETSONET EX 1.52024</v>
      </c>
      <c r="K133" s="12"/>
      <c r="L133" s="10">
        <f>IFERROR(_xlfn.XLOOKUP(F133,'PRECIO TOMA HISTORICO '!$A:$A,'PRECIO TOMA HISTORICO '!$B:$B,_xlfn.XLOOKUP(F133,BBDD!$S:$S,BBDD!$AO:$AO,"",0,1),0,-1),"")</f>
        <v>10500000</v>
      </c>
      <c r="M133" s="9"/>
      <c r="N133" s="10">
        <f>_xlfn.XLOOKUP(F133,BBDD!$S:$S,BBDD!$AS:$AS)</f>
        <v>12990000</v>
      </c>
      <c r="O133" s="10">
        <f>IFERROR(VLOOKUP(F133,'PRECIO MERCADO'!D:E,2,0),"0")</f>
        <v>13200000</v>
      </c>
      <c r="P133" s="10">
        <f>_xlfn.XLOOKUP(F133,BBDD!$S:$S,BBDD!$AO:$AO)</f>
        <v>10500000</v>
      </c>
      <c r="Q133" s="10">
        <f>_xlfn.XLOOKUP(F133,BBDD!$S:$S,BBDD!$AR:$AR)</f>
        <v>10786740</v>
      </c>
      <c r="R133" s="24" t="str">
        <f t="shared" si="7"/>
        <v>ROTACION ALTA</v>
      </c>
    </row>
    <row r="134" spans="1:18" ht="15" customHeight="1" x14ac:dyDescent="0.3">
      <c r="A134" s="21" t="s">
        <v>186</v>
      </c>
      <c r="B134" s="21" t="s">
        <v>2664</v>
      </c>
      <c r="C134" s="21" t="s">
        <v>4514</v>
      </c>
      <c r="D134" s="20" t="s">
        <v>16</v>
      </c>
      <c r="E134" s="20">
        <v>2023</v>
      </c>
      <c r="F134" s="20" t="s">
        <v>9862</v>
      </c>
      <c r="G134" s="20">
        <v>14</v>
      </c>
      <c r="H134" s="20">
        <v>44258</v>
      </c>
      <c r="I134" s="19" t="s">
        <v>5142</v>
      </c>
      <c r="J134" s="11" t="str">
        <f t="shared" si="6"/>
        <v>SONETSONET EX 1.52023</v>
      </c>
      <c r="K134" s="12"/>
      <c r="L134" s="10">
        <f>IFERROR(_xlfn.XLOOKUP(F134,'PRECIO TOMA HISTORICO '!$A:$A,'PRECIO TOMA HISTORICO '!$B:$B,_xlfn.XLOOKUP(F134,BBDD!$S:$S,BBDD!$AO:$AO,"",0,1),0,-1),"")</f>
        <v>10500000</v>
      </c>
      <c r="M134" s="9"/>
      <c r="N134" s="10">
        <f>_xlfn.XLOOKUP(F134,BBDD!$S:$S,BBDD!$AS:$AS)</f>
        <v>12890000</v>
      </c>
      <c r="O134" s="10">
        <f>IFERROR(VLOOKUP(F134,'PRECIO MERCADO'!D:E,2,0),"0")</f>
        <v>12900000</v>
      </c>
      <c r="P134" s="10">
        <f>_xlfn.XLOOKUP(F134,BBDD!$S:$S,BBDD!$AO:$AO)</f>
        <v>10500000</v>
      </c>
      <c r="Q134" s="10">
        <f>_xlfn.XLOOKUP(F134,BBDD!$S:$S,BBDD!$AR:$AR)</f>
        <v>10786740</v>
      </c>
      <c r="R134" s="24" t="str">
        <f t="shared" si="7"/>
        <v>ROTACION ALTA</v>
      </c>
    </row>
    <row r="135" spans="1:18" ht="15" customHeight="1" x14ac:dyDescent="0.3">
      <c r="A135" s="21" t="s">
        <v>186</v>
      </c>
      <c r="B135" s="21" t="s">
        <v>2664</v>
      </c>
      <c r="C135" s="20" t="s">
        <v>4515</v>
      </c>
      <c r="D135" s="20" t="s">
        <v>26</v>
      </c>
      <c r="E135" s="20">
        <v>2024</v>
      </c>
      <c r="F135" s="20" t="s">
        <v>8831</v>
      </c>
      <c r="G135" s="20">
        <v>25</v>
      </c>
      <c r="H135" s="20">
        <v>21886</v>
      </c>
      <c r="I135" s="19" t="s">
        <v>5142</v>
      </c>
      <c r="J135" s="11" t="str">
        <f t="shared" si="6"/>
        <v>SONETSONET EX 4X2 MT 1.52024</v>
      </c>
      <c r="K135" s="12"/>
      <c r="L135" s="10">
        <f>IFERROR(_xlfn.XLOOKUP(F135,'PRECIO TOMA HISTORICO '!$A:$A,'PRECIO TOMA HISTORICO '!$B:$B,_xlfn.XLOOKUP(F135,BBDD!$S:$S,BBDD!$AO:$AO,"",0,1),0,-1),"")</f>
        <v>10800000</v>
      </c>
      <c r="M135" s="9"/>
      <c r="N135" s="10">
        <f>_xlfn.XLOOKUP(F135,BBDD!$S:$S,BBDD!$AS:$AS)</f>
        <v>12990000</v>
      </c>
      <c r="O135" s="10">
        <f>IFERROR(VLOOKUP(F135,'PRECIO MERCADO'!D:E,2,0),"0")</f>
        <v>13400000</v>
      </c>
      <c r="P135" s="10">
        <f>_xlfn.XLOOKUP(F135,BBDD!$S:$S,BBDD!$AO:$AO)</f>
        <v>10800000</v>
      </c>
      <c r="Q135" s="10">
        <f>_xlfn.XLOOKUP(F135,BBDD!$S:$S,BBDD!$AR:$AR)</f>
        <v>11091240</v>
      </c>
      <c r="R135" s="24" t="str">
        <f t="shared" si="7"/>
        <v>ROTACION ALTA</v>
      </c>
    </row>
    <row r="136" spans="1:18" ht="15" customHeight="1" x14ac:dyDescent="0.3">
      <c r="A136" s="21" t="s">
        <v>186</v>
      </c>
      <c r="B136" s="21" t="s">
        <v>2664</v>
      </c>
      <c r="C136" s="21" t="s">
        <v>4515</v>
      </c>
      <c r="D136" s="21" t="s">
        <v>26</v>
      </c>
      <c r="E136" s="20">
        <v>2025</v>
      </c>
      <c r="F136" s="20" t="s">
        <v>11456</v>
      </c>
      <c r="G136" s="20">
        <v>14</v>
      </c>
      <c r="H136" s="20">
        <v>45341</v>
      </c>
      <c r="I136" s="19" t="s">
        <v>5142</v>
      </c>
      <c r="J136" s="11" t="str">
        <f t="shared" si="6"/>
        <v>SONETSONET EX 4X2 MT 1.52025</v>
      </c>
      <c r="K136" s="12"/>
      <c r="L136" s="10">
        <f>IFERROR(_xlfn.XLOOKUP(F136,'PRECIO TOMA HISTORICO '!$A:$A,'PRECIO TOMA HISTORICO '!$B:$B,_xlfn.XLOOKUP(F136,BBDD!$S:$S,BBDD!$AO:$AO,"",0,1),0,-1),"")</f>
        <v>10500000</v>
      </c>
      <c r="M136" s="9"/>
      <c r="N136" s="10">
        <f>_xlfn.XLOOKUP(F136,BBDD!$S:$S,BBDD!$AS:$AS)</f>
        <v>13490000</v>
      </c>
      <c r="O136" s="10">
        <f>IFERROR(VLOOKUP(F136,'PRECIO MERCADO'!D:E,2,0),"0")</f>
        <v>13200000</v>
      </c>
      <c r="P136" s="10">
        <f>_xlfn.XLOOKUP(F136,BBDD!$S:$S,BBDD!$AO:$AO)</f>
        <v>10500000</v>
      </c>
      <c r="Q136" s="10">
        <f>_xlfn.XLOOKUP(F136,BBDD!$S:$S,BBDD!$AR:$AR)</f>
        <v>10786740</v>
      </c>
      <c r="R136" s="24" t="str">
        <f t="shared" si="7"/>
        <v>ROTACION ALTA</v>
      </c>
    </row>
    <row r="137" spans="1:18" ht="15" customHeight="1" x14ac:dyDescent="0.3">
      <c r="A137" s="21" t="s">
        <v>186</v>
      </c>
      <c r="B137" s="20" t="s">
        <v>196</v>
      </c>
      <c r="C137" s="20" t="s">
        <v>197</v>
      </c>
      <c r="D137" s="20" t="s">
        <v>26</v>
      </c>
      <c r="E137" s="20">
        <v>2024</v>
      </c>
      <c r="F137" s="20" t="s">
        <v>198</v>
      </c>
      <c r="G137" s="20">
        <v>236</v>
      </c>
      <c r="H137" s="20">
        <v>37000</v>
      </c>
      <c r="I137" s="19" t="s">
        <v>5142</v>
      </c>
      <c r="J137" s="11" t="str">
        <f t="shared" si="6"/>
        <v>SORENTOSORENTO 8DCT 4WD 2.2 AUT2024</v>
      </c>
      <c r="K137" s="12"/>
      <c r="L137" s="10">
        <f>IFERROR(_xlfn.XLOOKUP(F137,'PRECIO TOMA HISTORICO '!$A:$A,'PRECIO TOMA HISTORICO '!$B:$B,_xlfn.XLOOKUP(F137,BBDD!$S:$S,BBDD!$AO:$AO,"",0,1),0,-1),"")</f>
        <v>28000000</v>
      </c>
      <c r="M137" s="9"/>
      <c r="N137" s="10">
        <f>_xlfn.XLOOKUP(F137,BBDD!$S:$S,BBDD!$AS:$AS)</f>
        <v>31490000</v>
      </c>
      <c r="O137" s="10">
        <f>IFERROR(VLOOKUP(F137,'PRECIO MERCADO'!D:E,2,0),"0")</f>
        <v>34600000</v>
      </c>
      <c r="P137" s="10">
        <f>_xlfn.XLOOKUP(F137,BBDD!$S:$S,BBDD!$AO:$AO)</f>
        <v>28000000</v>
      </c>
      <c r="Q137" s="10">
        <f>_xlfn.XLOOKUP(F137,BBDD!$S:$S,BBDD!$AR:$AR)</f>
        <v>29142194</v>
      </c>
      <c r="R137" s="24" t="str">
        <f t="shared" si="7"/>
        <v>LIQUIDAR</v>
      </c>
    </row>
    <row r="138" spans="1:18" ht="15" customHeight="1" x14ac:dyDescent="0.3">
      <c r="A138" s="21" t="s">
        <v>186</v>
      </c>
      <c r="B138" s="21" t="s">
        <v>196</v>
      </c>
      <c r="C138" s="20" t="s">
        <v>8350</v>
      </c>
      <c r="D138" s="20" t="s">
        <v>8159</v>
      </c>
      <c r="E138" s="20">
        <v>2026</v>
      </c>
      <c r="F138" s="20" t="s">
        <v>3624</v>
      </c>
      <c r="G138" s="20">
        <v>180</v>
      </c>
      <c r="H138" s="20">
        <v>3478</v>
      </c>
      <c r="I138" s="19" t="s">
        <v>8149</v>
      </c>
      <c r="J138" s="11" t="str">
        <f t="shared" si="6"/>
        <v>SORENTOSORENTO EX 3.5L GSL 8AT AWD FULL2026</v>
      </c>
      <c r="K138" s="12"/>
      <c r="L138" s="10">
        <f>IFERROR(_xlfn.XLOOKUP(F138,'PRECIO TOMA HISTORICO '!$A:$A,'PRECIO TOMA HISTORICO '!$B:$B,_xlfn.XLOOKUP(F138,BBDD!$S:$S,BBDD!$AO:$AO,"",0,1),0,-1),"")</f>
        <v>33169412</v>
      </c>
      <c r="M138" s="9"/>
      <c r="N138" s="10">
        <f>_xlfn.XLOOKUP(F138,BBDD!$S:$S,BBDD!$AS:$AS)</f>
        <v>39487395</v>
      </c>
      <c r="O138" s="10">
        <f>IFERROR(VLOOKUP(F138,'PRECIO MERCADO'!D:E,2,0),"0")</f>
        <v>37700000</v>
      </c>
      <c r="P138" s="10">
        <f>_xlfn.XLOOKUP(F138,BBDD!$S:$S,BBDD!$AO:$AO)</f>
        <v>33169412</v>
      </c>
      <c r="Q138" s="10">
        <f>_xlfn.XLOOKUP(F138,BBDD!$S:$S,BBDD!$AR:$AR)</f>
        <v>35249681</v>
      </c>
      <c r="R138" s="24" t="str">
        <f t="shared" si="7"/>
        <v>LIQUIDAR</v>
      </c>
    </row>
    <row r="139" spans="1:18" ht="15" customHeight="1" x14ac:dyDescent="0.3">
      <c r="A139" s="21" t="s">
        <v>186</v>
      </c>
      <c r="B139" s="20" t="s">
        <v>4528</v>
      </c>
      <c r="C139" s="20" t="s">
        <v>8368</v>
      </c>
      <c r="D139" s="20" t="s">
        <v>63</v>
      </c>
      <c r="E139" s="20">
        <v>2009</v>
      </c>
      <c r="F139" s="20" t="s">
        <v>8371</v>
      </c>
      <c r="G139" s="20">
        <v>3490</v>
      </c>
      <c r="H139" s="20">
        <v>0</v>
      </c>
      <c r="I139" s="19" t="s">
        <v>8149</v>
      </c>
      <c r="J139" s="11" t="str">
        <f t="shared" si="6"/>
        <v>SOULSOUL LX 1.6 MEC A/C DAB ABS 4X22009</v>
      </c>
      <c r="K139" s="12"/>
      <c r="L139" s="10">
        <f>IFERROR(_xlfn.XLOOKUP(F139,'PRECIO TOMA HISTORICO '!$A:$A,'PRECIO TOMA HISTORICO '!$B:$B,_xlfn.XLOOKUP(F139,BBDD!$S:$S,BBDD!$AO:$AO,"",0,1),0,-1),"")</f>
        <v>7295200</v>
      </c>
      <c r="M139" s="9"/>
      <c r="N139" s="10">
        <f>_xlfn.XLOOKUP(F139,BBDD!$S:$S,BBDD!$AS:$AS)</f>
        <v>8990000</v>
      </c>
      <c r="O139" s="10" t="str">
        <f>IFERROR(VLOOKUP(F139,'PRECIO MERCADO'!D:E,2,0),"0")</f>
        <v>0</v>
      </c>
      <c r="P139" s="10">
        <f>_xlfn.XLOOKUP(F139,BBDD!$S:$S,BBDD!$AO:$AO)</f>
        <v>7295200</v>
      </c>
      <c r="Q139" s="10">
        <f>_xlfn.XLOOKUP(F139,BBDD!$S:$S,BBDD!$AR:$AR)</f>
        <v>7295200</v>
      </c>
      <c r="R139" s="24" t="str">
        <f t="shared" si="7"/>
        <v>LIQUIDAR</v>
      </c>
    </row>
    <row r="140" spans="1:18" ht="15" customHeight="1" x14ac:dyDescent="0.3">
      <c r="A140" s="21" t="s">
        <v>186</v>
      </c>
      <c r="B140" s="20" t="s">
        <v>199</v>
      </c>
      <c r="C140" s="20" t="s">
        <v>8093</v>
      </c>
      <c r="D140" s="20" t="s">
        <v>8098</v>
      </c>
      <c r="E140" s="20">
        <v>2014</v>
      </c>
      <c r="F140" s="20" t="s">
        <v>8096</v>
      </c>
      <c r="G140" s="20">
        <v>2370</v>
      </c>
      <c r="H140" s="20">
        <v>83000</v>
      </c>
      <c r="I140" s="19" t="s">
        <v>5142</v>
      </c>
      <c r="J140" s="11" t="str">
        <f t="shared" si="6"/>
        <v>SPORTAGESPORTAGE LX 4X4 2.0 AUT2014</v>
      </c>
      <c r="K140" s="12"/>
      <c r="L140" s="10">
        <f>IFERROR(_xlfn.XLOOKUP(F140,'PRECIO TOMA HISTORICO '!$A:$A,'PRECIO TOMA HISTORICO '!$B:$B,_xlfn.XLOOKUP(F140,BBDD!$S:$S,BBDD!$AO:$AO,"",0,1),0,-1),"")</f>
        <v>0</v>
      </c>
      <c r="M140" s="9"/>
      <c r="N140" s="10">
        <f>_xlfn.XLOOKUP(F140,BBDD!$S:$S,BBDD!$AS:$AS)</f>
        <v>8490000</v>
      </c>
      <c r="O140" s="10">
        <f>IFERROR(VLOOKUP(F140,'PRECIO MERCADO'!D:E,2,0),"0")</f>
        <v>8700000</v>
      </c>
      <c r="P140" s="10">
        <f>_xlfn.XLOOKUP(F140,BBDD!$S:$S,BBDD!$AO:$AO)</f>
        <v>0</v>
      </c>
      <c r="Q140" s="10">
        <f>_xlfn.XLOOKUP(F140,BBDD!$S:$S,BBDD!$AR:$AR)</f>
        <v>2523835</v>
      </c>
      <c r="R140" s="24" t="str">
        <f t="shared" si="7"/>
        <v>LIQUIDAR</v>
      </c>
    </row>
    <row r="141" spans="1:18" ht="15" customHeight="1" x14ac:dyDescent="0.3">
      <c r="A141" s="20" t="s">
        <v>8358</v>
      </c>
      <c r="B141" s="20" t="s">
        <v>8359</v>
      </c>
      <c r="C141" s="20" t="s">
        <v>8360</v>
      </c>
      <c r="D141" s="20" t="s">
        <v>40</v>
      </c>
      <c r="E141" s="20">
        <v>2025</v>
      </c>
      <c r="F141" s="20" t="s">
        <v>739</v>
      </c>
      <c r="G141" s="20">
        <v>393</v>
      </c>
      <c r="H141" s="20">
        <v>0</v>
      </c>
      <c r="I141" s="19" t="s">
        <v>8149</v>
      </c>
      <c r="J141" s="11" t="str">
        <f t="shared" si="6"/>
        <v>LK614LK 6142025</v>
      </c>
      <c r="K141" s="12"/>
      <c r="L141" s="10">
        <f>IFERROR(_xlfn.XLOOKUP(F141,'PRECIO TOMA HISTORICO '!$A:$A,'PRECIO TOMA HISTORICO '!$B:$B,_xlfn.XLOOKUP(F141,BBDD!$S:$S,BBDD!$AO:$AO,"",0,1),0,-1),"")</f>
        <v>26953052</v>
      </c>
      <c r="M141" s="9"/>
      <c r="N141" s="10">
        <f>_xlfn.XLOOKUP(F141,BBDD!$S:$S,BBDD!$AS:$AS)</f>
        <v>26953052</v>
      </c>
      <c r="O141" s="10" t="str">
        <f>IFERROR(VLOOKUP(F141,'PRECIO MERCADO'!D:E,2,0),"0")</f>
        <v>0</v>
      </c>
      <c r="P141" s="10">
        <f>_xlfn.XLOOKUP(F141,BBDD!$S:$S,BBDD!$AO:$AO)</f>
        <v>26953052</v>
      </c>
      <c r="Q141" s="10">
        <f>_xlfn.XLOOKUP(F141,BBDD!$S:$S,BBDD!$AR:$AR)</f>
        <v>26953052</v>
      </c>
      <c r="R141" s="24" t="str">
        <f t="shared" si="7"/>
        <v>LIQUIDAR</v>
      </c>
    </row>
    <row r="142" spans="1:18" ht="15" customHeight="1" x14ac:dyDescent="0.3">
      <c r="A142" s="20" t="s">
        <v>204</v>
      </c>
      <c r="B142" s="20" t="s">
        <v>204</v>
      </c>
      <c r="C142" s="20" t="s">
        <v>205</v>
      </c>
      <c r="D142" s="20" t="s">
        <v>40</v>
      </c>
      <c r="E142" s="20">
        <v>2022</v>
      </c>
      <c r="F142" s="20" t="s">
        <v>206</v>
      </c>
      <c r="G142" s="20">
        <v>259</v>
      </c>
      <c r="H142" s="20">
        <v>0</v>
      </c>
      <c r="I142" s="19" t="s">
        <v>5142</v>
      </c>
      <c r="J142" s="11" t="str">
        <f t="shared" si="6"/>
        <v>MAHINDRAKUV 100 HATCH BACK 1.22022</v>
      </c>
      <c r="K142" s="12"/>
      <c r="L142" s="10">
        <f>IFERROR(_xlfn.XLOOKUP(F142,'PRECIO TOMA HISTORICO '!$A:$A,'PRECIO TOMA HISTORICO '!$B:$B,_xlfn.XLOOKUP(F142,BBDD!$S:$S,BBDD!$AO:$AO,"",0,1),0,-1),"")</f>
        <v>4850000</v>
      </c>
      <c r="M142" s="9"/>
      <c r="N142" s="10">
        <f>_xlfn.XLOOKUP(F142,BBDD!$S:$S,BBDD!$AS:$AS)</f>
        <v>6390000</v>
      </c>
      <c r="O142" s="10">
        <f>IFERROR(VLOOKUP(F142,'PRECIO MERCADO'!D:E,2,0),"0")</f>
        <v>6480000</v>
      </c>
      <c r="P142" s="10">
        <f>_xlfn.XLOOKUP(F142,BBDD!$S:$S,BBDD!$AO:$AO)</f>
        <v>8137896</v>
      </c>
      <c r="Q142" s="10">
        <f>_xlfn.XLOOKUP(F142,BBDD!$S:$S,BBDD!$AR:$AR)</f>
        <v>8385994</v>
      </c>
      <c r="R142" s="24" t="str">
        <f t="shared" si="7"/>
        <v>LIQUIDAR</v>
      </c>
    </row>
    <row r="143" spans="1:18" ht="15" customHeight="1" x14ac:dyDescent="0.3">
      <c r="A143" s="21" t="s">
        <v>204</v>
      </c>
      <c r="B143" s="20" t="s">
        <v>11609</v>
      </c>
      <c r="C143" s="20" t="s">
        <v>11610</v>
      </c>
      <c r="D143" s="20" t="s">
        <v>20</v>
      </c>
      <c r="E143" s="20">
        <v>2025</v>
      </c>
      <c r="F143" s="20" t="s">
        <v>11613</v>
      </c>
      <c r="G143" s="20">
        <v>14</v>
      </c>
      <c r="H143" s="20">
        <v>36000</v>
      </c>
      <c r="I143" s="19" t="s">
        <v>5142</v>
      </c>
      <c r="J143" s="11" t="str">
        <f t="shared" si="6"/>
        <v>XUV300XUV300 1.22025</v>
      </c>
      <c r="K143" s="12"/>
      <c r="L143" s="10">
        <f>IFERROR(_xlfn.XLOOKUP(F143,'PRECIO TOMA HISTORICO '!$A:$A,'PRECIO TOMA HISTORICO '!$B:$B,_xlfn.XLOOKUP(F143,BBDD!$S:$S,BBDD!$AO:$AO,"",0,1),0,-1),"")</f>
        <v>7500000</v>
      </c>
      <c r="M143" s="9"/>
      <c r="N143" s="10">
        <f>_xlfn.XLOOKUP(F143,BBDD!$S:$S,BBDD!$AS:$AS)</f>
        <v>8990000</v>
      </c>
      <c r="O143" s="10">
        <f>IFERROR(VLOOKUP(F143,'PRECIO MERCADO'!D:E,2,0),"0")</f>
        <v>9100000</v>
      </c>
      <c r="P143" s="10">
        <f>_xlfn.XLOOKUP(F143,BBDD!$S:$S,BBDD!$AO:$AO)</f>
        <v>7500000</v>
      </c>
      <c r="Q143" s="10">
        <f>_xlfn.XLOOKUP(F143,BBDD!$S:$S,BBDD!$AR:$AR)</f>
        <v>7741740</v>
      </c>
      <c r="R143" s="24" t="str">
        <f t="shared" si="7"/>
        <v>ROTACION ALTA</v>
      </c>
    </row>
    <row r="144" spans="1:18" ht="15" customHeight="1" x14ac:dyDescent="0.3">
      <c r="A144" s="20" t="s">
        <v>207</v>
      </c>
      <c r="B144" s="20" t="s">
        <v>208</v>
      </c>
      <c r="C144" s="20" t="s">
        <v>209</v>
      </c>
      <c r="D144" s="20" t="s">
        <v>26</v>
      </c>
      <c r="E144" s="20">
        <v>2025</v>
      </c>
      <c r="F144" s="20" t="s">
        <v>210</v>
      </c>
      <c r="G144" s="20">
        <v>139</v>
      </c>
      <c r="H144" s="20">
        <v>39700</v>
      </c>
      <c r="I144" s="19" t="s">
        <v>5142</v>
      </c>
      <c r="J144" s="11" t="str">
        <f t="shared" si="6"/>
        <v>CX-30CX30 4X2 2.0 AUT2025</v>
      </c>
      <c r="K144" s="12"/>
      <c r="L144" s="10">
        <f>IFERROR(_xlfn.XLOOKUP(F144,'PRECIO TOMA HISTORICO '!$A:$A,'PRECIO TOMA HISTORICO '!$B:$B,_xlfn.XLOOKUP(F144,BBDD!$S:$S,BBDD!$AO:$AO,"",0,1),0,-1),"")</f>
        <v>18300000</v>
      </c>
      <c r="M144" s="9"/>
      <c r="N144" s="10">
        <f>_xlfn.XLOOKUP(F144,BBDD!$S:$S,BBDD!$AS:$AS)</f>
        <v>19990000</v>
      </c>
      <c r="O144" s="10">
        <f>IFERROR(VLOOKUP(F144,'PRECIO MERCADO'!D:E,2,0),"0")</f>
        <v>21600000</v>
      </c>
      <c r="P144" s="10">
        <f>_xlfn.XLOOKUP(F144,BBDD!$S:$S,BBDD!$AO:$AO)</f>
        <v>18300000</v>
      </c>
      <c r="Q144" s="10">
        <f>_xlfn.XLOOKUP(F144,BBDD!$S:$S,BBDD!$AR:$AR)</f>
        <v>18703740</v>
      </c>
      <c r="R144" s="24" t="str">
        <f t="shared" si="7"/>
        <v>LIQUIDAR</v>
      </c>
    </row>
    <row r="145" spans="1:18" ht="15" customHeight="1" x14ac:dyDescent="0.3">
      <c r="A145" s="21" t="s">
        <v>207</v>
      </c>
      <c r="B145" s="20" t="s">
        <v>211</v>
      </c>
      <c r="C145" s="20" t="s">
        <v>212</v>
      </c>
      <c r="D145" s="20" t="s">
        <v>26</v>
      </c>
      <c r="E145" s="20">
        <v>2025</v>
      </c>
      <c r="F145" s="20" t="s">
        <v>213</v>
      </c>
      <c r="G145" s="20">
        <v>347</v>
      </c>
      <c r="H145" s="20">
        <v>19678</v>
      </c>
      <c r="I145" s="19" t="s">
        <v>5142</v>
      </c>
      <c r="J145" s="11" t="str">
        <f t="shared" si="6"/>
        <v>CX-60CX60 PREMIUM SPORT 4X4 3.3 AUT2025</v>
      </c>
      <c r="K145" s="12"/>
      <c r="L145" s="10">
        <f>IFERROR(_xlfn.XLOOKUP(F145,'PRECIO TOMA HISTORICO '!$A:$A,'PRECIO TOMA HISTORICO '!$B:$B,_xlfn.XLOOKUP(F145,BBDD!$S:$S,BBDD!$AO:$AO,"",0,1),0,-1),"")</f>
        <v>38000000</v>
      </c>
      <c r="M145" s="9"/>
      <c r="N145" s="10">
        <f>_xlfn.XLOOKUP(F145,BBDD!$S:$S,BBDD!$AS:$AS)</f>
        <v>36990000</v>
      </c>
      <c r="O145" s="10">
        <f>IFERROR(VLOOKUP(F145,'PRECIO MERCADO'!D:E,2,0),"0")</f>
        <v>40700000</v>
      </c>
      <c r="P145" s="10">
        <f>_xlfn.XLOOKUP(F145,BBDD!$S:$S,BBDD!$AO:$AO)</f>
        <v>38000000</v>
      </c>
      <c r="Q145" s="10">
        <f>_xlfn.XLOOKUP(F145,BBDD!$S:$S,BBDD!$AR:$AR)</f>
        <v>39283058</v>
      </c>
      <c r="R145" s="24" t="str">
        <f t="shared" si="7"/>
        <v>LIQUIDAR</v>
      </c>
    </row>
    <row r="146" spans="1:18" ht="15" customHeight="1" x14ac:dyDescent="0.3">
      <c r="A146" s="21" t="s">
        <v>207</v>
      </c>
      <c r="B146" s="20" t="s">
        <v>4587</v>
      </c>
      <c r="C146" s="20" t="s">
        <v>4589</v>
      </c>
      <c r="D146" s="20" t="s">
        <v>26</v>
      </c>
      <c r="E146" s="20">
        <v>2022</v>
      </c>
      <c r="F146" s="20" t="s">
        <v>8837</v>
      </c>
      <c r="G146" s="20">
        <v>74</v>
      </c>
      <c r="H146" s="20">
        <v>80925</v>
      </c>
      <c r="I146" s="19" t="s">
        <v>5142</v>
      </c>
      <c r="J146" s="11" t="str">
        <f t="shared" si="6"/>
        <v>NEW CX 5NEW CX 5 R 2.0 AT2022</v>
      </c>
      <c r="K146" s="12"/>
      <c r="L146" s="10">
        <f>IFERROR(_xlfn.XLOOKUP(F146,'PRECIO TOMA HISTORICO '!$A:$A,'PRECIO TOMA HISTORICO '!$B:$B,_xlfn.XLOOKUP(F146,BBDD!$S:$S,BBDD!$AO:$AO,"",0,1),0,-1),"")</f>
        <v>14000000</v>
      </c>
      <c r="M146" s="9"/>
      <c r="N146" s="10">
        <f>_xlfn.XLOOKUP(F146,BBDD!$S:$S,BBDD!$AS:$AS)</f>
        <v>16990000</v>
      </c>
      <c r="O146" s="10">
        <f>IFERROR(VLOOKUP(F146,'PRECIO MERCADO'!D:E,2,0),"0")</f>
        <v>17300000</v>
      </c>
      <c r="P146" s="10">
        <f>_xlfn.XLOOKUP(F146,BBDD!$S:$S,BBDD!$AO:$AO)</f>
        <v>14000000</v>
      </c>
      <c r="Q146" s="10">
        <f>_xlfn.XLOOKUP(F146,BBDD!$S:$S,BBDD!$AR:$AR)</f>
        <v>14339240</v>
      </c>
      <c r="R146" s="24" t="str">
        <f t="shared" si="7"/>
        <v>LIQUIDAR</v>
      </c>
    </row>
    <row r="147" spans="1:18" ht="15" customHeight="1" x14ac:dyDescent="0.3">
      <c r="A147" s="20" t="s">
        <v>2533</v>
      </c>
      <c r="B147" s="20" t="s">
        <v>2533</v>
      </c>
      <c r="C147" s="20" t="s">
        <v>8551</v>
      </c>
      <c r="D147" s="20" t="s">
        <v>63</v>
      </c>
      <c r="E147" s="20">
        <v>2020</v>
      </c>
      <c r="F147" s="20" t="s">
        <v>8554</v>
      </c>
      <c r="G147" s="20">
        <v>1240</v>
      </c>
      <c r="H147" s="20">
        <v>10500</v>
      </c>
      <c r="I147" s="19" t="s">
        <v>8491</v>
      </c>
      <c r="J147" s="11" t="str">
        <f t="shared" si="6"/>
        <v>MGNEW 3  1.52020</v>
      </c>
      <c r="K147" s="12"/>
      <c r="L147" s="10">
        <f>IFERROR(_xlfn.XLOOKUP(F147,'PRECIO TOMA HISTORICO '!$A:$A,'PRECIO TOMA HISTORICO '!$B:$B,_xlfn.XLOOKUP(F147,BBDD!$S:$S,BBDD!$AO:$AO,"",0,1),0,-1),"")</f>
        <v>10356480</v>
      </c>
      <c r="M147" s="9"/>
      <c r="N147" s="10">
        <f>_xlfn.XLOOKUP(F147,BBDD!$S:$S,BBDD!$AS:$AS)</f>
        <v>8990000</v>
      </c>
      <c r="O147" s="10">
        <f>IFERROR(VLOOKUP(F147,'PRECIO MERCADO'!D:E,2,0),"0")</f>
        <v>7460000</v>
      </c>
      <c r="P147" s="10">
        <f>_xlfn.XLOOKUP(F147,BBDD!$S:$S,BBDD!$AO:$AO)</f>
        <v>10356480</v>
      </c>
      <c r="Q147" s="10">
        <f>_xlfn.XLOOKUP(F147,BBDD!$S:$S,BBDD!$AR:$AR)</f>
        <v>10429146</v>
      </c>
      <c r="R147" s="24" t="str">
        <f t="shared" si="7"/>
        <v>LIQUIDAR</v>
      </c>
    </row>
    <row r="148" spans="1:18" ht="15" customHeight="1" x14ac:dyDescent="0.3">
      <c r="A148" s="21" t="s">
        <v>2533</v>
      </c>
      <c r="B148" s="20" t="s">
        <v>4613</v>
      </c>
      <c r="C148" s="20" t="s">
        <v>11589</v>
      </c>
      <c r="D148" s="20" t="s">
        <v>26</v>
      </c>
      <c r="E148" s="20">
        <v>2024</v>
      </c>
      <c r="F148" s="20" t="s">
        <v>9992</v>
      </c>
      <c r="G148" s="20">
        <v>54</v>
      </c>
      <c r="H148" s="20">
        <v>35000</v>
      </c>
      <c r="I148" s="19" t="s">
        <v>5142</v>
      </c>
      <c r="J148" s="11" t="str">
        <f t="shared" si="6"/>
        <v>MGZSZS 1.5L AUT2024</v>
      </c>
      <c r="K148" s="12"/>
      <c r="L148" s="10">
        <f>IFERROR(_xlfn.XLOOKUP(F148,'PRECIO TOMA HISTORICO '!$A:$A,'PRECIO TOMA HISTORICO '!$B:$B,_xlfn.XLOOKUP(F148,BBDD!$S:$S,BBDD!$AO:$AO,"",0,1),0,-1),"")</f>
        <v>7200000</v>
      </c>
      <c r="M148" s="9"/>
      <c r="N148" s="10">
        <f>_xlfn.XLOOKUP(F148,BBDD!$S:$S,BBDD!$AS:$AS)</f>
        <v>9490000</v>
      </c>
      <c r="O148" s="10">
        <f>IFERROR(VLOOKUP(F148,'PRECIO MERCADO'!D:E,2,0),"0")</f>
        <v>9500000</v>
      </c>
      <c r="P148" s="10">
        <f>_xlfn.XLOOKUP(F148,BBDD!$S:$S,BBDD!$AO:$AO)</f>
        <v>7200000</v>
      </c>
      <c r="Q148" s="10">
        <f>_xlfn.XLOOKUP(F148,BBDD!$S:$S,BBDD!$AR:$AR)</f>
        <v>7437240</v>
      </c>
      <c r="R148" s="24" t="str">
        <f t="shared" si="7"/>
        <v>ROTACION BAJA</v>
      </c>
    </row>
    <row r="149" spans="1:18" ht="15" customHeight="1" x14ac:dyDescent="0.3">
      <c r="A149" s="20" t="s">
        <v>214</v>
      </c>
      <c r="B149" s="20" t="s">
        <v>3787</v>
      </c>
      <c r="C149" s="20" t="s">
        <v>8281</v>
      </c>
      <c r="D149" s="20" t="s">
        <v>8285</v>
      </c>
      <c r="E149" s="20">
        <v>2020</v>
      </c>
      <c r="F149" s="20" t="s">
        <v>8284</v>
      </c>
      <c r="G149" s="20">
        <v>2393</v>
      </c>
      <c r="H149" s="20">
        <v>0</v>
      </c>
      <c r="I149" s="19" t="s">
        <v>8149</v>
      </c>
      <c r="J149" s="11" t="str">
        <f t="shared" si="6"/>
        <v>ASXASK 2.0 AUT2020</v>
      </c>
      <c r="K149" s="12"/>
      <c r="L149" s="10">
        <f>IFERROR(_xlfn.XLOOKUP(F149,'PRECIO TOMA HISTORICO '!$A:$A,'PRECIO TOMA HISTORICO '!$B:$B,_xlfn.XLOOKUP(F149,BBDD!$S:$S,BBDD!$AO:$AO,"",0,1),0,-1),"")</f>
        <v>12990000</v>
      </c>
      <c r="M149" s="9"/>
      <c r="N149" s="10">
        <f>_xlfn.XLOOKUP(F149,BBDD!$S:$S,BBDD!$AS:$AS)</f>
        <v>12990000</v>
      </c>
      <c r="O149" s="10" t="str">
        <f>IFERROR(VLOOKUP(F149,'PRECIO MERCADO'!D:E,2,0),"0")</f>
        <v>0</v>
      </c>
      <c r="P149" s="10">
        <f>_xlfn.XLOOKUP(F149,BBDD!$S:$S,BBDD!$AO:$AO)</f>
        <v>12990000</v>
      </c>
      <c r="Q149" s="10">
        <f>_xlfn.XLOOKUP(F149,BBDD!$S:$S,BBDD!$AR:$AR)</f>
        <v>12990000</v>
      </c>
      <c r="R149" s="24" t="str">
        <f t="shared" si="7"/>
        <v>LIQUIDAR</v>
      </c>
    </row>
    <row r="150" spans="1:18" ht="15" customHeight="1" x14ac:dyDescent="0.3">
      <c r="A150" s="21" t="s">
        <v>214</v>
      </c>
      <c r="B150" s="21" t="s">
        <v>3787</v>
      </c>
      <c r="C150" s="20" t="s">
        <v>4625</v>
      </c>
      <c r="D150" s="20" t="s">
        <v>26</v>
      </c>
      <c r="E150" s="20">
        <v>2024</v>
      </c>
      <c r="F150" s="20" t="s">
        <v>11091</v>
      </c>
      <c r="G150" s="20">
        <v>26</v>
      </c>
      <c r="H150" s="20">
        <v>28945</v>
      </c>
      <c r="I150" s="19" t="s">
        <v>5142</v>
      </c>
      <c r="J150" s="11" t="str">
        <f t="shared" si="6"/>
        <v>ASXASX GL 4X2 1.62024</v>
      </c>
      <c r="K150" s="12"/>
      <c r="L150" s="10">
        <f>IFERROR(_xlfn.XLOOKUP(F150,'PRECIO TOMA HISTORICO '!$A:$A,'PRECIO TOMA HISTORICO '!$B:$B,_xlfn.XLOOKUP(F150,BBDD!$S:$S,BBDD!$AO:$AO,"",0,1),0,-1),"")</f>
        <v>11500000</v>
      </c>
      <c r="M150" s="9"/>
      <c r="N150" s="10">
        <f>_xlfn.XLOOKUP(F150,BBDD!$S:$S,BBDD!$AS:$AS)</f>
        <v>13490000</v>
      </c>
      <c r="O150" s="10">
        <f>IFERROR(VLOOKUP(F150,'PRECIO MERCADO'!D:E,2,0),"0")</f>
        <v>13400000</v>
      </c>
      <c r="P150" s="10">
        <f>_xlfn.XLOOKUP(F150,BBDD!$S:$S,BBDD!$AO:$AO)</f>
        <v>11500000</v>
      </c>
      <c r="Q150" s="10">
        <f>_xlfn.XLOOKUP(F150,BBDD!$S:$S,BBDD!$AR:$AR)</f>
        <v>11801740</v>
      </c>
      <c r="R150" s="24" t="str">
        <f t="shared" si="7"/>
        <v>ROTACION ALTA</v>
      </c>
    </row>
    <row r="151" spans="1:18" ht="15" customHeight="1" x14ac:dyDescent="0.3">
      <c r="A151" s="21" t="s">
        <v>214</v>
      </c>
      <c r="B151" s="20" t="s">
        <v>2675</v>
      </c>
      <c r="C151" s="20" t="s">
        <v>11123</v>
      </c>
      <c r="D151" s="20" t="s">
        <v>40</v>
      </c>
      <c r="E151" s="20">
        <v>2018</v>
      </c>
      <c r="F151" s="20" t="s">
        <v>5667</v>
      </c>
      <c r="G151" s="20">
        <v>112</v>
      </c>
      <c r="H151" s="20">
        <v>103000</v>
      </c>
      <c r="I151" s="19" t="s">
        <v>5142</v>
      </c>
      <c r="J151" s="11" t="str">
        <f t="shared" si="6"/>
        <v>L200L200 KATANA D CAB CR 2.42018</v>
      </c>
      <c r="K151" s="12"/>
      <c r="L151" s="10">
        <f>IFERROR(_xlfn.XLOOKUP(F151,'PRECIO TOMA HISTORICO '!$A:$A,'PRECIO TOMA HISTORICO '!$B:$B,_xlfn.XLOOKUP(F151,BBDD!$S:$S,BBDD!$AO:$AO,"",0,1),0,-1),"")</f>
        <v>9800000</v>
      </c>
      <c r="M151" s="9"/>
      <c r="N151" s="10">
        <f>_xlfn.XLOOKUP(F151,BBDD!$S:$S,BBDD!$AS:$AS)</f>
        <v>11990000</v>
      </c>
      <c r="O151" s="10">
        <f>IFERROR(VLOOKUP(F151,'PRECIO MERCADO'!D:E,2,0),"0")</f>
        <v>12700000</v>
      </c>
      <c r="P151" s="10">
        <f>_xlfn.XLOOKUP(F151,BBDD!$S:$S,BBDD!$AO:$AO)</f>
        <v>9800000</v>
      </c>
      <c r="Q151" s="10">
        <f>_xlfn.XLOOKUP(F151,BBDD!$S:$S,BBDD!$AR:$AR)</f>
        <v>9800000</v>
      </c>
      <c r="R151" s="24" t="str">
        <f t="shared" si="7"/>
        <v>LIQUIDAR</v>
      </c>
    </row>
    <row r="152" spans="1:18" ht="15" customHeight="1" x14ac:dyDescent="0.3">
      <c r="A152" s="21" t="s">
        <v>214</v>
      </c>
      <c r="B152" s="20" t="s">
        <v>11157</v>
      </c>
      <c r="C152" s="20" t="s">
        <v>11158</v>
      </c>
      <c r="D152" s="20" t="s">
        <v>9526</v>
      </c>
      <c r="E152" s="20">
        <v>2024</v>
      </c>
      <c r="F152" s="20" t="s">
        <v>11161</v>
      </c>
      <c r="G152" s="20">
        <v>809</v>
      </c>
      <c r="H152" s="20">
        <v>0</v>
      </c>
      <c r="I152" s="19" t="s">
        <v>8149</v>
      </c>
      <c r="J152" s="11" t="str">
        <f t="shared" si="6"/>
        <v>L-200 EURO 6BL200 KATANA XRT2024</v>
      </c>
      <c r="K152" s="12"/>
      <c r="L152" s="10">
        <f>IFERROR(_xlfn.XLOOKUP(F152,'PRECIO TOMA HISTORICO '!$A:$A,'PRECIO TOMA HISTORICO '!$B:$B,_xlfn.XLOOKUP(F152,BBDD!$S:$S,BBDD!$AO:$AO,"",0,1),0,-1),"")</f>
        <v>28820700</v>
      </c>
      <c r="M152" s="9"/>
      <c r="N152" s="10">
        <f>_xlfn.XLOOKUP(F152,BBDD!$S:$S,BBDD!$AS:$AS)</f>
        <v>31990000</v>
      </c>
      <c r="O152" s="10" t="str">
        <f>IFERROR(VLOOKUP(F152,'PRECIO MERCADO'!D:E,2,0),"0")</f>
        <v>0</v>
      </c>
      <c r="P152" s="10">
        <f>_xlfn.XLOOKUP(F152,BBDD!$S:$S,BBDD!$AO:$AO)</f>
        <v>28820700</v>
      </c>
      <c r="Q152" s="10">
        <f>_xlfn.XLOOKUP(F152,BBDD!$S:$S,BBDD!$AR:$AR)</f>
        <v>29743181</v>
      </c>
      <c r="R152" s="24" t="str">
        <f t="shared" si="7"/>
        <v>LIQUIDAR</v>
      </c>
    </row>
    <row r="153" spans="1:18" ht="15" customHeight="1" x14ac:dyDescent="0.3">
      <c r="A153" s="21" t="s">
        <v>214</v>
      </c>
      <c r="B153" s="20" t="s">
        <v>4638</v>
      </c>
      <c r="C153" s="20" t="s">
        <v>8248</v>
      </c>
      <c r="D153" s="20" t="s">
        <v>8098</v>
      </c>
      <c r="E153" s="20">
        <v>2008</v>
      </c>
      <c r="F153" s="20" t="s">
        <v>8250</v>
      </c>
      <c r="G153" s="20">
        <v>3487</v>
      </c>
      <c r="H153" s="20">
        <v>0</v>
      </c>
      <c r="I153" s="19" t="s">
        <v>8149</v>
      </c>
      <c r="J153" s="11" t="str">
        <f t="shared" si="6"/>
        <v>LANCERLANCER 2.0 MT R/GT2008</v>
      </c>
      <c r="K153" s="12"/>
      <c r="L153" s="10">
        <f>IFERROR(_xlfn.XLOOKUP(F153,'PRECIO TOMA HISTORICO '!$A:$A,'PRECIO TOMA HISTORICO '!$B:$B,_xlfn.XLOOKUP(F153,BBDD!$S:$S,BBDD!$AO:$AO,"",0,1),0,-1),"")</f>
        <v>0</v>
      </c>
      <c r="M153" s="9"/>
      <c r="N153" s="10">
        <f>_xlfn.XLOOKUP(F153,BBDD!$S:$S,BBDD!$AS:$AS)</f>
        <v>0</v>
      </c>
      <c r="O153" s="10" t="str">
        <f>IFERROR(VLOOKUP(F153,'PRECIO MERCADO'!D:E,2,0),"0")</f>
        <v>0</v>
      </c>
      <c r="P153" s="10">
        <f>_xlfn.XLOOKUP(F153,BBDD!$S:$S,BBDD!$AO:$AO)</f>
        <v>0</v>
      </c>
      <c r="Q153" s="10">
        <f>_xlfn.XLOOKUP(F153,BBDD!$S:$S,BBDD!$AR:$AR)</f>
        <v>1558253</v>
      </c>
      <c r="R153" s="24" t="str">
        <f t="shared" si="7"/>
        <v>LIQUIDAR</v>
      </c>
    </row>
    <row r="154" spans="1:18" ht="15" customHeight="1" x14ac:dyDescent="0.3">
      <c r="A154" s="21" t="s">
        <v>214</v>
      </c>
      <c r="B154" s="20" t="s">
        <v>215</v>
      </c>
      <c r="C154" s="20" t="s">
        <v>4649</v>
      </c>
      <c r="D154" s="20" t="s">
        <v>16</v>
      </c>
      <c r="E154" s="20">
        <v>2021</v>
      </c>
      <c r="F154" s="20" t="s">
        <v>11117</v>
      </c>
      <c r="G154" s="20">
        <v>26</v>
      </c>
      <c r="H154" s="20">
        <v>89720</v>
      </c>
      <c r="I154" s="19" t="s">
        <v>5142</v>
      </c>
      <c r="J154" s="11" t="str">
        <f t="shared" si="6"/>
        <v>OUTLANDEROUTLANDER 2.02021</v>
      </c>
      <c r="K154" s="12"/>
      <c r="L154" s="10">
        <f>IFERROR(_xlfn.XLOOKUP(F154,'PRECIO TOMA HISTORICO '!$A:$A,'PRECIO TOMA HISTORICO '!$B:$B,_xlfn.XLOOKUP(F154,BBDD!$S:$S,BBDD!$AO:$AO,"",0,1),0,-1),"")</f>
        <v>10000000</v>
      </c>
      <c r="M154" s="9"/>
      <c r="N154" s="10">
        <f>_xlfn.XLOOKUP(F154,BBDD!$S:$S,BBDD!$AS:$AS)</f>
        <v>11690000</v>
      </c>
      <c r="O154" s="10">
        <f>IFERROR(VLOOKUP(F154,'PRECIO MERCADO'!D:E,2,0),"0")</f>
        <v>12000000</v>
      </c>
      <c r="P154" s="10">
        <f>_xlfn.XLOOKUP(F154,BBDD!$S:$S,BBDD!$AO:$AO)</f>
        <v>10000000</v>
      </c>
      <c r="Q154" s="10">
        <f>_xlfn.XLOOKUP(F154,BBDD!$S:$S,BBDD!$AR:$AR)</f>
        <v>10279240</v>
      </c>
      <c r="R154" s="24" t="str">
        <f t="shared" si="7"/>
        <v>ROTACION ALTA</v>
      </c>
    </row>
    <row r="155" spans="1:18" ht="15" customHeight="1" x14ac:dyDescent="0.3">
      <c r="A155" s="21" t="s">
        <v>214</v>
      </c>
      <c r="B155" s="21" t="s">
        <v>215</v>
      </c>
      <c r="C155" s="20" t="s">
        <v>216</v>
      </c>
      <c r="D155" s="20" t="s">
        <v>20</v>
      </c>
      <c r="E155" s="20">
        <v>2023</v>
      </c>
      <c r="F155" s="20" t="s">
        <v>217</v>
      </c>
      <c r="G155" s="20">
        <v>181</v>
      </c>
      <c r="H155" s="20">
        <v>44000</v>
      </c>
      <c r="I155" s="19" t="s">
        <v>5142</v>
      </c>
      <c r="J155" s="11" t="str">
        <f t="shared" si="6"/>
        <v>OUTLANDEROUTLANDER GL 2.5 AUT2023</v>
      </c>
      <c r="K155" s="12"/>
      <c r="L155" s="10">
        <f>IFERROR(_xlfn.XLOOKUP(F155,'PRECIO TOMA HISTORICO '!$A:$A,'PRECIO TOMA HISTORICO '!$B:$B,_xlfn.XLOOKUP(F155,BBDD!$S:$S,BBDD!$AO:$AO,"",0,1),0,-1),"")</f>
        <v>15200000</v>
      </c>
      <c r="M155" s="9"/>
      <c r="N155" s="10">
        <f>_xlfn.XLOOKUP(F155,BBDD!$S:$S,BBDD!$AS:$AS)</f>
        <v>16490000</v>
      </c>
      <c r="O155" s="10">
        <f>IFERROR(VLOOKUP(F155,'PRECIO MERCADO'!D:E,2,0),"0")</f>
        <v>18100000</v>
      </c>
      <c r="P155" s="10">
        <f>_xlfn.XLOOKUP(F155,BBDD!$S:$S,BBDD!$AO:$AO)</f>
        <v>15200000</v>
      </c>
      <c r="Q155" s="10">
        <f>_xlfn.XLOOKUP(F155,BBDD!$S:$S,BBDD!$AR:$AR)</f>
        <v>15554030</v>
      </c>
      <c r="R155" s="24" t="str">
        <f t="shared" si="7"/>
        <v>LIQUIDAR</v>
      </c>
    </row>
    <row r="156" spans="1:18" ht="15" customHeight="1" x14ac:dyDescent="0.3">
      <c r="A156" s="21" t="s">
        <v>214</v>
      </c>
      <c r="B156" s="20" t="s">
        <v>8729</v>
      </c>
      <c r="C156" s="20" t="s">
        <v>8730</v>
      </c>
      <c r="D156" s="20" t="s">
        <v>40</v>
      </c>
      <c r="E156" s="20">
        <v>2026</v>
      </c>
      <c r="F156" s="20" t="s">
        <v>8601</v>
      </c>
      <c r="G156" s="20">
        <v>85</v>
      </c>
      <c r="H156" s="20">
        <v>6207</v>
      </c>
      <c r="I156" s="19" t="s">
        <v>5142</v>
      </c>
      <c r="J156" s="11" t="str">
        <f t="shared" si="6"/>
        <v>OUTLANDER SPORT EURO 6COUTLANDER SPORT GL 1.5 AT2026</v>
      </c>
      <c r="K156" s="12"/>
      <c r="L156" s="10">
        <f>IFERROR(_xlfn.XLOOKUP(F156,'PRECIO TOMA HISTORICO '!$A:$A,'PRECIO TOMA HISTORICO '!$B:$B,_xlfn.XLOOKUP(F156,BBDD!$S:$S,BBDD!$AO:$AO,"",0,1),0,-1),"")</f>
        <v>15000000</v>
      </c>
      <c r="M156" s="9"/>
      <c r="N156" s="10">
        <f>_xlfn.XLOOKUP(F156,BBDD!$S:$S,BBDD!$AS:$AS)</f>
        <v>17490000</v>
      </c>
      <c r="O156" s="10">
        <f>IFERROR(VLOOKUP(F156,'PRECIO MERCADO'!D:E,2,0),"0")</f>
        <v>17400000</v>
      </c>
      <c r="P156" s="10">
        <f>_xlfn.XLOOKUP(F156,BBDD!$S:$S,BBDD!$AO:$AO)</f>
        <v>15000000</v>
      </c>
      <c r="Q156" s="10">
        <f>_xlfn.XLOOKUP(F156,BBDD!$S:$S,BBDD!$AR:$AR)</f>
        <v>15354240</v>
      </c>
      <c r="R156" s="24" t="str">
        <f t="shared" si="7"/>
        <v>LIQUIDAR</v>
      </c>
    </row>
    <row r="157" spans="1:18" ht="15" customHeight="1" x14ac:dyDescent="0.3">
      <c r="A157" s="20" t="s">
        <v>220</v>
      </c>
      <c r="B157" s="20" t="s">
        <v>223</v>
      </c>
      <c r="C157" s="20" t="s">
        <v>4692</v>
      </c>
      <c r="D157" s="20" t="s">
        <v>26</v>
      </c>
      <c r="E157" s="20">
        <v>2024</v>
      </c>
      <c r="F157" s="20" t="s">
        <v>929</v>
      </c>
      <c r="G157" s="20">
        <v>26</v>
      </c>
      <c r="H157" s="20">
        <v>19000</v>
      </c>
      <c r="I157" s="19" t="s">
        <v>5142</v>
      </c>
      <c r="J157" s="11" t="str">
        <f t="shared" si="6"/>
        <v>QASHQAIQASHQAI 1.3 AUT2024</v>
      </c>
      <c r="K157" s="12"/>
      <c r="L157" s="10">
        <f>IFERROR(_xlfn.XLOOKUP(F157,'PRECIO TOMA HISTORICO '!$A:$A,'PRECIO TOMA HISTORICO '!$B:$B,_xlfn.XLOOKUP(F157,BBDD!$S:$S,BBDD!$AO:$AO,"",0,1),0,-1),"")</f>
        <v>21000000</v>
      </c>
      <c r="M157" s="9"/>
      <c r="N157" s="10">
        <f>_xlfn.XLOOKUP(F157,BBDD!$S:$S,BBDD!$AS:$AS)</f>
        <v>19790000</v>
      </c>
      <c r="O157" s="10">
        <f>IFERROR(VLOOKUP(F157,'PRECIO MERCADO'!D:E,2,0),"0")</f>
        <v>22000000</v>
      </c>
      <c r="P157" s="10">
        <f>_xlfn.XLOOKUP(F157,BBDD!$S:$S,BBDD!$AO:$AO)</f>
        <v>16700000</v>
      </c>
      <c r="Q157" s="10">
        <f>_xlfn.XLOOKUP(F157,BBDD!$S:$S,BBDD!$AR:$AR)</f>
        <v>17079740</v>
      </c>
      <c r="R157" s="24" t="str">
        <f t="shared" si="7"/>
        <v>ROTACION ALTA</v>
      </c>
    </row>
    <row r="158" spans="1:18" ht="15" customHeight="1" x14ac:dyDescent="0.3">
      <c r="A158" s="21" t="s">
        <v>220</v>
      </c>
      <c r="B158" s="21" t="s">
        <v>223</v>
      </c>
      <c r="C158" s="20" t="s">
        <v>224</v>
      </c>
      <c r="D158" s="20" t="s">
        <v>20</v>
      </c>
      <c r="E158" s="20">
        <v>2024</v>
      </c>
      <c r="F158" s="20" t="s">
        <v>10172</v>
      </c>
      <c r="G158" s="20">
        <v>46</v>
      </c>
      <c r="H158" s="20">
        <v>26279</v>
      </c>
      <c r="I158" s="19" t="s">
        <v>5142</v>
      </c>
      <c r="J158" s="11" t="str">
        <f t="shared" si="6"/>
        <v>QASHQAIQASHQAI TURBO 1.32024</v>
      </c>
      <c r="K158" s="12"/>
      <c r="L158" s="10">
        <f>IFERROR(_xlfn.XLOOKUP(F158,'PRECIO TOMA HISTORICO '!$A:$A,'PRECIO TOMA HISTORICO '!$B:$B,_xlfn.XLOOKUP(F158,BBDD!$S:$S,BBDD!$AO:$AO,"",0,1),0,-1),"")</f>
        <v>17000000</v>
      </c>
      <c r="M158" s="9"/>
      <c r="N158" s="10">
        <f>_xlfn.XLOOKUP(F158,BBDD!$S:$S,BBDD!$AS:$AS)</f>
        <v>19290000</v>
      </c>
      <c r="O158" s="10">
        <f>IFERROR(VLOOKUP(F158,'PRECIO MERCADO'!D:E,2,0),"0")</f>
        <v>20000000</v>
      </c>
      <c r="P158" s="10">
        <f>_xlfn.XLOOKUP(F158,BBDD!$S:$S,BBDD!$AO:$AO)</f>
        <v>17000000</v>
      </c>
      <c r="Q158" s="10">
        <f>_xlfn.XLOOKUP(F158,BBDD!$S:$S,BBDD!$AR:$AR)</f>
        <v>17000000</v>
      </c>
      <c r="R158" s="24" t="str">
        <f t="shared" si="7"/>
        <v>ROTACION BAJA</v>
      </c>
    </row>
    <row r="159" spans="1:18" ht="15" customHeight="1" x14ac:dyDescent="0.3">
      <c r="A159" s="21" t="s">
        <v>220</v>
      </c>
      <c r="B159" s="21" t="s">
        <v>223</v>
      </c>
      <c r="C159" s="21" t="s">
        <v>224</v>
      </c>
      <c r="D159" s="20" t="s">
        <v>26</v>
      </c>
      <c r="E159" s="20">
        <v>2023</v>
      </c>
      <c r="F159" s="20" t="s">
        <v>226</v>
      </c>
      <c r="G159" s="20">
        <v>291</v>
      </c>
      <c r="H159" s="20">
        <v>45000</v>
      </c>
      <c r="I159" s="19" t="s">
        <v>5142</v>
      </c>
      <c r="J159" s="11" t="str">
        <f t="shared" si="6"/>
        <v>QASHQAIQASHQAI TURBO 1.32023</v>
      </c>
      <c r="K159" s="12"/>
      <c r="L159" s="10">
        <f>IFERROR(_xlfn.XLOOKUP(F159,'PRECIO TOMA HISTORICO '!$A:$A,'PRECIO TOMA HISTORICO '!$B:$B,_xlfn.XLOOKUP(F159,BBDD!$S:$S,BBDD!$AO:$AO,"",0,1),0,-1),"")</f>
        <v>15400000</v>
      </c>
      <c r="M159" s="9"/>
      <c r="N159" s="10">
        <f>_xlfn.XLOOKUP(F159,BBDD!$S:$S,BBDD!$AS:$AS)</f>
        <v>16490000</v>
      </c>
      <c r="O159" s="10">
        <f>IFERROR(VLOOKUP(F159,'PRECIO MERCADO'!D:E,2,0),"0")</f>
        <v>17400000</v>
      </c>
      <c r="P159" s="10">
        <f>_xlfn.XLOOKUP(F159,BBDD!$S:$S,BBDD!$AO:$AO)</f>
        <v>15400000</v>
      </c>
      <c r="Q159" s="10">
        <f>_xlfn.XLOOKUP(F159,BBDD!$S:$S,BBDD!$AR:$AR)</f>
        <v>15966967</v>
      </c>
      <c r="R159" s="24" t="str">
        <f t="shared" si="7"/>
        <v>LIQUIDAR</v>
      </c>
    </row>
    <row r="160" spans="1:18" ht="15" customHeight="1" x14ac:dyDescent="0.3">
      <c r="A160" s="21" t="s">
        <v>220</v>
      </c>
      <c r="B160" s="20" t="s">
        <v>228</v>
      </c>
      <c r="C160" s="20" t="s">
        <v>229</v>
      </c>
      <c r="D160" s="20" t="s">
        <v>26</v>
      </c>
      <c r="E160" s="20">
        <v>2020</v>
      </c>
      <c r="F160" s="20" t="s">
        <v>230</v>
      </c>
      <c r="G160" s="20">
        <v>223</v>
      </c>
      <c r="H160" s="20">
        <v>96000</v>
      </c>
      <c r="I160" s="19" t="s">
        <v>5142</v>
      </c>
      <c r="J160" s="11" t="str">
        <f t="shared" si="6"/>
        <v>SENTRASENTRA 1.8 AT2020</v>
      </c>
      <c r="K160" s="12"/>
      <c r="L160" s="10">
        <f>IFERROR(_xlfn.XLOOKUP(F160,'PRECIO TOMA HISTORICO '!$A:$A,'PRECIO TOMA HISTORICO '!$B:$B,_xlfn.XLOOKUP(F160,BBDD!$S:$S,BBDD!$AO:$AO,"",0,1),0,-1),"")</f>
        <v>8500000</v>
      </c>
      <c r="M160" s="9"/>
      <c r="N160" s="10">
        <f>_xlfn.XLOOKUP(F160,BBDD!$S:$S,BBDD!$AS:$AS)</f>
        <v>9490000</v>
      </c>
      <c r="O160" s="10">
        <f>IFERROR(VLOOKUP(F160,'PRECIO MERCADO'!D:E,2,0),"0")</f>
        <v>11800000</v>
      </c>
      <c r="P160" s="10">
        <f>_xlfn.XLOOKUP(F160,BBDD!$S:$S,BBDD!$AO:$AO)</f>
        <v>8500000</v>
      </c>
      <c r="Q160" s="10">
        <f>_xlfn.XLOOKUP(F160,BBDD!$S:$S,BBDD!$AR:$AR)</f>
        <v>8753530</v>
      </c>
      <c r="R160" s="24" t="str">
        <f t="shared" si="7"/>
        <v>LIQUIDAR</v>
      </c>
    </row>
    <row r="161" spans="1:18" ht="15" customHeight="1" x14ac:dyDescent="0.3">
      <c r="A161" s="21" t="s">
        <v>220</v>
      </c>
      <c r="B161" s="20" t="s">
        <v>4706</v>
      </c>
      <c r="C161" s="20" t="s">
        <v>4707</v>
      </c>
      <c r="D161" s="20" t="s">
        <v>40</v>
      </c>
      <c r="E161" s="20">
        <v>2023</v>
      </c>
      <c r="F161" s="20" t="s">
        <v>3357</v>
      </c>
      <c r="G161" s="20">
        <v>108</v>
      </c>
      <c r="H161" s="20">
        <v>71248</v>
      </c>
      <c r="I161" s="19" t="s">
        <v>5142</v>
      </c>
      <c r="J161" s="11" t="str">
        <f t="shared" si="6"/>
        <v>URVANURVAN 4X2 2.52023</v>
      </c>
      <c r="K161" s="12"/>
      <c r="L161" s="10">
        <f>IFERROR(_xlfn.XLOOKUP(F161,'PRECIO TOMA HISTORICO '!$A:$A,'PRECIO TOMA HISTORICO '!$B:$B,_xlfn.XLOOKUP(F161,BBDD!$S:$S,BBDD!$AO:$AO,"",0,1),0,-1),"")</f>
        <v>15500000</v>
      </c>
      <c r="M161" s="9"/>
      <c r="N161" s="10">
        <f>_xlfn.XLOOKUP(F161,BBDD!$S:$S,BBDD!$AS:$AS)</f>
        <v>16490000</v>
      </c>
      <c r="O161" s="10">
        <f>IFERROR(VLOOKUP(F161,'PRECIO MERCADO'!D:E,2,0),"0")</f>
        <v>27600000</v>
      </c>
      <c r="P161" s="10">
        <f>_xlfn.XLOOKUP(F161,BBDD!$S:$S,BBDD!$AO:$AO)</f>
        <v>15500000</v>
      </c>
      <c r="Q161" s="10">
        <f>_xlfn.XLOOKUP(F161,BBDD!$S:$S,BBDD!$AR:$AR)</f>
        <v>15861740</v>
      </c>
      <c r="R161" s="24" t="str">
        <f t="shared" si="7"/>
        <v>LIQUIDAR</v>
      </c>
    </row>
    <row r="162" spans="1:18" ht="15" customHeight="1" x14ac:dyDescent="0.3">
      <c r="A162" s="21" t="s">
        <v>220</v>
      </c>
      <c r="B162" s="20" t="s">
        <v>231</v>
      </c>
      <c r="C162" s="20" t="s">
        <v>9542</v>
      </c>
      <c r="D162" s="20" t="s">
        <v>63</v>
      </c>
      <c r="E162" s="20">
        <v>2024</v>
      </c>
      <c r="F162" s="20" t="s">
        <v>8038</v>
      </c>
      <c r="G162" s="20">
        <v>80</v>
      </c>
      <c r="H162" s="20">
        <v>28600</v>
      </c>
      <c r="I162" s="19" t="s">
        <v>5142</v>
      </c>
      <c r="J162" s="11" t="str">
        <f t="shared" si="6"/>
        <v>VERSAVERSA 4X2 1.6 AUT2024</v>
      </c>
      <c r="K162" s="12"/>
      <c r="L162" s="10">
        <f>IFERROR(_xlfn.XLOOKUP(F162,'PRECIO TOMA HISTORICO '!$A:$A,'PRECIO TOMA HISTORICO '!$B:$B,_xlfn.XLOOKUP(F162,BBDD!$S:$S,BBDD!$AO:$AO,"",0,1),0,-1),"")</f>
        <v>10000000</v>
      </c>
      <c r="M162" s="9"/>
      <c r="N162" s="10">
        <f>_xlfn.XLOOKUP(F162,BBDD!$S:$S,BBDD!$AS:$AS)</f>
        <v>11990000</v>
      </c>
      <c r="O162" s="10">
        <f>IFERROR(VLOOKUP(F162,'PRECIO MERCADO'!D:E,2,0),"0")</f>
        <v>12600000</v>
      </c>
      <c r="P162" s="10">
        <f>_xlfn.XLOOKUP(F162,BBDD!$S:$S,BBDD!$AO:$AO)</f>
        <v>10000000</v>
      </c>
      <c r="Q162" s="10">
        <f>_xlfn.XLOOKUP(F162,BBDD!$S:$S,BBDD!$AR:$AR)</f>
        <v>10279240</v>
      </c>
      <c r="R162" s="24" t="str">
        <f t="shared" si="7"/>
        <v>LIQUIDAR</v>
      </c>
    </row>
    <row r="163" spans="1:18" ht="15" customHeight="1" x14ac:dyDescent="0.3">
      <c r="A163" s="21" t="s">
        <v>220</v>
      </c>
      <c r="B163" s="21" t="s">
        <v>231</v>
      </c>
      <c r="C163" s="20" t="s">
        <v>232</v>
      </c>
      <c r="D163" s="20" t="s">
        <v>40</v>
      </c>
      <c r="E163" s="20">
        <v>2021</v>
      </c>
      <c r="F163" s="20" t="s">
        <v>233</v>
      </c>
      <c r="G163" s="20">
        <v>417</v>
      </c>
      <c r="H163" s="20">
        <v>85390</v>
      </c>
      <c r="I163" s="19" t="s">
        <v>5142</v>
      </c>
      <c r="J163" s="11" t="str">
        <f t="shared" si="6"/>
        <v>VERSAVERSA CVT 1.6 AUT2021</v>
      </c>
      <c r="K163" s="12"/>
      <c r="L163" s="10">
        <f>IFERROR(_xlfn.XLOOKUP(F163,'PRECIO TOMA HISTORICO '!$A:$A,'PRECIO TOMA HISTORICO '!$B:$B,_xlfn.XLOOKUP(F163,BBDD!$S:$S,BBDD!$AO:$AO,"",0,1),0,-1),"")</f>
        <v>7700000</v>
      </c>
      <c r="M163" s="9"/>
      <c r="N163" s="10">
        <f>_xlfn.XLOOKUP(F163,BBDD!$S:$S,BBDD!$AS:$AS)</f>
        <v>9790000</v>
      </c>
      <c r="O163" s="10">
        <f>IFERROR(VLOOKUP(F163,'PRECIO MERCADO'!D:E,2,0),"0")</f>
        <v>9800000</v>
      </c>
      <c r="P163" s="10">
        <f>_xlfn.XLOOKUP(F163,BBDD!$S:$S,BBDD!$AO:$AO)</f>
        <v>7700000</v>
      </c>
      <c r="Q163" s="10">
        <f>_xlfn.XLOOKUP(F163,BBDD!$S:$S,BBDD!$AR:$AR)</f>
        <v>7941530</v>
      </c>
      <c r="R163" s="24" t="str">
        <f t="shared" si="7"/>
        <v>LIQUIDAR</v>
      </c>
    </row>
    <row r="164" spans="1:18" ht="15" customHeight="1" x14ac:dyDescent="0.3">
      <c r="A164" s="21" t="s">
        <v>220</v>
      </c>
      <c r="B164" s="21" t="s">
        <v>231</v>
      </c>
      <c r="C164" s="20" t="s">
        <v>4711</v>
      </c>
      <c r="D164" s="20" t="s">
        <v>20</v>
      </c>
      <c r="E164" s="20">
        <v>2023</v>
      </c>
      <c r="F164" s="20" t="s">
        <v>11534</v>
      </c>
      <c r="G164" s="20">
        <v>14</v>
      </c>
      <c r="H164" s="20">
        <v>93000</v>
      </c>
      <c r="I164" s="19" t="s">
        <v>5142</v>
      </c>
      <c r="J164" s="11" t="str">
        <f t="shared" si="6"/>
        <v>VERSAVERSA MT 1.62023</v>
      </c>
      <c r="K164" s="12"/>
      <c r="L164" s="10">
        <f>IFERROR(_xlfn.XLOOKUP(F164,'PRECIO TOMA HISTORICO '!$A:$A,'PRECIO TOMA HISTORICO '!$B:$B,_xlfn.XLOOKUP(F164,BBDD!$S:$S,BBDD!$AO:$AO,"",0,1),0,-1),"")</f>
        <v>8400000</v>
      </c>
      <c r="M164" s="9"/>
      <c r="N164" s="10">
        <f>_xlfn.XLOOKUP(F164,BBDD!$S:$S,BBDD!$AS:$AS)</f>
        <v>10590000</v>
      </c>
      <c r="O164" s="10">
        <f>IFERROR(VLOOKUP(F164,'PRECIO MERCADO'!D:E,2,0),"0")</f>
        <v>12200000</v>
      </c>
      <c r="P164" s="10">
        <f>_xlfn.XLOOKUP(F164,BBDD!$S:$S,BBDD!$AO:$AO)</f>
        <v>8400000</v>
      </c>
      <c r="Q164" s="10">
        <f>_xlfn.XLOOKUP(F164,BBDD!$S:$S,BBDD!$AR:$AR)</f>
        <v>8655240</v>
      </c>
      <c r="R164" s="24" t="str">
        <f t="shared" si="7"/>
        <v>ROTACION ALTA</v>
      </c>
    </row>
    <row r="165" spans="1:18" ht="15" customHeight="1" x14ac:dyDescent="0.3">
      <c r="A165" s="21" t="s">
        <v>220</v>
      </c>
      <c r="B165" s="20" t="s">
        <v>234</v>
      </c>
      <c r="C165" s="20" t="s">
        <v>4730</v>
      </c>
      <c r="D165" s="20" t="s">
        <v>40</v>
      </c>
      <c r="E165" s="20">
        <v>2023</v>
      </c>
      <c r="F165" s="20" t="s">
        <v>8779</v>
      </c>
      <c r="G165" s="20">
        <v>83</v>
      </c>
      <c r="H165" s="20">
        <v>74175</v>
      </c>
      <c r="I165" s="19" t="s">
        <v>5142</v>
      </c>
      <c r="J165" s="11" t="str">
        <f t="shared" si="6"/>
        <v>XTRAILX TRAIL T32 CVT 2.5 AUT2023</v>
      </c>
      <c r="K165" s="12"/>
      <c r="L165" s="10">
        <f>IFERROR(_xlfn.XLOOKUP(F165,'PRECIO TOMA HISTORICO '!$A:$A,'PRECIO TOMA HISTORICO '!$B:$B,_xlfn.XLOOKUP(F165,BBDD!$S:$S,BBDD!$AO:$AO,"",0,1),0,-1),"")</f>
        <v>13500000</v>
      </c>
      <c r="M165" s="9"/>
      <c r="N165" s="10">
        <f>_xlfn.XLOOKUP(F165,BBDD!$S:$S,BBDD!$AS:$AS)</f>
        <v>16990000</v>
      </c>
      <c r="O165" s="10">
        <f>IFERROR(VLOOKUP(F165,'PRECIO MERCADO'!D:E,2,0),"0")</f>
        <v>19100000</v>
      </c>
      <c r="P165" s="10">
        <f>_xlfn.XLOOKUP(F165,BBDD!$S:$S,BBDD!$AO:$AO)</f>
        <v>13500000</v>
      </c>
      <c r="Q165" s="10">
        <f>_xlfn.XLOOKUP(F165,BBDD!$S:$S,BBDD!$AR:$AR)</f>
        <v>13831740</v>
      </c>
      <c r="R165" s="24" t="str">
        <f t="shared" si="7"/>
        <v>LIQUIDAR</v>
      </c>
    </row>
    <row r="166" spans="1:18" ht="15" customHeight="1" x14ac:dyDescent="0.3">
      <c r="A166" s="20" t="s">
        <v>237</v>
      </c>
      <c r="B166" s="20" t="s">
        <v>65</v>
      </c>
      <c r="C166" s="20" t="s">
        <v>238</v>
      </c>
      <c r="D166" s="20" t="s">
        <v>20</v>
      </c>
      <c r="E166" s="20">
        <v>2025</v>
      </c>
      <c r="F166" s="20" t="s">
        <v>11420</v>
      </c>
      <c r="G166" s="20">
        <v>14</v>
      </c>
      <c r="H166" s="20">
        <v>1600</v>
      </c>
      <c r="I166" s="19" t="s">
        <v>5142</v>
      </c>
      <c r="J166" s="11" t="str">
        <f t="shared" si="6"/>
        <v>C5C5 1.5 AUT2025</v>
      </c>
      <c r="K166" s="12"/>
      <c r="L166" s="10">
        <f>IFERROR(_xlfn.XLOOKUP(F166,'PRECIO TOMA HISTORICO '!$A:$A,'PRECIO TOMA HISTORICO '!$B:$B,_xlfn.XLOOKUP(F166,BBDD!$S:$S,BBDD!$AO:$AO,"",0,1),0,-1),"")</f>
        <v>9800000</v>
      </c>
      <c r="M166" s="9"/>
      <c r="N166" s="10">
        <f>_xlfn.XLOOKUP(F166,BBDD!$S:$S,BBDD!$AS:$AS)</f>
        <v>11390000</v>
      </c>
      <c r="O166" s="10">
        <f>IFERROR(VLOOKUP(F166,'PRECIO MERCADO'!D:E,2,0),"0")</f>
        <v>12500000</v>
      </c>
      <c r="P166" s="10">
        <f>_xlfn.XLOOKUP(F166,BBDD!$S:$S,BBDD!$AO:$AO)</f>
        <v>9800000</v>
      </c>
      <c r="Q166" s="10">
        <f>_xlfn.XLOOKUP(F166,BBDD!$S:$S,BBDD!$AR:$AR)</f>
        <v>10076240</v>
      </c>
      <c r="R166" s="24" t="str">
        <f t="shared" si="7"/>
        <v>ROTACION ALTA</v>
      </c>
    </row>
    <row r="167" spans="1:18" ht="15" customHeight="1" x14ac:dyDescent="0.3">
      <c r="A167" s="21" t="s">
        <v>237</v>
      </c>
      <c r="B167" s="21" t="s">
        <v>65</v>
      </c>
      <c r="C167" s="21" t="s">
        <v>238</v>
      </c>
      <c r="D167" s="20" t="s">
        <v>26</v>
      </c>
      <c r="E167" s="20">
        <v>2024</v>
      </c>
      <c r="F167" s="20" t="s">
        <v>11412</v>
      </c>
      <c r="G167" s="20">
        <v>14</v>
      </c>
      <c r="H167" s="20">
        <v>29645</v>
      </c>
      <c r="I167" s="19" t="s">
        <v>5142</v>
      </c>
      <c r="J167" s="11" t="str">
        <f t="shared" si="6"/>
        <v>C5C5 1.5 AUT2024</v>
      </c>
      <c r="K167" s="12"/>
      <c r="L167" s="10">
        <f>IFERROR(_xlfn.XLOOKUP(F167,'PRECIO TOMA HISTORICO '!$A:$A,'PRECIO TOMA HISTORICO '!$B:$B,_xlfn.XLOOKUP(F167,BBDD!$S:$S,BBDD!$AO:$AO,"",0,1),0,-1),"")</f>
        <v>11000000</v>
      </c>
      <c r="M167" s="9"/>
      <c r="N167" s="10">
        <f>_xlfn.XLOOKUP(F167,BBDD!$S:$S,BBDD!$AS:$AS)</f>
        <v>12390000</v>
      </c>
      <c r="O167" s="10">
        <f>IFERROR(VLOOKUP(F167,'PRECIO MERCADO'!D:E,2,0),"0")</f>
        <v>12600000</v>
      </c>
      <c r="P167" s="10">
        <f>_xlfn.XLOOKUP(F167,BBDD!$S:$S,BBDD!$AO:$AO)</f>
        <v>11000000</v>
      </c>
      <c r="Q167" s="10">
        <f>_xlfn.XLOOKUP(F167,BBDD!$S:$S,BBDD!$AR:$AR)</f>
        <v>11294240</v>
      </c>
      <c r="R167" s="24" t="str">
        <f t="shared" si="7"/>
        <v>ROTACION ALTA</v>
      </c>
    </row>
    <row r="168" spans="1:18" ht="15" customHeight="1" x14ac:dyDescent="0.3">
      <c r="A168" s="21" t="s">
        <v>237</v>
      </c>
      <c r="B168" s="21" t="s">
        <v>65</v>
      </c>
      <c r="C168" s="21" t="s">
        <v>238</v>
      </c>
      <c r="D168" s="20" t="s">
        <v>40</v>
      </c>
      <c r="E168" s="20">
        <v>2025</v>
      </c>
      <c r="F168" s="20" t="s">
        <v>239</v>
      </c>
      <c r="G168" s="20">
        <v>560</v>
      </c>
      <c r="H168" s="20">
        <v>1905</v>
      </c>
      <c r="I168" s="19" t="s">
        <v>5142</v>
      </c>
      <c r="J168" s="11" t="str">
        <f t="shared" si="6"/>
        <v>C5C5 1.5 AUT2025</v>
      </c>
      <c r="K168" s="12"/>
      <c r="L168" s="10">
        <f>IFERROR(_xlfn.XLOOKUP(F168,'PRECIO TOMA HISTORICO '!$A:$A,'PRECIO TOMA HISTORICO '!$B:$B,_xlfn.XLOOKUP(F168,BBDD!$S:$S,BBDD!$AO:$AO,"",0,1),0,-1),"")</f>
        <v>10300000</v>
      </c>
      <c r="M168" s="9"/>
      <c r="N168" s="10">
        <f>_xlfn.XLOOKUP(F168,BBDD!$S:$S,BBDD!$AS:$AS)</f>
        <v>11290000</v>
      </c>
      <c r="O168" s="10">
        <f>IFERROR(VLOOKUP(F168,'PRECIO MERCADO'!D:E,2,0),"0")</f>
        <v>12800000</v>
      </c>
      <c r="P168" s="10">
        <f>_xlfn.XLOOKUP(F168,BBDD!$S:$S,BBDD!$AO:$AO)</f>
        <v>10300000</v>
      </c>
      <c r="Q168" s="10">
        <f>_xlfn.XLOOKUP(F168,BBDD!$S:$S,BBDD!$AR:$AR)</f>
        <v>10580530</v>
      </c>
      <c r="R168" s="24" t="str">
        <f t="shared" si="7"/>
        <v>LIQUIDAR</v>
      </c>
    </row>
    <row r="169" spans="1:18" ht="15" customHeight="1" x14ac:dyDescent="0.3">
      <c r="A169" s="21" t="s">
        <v>237</v>
      </c>
      <c r="B169" s="21" t="s">
        <v>65</v>
      </c>
      <c r="C169" s="20" t="s">
        <v>8589</v>
      </c>
      <c r="D169" s="20" t="s">
        <v>8159</v>
      </c>
      <c r="E169" s="20">
        <v>2025</v>
      </c>
      <c r="F169" s="20" t="s">
        <v>7812</v>
      </c>
      <c r="G169" s="20">
        <v>393</v>
      </c>
      <c r="H169" s="20">
        <v>9892</v>
      </c>
      <c r="I169" s="19" t="s">
        <v>8491</v>
      </c>
      <c r="J169" s="11" t="str">
        <f t="shared" si="6"/>
        <v>C5C5 1.5T CVT LUXURY2025</v>
      </c>
      <c r="K169" s="12"/>
      <c r="L169" s="10">
        <f>IFERROR(_xlfn.XLOOKUP(F169,'PRECIO TOMA HISTORICO '!$A:$A,'PRECIO TOMA HISTORICO '!$B:$B,_xlfn.XLOOKUP(F169,BBDD!$S:$S,BBDD!$AO:$AO,"",0,1),0,-1),"")</f>
        <v>13950252</v>
      </c>
      <c r="M169" s="9"/>
      <c r="N169" s="10">
        <f>_xlfn.XLOOKUP(F169,BBDD!$S:$S,BBDD!$AS:$AS)</f>
        <v>15990000</v>
      </c>
      <c r="O169" s="10">
        <f>IFERROR(VLOOKUP(F169,'PRECIO MERCADO'!D:E,2,0),"0")</f>
        <v>14400000</v>
      </c>
      <c r="P169" s="10">
        <f>_xlfn.XLOOKUP(F169,BBDD!$S:$S,BBDD!$AO:$AO)</f>
        <v>13950252</v>
      </c>
      <c r="Q169" s="10">
        <f>_xlfn.XLOOKUP(F169,BBDD!$S:$S,BBDD!$AR:$AR)</f>
        <v>15048659</v>
      </c>
      <c r="R169" s="24" t="str">
        <f t="shared" si="7"/>
        <v>LIQUIDAR</v>
      </c>
    </row>
    <row r="170" spans="1:18" ht="15" customHeight="1" x14ac:dyDescent="0.3">
      <c r="A170" s="21" t="s">
        <v>237</v>
      </c>
      <c r="B170" s="21" t="s">
        <v>65</v>
      </c>
      <c r="C170" s="20" t="s">
        <v>11168</v>
      </c>
      <c r="D170" s="20" t="s">
        <v>9526</v>
      </c>
      <c r="E170" s="20">
        <v>2026</v>
      </c>
      <c r="F170" s="20" t="s">
        <v>10872</v>
      </c>
      <c r="G170" s="20">
        <v>41</v>
      </c>
      <c r="H170" s="20">
        <v>0</v>
      </c>
      <c r="I170" s="19" t="s">
        <v>8149</v>
      </c>
      <c r="J170" s="11" t="str">
        <f t="shared" si="6"/>
        <v>C5C5 1.5T HEV DHT LUXURY2026</v>
      </c>
      <c r="K170" s="12"/>
      <c r="L170" s="10">
        <f>IFERROR(_xlfn.XLOOKUP(F170,'PRECIO TOMA HISTORICO '!$A:$A,'PRECIO TOMA HISTORICO '!$B:$B,_xlfn.XLOOKUP(F170,BBDD!$S:$S,BBDD!$AO:$AO,"",0,1),0,-1),"")</f>
        <v>16698151</v>
      </c>
      <c r="M170" s="9"/>
      <c r="N170" s="10">
        <f>_xlfn.XLOOKUP(F170,BBDD!$S:$S,BBDD!$AS:$AS)</f>
        <v>18058824</v>
      </c>
      <c r="O170" s="10">
        <f>IFERROR(VLOOKUP(F170,'PRECIO MERCADO'!D:E,2,0),"0")</f>
        <v>19100000</v>
      </c>
      <c r="P170" s="10">
        <f>_xlfn.XLOOKUP(F170,BBDD!$S:$S,BBDD!$AO:$AO)</f>
        <v>16698151</v>
      </c>
      <c r="Q170" s="10">
        <f>_xlfn.XLOOKUP(F170,BBDD!$S:$S,BBDD!$AR:$AR)</f>
        <v>16698151</v>
      </c>
      <c r="R170" s="24" t="str">
        <f t="shared" si="7"/>
        <v>ROTACION BAJA</v>
      </c>
    </row>
    <row r="171" spans="1:18" ht="15" customHeight="1" x14ac:dyDescent="0.3">
      <c r="A171" s="21" t="s">
        <v>237</v>
      </c>
      <c r="B171" s="21" t="s">
        <v>65</v>
      </c>
      <c r="C171" s="20" t="s">
        <v>4738</v>
      </c>
      <c r="D171" s="20" t="s">
        <v>20</v>
      </c>
      <c r="E171" s="20">
        <v>2025</v>
      </c>
      <c r="F171" s="20" t="s">
        <v>10237</v>
      </c>
      <c r="G171" s="20">
        <v>46</v>
      </c>
      <c r="H171" s="20">
        <v>7991</v>
      </c>
      <c r="I171" s="19" t="s">
        <v>5142</v>
      </c>
      <c r="J171" s="11" t="str">
        <f t="shared" si="6"/>
        <v>C5C5 1.6 AUT2025</v>
      </c>
      <c r="K171" s="12"/>
      <c r="L171" s="10">
        <f>IFERROR(_xlfn.XLOOKUP(F171,'PRECIO TOMA HISTORICO '!$A:$A,'PRECIO TOMA HISTORICO '!$B:$B,_xlfn.XLOOKUP(F171,BBDD!$S:$S,BBDD!$AO:$AO,"",0,1),0,-1),"")</f>
        <v>13800000</v>
      </c>
      <c r="M171" s="9"/>
      <c r="N171" s="10">
        <f>_xlfn.XLOOKUP(F171,BBDD!$S:$S,BBDD!$AS:$AS)</f>
        <v>15290000</v>
      </c>
      <c r="O171" s="10">
        <f>IFERROR(VLOOKUP(F171,'PRECIO MERCADO'!D:E,2,0),"0")</f>
        <v>15300000</v>
      </c>
      <c r="P171" s="10">
        <f>_xlfn.XLOOKUP(F171,BBDD!$S:$S,BBDD!$AO:$AO)</f>
        <v>13800000</v>
      </c>
      <c r="Q171" s="10">
        <f>_xlfn.XLOOKUP(F171,BBDD!$S:$S,BBDD!$AR:$AR)</f>
        <v>14136240</v>
      </c>
      <c r="R171" s="24" t="str">
        <f t="shared" si="7"/>
        <v>ROTACION BAJA</v>
      </c>
    </row>
    <row r="172" spans="1:18" ht="15" customHeight="1" x14ac:dyDescent="0.3">
      <c r="A172" s="21" t="s">
        <v>237</v>
      </c>
      <c r="B172" s="21" t="s">
        <v>65</v>
      </c>
      <c r="C172" s="20" t="s">
        <v>11761</v>
      </c>
      <c r="D172" s="20" t="s">
        <v>16</v>
      </c>
      <c r="E172" s="20">
        <v>2026</v>
      </c>
      <c r="F172" s="20" t="s">
        <v>10870</v>
      </c>
      <c r="G172" s="20">
        <v>231</v>
      </c>
      <c r="H172" s="20">
        <v>4200</v>
      </c>
      <c r="I172" s="19" t="s">
        <v>8491</v>
      </c>
      <c r="J172" s="11" t="str">
        <f t="shared" si="6"/>
        <v>C5C5 1.6T 7DCT PRESTIGE2026</v>
      </c>
      <c r="K172" s="12"/>
      <c r="L172" s="10">
        <f>IFERROR(_xlfn.XLOOKUP(F172,'PRECIO TOMA HISTORICO '!$A:$A,'PRECIO TOMA HISTORICO '!$B:$B,_xlfn.XLOOKUP(F172,BBDD!$S:$S,BBDD!$AO:$AO,"",0,1),0,-1),"")</f>
        <v>15109916</v>
      </c>
      <c r="M172" s="9"/>
      <c r="N172" s="10">
        <f>_xlfn.XLOOKUP(F172,BBDD!$S:$S,BBDD!$AS:$AS)</f>
        <v>15490000</v>
      </c>
      <c r="O172" s="10">
        <f>IFERROR(VLOOKUP(F172,'PRECIO MERCADO'!D:E,2,0),"0")</f>
        <v>15500000</v>
      </c>
      <c r="P172" s="10">
        <f>_xlfn.XLOOKUP(F172,BBDD!$S:$S,BBDD!$AO:$AO)</f>
        <v>15109916</v>
      </c>
      <c r="Q172" s="10">
        <f>_xlfn.XLOOKUP(F172,BBDD!$S:$S,BBDD!$AR:$AR)</f>
        <v>15847074</v>
      </c>
      <c r="R172" s="24" t="str">
        <f t="shared" si="7"/>
        <v>LIQUIDAR</v>
      </c>
    </row>
    <row r="173" spans="1:18" ht="15" customHeight="1" x14ac:dyDescent="0.3">
      <c r="A173" s="21" t="s">
        <v>237</v>
      </c>
      <c r="B173" s="20" t="s">
        <v>3170</v>
      </c>
      <c r="C173" s="20" t="s">
        <v>11742</v>
      </c>
      <c r="D173" s="20" t="s">
        <v>16</v>
      </c>
      <c r="E173" s="20">
        <v>2026</v>
      </c>
      <c r="F173" s="20" t="s">
        <v>10868</v>
      </c>
      <c r="G173" s="20">
        <v>231</v>
      </c>
      <c r="H173" s="20">
        <v>4000</v>
      </c>
      <c r="I173" s="19" t="s">
        <v>8491</v>
      </c>
      <c r="J173" s="11" t="str">
        <f t="shared" si="6"/>
        <v>C7C7 1.6T DCT Prestige2026</v>
      </c>
      <c r="K173" s="12"/>
      <c r="L173" s="10">
        <f>IFERROR(_xlfn.XLOOKUP(F173,'PRECIO TOMA HISTORICO '!$A:$A,'PRECIO TOMA HISTORICO '!$B:$B,_xlfn.XLOOKUP(F173,BBDD!$S:$S,BBDD!$AO:$AO,"",0,1),0,-1),"")</f>
        <v>19572017</v>
      </c>
      <c r="M173" s="9"/>
      <c r="N173" s="10">
        <f>_xlfn.XLOOKUP(F173,BBDD!$S:$S,BBDD!$AS:$AS)</f>
        <v>19390000</v>
      </c>
      <c r="O173" s="10">
        <f>IFERROR(VLOOKUP(F173,'PRECIO MERCADO'!D:E,2,0),"0")</f>
        <v>19400000</v>
      </c>
      <c r="P173" s="10">
        <f>_xlfn.XLOOKUP(F173,BBDD!$S:$S,BBDD!$AO:$AO)</f>
        <v>19572017</v>
      </c>
      <c r="Q173" s="10">
        <f>_xlfn.XLOOKUP(F173,BBDD!$S:$S,BBDD!$AR:$AR)</f>
        <v>20326001</v>
      </c>
      <c r="R173" s="24" t="str">
        <f t="shared" si="7"/>
        <v>LIQUIDAR</v>
      </c>
    </row>
    <row r="174" spans="1:18" ht="15" customHeight="1" x14ac:dyDescent="0.3">
      <c r="A174" s="20" t="s">
        <v>2549</v>
      </c>
      <c r="B174" s="20" t="s">
        <v>7601</v>
      </c>
      <c r="C174" s="20" t="s">
        <v>8399</v>
      </c>
      <c r="D174" s="20" t="s">
        <v>8159</v>
      </c>
      <c r="E174" s="20">
        <v>2025</v>
      </c>
      <c r="F174" s="20" t="s">
        <v>3659</v>
      </c>
      <c r="G174" s="20">
        <v>174</v>
      </c>
      <c r="H174" s="20">
        <v>40200</v>
      </c>
      <c r="I174" s="19" t="s">
        <v>8149</v>
      </c>
      <c r="J174" s="11" t="str">
        <f t="shared" si="6"/>
        <v>COMBOCOMBO MCA 1.5 TD2025</v>
      </c>
      <c r="K174" s="12"/>
      <c r="L174" s="10">
        <f>IFERROR(_xlfn.XLOOKUP(F174,'PRECIO TOMA HISTORICO '!$A:$A,'PRECIO TOMA HISTORICO '!$B:$B,_xlfn.XLOOKUP(F174,BBDD!$S:$S,BBDD!$AO:$AO,"",0,1),0,-1),"")</f>
        <v>17140917</v>
      </c>
      <c r="M174" s="9"/>
      <c r="N174" s="10">
        <f>_xlfn.XLOOKUP(F174,BBDD!$S:$S,BBDD!$AS:$AS)</f>
        <v>16290000</v>
      </c>
      <c r="O174" s="10">
        <f>IFERROR(VLOOKUP(F174,'PRECIO MERCADO'!D:E,2,0),"0")</f>
        <v>14800000</v>
      </c>
      <c r="P174" s="10">
        <f>_xlfn.XLOOKUP(F174,BBDD!$S:$S,BBDD!$AO:$AO)</f>
        <v>17140917</v>
      </c>
      <c r="Q174" s="10">
        <f>_xlfn.XLOOKUP(F174,BBDD!$S:$S,BBDD!$AR:$AR)</f>
        <v>17782464</v>
      </c>
      <c r="R174" s="24" t="str">
        <f t="shared" si="7"/>
        <v>LIQUIDAR</v>
      </c>
    </row>
    <row r="175" spans="1:18" ht="15" customHeight="1" x14ac:dyDescent="0.3">
      <c r="A175" s="21" t="s">
        <v>2549</v>
      </c>
      <c r="B175" s="20" t="s">
        <v>4744</v>
      </c>
      <c r="C175" s="20" t="s">
        <v>4745</v>
      </c>
      <c r="D175" s="20" t="s">
        <v>40</v>
      </c>
      <c r="E175" s="20">
        <v>2021</v>
      </c>
      <c r="F175" s="20" t="s">
        <v>9680</v>
      </c>
      <c r="G175" s="20">
        <v>74</v>
      </c>
      <c r="H175" s="20">
        <v>46000</v>
      </c>
      <c r="I175" s="19" t="s">
        <v>5142</v>
      </c>
      <c r="J175" s="11" t="str">
        <f t="shared" si="6"/>
        <v>CROSSLANDCROSSLAND MT6 1.2T2021</v>
      </c>
      <c r="K175" s="12"/>
      <c r="L175" s="10">
        <f>IFERROR(_xlfn.XLOOKUP(F175,'PRECIO TOMA HISTORICO '!$A:$A,'PRECIO TOMA HISTORICO '!$B:$B,_xlfn.XLOOKUP(F175,BBDD!$S:$S,BBDD!$AO:$AO,"",0,1),0,-1),"")</f>
        <v>5000000</v>
      </c>
      <c r="M175" s="9"/>
      <c r="N175" s="10">
        <f>_xlfn.XLOOKUP(F175,BBDD!$S:$S,BBDD!$AS:$AS)</f>
        <v>8490000</v>
      </c>
      <c r="O175" s="10">
        <f>IFERROR(VLOOKUP(F175,'PRECIO MERCADO'!D:E,2,0),"0")</f>
        <v>9400000</v>
      </c>
      <c r="P175" s="10">
        <f>_xlfn.XLOOKUP(F175,BBDD!$S:$S,BBDD!$AO:$AO)</f>
        <v>5000000</v>
      </c>
      <c r="Q175" s="10">
        <f>_xlfn.XLOOKUP(F175,BBDD!$S:$S,BBDD!$AR:$AR)</f>
        <v>5204240</v>
      </c>
      <c r="R175" s="24" t="str">
        <f t="shared" si="7"/>
        <v>LIQUIDAR</v>
      </c>
    </row>
    <row r="176" spans="1:18" ht="15" customHeight="1" x14ac:dyDescent="0.3">
      <c r="A176" s="21" t="s">
        <v>2549</v>
      </c>
      <c r="B176" s="21" t="s">
        <v>4744</v>
      </c>
      <c r="C176" s="20" t="s">
        <v>11344</v>
      </c>
      <c r="D176" s="20" t="s">
        <v>8098</v>
      </c>
      <c r="E176" s="20">
        <v>2026</v>
      </c>
      <c r="F176" s="20" t="s">
        <v>11347</v>
      </c>
      <c r="G176" s="20">
        <v>322</v>
      </c>
      <c r="H176" s="20">
        <v>0</v>
      </c>
      <c r="I176" s="19" t="s">
        <v>8149</v>
      </c>
      <c r="J176" s="11" t="str">
        <f t="shared" si="6"/>
        <v>CROSSLANDNEW CROSSLAND GS 5P HYBRID 136 HP AT2026</v>
      </c>
      <c r="K176" s="12"/>
      <c r="L176" s="10">
        <f>IFERROR(_xlfn.XLOOKUP(F176,'PRECIO TOMA HISTORICO '!$A:$A,'PRECIO TOMA HISTORICO '!$B:$B,_xlfn.XLOOKUP(F176,BBDD!$S:$S,BBDD!$AO:$AO,"",0,1),0,-1),"")</f>
        <v>16573109</v>
      </c>
      <c r="M176" s="9"/>
      <c r="N176" s="10">
        <f>_xlfn.XLOOKUP(F176,BBDD!$S:$S,BBDD!$AS:$AS)</f>
        <v>20663866</v>
      </c>
      <c r="O176" s="10" t="str">
        <f>IFERROR(VLOOKUP(F176,'PRECIO MERCADO'!D:E,2,0),"0")</f>
        <v>0</v>
      </c>
      <c r="P176" s="10">
        <f>_xlfn.XLOOKUP(F176,BBDD!$S:$S,BBDD!$AO:$AO)</f>
        <v>16573109</v>
      </c>
      <c r="Q176" s="10">
        <f>_xlfn.XLOOKUP(F176,BBDD!$S:$S,BBDD!$AR:$AR)</f>
        <v>16895238</v>
      </c>
      <c r="R176" s="24" t="str">
        <f t="shared" si="7"/>
        <v>LIQUIDAR</v>
      </c>
    </row>
    <row r="177" spans="1:18" ht="15" customHeight="1" x14ac:dyDescent="0.3">
      <c r="A177" s="21" t="s">
        <v>2549</v>
      </c>
      <c r="B177" s="20" t="s">
        <v>4747</v>
      </c>
      <c r="C177" s="20" t="s">
        <v>4748</v>
      </c>
      <c r="D177" s="20" t="s">
        <v>26</v>
      </c>
      <c r="E177" s="20">
        <v>2020</v>
      </c>
      <c r="F177" s="20" t="s">
        <v>11602</v>
      </c>
      <c r="G177" s="20">
        <v>14</v>
      </c>
      <c r="H177" s="20">
        <v>22745</v>
      </c>
      <c r="I177" s="19" t="s">
        <v>5142</v>
      </c>
      <c r="J177" s="11" t="str">
        <f t="shared" si="6"/>
        <v>GRANDLANDGRANDLAND 1.6 AUT2020</v>
      </c>
      <c r="K177" s="12"/>
      <c r="L177" s="10">
        <f>IFERROR(_xlfn.XLOOKUP(F177,'PRECIO TOMA HISTORICO '!$A:$A,'PRECIO TOMA HISTORICO '!$B:$B,_xlfn.XLOOKUP(F177,BBDD!$S:$S,BBDD!$AO:$AO,"",0,1),0,-1),"")</f>
        <v>10300000</v>
      </c>
      <c r="M177" s="9"/>
      <c r="N177" s="10">
        <f>_xlfn.XLOOKUP(F177,BBDD!$S:$S,BBDD!$AS:$AS)</f>
        <v>11990000</v>
      </c>
      <c r="O177" s="10">
        <f>IFERROR(VLOOKUP(F177,'PRECIO MERCADO'!D:E,2,0),"0")</f>
        <v>13200000</v>
      </c>
      <c r="P177" s="10">
        <f>_xlfn.XLOOKUP(F177,BBDD!$S:$S,BBDD!$AO:$AO)</f>
        <v>10300000</v>
      </c>
      <c r="Q177" s="10">
        <f>_xlfn.XLOOKUP(F177,BBDD!$S:$S,BBDD!$AR:$AR)</f>
        <v>10583740</v>
      </c>
      <c r="R177" s="24" t="str">
        <f t="shared" si="7"/>
        <v>ROTACION ALTA</v>
      </c>
    </row>
    <row r="178" spans="1:18" ht="15" customHeight="1" x14ac:dyDescent="0.3">
      <c r="A178" s="21" t="s">
        <v>2549</v>
      </c>
      <c r="B178" s="20" t="s">
        <v>4750</v>
      </c>
      <c r="C178" s="20" t="s">
        <v>4752</v>
      </c>
      <c r="D178" s="20" t="s">
        <v>20</v>
      </c>
      <c r="E178" s="20">
        <v>2024</v>
      </c>
      <c r="F178" s="20" t="s">
        <v>9986</v>
      </c>
      <c r="G178" s="20">
        <v>14</v>
      </c>
      <c r="H178" s="20">
        <v>28000</v>
      </c>
      <c r="I178" s="19" t="s">
        <v>5142</v>
      </c>
      <c r="J178" s="11" t="str">
        <f t="shared" si="6"/>
        <v>MOKKAMOKKA 1.2T AUT2024</v>
      </c>
      <c r="K178" s="12"/>
      <c r="L178" s="10">
        <f>IFERROR(_xlfn.XLOOKUP(F178,'PRECIO TOMA HISTORICO '!$A:$A,'PRECIO TOMA HISTORICO '!$B:$B,_xlfn.XLOOKUP(F178,BBDD!$S:$S,BBDD!$AO:$AO,"",0,1),0,-1),"")</f>
        <v>11000000</v>
      </c>
      <c r="M178" s="9"/>
      <c r="N178" s="10">
        <f>_xlfn.XLOOKUP(F178,BBDD!$S:$S,BBDD!$AS:$AS)</f>
        <v>13990000</v>
      </c>
      <c r="O178" s="10">
        <f>IFERROR(VLOOKUP(F178,'PRECIO MERCADO'!D:E,2,0),"0")</f>
        <v>14700000</v>
      </c>
      <c r="P178" s="10">
        <f>_xlfn.XLOOKUP(F178,BBDD!$S:$S,BBDD!$AO:$AO)</f>
        <v>11800000</v>
      </c>
      <c r="Q178" s="10">
        <f>_xlfn.XLOOKUP(F178,BBDD!$S:$S,BBDD!$AR:$AR)</f>
        <v>12106240</v>
      </c>
      <c r="R178" s="24" t="str">
        <f t="shared" si="7"/>
        <v>ROTACION ALTA</v>
      </c>
    </row>
    <row r="179" spans="1:18" ht="15" customHeight="1" x14ac:dyDescent="0.3">
      <c r="A179" s="21" t="s">
        <v>2549</v>
      </c>
      <c r="B179" s="20" t="s">
        <v>3066</v>
      </c>
      <c r="C179" s="20" t="s">
        <v>11239</v>
      </c>
      <c r="D179" s="20" t="s">
        <v>8159</v>
      </c>
      <c r="E179" s="20">
        <v>2026</v>
      </c>
      <c r="F179" s="20" t="s">
        <v>11242</v>
      </c>
      <c r="G179" s="20">
        <v>368</v>
      </c>
      <c r="H179" s="20">
        <v>0</v>
      </c>
      <c r="I179" s="19" t="s">
        <v>8420</v>
      </c>
      <c r="J179" s="11" t="str">
        <f t="shared" si="6"/>
        <v>NEW CORSACorsa MCA Edition Gasolina 100HP AT2026</v>
      </c>
      <c r="K179" s="12"/>
      <c r="L179" s="10">
        <f>IFERROR(_xlfn.XLOOKUP(F179,'PRECIO TOMA HISTORICO '!$A:$A,'PRECIO TOMA HISTORICO '!$B:$B,_xlfn.XLOOKUP(F179,BBDD!$S:$S,BBDD!$AO:$AO,"",0,1),0,-1),"")</f>
        <v>13236975</v>
      </c>
      <c r="M179" s="9"/>
      <c r="N179" s="10">
        <f>_xlfn.XLOOKUP(F179,BBDD!$S:$S,BBDD!$AS:$AS)</f>
        <v>15705882</v>
      </c>
      <c r="O179" s="10" t="str">
        <f>IFERROR(VLOOKUP(F179,'PRECIO MERCADO'!D:E,2,0),"0")</f>
        <v>0</v>
      </c>
      <c r="P179" s="10">
        <f>_xlfn.XLOOKUP(F179,BBDD!$S:$S,BBDD!$AO:$AO)</f>
        <v>13236975</v>
      </c>
      <c r="Q179" s="10">
        <f>_xlfn.XLOOKUP(F179,BBDD!$S:$S,BBDD!$AR:$AR)</f>
        <v>13697612</v>
      </c>
      <c r="R179" s="24" t="str">
        <f t="shared" si="7"/>
        <v>LIQUIDAR</v>
      </c>
    </row>
    <row r="180" spans="1:18" ht="15" customHeight="1" x14ac:dyDescent="0.3">
      <c r="A180" s="21" t="s">
        <v>2549</v>
      </c>
      <c r="B180" s="21" t="s">
        <v>3066</v>
      </c>
      <c r="C180" s="20" t="s">
        <v>8387</v>
      </c>
      <c r="D180" s="20" t="s">
        <v>8159</v>
      </c>
      <c r="E180" s="20">
        <v>2026</v>
      </c>
      <c r="F180" s="20" t="s">
        <v>3739</v>
      </c>
      <c r="G180" s="20">
        <v>306</v>
      </c>
      <c r="H180" s="20">
        <v>3623</v>
      </c>
      <c r="I180" s="19" t="s">
        <v>8149</v>
      </c>
      <c r="J180" s="11" t="str">
        <f t="shared" si="6"/>
        <v>NEW CORSANEW CORSA MCA EDITION 1.2 MT52026</v>
      </c>
      <c r="K180" s="12"/>
      <c r="L180" s="10">
        <f>IFERROR(_xlfn.XLOOKUP(F180,'PRECIO TOMA HISTORICO '!$A:$A,'PRECIO TOMA HISTORICO '!$B:$B,_xlfn.XLOOKUP(F180,BBDD!$S:$S,BBDD!$AO:$AO,"",0,1),0,-1),"")</f>
        <v>12713277</v>
      </c>
      <c r="M180" s="9"/>
      <c r="N180" s="10">
        <f>_xlfn.XLOOKUP(F180,BBDD!$S:$S,BBDD!$AS:$AS)</f>
        <v>13990000</v>
      </c>
      <c r="O180" s="10">
        <f>IFERROR(VLOOKUP(F180,'PRECIO MERCADO'!D:E,2,0),"0")</f>
        <v>12400000</v>
      </c>
      <c r="P180" s="10">
        <f>_xlfn.XLOOKUP(F180,BBDD!$S:$S,BBDD!$AO:$AO)</f>
        <v>12713277</v>
      </c>
      <c r="Q180" s="10">
        <f>_xlfn.XLOOKUP(F180,BBDD!$S:$S,BBDD!$AR:$AR)</f>
        <v>13618617</v>
      </c>
      <c r="R180" s="24" t="str">
        <f t="shared" si="7"/>
        <v>LIQUIDAR</v>
      </c>
    </row>
    <row r="181" spans="1:18" ht="15" customHeight="1" x14ac:dyDescent="0.3">
      <c r="A181" s="21" t="s">
        <v>2549</v>
      </c>
      <c r="B181" s="20" t="s">
        <v>2655</v>
      </c>
      <c r="C181" s="20" t="s">
        <v>9774</v>
      </c>
      <c r="D181" s="20" t="s">
        <v>9526</v>
      </c>
      <c r="E181" s="20">
        <v>2026</v>
      </c>
      <c r="F181" s="20" t="s">
        <v>9777</v>
      </c>
      <c r="G181" s="20">
        <v>543</v>
      </c>
      <c r="H181" s="20">
        <v>0</v>
      </c>
      <c r="I181" s="19" t="s">
        <v>8149</v>
      </c>
      <c r="J181" s="11" t="str">
        <f t="shared" si="6"/>
        <v>NEW MOKKAMOKKA ELEGANCE 1.2T AT82026</v>
      </c>
      <c r="K181" s="12"/>
      <c r="L181" s="10">
        <f>IFERROR(_xlfn.XLOOKUP(F181,'PRECIO TOMA HISTORICO '!$A:$A,'PRECIO TOMA HISTORICO '!$B:$B,_xlfn.XLOOKUP(F181,BBDD!$S:$S,BBDD!$AO:$AO,"",0,1),0,-1),"")</f>
        <v>17738487</v>
      </c>
      <c r="M181" s="9"/>
      <c r="N181" s="10">
        <f>_xlfn.XLOOKUP(F181,BBDD!$S:$S,BBDD!$AS:$AS)</f>
        <v>19235294</v>
      </c>
      <c r="O181" s="10">
        <f>IFERROR(VLOOKUP(F181,'PRECIO MERCADO'!D:E,2,0),"0")</f>
        <v>15800000</v>
      </c>
      <c r="P181" s="10">
        <f>_xlfn.XLOOKUP(F181,BBDD!$S:$S,BBDD!$AO:$AO)</f>
        <v>17738487</v>
      </c>
      <c r="Q181" s="10">
        <f>_xlfn.XLOOKUP(F181,BBDD!$S:$S,BBDD!$AR:$AR)</f>
        <v>19104758</v>
      </c>
      <c r="R181" s="24" t="str">
        <f t="shared" si="7"/>
        <v>LIQUIDAR</v>
      </c>
    </row>
    <row r="182" spans="1:18" ht="15" customHeight="1" x14ac:dyDescent="0.3">
      <c r="A182" s="21" t="s">
        <v>2549</v>
      </c>
      <c r="B182" s="21" t="s">
        <v>2655</v>
      </c>
      <c r="C182" s="20" t="s">
        <v>8443</v>
      </c>
      <c r="D182" s="20" t="s">
        <v>8159</v>
      </c>
      <c r="E182" s="20">
        <v>2026</v>
      </c>
      <c r="F182" s="20" t="s">
        <v>3715</v>
      </c>
      <c r="G182" s="20">
        <v>162</v>
      </c>
      <c r="H182" s="20">
        <v>2705</v>
      </c>
      <c r="I182" s="19" t="s">
        <v>8420</v>
      </c>
      <c r="J182" s="11" t="str">
        <f t="shared" si="6"/>
        <v>NEW MOKKAMokka GS Gasolina 130HP AT2026</v>
      </c>
      <c r="K182" s="12"/>
      <c r="L182" s="10">
        <f>IFERROR(_xlfn.XLOOKUP(F182,'PRECIO TOMA HISTORICO '!$A:$A,'PRECIO TOMA HISTORICO '!$B:$B,_xlfn.XLOOKUP(F182,BBDD!$S:$S,BBDD!$AO:$AO,"",0,1),0,-1),"")</f>
        <v>16665547</v>
      </c>
      <c r="M182" s="9"/>
      <c r="N182" s="10">
        <f>_xlfn.XLOOKUP(F182,BBDD!$S:$S,BBDD!$AS:$AS)</f>
        <v>20915966</v>
      </c>
      <c r="O182" s="10">
        <f>IFERROR(VLOOKUP(F182,'PRECIO MERCADO'!D:E,2,0),"0")</f>
        <v>20500000</v>
      </c>
      <c r="P182" s="10">
        <f>_xlfn.XLOOKUP(F182,BBDD!$S:$S,BBDD!$AO:$AO)</f>
        <v>16665547</v>
      </c>
      <c r="Q182" s="10">
        <f>_xlfn.XLOOKUP(F182,BBDD!$S:$S,BBDD!$AR:$AR)</f>
        <v>17200643</v>
      </c>
      <c r="R182" s="24" t="str">
        <f t="shared" si="7"/>
        <v>LIQUIDAR</v>
      </c>
    </row>
    <row r="183" spans="1:18" ht="15" customHeight="1" x14ac:dyDescent="0.3">
      <c r="A183" s="20" t="s">
        <v>241</v>
      </c>
      <c r="B183" s="20" t="s">
        <v>4756</v>
      </c>
      <c r="C183" s="20" t="s">
        <v>4767</v>
      </c>
      <c r="D183" s="20" t="s">
        <v>16</v>
      </c>
      <c r="E183" s="20">
        <v>2021</v>
      </c>
      <c r="F183" s="20" t="s">
        <v>3614</v>
      </c>
      <c r="G183" s="20">
        <v>19</v>
      </c>
      <c r="H183" s="20">
        <v>102000</v>
      </c>
      <c r="I183" s="19" t="s">
        <v>5142</v>
      </c>
      <c r="J183" s="11" t="str">
        <f t="shared" si="6"/>
        <v>20082008 BLUE HDI 130 1.5 AUT2021</v>
      </c>
      <c r="K183" s="12"/>
      <c r="L183" s="10">
        <f>IFERROR(_xlfn.XLOOKUP(F183,'PRECIO TOMA HISTORICO '!$A:$A,'PRECIO TOMA HISTORICO '!$B:$B,_xlfn.XLOOKUP(F183,BBDD!$S:$S,BBDD!$AO:$AO,"",0,1),0,-1),"")</f>
        <v>10800000</v>
      </c>
      <c r="M183" s="9"/>
      <c r="N183" s="10">
        <f>_xlfn.XLOOKUP(F183,BBDD!$S:$S,BBDD!$AS:$AS)</f>
        <v>12490000</v>
      </c>
      <c r="O183" s="10">
        <f>IFERROR(VLOOKUP(F183,'PRECIO MERCADO'!D:E,2,0),"0")</f>
        <v>12200000</v>
      </c>
      <c r="P183" s="10">
        <f>_xlfn.XLOOKUP(F183,BBDD!$S:$S,BBDD!$AO:$AO)</f>
        <v>10800000</v>
      </c>
      <c r="Q183" s="10">
        <f>_xlfn.XLOOKUP(F183,BBDD!$S:$S,BBDD!$AR:$AR)</f>
        <v>11091240</v>
      </c>
      <c r="R183" s="24" t="str">
        <f t="shared" si="7"/>
        <v>ROTACION ALTA</v>
      </c>
    </row>
    <row r="184" spans="1:18" ht="15" customHeight="1" x14ac:dyDescent="0.3">
      <c r="A184" s="21" t="s">
        <v>241</v>
      </c>
      <c r="B184" s="21" t="s">
        <v>4756</v>
      </c>
      <c r="C184" s="20" t="s">
        <v>243</v>
      </c>
      <c r="D184" s="20" t="s">
        <v>16</v>
      </c>
      <c r="E184" s="20">
        <v>2021</v>
      </c>
      <c r="F184" s="20" t="s">
        <v>10894</v>
      </c>
      <c r="G184" s="20">
        <v>25</v>
      </c>
      <c r="H184" s="20">
        <v>20803</v>
      </c>
      <c r="I184" s="19" t="s">
        <v>5142</v>
      </c>
      <c r="J184" s="11" t="str">
        <f t="shared" si="6"/>
        <v>20082008 PURETECH 130 1.22021</v>
      </c>
      <c r="K184" s="12"/>
      <c r="L184" s="10">
        <f>IFERROR(_xlfn.XLOOKUP(F184,'PRECIO TOMA HISTORICO '!$A:$A,'PRECIO TOMA HISTORICO '!$B:$B,_xlfn.XLOOKUP(F184,BBDD!$S:$S,BBDD!$AO:$AO,"",0,1),0,-1),"")</f>
        <v>9300000</v>
      </c>
      <c r="M184" s="9"/>
      <c r="N184" s="10">
        <f>_xlfn.XLOOKUP(F184,BBDD!$S:$S,BBDD!$AS:$AS)</f>
        <v>11290000</v>
      </c>
      <c r="O184" s="10">
        <f>IFERROR(VLOOKUP(F184,'PRECIO MERCADO'!D:E,2,0),"0")</f>
        <v>11900000</v>
      </c>
      <c r="P184" s="10">
        <f>_xlfn.XLOOKUP(F184,BBDD!$S:$S,BBDD!$AO:$AO)</f>
        <v>9300000</v>
      </c>
      <c r="Q184" s="10">
        <f>_xlfn.XLOOKUP(F184,BBDD!$S:$S,BBDD!$AR:$AR)</f>
        <v>9568740</v>
      </c>
      <c r="R184" s="24" t="str">
        <f t="shared" si="7"/>
        <v>ROTACION ALTA</v>
      </c>
    </row>
    <row r="185" spans="1:18" ht="15" customHeight="1" x14ac:dyDescent="0.3">
      <c r="A185" s="21" t="s">
        <v>241</v>
      </c>
      <c r="B185" s="20" t="s">
        <v>4777</v>
      </c>
      <c r="C185" s="20" t="s">
        <v>4790</v>
      </c>
      <c r="D185" s="20" t="s">
        <v>16</v>
      </c>
      <c r="E185" s="20">
        <v>2024</v>
      </c>
      <c r="F185" s="20" t="s">
        <v>10737</v>
      </c>
      <c r="G185" s="20">
        <v>25</v>
      </c>
      <c r="H185" s="20">
        <v>21000</v>
      </c>
      <c r="I185" s="19" t="s">
        <v>5142</v>
      </c>
      <c r="J185" s="11" t="str">
        <f t="shared" si="6"/>
        <v>208208 STYLE PURETECH 75 1.22024</v>
      </c>
      <c r="K185" s="12"/>
      <c r="L185" s="10">
        <f>IFERROR(_xlfn.XLOOKUP(F185,'PRECIO TOMA HISTORICO '!$A:$A,'PRECIO TOMA HISTORICO '!$B:$B,_xlfn.XLOOKUP(F185,BBDD!$S:$S,BBDD!$AO:$AO,"",0,1),0,-1),"")</f>
        <v>7800000</v>
      </c>
      <c r="M185" s="9"/>
      <c r="N185" s="10">
        <f>_xlfn.XLOOKUP(F185,BBDD!$S:$S,BBDD!$AS:$AS)</f>
        <v>9290000</v>
      </c>
      <c r="O185" s="10">
        <f>IFERROR(VLOOKUP(F185,'PRECIO MERCADO'!D:E,2,0),"0")</f>
        <v>9200000</v>
      </c>
      <c r="P185" s="10">
        <f>_xlfn.XLOOKUP(F185,BBDD!$S:$S,BBDD!$AO:$AO)</f>
        <v>7800000</v>
      </c>
      <c r="Q185" s="10">
        <f>_xlfn.XLOOKUP(F185,BBDD!$S:$S,BBDD!$AR:$AR)</f>
        <v>8046240</v>
      </c>
      <c r="R185" s="24" t="str">
        <f t="shared" si="7"/>
        <v>ROTACION ALTA</v>
      </c>
    </row>
    <row r="186" spans="1:18" ht="15" customHeight="1" x14ac:dyDescent="0.3">
      <c r="A186" s="21" t="s">
        <v>241</v>
      </c>
      <c r="B186" s="20" t="s">
        <v>4791</v>
      </c>
      <c r="C186" s="20" t="s">
        <v>245</v>
      </c>
      <c r="D186" s="20" t="s">
        <v>40</v>
      </c>
      <c r="E186" s="20">
        <v>2018</v>
      </c>
      <c r="F186" s="20" t="s">
        <v>246</v>
      </c>
      <c r="G186" s="20">
        <v>256</v>
      </c>
      <c r="H186" s="20">
        <v>95984</v>
      </c>
      <c r="I186" s="19" t="s">
        <v>5142</v>
      </c>
      <c r="J186" s="11" t="str">
        <f t="shared" si="6"/>
        <v>30083008 ACTIVE 1.62018</v>
      </c>
      <c r="K186" s="12"/>
      <c r="L186" s="10">
        <f>IFERROR(_xlfn.XLOOKUP(F186,'PRECIO TOMA HISTORICO '!$A:$A,'PRECIO TOMA HISTORICO '!$B:$B,_xlfn.XLOOKUP(F186,BBDD!$S:$S,BBDD!$AO:$AO,"",0,1),0,-1),"")</f>
        <v>8800000</v>
      </c>
      <c r="M186" s="9"/>
      <c r="N186" s="10">
        <f>_xlfn.XLOOKUP(F186,BBDD!$S:$S,BBDD!$AS:$AS)</f>
        <v>10490000</v>
      </c>
      <c r="O186" s="10">
        <f>IFERROR(VLOOKUP(F186,'PRECIO MERCADO'!D:E,2,0),"0")</f>
        <v>12000000</v>
      </c>
      <c r="P186" s="10">
        <f>_xlfn.XLOOKUP(F186,BBDD!$S:$S,BBDD!$AO:$AO)</f>
        <v>8800000</v>
      </c>
      <c r="Q186" s="10">
        <f>_xlfn.XLOOKUP(F186,BBDD!$S:$S,BBDD!$AR:$AR)</f>
        <v>9058030</v>
      </c>
      <c r="R186" s="24" t="str">
        <f t="shared" si="7"/>
        <v>LIQUIDAR</v>
      </c>
    </row>
    <row r="187" spans="1:18" ht="15" customHeight="1" x14ac:dyDescent="0.3">
      <c r="A187" s="21" t="s">
        <v>241</v>
      </c>
      <c r="B187" s="21" t="s">
        <v>4791</v>
      </c>
      <c r="C187" s="20" t="s">
        <v>247</v>
      </c>
      <c r="D187" s="20" t="s">
        <v>20</v>
      </c>
      <c r="E187" s="20">
        <v>2026</v>
      </c>
      <c r="F187" s="20" t="s">
        <v>416</v>
      </c>
      <c r="G187" s="20">
        <v>13</v>
      </c>
      <c r="H187" s="20">
        <v>4500</v>
      </c>
      <c r="I187" s="19" t="s">
        <v>5142</v>
      </c>
      <c r="J187" s="11" t="str">
        <f t="shared" si="6"/>
        <v>30083008 ALLURE 1.2 AUT2026</v>
      </c>
      <c r="K187" s="12"/>
      <c r="L187" s="10">
        <f>IFERROR(_xlfn.XLOOKUP(F187,'PRECIO TOMA HISTORICO '!$A:$A,'PRECIO TOMA HISTORICO '!$B:$B,_xlfn.XLOOKUP(F187,BBDD!$S:$S,BBDD!$AO:$AO,"",0,1),0,-1),"")</f>
        <v>20500000</v>
      </c>
      <c r="M187" s="9"/>
      <c r="N187" s="10">
        <f>_xlfn.XLOOKUP(F187,BBDD!$S:$S,BBDD!$AS:$AS)</f>
        <v>23490000</v>
      </c>
      <c r="O187" s="10">
        <f>IFERROR(VLOOKUP(F187,'PRECIO MERCADO'!D:E,2,0),"0")</f>
        <v>24200000</v>
      </c>
      <c r="P187" s="10">
        <f>_xlfn.XLOOKUP(F187,BBDD!$S:$S,BBDD!$AO:$AO)</f>
        <v>20500000</v>
      </c>
      <c r="Q187" s="10">
        <f>_xlfn.XLOOKUP(F187,BBDD!$S:$S,BBDD!$AR:$AR)</f>
        <v>20500000</v>
      </c>
      <c r="R187" s="24" t="str">
        <f t="shared" si="7"/>
        <v>ROTACION ALTA</v>
      </c>
    </row>
    <row r="188" spans="1:18" ht="15" customHeight="1" x14ac:dyDescent="0.3">
      <c r="A188" s="21" t="s">
        <v>241</v>
      </c>
      <c r="B188" s="21" t="s">
        <v>4791</v>
      </c>
      <c r="C188" s="21" t="s">
        <v>247</v>
      </c>
      <c r="D188" s="20" t="s">
        <v>26</v>
      </c>
      <c r="E188" s="20">
        <v>2025</v>
      </c>
      <c r="F188" s="20" t="s">
        <v>248</v>
      </c>
      <c r="G188" s="20">
        <v>348</v>
      </c>
      <c r="H188" s="20">
        <v>4687</v>
      </c>
      <c r="I188" s="19" t="s">
        <v>5142</v>
      </c>
      <c r="J188" s="11" t="str">
        <f t="shared" si="6"/>
        <v>30083008 ALLURE 1.2 AUT2025</v>
      </c>
      <c r="K188" s="12"/>
      <c r="L188" s="10">
        <f>IFERROR(_xlfn.XLOOKUP(F188,'PRECIO TOMA HISTORICO '!$A:$A,'PRECIO TOMA HISTORICO '!$B:$B,_xlfn.XLOOKUP(F188,BBDD!$S:$S,BBDD!$AO:$AO,"",0,1),0,-1),"")</f>
        <v>28490000</v>
      </c>
      <c r="M188" s="9"/>
      <c r="N188" s="10">
        <f>_xlfn.XLOOKUP(F188,BBDD!$S:$S,BBDD!$AS:$AS)</f>
        <v>23890000</v>
      </c>
      <c r="O188" s="10">
        <f>IFERROR(VLOOKUP(F188,'PRECIO MERCADO'!D:E,2,0),"0")</f>
        <v>23900000</v>
      </c>
      <c r="P188" s="10">
        <f>_xlfn.XLOOKUP(F188,BBDD!$S:$S,BBDD!$AO:$AO)</f>
        <v>28490000</v>
      </c>
      <c r="Q188" s="10">
        <f>_xlfn.XLOOKUP(F188,BBDD!$S:$S,BBDD!$AR:$AR)</f>
        <v>29404223</v>
      </c>
      <c r="R188" s="24" t="str">
        <f t="shared" si="7"/>
        <v>LIQUIDAR</v>
      </c>
    </row>
    <row r="189" spans="1:18" ht="15" customHeight="1" x14ac:dyDescent="0.3">
      <c r="A189" s="21" t="s">
        <v>241</v>
      </c>
      <c r="B189" s="21" t="s">
        <v>4791</v>
      </c>
      <c r="C189" s="20" t="s">
        <v>8105</v>
      </c>
      <c r="D189" s="20" t="s">
        <v>40</v>
      </c>
      <c r="E189" s="20">
        <v>2018</v>
      </c>
      <c r="F189" s="20" t="s">
        <v>249</v>
      </c>
      <c r="G189" s="20">
        <v>1671</v>
      </c>
      <c r="H189" s="20">
        <v>120000</v>
      </c>
      <c r="I189" s="19" t="s">
        <v>5142</v>
      </c>
      <c r="J189" s="11" t="str">
        <f t="shared" si="6"/>
        <v>30083008 ALLURE 1.6 AT2018</v>
      </c>
      <c r="K189" s="12"/>
      <c r="L189" s="10">
        <f>IFERROR(_xlfn.XLOOKUP(F189,'PRECIO TOMA HISTORICO '!$A:$A,'PRECIO TOMA HISTORICO '!$B:$B,_xlfn.XLOOKUP(F189,BBDD!$S:$S,BBDD!$AO:$AO,"",0,1),0,-1),"")</f>
        <v>17650000</v>
      </c>
      <c r="M189" s="9"/>
      <c r="N189" s="10">
        <f>_xlfn.XLOOKUP(F189,BBDD!$S:$S,BBDD!$AS:$AS)</f>
        <v>14390000</v>
      </c>
      <c r="O189" s="10">
        <f>IFERROR(VLOOKUP(F189,'PRECIO MERCADO'!D:E,2,0),"0")</f>
        <v>12200000</v>
      </c>
      <c r="P189" s="10">
        <f>_xlfn.XLOOKUP(F189,BBDD!$S:$S,BBDD!$AO:$AO)</f>
        <v>17650000</v>
      </c>
      <c r="Q189" s="10">
        <f>_xlfn.XLOOKUP(F189,BBDD!$S:$S,BBDD!$AR:$AR)</f>
        <v>18403678</v>
      </c>
      <c r="R189" s="24" t="str">
        <f t="shared" si="7"/>
        <v>LIQUIDAR</v>
      </c>
    </row>
    <row r="190" spans="1:18" ht="15" customHeight="1" x14ac:dyDescent="0.3">
      <c r="A190" s="21" t="s">
        <v>241</v>
      </c>
      <c r="B190" s="21" t="s">
        <v>4791</v>
      </c>
      <c r="C190" s="20" t="s">
        <v>4799</v>
      </c>
      <c r="D190" s="20" t="s">
        <v>26</v>
      </c>
      <c r="E190" s="20">
        <v>2020</v>
      </c>
      <c r="F190" s="20" t="s">
        <v>10771</v>
      </c>
      <c r="G190" s="20">
        <v>35</v>
      </c>
      <c r="H190" s="20">
        <v>80213</v>
      </c>
      <c r="I190" s="19" t="s">
        <v>5142</v>
      </c>
      <c r="J190" s="11" t="str">
        <f t="shared" si="6"/>
        <v>30083008 ALLURE 1.6 AUT2020</v>
      </c>
      <c r="K190" s="12"/>
      <c r="L190" s="10">
        <f>IFERROR(_xlfn.XLOOKUP(F190,'PRECIO TOMA HISTORICO '!$A:$A,'PRECIO TOMA HISTORICO '!$B:$B,_xlfn.XLOOKUP(F190,BBDD!$S:$S,BBDD!$AO:$AO,"",0,1),0,-1),"")</f>
        <v>10350000</v>
      </c>
      <c r="M190" s="9"/>
      <c r="N190" s="10">
        <f>_xlfn.XLOOKUP(F190,BBDD!$S:$S,BBDD!$AS:$AS)</f>
        <v>12990000</v>
      </c>
      <c r="O190" s="10">
        <f>IFERROR(VLOOKUP(F190,'PRECIO MERCADO'!D:E,2,0),"0")</f>
        <v>13700000</v>
      </c>
      <c r="P190" s="10">
        <f>_xlfn.XLOOKUP(F190,BBDD!$S:$S,BBDD!$AO:$AO)</f>
        <v>10350000</v>
      </c>
      <c r="Q190" s="10">
        <f>_xlfn.XLOOKUP(F190,BBDD!$S:$S,BBDD!$AR:$AR)</f>
        <v>10350000</v>
      </c>
      <c r="R190" s="24" t="str">
        <f t="shared" si="7"/>
        <v>ROTACION BAJA</v>
      </c>
    </row>
    <row r="191" spans="1:18" ht="15" customHeight="1" x14ac:dyDescent="0.3">
      <c r="A191" s="21" t="s">
        <v>241</v>
      </c>
      <c r="B191" s="21" t="s">
        <v>4791</v>
      </c>
      <c r="C191" s="20" t="s">
        <v>4804</v>
      </c>
      <c r="D191" s="20" t="s">
        <v>16</v>
      </c>
      <c r="E191" s="20">
        <v>2022</v>
      </c>
      <c r="F191" s="20" t="s">
        <v>10952</v>
      </c>
      <c r="G191" s="20">
        <v>19</v>
      </c>
      <c r="H191" s="20">
        <v>72768</v>
      </c>
      <c r="I191" s="19" t="s">
        <v>5142</v>
      </c>
      <c r="J191" s="11" t="str">
        <f t="shared" si="6"/>
        <v>30083008 BLUE HDI 130 EAT8 1.5 AUT2022</v>
      </c>
      <c r="K191" s="12"/>
      <c r="L191" s="10">
        <f>IFERROR(_xlfn.XLOOKUP(F191,'PRECIO TOMA HISTORICO '!$A:$A,'PRECIO TOMA HISTORICO '!$B:$B,_xlfn.XLOOKUP(F191,BBDD!$S:$S,BBDD!$AO:$AO,"",0,1),0,-1),"")</f>
        <v>12850000</v>
      </c>
      <c r="M191" s="9"/>
      <c r="N191" s="10">
        <f>_xlfn.XLOOKUP(F191,BBDD!$S:$S,BBDD!$AS:$AS)</f>
        <v>14990000</v>
      </c>
      <c r="O191" s="10">
        <f>IFERROR(VLOOKUP(F191,'PRECIO MERCADO'!D:E,2,0),"0")</f>
        <v>16000000</v>
      </c>
      <c r="P191" s="10">
        <f>_xlfn.XLOOKUP(F191,BBDD!$S:$S,BBDD!$AO:$AO)</f>
        <v>12850000</v>
      </c>
      <c r="Q191" s="10">
        <f>_xlfn.XLOOKUP(F191,BBDD!$S:$S,BBDD!$AR:$AR)</f>
        <v>13171990</v>
      </c>
      <c r="R191" s="24" t="str">
        <f t="shared" si="7"/>
        <v>ROTACION ALTA</v>
      </c>
    </row>
    <row r="192" spans="1:18" ht="15" customHeight="1" x14ac:dyDescent="0.3">
      <c r="A192" s="21" t="s">
        <v>241</v>
      </c>
      <c r="B192" s="21" t="s">
        <v>4791</v>
      </c>
      <c r="C192" s="21" t="s">
        <v>4804</v>
      </c>
      <c r="D192" s="21" t="s">
        <v>16</v>
      </c>
      <c r="E192" s="20">
        <v>2023</v>
      </c>
      <c r="F192" s="20" t="s">
        <v>11517</v>
      </c>
      <c r="G192" s="20">
        <v>1</v>
      </c>
      <c r="H192" s="20">
        <v>65000</v>
      </c>
      <c r="I192" s="19" t="s">
        <v>5142</v>
      </c>
      <c r="J192" s="11" t="str">
        <f t="shared" ref="J192:J205" si="8">CONCATENATE(B192,C192,E192)</f>
        <v>30083008 BLUE HDI 130 EAT8 1.5 AUT2023</v>
      </c>
      <c r="K192" s="12"/>
      <c r="L192" s="10">
        <f>IFERROR(_xlfn.XLOOKUP(F192,'PRECIO TOMA HISTORICO '!$A:$A,'PRECIO TOMA HISTORICO '!$B:$B,_xlfn.XLOOKUP(F192,BBDD!$S:$S,BBDD!$AO:$AO,"",0,1),0,-1),"")</f>
        <v>13200000</v>
      </c>
      <c r="M192" s="9"/>
      <c r="N192" s="10">
        <f>_xlfn.XLOOKUP(F192,BBDD!$S:$S,BBDD!$AS:$AS)</f>
        <v>15790000</v>
      </c>
      <c r="O192" s="10">
        <f>IFERROR(VLOOKUP(F192,'PRECIO MERCADO'!D:E,2,0),"0")</f>
        <v>16900000</v>
      </c>
      <c r="P192" s="10">
        <f>_xlfn.XLOOKUP(F192,BBDD!$S:$S,BBDD!$AO:$AO)</f>
        <v>13200000</v>
      </c>
      <c r="Q192" s="10">
        <f>_xlfn.XLOOKUP(F192,BBDD!$S:$S,BBDD!$AR:$AR)</f>
        <v>13527240</v>
      </c>
      <c r="R192" s="24" t="str">
        <f t="shared" si="7"/>
        <v>ROTACION ALTA</v>
      </c>
    </row>
    <row r="193" spans="1:18" ht="15" customHeight="1" x14ac:dyDescent="0.3">
      <c r="A193" s="21" t="s">
        <v>241</v>
      </c>
      <c r="B193" s="21" t="s">
        <v>4791</v>
      </c>
      <c r="C193" s="21" t="s">
        <v>4804</v>
      </c>
      <c r="D193" s="21" t="s">
        <v>16</v>
      </c>
      <c r="E193" s="20">
        <v>2024</v>
      </c>
      <c r="F193" s="20" t="s">
        <v>3755</v>
      </c>
      <c r="G193" s="20">
        <v>46</v>
      </c>
      <c r="H193" s="20">
        <v>72000</v>
      </c>
      <c r="I193" s="19" t="s">
        <v>5142</v>
      </c>
      <c r="J193" s="11" t="str">
        <f t="shared" si="8"/>
        <v>30083008 BLUE HDI 130 EAT8 1.5 AUT2024</v>
      </c>
      <c r="K193" s="12"/>
      <c r="L193" s="10">
        <f>IFERROR(_xlfn.XLOOKUP(F193,'PRECIO TOMA HISTORICO '!$A:$A,'PRECIO TOMA HISTORICO '!$B:$B,_xlfn.XLOOKUP(F193,BBDD!$S:$S,BBDD!$AO:$AO,"",0,1),0,-1),"")</f>
        <v>14250000</v>
      </c>
      <c r="M193" s="9"/>
      <c r="N193" s="10">
        <f>_xlfn.XLOOKUP(F193,BBDD!$S:$S,BBDD!$AS:$AS)</f>
        <v>16990000</v>
      </c>
      <c r="O193" s="10">
        <f>IFERROR(VLOOKUP(F193,'PRECIO MERCADO'!D:E,2,0),"0")</f>
        <v>18800000</v>
      </c>
      <c r="P193" s="10">
        <f>_xlfn.XLOOKUP(F193,BBDD!$S:$S,BBDD!$AO:$AO)</f>
        <v>14250000</v>
      </c>
      <c r="Q193" s="10">
        <f>_xlfn.XLOOKUP(F193,BBDD!$S:$S,BBDD!$AR:$AR)</f>
        <v>14592990</v>
      </c>
      <c r="R193" s="24" t="str">
        <f t="shared" si="7"/>
        <v>ROTACION BAJA</v>
      </c>
    </row>
    <row r="194" spans="1:18" ht="15" customHeight="1" x14ac:dyDescent="0.3">
      <c r="A194" s="21" t="s">
        <v>241</v>
      </c>
      <c r="B194" s="21" t="s">
        <v>4791</v>
      </c>
      <c r="C194" s="20" t="s">
        <v>252</v>
      </c>
      <c r="D194" s="20" t="s">
        <v>40</v>
      </c>
      <c r="E194" s="20">
        <v>2020</v>
      </c>
      <c r="F194" s="20" t="s">
        <v>253</v>
      </c>
      <c r="G194" s="20">
        <v>1597</v>
      </c>
      <c r="H194" s="20">
        <v>31000</v>
      </c>
      <c r="I194" s="19" t="s">
        <v>5142</v>
      </c>
      <c r="J194" s="11" t="str">
        <f t="shared" si="8"/>
        <v>30083008 BLUE HDI HP 1.5 AUT2020</v>
      </c>
      <c r="K194" s="12"/>
      <c r="L194" s="10">
        <f>IFERROR(_xlfn.XLOOKUP(F194,'PRECIO TOMA HISTORICO '!$A:$A,'PRECIO TOMA HISTORICO '!$B:$B,_xlfn.XLOOKUP(F194,BBDD!$S:$S,BBDD!$AO:$AO,"",0,1),0,-1),"")</f>
        <v>20000000</v>
      </c>
      <c r="M194" s="9"/>
      <c r="N194" s="10">
        <f>_xlfn.XLOOKUP(F194,BBDD!$S:$S,BBDD!$AS:$AS)</f>
        <v>14990000</v>
      </c>
      <c r="O194" s="10">
        <f>IFERROR(VLOOKUP(F194,'PRECIO MERCADO'!D:E,2,0),"0")</f>
        <v>15000000</v>
      </c>
      <c r="P194" s="10">
        <f>_xlfn.XLOOKUP(F194,BBDD!$S:$S,BBDD!$AO:$AO)</f>
        <v>20000000</v>
      </c>
      <c r="Q194" s="10">
        <f>_xlfn.XLOOKUP(F194,BBDD!$S:$S,BBDD!$AR:$AR)</f>
        <v>21051072</v>
      </c>
      <c r="R194" s="24" t="str">
        <f t="shared" si="7"/>
        <v>LIQUIDAR</v>
      </c>
    </row>
    <row r="195" spans="1:18" ht="15" customHeight="1" x14ac:dyDescent="0.3">
      <c r="A195" s="21" t="s">
        <v>241</v>
      </c>
      <c r="B195" s="21" t="s">
        <v>4791</v>
      </c>
      <c r="C195" s="20" t="s">
        <v>254</v>
      </c>
      <c r="D195" s="20" t="s">
        <v>26</v>
      </c>
      <c r="E195" s="20">
        <v>2023</v>
      </c>
      <c r="F195" s="20" t="s">
        <v>255</v>
      </c>
      <c r="G195" s="20">
        <v>350</v>
      </c>
      <c r="H195" s="20">
        <v>45360</v>
      </c>
      <c r="I195" s="19" t="s">
        <v>5142</v>
      </c>
      <c r="J195" s="11" t="str">
        <f t="shared" si="8"/>
        <v>30083008 PURETECH 1.2L2023</v>
      </c>
      <c r="K195" s="12"/>
      <c r="L195" s="10">
        <f>IFERROR(_xlfn.XLOOKUP(F195,'PRECIO TOMA HISTORICO '!$A:$A,'PRECIO TOMA HISTORICO '!$B:$B,_xlfn.XLOOKUP(F195,BBDD!$S:$S,BBDD!$AO:$AO,"",0,1),0,-1),"")</f>
        <v>12100000</v>
      </c>
      <c r="M195" s="9"/>
      <c r="N195" s="10">
        <f>_xlfn.XLOOKUP(F195,BBDD!$S:$S,BBDD!$AS:$AS)</f>
        <v>12990000</v>
      </c>
      <c r="O195" s="10">
        <f>IFERROR(VLOOKUP(F195,'PRECIO MERCADO'!D:E,2,0),"0")</f>
        <v>14500000</v>
      </c>
      <c r="P195" s="10">
        <f>_xlfn.XLOOKUP(F195,BBDD!$S:$S,BBDD!$AO:$AO)</f>
        <v>12100000</v>
      </c>
      <c r="Q195" s="10">
        <f>_xlfn.XLOOKUP(F195,BBDD!$S:$S,BBDD!$AR:$AR)</f>
        <v>12407530</v>
      </c>
      <c r="R195" s="24" t="str">
        <f t="shared" ref="R195:R220" si="9">IF(G195&lt;=30,"ROTACION ALTA",IF(G195&lt;30,"ROTACION MEDIA",IF(G195&lt;60,"ROTACION BAJA",IF(G195&gt;60,"LIQUIDAR"))))</f>
        <v>LIQUIDAR</v>
      </c>
    </row>
    <row r="196" spans="1:18" ht="15" customHeight="1" x14ac:dyDescent="0.3">
      <c r="A196" s="21" t="s">
        <v>241</v>
      </c>
      <c r="B196" s="21" t="s">
        <v>4791</v>
      </c>
      <c r="C196" s="20" t="s">
        <v>258</v>
      </c>
      <c r="D196" s="20" t="s">
        <v>26</v>
      </c>
      <c r="E196" s="20">
        <v>2023</v>
      </c>
      <c r="F196" s="20" t="s">
        <v>259</v>
      </c>
      <c r="G196" s="20">
        <v>290</v>
      </c>
      <c r="H196" s="20">
        <v>25000</v>
      </c>
      <c r="I196" s="19" t="s">
        <v>5142</v>
      </c>
      <c r="J196" s="11" t="str">
        <f t="shared" si="8"/>
        <v>30083008 THP 165HP 1.6 AUT2023</v>
      </c>
      <c r="K196" s="12"/>
      <c r="L196" s="10">
        <f>IFERROR(_xlfn.XLOOKUP(F196,'PRECIO TOMA HISTORICO '!$A:$A,'PRECIO TOMA HISTORICO '!$B:$B,_xlfn.XLOOKUP(F196,BBDD!$S:$S,BBDD!$AO:$AO,"",0,1),0,-1),"")</f>
        <v>16000000</v>
      </c>
      <c r="M196" s="9"/>
      <c r="N196" s="10">
        <f>_xlfn.XLOOKUP(F196,BBDD!$S:$S,BBDD!$AS:$AS)</f>
        <v>16490000</v>
      </c>
      <c r="O196" s="10">
        <f>IFERROR(VLOOKUP(F196,'PRECIO MERCADO'!D:E,2,0),"0")</f>
        <v>18200000</v>
      </c>
      <c r="P196" s="10">
        <f>_xlfn.XLOOKUP(F196,BBDD!$S:$S,BBDD!$AO:$AO)</f>
        <v>16000000</v>
      </c>
      <c r="Q196" s="10">
        <f>_xlfn.XLOOKUP(F196,BBDD!$S:$S,BBDD!$AR:$AR)</f>
        <v>16366030</v>
      </c>
      <c r="R196" s="24" t="str">
        <f t="shared" si="9"/>
        <v>LIQUIDAR</v>
      </c>
    </row>
    <row r="197" spans="1:18" ht="15" customHeight="1" x14ac:dyDescent="0.3">
      <c r="A197" s="21" t="s">
        <v>241</v>
      </c>
      <c r="B197" s="21" t="s">
        <v>4791</v>
      </c>
      <c r="C197" s="21" t="s">
        <v>258</v>
      </c>
      <c r="D197" s="21" t="s">
        <v>26</v>
      </c>
      <c r="E197" s="21">
        <v>2023</v>
      </c>
      <c r="F197" s="20" t="s">
        <v>261</v>
      </c>
      <c r="G197" s="20">
        <v>162</v>
      </c>
      <c r="H197" s="20">
        <v>63000</v>
      </c>
      <c r="I197" s="19" t="s">
        <v>5142</v>
      </c>
      <c r="J197" s="11" t="str">
        <f t="shared" si="8"/>
        <v>30083008 THP 165HP 1.6 AUT2023</v>
      </c>
      <c r="K197" s="12"/>
      <c r="L197" s="10">
        <f>IFERROR(_xlfn.XLOOKUP(F197,'PRECIO TOMA HISTORICO '!$A:$A,'PRECIO TOMA HISTORICO '!$B:$B,_xlfn.XLOOKUP(F197,BBDD!$S:$S,BBDD!$AO:$AO,"",0,1),0,-1),"")</f>
        <v>14000000</v>
      </c>
      <c r="M197" s="9"/>
      <c r="N197" s="10">
        <f>_xlfn.XLOOKUP(F197,BBDD!$S:$S,BBDD!$AS:$AS)</f>
        <v>15490000</v>
      </c>
      <c r="O197" s="10">
        <f>IFERROR(VLOOKUP(F197,'PRECIO MERCADO'!D:E,2,0),"0")</f>
        <v>17700000</v>
      </c>
      <c r="P197" s="10">
        <f>_xlfn.XLOOKUP(F197,BBDD!$S:$S,BBDD!$AO:$AO)</f>
        <v>14000000</v>
      </c>
      <c r="Q197" s="10">
        <f>_xlfn.XLOOKUP(F197,BBDD!$S:$S,BBDD!$AR:$AR)</f>
        <v>14339240</v>
      </c>
      <c r="R197" s="24" t="str">
        <f t="shared" si="9"/>
        <v>LIQUIDAR</v>
      </c>
    </row>
    <row r="198" spans="1:18" ht="15" customHeight="1" x14ac:dyDescent="0.3">
      <c r="A198" s="21" t="s">
        <v>241</v>
      </c>
      <c r="B198" s="20" t="s">
        <v>4827</v>
      </c>
      <c r="C198" s="20" t="s">
        <v>262</v>
      </c>
      <c r="D198" s="20" t="s">
        <v>26</v>
      </c>
      <c r="E198" s="20">
        <v>2021</v>
      </c>
      <c r="F198" s="20" t="s">
        <v>263</v>
      </c>
      <c r="G198" s="20">
        <v>169</v>
      </c>
      <c r="H198" s="20">
        <v>77000</v>
      </c>
      <c r="I198" s="19" t="s">
        <v>5142</v>
      </c>
      <c r="J198" s="11" t="str">
        <f t="shared" si="8"/>
        <v>50085008 BLUEHDI 130 1.5 AUT2021</v>
      </c>
      <c r="K198" s="12"/>
      <c r="L198" s="10">
        <f>IFERROR(_xlfn.XLOOKUP(F198,'PRECIO TOMA HISTORICO '!$A:$A,'PRECIO TOMA HISTORICO '!$B:$B,_xlfn.XLOOKUP(F198,BBDD!$S:$S,BBDD!$AO:$AO,"",0,1),0,-1),"")</f>
        <v>14600000</v>
      </c>
      <c r="M198" s="9"/>
      <c r="N198" s="10">
        <f>_xlfn.XLOOKUP(F198,BBDD!$S:$S,BBDD!$AS:$AS)</f>
        <v>15490000</v>
      </c>
      <c r="O198" s="10">
        <f>IFERROR(VLOOKUP(F198,'PRECIO MERCADO'!D:E,2,0),"0")</f>
        <v>17800000</v>
      </c>
      <c r="P198" s="10">
        <f>_xlfn.XLOOKUP(F198,BBDD!$S:$S,BBDD!$AO:$AO)</f>
        <v>14600000</v>
      </c>
      <c r="Q198" s="10">
        <f>_xlfn.XLOOKUP(F198,BBDD!$S:$S,BBDD!$AR:$AR)</f>
        <v>14948240</v>
      </c>
      <c r="R198" s="24" t="str">
        <f t="shared" si="9"/>
        <v>LIQUIDAR</v>
      </c>
    </row>
    <row r="199" spans="1:18" ht="15" customHeight="1" x14ac:dyDescent="0.3">
      <c r="A199" s="21" t="s">
        <v>241</v>
      </c>
      <c r="B199" s="21" t="s">
        <v>4827</v>
      </c>
      <c r="C199" s="21" t="s">
        <v>262</v>
      </c>
      <c r="D199" s="21" t="s">
        <v>26</v>
      </c>
      <c r="E199" s="20">
        <v>2023</v>
      </c>
      <c r="F199" s="20" t="s">
        <v>264</v>
      </c>
      <c r="G199" s="20">
        <v>306</v>
      </c>
      <c r="H199" s="20">
        <v>66999</v>
      </c>
      <c r="I199" s="19" t="s">
        <v>5142</v>
      </c>
      <c r="J199" s="11" t="str">
        <f t="shared" si="8"/>
        <v>50085008 BLUEHDI 130 1.5 AUT2023</v>
      </c>
      <c r="K199" s="12"/>
      <c r="L199" s="10">
        <f>IFERROR(_xlfn.XLOOKUP(F199,'PRECIO TOMA HISTORICO '!$A:$A,'PRECIO TOMA HISTORICO '!$B:$B,_xlfn.XLOOKUP(F199,BBDD!$S:$S,BBDD!$AO:$AO,"",0,1),0,-1),"")</f>
        <v>19800000</v>
      </c>
      <c r="M199" s="9"/>
      <c r="N199" s="10">
        <f>_xlfn.XLOOKUP(F199,BBDD!$S:$S,BBDD!$AS:$AS)</f>
        <v>20990000</v>
      </c>
      <c r="O199" s="10">
        <f>IFERROR(VLOOKUP(F199,'PRECIO MERCADO'!D:E,2,0),"0")</f>
        <v>23600000</v>
      </c>
      <c r="P199" s="10">
        <f>_xlfn.XLOOKUP(F199,BBDD!$S:$S,BBDD!$AO:$AO)</f>
        <v>19800000</v>
      </c>
      <c r="Q199" s="10">
        <f>_xlfn.XLOOKUP(F199,BBDD!$S:$S,BBDD!$AR:$AR)</f>
        <v>20223030</v>
      </c>
      <c r="R199" s="24" t="str">
        <f t="shared" si="9"/>
        <v>LIQUIDAR</v>
      </c>
    </row>
    <row r="200" spans="1:18" ht="15" customHeight="1" x14ac:dyDescent="0.3">
      <c r="A200" s="21" t="s">
        <v>241</v>
      </c>
      <c r="B200" s="21" t="s">
        <v>4827</v>
      </c>
      <c r="C200" s="21" t="s">
        <v>262</v>
      </c>
      <c r="D200" s="21" t="s">
        <v>26</v>
      </c>
      <c r="E200" s="21">
        <v>2023</v>
      </c>
      <c r="F200" s="20" t="s">
        <v>9768</v>
      </c>
      <c r="G200" s="20">
        <v>64</v>
      </c>
      <c r="H200" s="20">
        <v>47000</v>
      </c>
      <c r="I200" s="19" t="s">
        <v>5142</v>
      </c>
      <c r="J200" s="11" t="str">
        <f t="shared" si="8"/>
        <v>50085008 BLUEHDI 130 1.5 AUT2023</v>
      </c>
      <c r="K200" s="12"/>
      <c r="L200" s="10">
        <f>IFERROR(_xlfn.XLOOKUP(F200,'PRECIO TOMA HISTORICO '!$A:$A,'PRECIO TOMA HISTORICO '!$B:$B,_xlfn.XLOOKUP(F200,BBDD!$S:$S,BBDD!$AO:$AO,"",0,1),0,-1),"")</f>
        <v>18200000</v>
      </c>
      <c r="M200" s="9"/>
      <c r="N200" s="10">
        <f>_xlfn.XLOOKUP(F200,BBDD!$S:$S,BBDD!$AS:$AS)</f>
        <v>21490000</v>
      </c>
      <c r="O200" s="10">
        <f>IFERROR(VLOOKUP(F200,'PRECIO MERCADO'!D:E,2,0),"0")</f>
        <v>23100000</v>
      </c>
      <c r="P200" s="10">
        <f>_xlfn.XLOOKUP(F200,BBDD!$S:$S,BBDD!$AO:$AO)</f>
        <v>18000000</v>
      </c>
      <c r="Q200" s="10">
        <f>_xlfn.XLOOKUP(F200,BBDD!$S:$S,BBDD!$AR:$AR)</f>
        <v>18399240</v>
      </c>
      <c r="R200" s="24" t="str">
        <f t="shared" si="9"/>
        <v>LIQUIDAR</v>
      </c>
    </row>
    <row r="201" spans="1:18" ht="15" customHeight="1" x14ac:dyDescent="0.3">
      <c r="A201" s="21" t="s">
        <v>241</v>
      </c>
      <c r="B201" s="21" t="s">
        <v>4827</v>
      </c>
      <c r="C201" s="21" t="s">
        <v>262</v>
      </c>
      <c r="D201" s="21" t="s">
        <v>26</v>
      </c>
      <c r="E201" s="20">
        <v>2025</v>
      </c>
      <c r="F201" s="20" t="s">
        <v>265</v>
      </c>
      <c r="G201" s="20">
        <v>167</v>
      </c>
      <c r="H201" s="20">
        <v>20000</v>
      </c>
      <c r="I201" s="19" t="s">
        <v>5142</v>
      </c>
      <c r="J201" s="11" t="str">
        <f t="shared" si="8"/>
        <v>50085008 BLUEHDI 130 1.5 AUT2025</v>
      </c>
      <c r="K201" s="12"/>
      <c r="L201" s="10">
        <f>IFERROR(_xlfn.XLOOKUP(F201,'PRECIO TOMA HISTORICO '!$A:$A,'PRECIO TOMA HISTORICO '!$B:$B,_xlfn.XLOOKUP(F201,BBDD!$S:$S,BBDD!$AO:$AO,"",0,1),0,-1),"")</f>
        <v>23500000</v>
      </c>
      <c r="M201" s="9"/>
      <c r="N201" s="10">
        <f>_xlfn.XLOOKUP(F201,BBDD!$S:$S,BBDD!$AS:$AS)</f>
        <v>24990000</v>
      </c>
      <c r="O201" s="10">
        <f>IFERROR(VLOOKUP(F201,'PRECIO MERCADO'!D:E,2,0),"0")</f>
        <v>27400000</v>
      </c>
      <c r="P201" s="10">
        <f>_xlfn.XLOOKUP(F201,BBDD!$S:$S,BBDD!$AO:$AO)</f>
        <v>23500000</v>
      </c>
      <c r="Q201" s="10">
        <f>_xlfn.XLOOKUP(F201,BBDD!$S:$S,BBDD!$AR:$AR)</f>
        <v>23981740</v>
      </c>
      <c r="R201" s="24" t="str">
        <f t="shared" si="9"/>
        <v>LIQUIDAR</v>
      </c>
    </row>
    <row r="202" spans="1:18" ht="15" customHeight="1" x14ac:dyDescent="0.3">
      <c r="A202" s="21" t="s">
        <v>241</v>
      </c>
      <c r="B202" s="21" t="s">
        <v>4827</v>
      </c>
      <c r="C202" s="20" t="s">
        <v>11462</v>
      </c>
      <c r="D202" s="20" t="s">
        <v>16</v>
      </c>
      <c r="E202" s="20">
        <v>2026</v>
      </c>
      <c r="F202" s="20" t="s">
        <v>10006</v>
      </c>
      <c r="G202" s="20">
        <v>13</v>
      </c>
      <c r="H202" s="20">
        <v>11659</v>
      </c>
      <c r="I202" s="19" t="s">
        <v>5142</v>
      </c>
      <c r="J202" s="11" t="str">
        <f t="shared" si="8"/>
        <v>50085008 MHEV 1.2 AUT2026</v>
      </c>
      <c r="K202" s="12"/>
      <c r="L202" s="10">
        <f>IFERROR(_xlfn.XLOOKUP(F202,'PRECIO TOMA HISTORICO '!$A:$A,'PRECIO TOMA HISTORICO '!$B:$B,_xlfn.XLOOKUP(F202,BBDD!$S:$S,BBDD!$AO:$AO,"",0,1),0,-1),"")</f>
        <v>23500000</v>
      </c>
      <c r="M202" s="9"/>
      <c r="N202" s="10">
        <f>_xlfn.XLOOKUP(F202,BBDD!$S:$S,BBDD!$AS:$AS)</f>
        <v>26990000</v>
      </c>
      <c r="O202" s="10">
        <f>IFERROR(VLOOKUP(F202,'PRECIO MERCADO'!D:E,2,0),"0")</f>
        <v>28800000</v>
      </c>
      <c r="P202" s="10">
        <f>_xlfn.XLOOKUP(F202,BBDD!$S:$S,BBDD!$AO:$AO)</f>
        <v>23200000</v>
      </c>
      <c r="Q202" s="10">
        <f>_xlfn.XLOOKUP(F202,BBDD!$S:$S,BBDD!$AR:$AR)</f>
        <v>23200000</v>
      </c>
      <c r="R202" s="24" t="str">
        <f t="shared" si="9"/>
        <v>ROTACION ALTA</v>
      </c>
    </row>
    <row r="203" spans="1:18" ht="15" customHeight="1" x14ac:dyDescent="0.3">
      <c r="A203" s="21" t="s">
        <v>241</v>
      </c>
      <c r="B203" s="21" t="s">
        <v>4827</v>
      </c>
      <c r="C203" s="20" t="s">
        <v>10070</v>
      </c>
      <c r="D203" s="20" t="s">
        <v>16</v>
      </c>
      <c r="E203" s="20">
        <v>2020</v>
      </c>
      <c r="F203" s="20" t="s">
        <v>9702</v>
      </c>
      <c r="G203" s="20">
        <v>63</v>
      </c>
      <c r="H203" s="20">
        <v>55000</v>
      </c>
      <c r="I203" s="19" t="s">
        <v>5142</v>
      </c>
      <c r="J203" s="11" t="str">
        <f t="shared" si="8"/>
        <v>50085008 PURETECH 180 1.6 AUT2020</v>
      </c>
      <c r="K203" s="12"/>
      <c r="L203" s="10">
        <f>IFERROR(_xlfn.XLOOKUP(F203,'PRECIO TOMA HISTORICO '!$A:$A,'PRECIO TOMA HISTORICO '!$B:$B,_xlfn.XLOOKUP(F203,BBDD!$S:$S,BBDD!$AO:$AO,"",0,1),0,-1),"")</f>
        <v>12600000</v>
      </c>
      <c r="M203" s="9"/>
      <c r="N203" s="10">
        <f>_xlfn.XLOOKUP(F203,BBDD!$S:$S,BBDD!$AS:$AS)</f>
        <v>15990000</v>
      </c>
      <c r="O203" s="10">
        <f>IFERROR(VLOOKUP(F203,'PRECIO MERCADO'!D:E,2,0),"0")</f>
        <v>17000000</v>
      </c>
      <c r="P203" s="10">
        <f>_xlfn.XLOOKUP(F203,BBDD!$S:$S,BBDD!$AO:$AO)</f>
        <v>12600000</v>
      </c>
      <c r="Q203" s="10">
        <f>_xlfn.XLOOKUP(F203,BBDD!$S:$S,BBDD!$AR:$AR)</f>
        <v>12918240</v>
      </c>
      <c r="R203" s="24" t="str">
        <f t="shared" si="9"/>
        <v>LIQUIDAR</v>
      </c>
    </row>
    <row r="204" spans="1:18" ht="15" customHeight="1" x14ac:dyDescent="0.3">
      <c r="A204" s="21" t="s">
        <v>241</v>
      </c>
      <c r="B204" s="21" t="s">
        <v>4827</v>
      </c>
      <c r="C204" s="20" t="s">
        <v>266</v>
      </c>
      <c r="D204" s="20" t="s">
        <v>26</v>
      </c>
      <c r="E204" s="20">
        <v>2023</v>
      </c>
      <c r="F204" s="20" t="s">
        <v>267</v>
      </c>
      <c r="G204" s="20">
        <v>222</v>
      </c>
      <c r="H204" s="20">
        <v>76000</v>
      </c>
      <c r="I204" s="19" t="s">
        <v>5142</v>
      </c>
      <c r="J204" s="11" t="str">
        <f t="shared" si="8"/>
        <v>50085008 PURETECH 180 EAT8 1.6 AUT2023</v>
      </c>
      <c r="K204" s="12"/>
      <c r="L204" s="10">
        <f>IFERROR(_xlfn.XLOOKUP(F204,'PRECIO TOMA HISTORICO '!$A:$A,'PRECIO TOMA HISTORICO '!$B:$B,_xlfn.XLOOKUP(F204,BBDD!$S:$S,BBDD!$AO:$AO,"",0,1),0,-1),"")</f>
        <v>16500000</v>
      </c>
      <c r="M204" s="9"/>
      <c r="N204" s="10">
        <f>_xlfn.XLOOKUP(F204,BBDD!$S:$S,BBDD!$AS:$AS)</f>
        <v>17990000</v>
      </c>
      <c r="O204" s="10">
        <f>IFERROR(VLOOKUP(F204,'PRECIO MERCADO'!D:E,2,0),"0")</f>
        <v>22800000</v>
      </c>
      <c r="P204" s="10">
        <f>_xlfn.XLOOKUP(F204,BBDD!$S:$S,BBDD!$AO:$AO)</f>
        <v>16500000</v>
      </c>
      <c r="Q204" s="10">
        <f>_xlfn.XLOOKUP(F204,BBDD!$S:$S,BBDD!$AR:$AR)</f>
        <v>16873530</v>
      </c>
      <c r="R204" s="24" t="str">
        <f t="shared" si="9"/>
        <v>LIQUIDAR</v>
      </c>
    </row>
    <row r="205" spans="1:18" ht="15" customHeight="1" x14ac:dyDescent="0.3">
      <c r="A205" s="21" t="s">
        <v>241</v>
      </c>
      <c r="B205" s="21" t="s">
        <v>4827</v>
      </c>
      <c r="C205" s="21" t="s">
        <v>266</v>
      </c>
      <c r="D205" s="20" t="s">
        <v>16</v>
      </c>
      <c r="E205" s="20">
        <v>2022</v>
      </c>
      <c r="F205" s="20" t="s">
        <v>619</v>
      </c>
      <c r="G205" s="20">
        <v>46</v>
      </c>
      <c r="H205" s="20">
        <v>44332</v>
      </c>
      <c r="I205" s="19" t="s">
        <v>5142</v>
      </c>
      <c r="J205" s="11" t="str">
        <f t="shared" si="8"/>
        <v>50085008 PURETECH 180 EAT8 1.6 AUT2022</v>
      </c>
      <c r="K205" s="12"/>
      <c r="L205" s="10">
        <f>IFERROR(_xlfn.XLOOKUP(F205,'PRECIO TOMA HISTORICO '!$A:$A,'PRECIO TOMA HISTORICO '!$B:$B,_xlfn.XLOOKUP(F205,BBDD!$S:$S,BBDD!$AO:$AO,"",0,1),0,-1),"")</f>
        <v>18000000</v>
      </c>
      <c r="M205" s="9"/>
      <c r="N205" s="10">
        <f>_xlfn.XLOOKUP(F205,BBDD!$S:$S,BBDD!$AS:$AS)</f>
        <v>18990000</v>
      </c>
      <c r="O205" s="10">
        <f>IFERROR(VLOOKUP(F205,'PRECIO MERCADO'!D:E,2,0),"0")</f>
        <v>22000000</v>
      </c>
      <c r="P205" s="10">
        <f>_xlfn.XLOOKUP(F205,BBDD!$S:$S,BBDD!$AO:$AO)</f>
        <v>15900000</v>
      </c>
      <c r="Q205" s="10">
        <f>_xlfn.XLOOKUP(F205,BBDD!$S:$S,BBDD!$AR:$AR)</f>
        <v>16267740</v>
      </c>
      <c r="R205" s="24" t="str">
        <f t="shared" si="9"/>
        <v>ROTACION BAJA</v>
      </c>
    </row>
    <row r="206" spans="1:18" ht="15" customHeight="1" x14ac:dyDescent="0.3">
      <c r="A206" s="21" t="s">
        <v>241</v>
      </c>
      <c r="B206" s="20" t="s">
        <v>8469</v>
      </c>
      <c r="C206" s="20" t="s">
        <v>8470</v>
      </c>
      <c r="D206" s="20" t="s">
        <v>40</v>
      </c>
      <c r="E206" s="20">
        <v>2026</v>
      </c>
      <c r="F206" s="20" t="s">
        <v>532</v>
      </c>
      <c r="G206" s="20">
        <v>286</v>
      </c>
      <c r="H206" s="20">
        <v>2700</v>
      </c>
      <c r="I206" s="19" t="s">
        <v>8420</v>
      </c>
      <c r="J206" s="11" t="str">
        <f t="shared" ref="J206:J217" si="10">CONCATENATE(B206,C206,E206)</f>
        <v>BoxerBOXER 2.22026</v>
      </c>
      <c r="K206" s="12"/>
      <c r="L206" s="10">
        <f>IFERROR(_xlfn.XLOOKUP(F206,'PRECIO TOMA HISTORICO '!$A:$A,'PRECIO TOMA HISTORICO '!$B:$B,_xlfn.XLOOKUP(F206,BBDD!$S:$S,BBDD!$AO:$AO,"",0,1),0,-1),"")</f>
        <v>32237100</v>
      </c>
      <c r="M206" s="9"/>
      <c r="N206" s="10">
        <f>_xlfn.XLOOKUP(F206,BBDD!$S:$S,BBDD!$AS:$AS)</f>
        <v>31990000</v>
      </c>
      <c r="O206" s="10">
        <f>IFERROR(VLOOKUP(F206,'PRECIO MERCADO'!D:E,2,0),"0")</f>
        <v>28600000</v>
      </c>
      <c r="P206" s="10">
        <f>_xlfn.XLOOKUP(F206,BBDD!$S:$S,BBDD!$AO:$AO)</f>
        <v>32237100</v>
      </c>
      <c r="Q206" s="10">
        <f>_xlfn.XLOOKUP(F206,BBDD!$S:$S,BBDD!$AR:$AR)</f>
        <v>32237100</v>
      </c>
      <c r="R206" s="24" t="str">
        <f t="shared" si="9"/>
        <v>LIQUIDAR</v>
      </c>
    </row>
    <row r="207" spans="1:18" ht="15" customHeight="1" x14ac:dyDescent="0.3">
      <c r="A207" s="21" t="s">
        <v>241</v>
      </c>
      <c r="B207" s="21" t="s">
        <v>8469</v>
      </c>
      <c r="C207" s="20" t="s">
        <v>8272</v>
      </c>
      <c r="D207" s="20" t="s">
        <v>8086</v>
      </c>
      <c r="E207" s="20">
        <v>2022</v>
      </c>
      <c r="F207" s="20" t="s">
        <v>8275</v>
      </c>
      <c r="G207" s="20">
        <v>1538</v>
      </c>
      <c r="H207" s="20">
        <v>0</v>
      </c>
      <c r="I207" s="19" t="s">
        <v>8149</v>
      </c>
      <c r="J207" s="11" t="str">
        <f t="shared" si="10"/>
        <v>BoxerBoxer Furgón L2H2 BlueHdi 1602022</v>
      </c>
      <c r="K207" s="12"/>
      <c r="L207" s="10">
        <f>IFERROR(_xlfn.XLOOKUP(F207,'PRECIO TOMA HISTORICO '!$A:$A,'PRECIO TOMA HISTORICO '!$B:$B,_xlfn.XLOOKUP(F207,BBDD!$S:$S,BBDD!$AO:$AO,"",0,1),0,-1),"")</f>
        <v>0</v>
      </c>
      <c r="M207" s="9"/>
      <c r="N207" s="10">
        <f>_xlfn.XLOOKUP(F207,BBDD!$S:$S,BBDD!$AS:$AS)</f>
        <v>0</v>
      </c>
      <c r="O207" s="10" t="str">
        <f>IFERROR(VLOOKUP(F207,'PRECIO MERCADO'!D:E,2,0),"0")</f>
        <v>0</v>
      </c>
      <c r="P207" s="10">
        <f>_xlfn.XLOOKUP(F207,BBDD!$S:$S,BBDD!$AO:$AO)</f>
        <v>0</v>
      </c>
      <c r="Q207" s="10">
        <f>_xlfn.XLOOKUP(F207,BBDD!$S:$S,BBDD!$AR:$AR)</f>
        <v>3479924</v>
      </c>
      <c r="R207" s="24" t="str">
        <f t="shared" si="9"/>
        <v>LIQUIDAR</v>
      </c>
    </row>
    <row r="208" spans="1:18" ht="15" customHeight="1" x14ac:dyDescent="0.3">
      <c r="A208" s="21" t="s">
        <v>241</v>
      </c>
      <c r="B208" s="20" t="s">
        <v>8425</v>
      </c>
      <c r="C208" s="20" t="s">
        <v>270</v>
      </c>
      <c r="D208" s="20" t="s">
        <v>33</v>
      </c>
      <c r="E208" s="20">
        <v>2023</v>
      </c>
      <c r="F208" s="20" t="s">
        <v>271</v>
      </c>
      <c r="G208" s="20">
        <v>383</v>
      </c>
      <c r="H208" s="20">
        <v>67000</v>
      </c>
      <c r="I208" s="19" t="s">
        <v>5142</v>
      </c>
      <c r="J208" s="11" t="str">
        <f t="shared" si="10"/>
        <v>LandtrekLANDTREK 1.92023</v>
      </c>
      <c r="K208" s="12"/>
      <c r="L208" s="10">
        <f>IFERROR(_xlfn.XLOOKUP(F208,'PRECIO TOMA HISTORICO '!$A:$A,'PRECIO TOMA HISTORICO '!$B:$B,_xlfn.XLOOKUP(F208,BBDD!$S:$S,BBDD!$AO:$AO,"",0,1),0,-1),"")</f>
        <v>14000000</v>
      </c>
      <c r="M208" s="9"/>
      <c r="N208" s="10">
        <f>_xlfn.XLOOKUP(F208,BBDD!$S:$S,BBDD!$AS:$AS)</f>
        <v>13750000</v>
      </c>
      <c r="O208" s="10">
        <f>IFERROR(VLOOKUP(F208,'PRECIO MERCADO'!D:E,2,0),"0")</f>
        <v>15300000</v>
      </c>
      <c r="P208" s="10">
        <f>_xlfn.XLOOKUP(F208,BBDD!$S:$S,BBDD!$AO:$AO)</f>
        <v>14000000</v>
      </c>
      <c r="Q208" s="10">
        <f>_xlfn.XLOOKUP(F208,BBDD!$S:$S,BBDD!$AR:$AR)</f>
        <v>14336030</v>
      </c>
      <c r="R208" s="24" t="str">
        <f t="shared" si="9"/>
        <v>LIQUIDAR</v>
      </c>
    </row>
    <row r="209" spans="1:18" ht="15" customHeight="1" x14ac:dyDescent="0.3">
      <c r="A209" s="21" t="s">
        <v>241</v>
      </c>
      <c r="B209" s="21" t="s">
        <v>8425</v>
      </c>
      <c r="C209" s="20" t="s">
        <v>4839</v>
      </c>
      <c r="D209" s="20" t="s">
        <v>26</v>
      </c>
      <c r="E209" s="20">
        <v>2022</v>
      </c>
      <c r="F209" s="20" t="s">
        <v>2503</v>
      </c>
      <c r="G209" s="20">
        <v>1166</v>
      </c>
      <c r="H209" s="20">
        <v>1980</v>
      </c>
      <c r="I209" s="19" t="s">
        <v>8420</v>
      </c>
      <c r="J209" s="11" t="str">
        <f t="shared" si="10"/>
        <v>LandtrekLANDTREK 4X4 1.92022</v>
      </c>
      <c r="K209" s="12"/>
      <c r="L209" s="10">
        <f>IFERROR(_xlfn.XLOOKUP(F209,'PRECIO TOMA HISTORICO '!$A:$A,'PRECIO TOMA HISTORICO '!$B:$B,_xlfn.XLOOKUP(F209,BBDD!$S:$S,BBDD!$AO:$AO,"",0,1),0,-1),"")</f>
        <v>21000000</v>
      </c>
      <c r="M209" s="9"/>
      <c r="N209" s="10">
        <f>_xlfn.XLOOKUP(F209,BBDD!$S:$S,BBDD!$AS:$AS)</f>
        <v>19490000</v>
      </c>
      <c r="O209" s="10">
        <f>IFERROR(VLOOKUP(F209,'PRECIO MERCADO'!D:E,2,0),"0")</f>
        <v>17200000</v>
      </c>
      <c r="P209" s="10">
        <f>_xlfn.XLOOKUP(F209,BBDD!$S:$S,BBDD!$AO:$AO)</f>
        <v>21000000</v>
      </c>
      <c r="Q209" s="10">
        <f>_xlfn.XLOOKUP(F209,BBDD!$S:$S,BBDD!$AR:$AR)</f>
        <v>21013250</v>
      </c>
      <c r="R209" s="24" t="str">
        <f t="shared" si="9"/>
        <v>LIQUIDAR</v>
      </c>
    </row>
    <row r="210" spans="1:18" ht="15" customHeight="1" x14ac:dyDescent="0.3">
      <c r="A210" s="21" t="s">
        <v>241</v>
      </c>
      <c r="B210" s="21" t="s">
        <v>8425</v>
      </c>
      <c r="C210" s="21" t="s">
        <v>4839</v>
      </c>
      <c r="D210" s="20" t="s">
        <v>40</v>
      </c>
      <c r="E210" s="20">
        <v>2022</v>
      </c>
      <c r="F210" s="20" t="s">
        <v>8486</v>
      </c>
      <c r="G210" s="20">
        <v>616</v>
      </c>
      <c r="H210" s="20">
        <v>0</v>
      </c>
      <c r="I210" s="19" t="s">
        <v>8420</v>
      </c>
      <c r="J210" s="11" t="str">
        <f t="shared" si="10"/>
        <v>LandtrekLANDTREK 4X4 1.92022</v>
      </c>
      <c r="K210" s="12"/>
      <c r="L210" s="10">
        <f>IFERROR(_xlfn.XLOOKUP(F210,'PRECIO TOMA HISTORICO '!$A:$A,'PRECIO TOMA HISTORICO '!$B:$B,_xlfn.XLOOKUP(F210,BBDD!$S:$S,BBDD!$AO:$AO,"",0,1),0,-1),"")</f>
        <v>37355481</v>
      </c>
      <c r="M210" s="9"/>
      <c r="N210" s="10">
        <f>_xlfn.XLOOKUP(F210,BBDD!$S:$S,BBDD!$AS:$AS)</f>
        <v>37355481</v>
      </c>
      <c r="O210" s="10">
        <f>IFERROR(VLOOKUP(F210,'PRECIO MERCADO'!D:E,2,0),"0")</f>
        <v>15900000</v>
      </c>
      <c r="P210" s="10">
        <f>_xlfn.XLOOKUP(F210,BBDD!$S:$S,BBDD!$AO:$AO)</f>
        <v>37355481</v>
      </c>
      <c r="Q210" s="10">
        <f>_xlfn.XLOOKUP(F210,BBDD!$S:$S,BBDD!$AR:$AR)</f>
        <v>38249836</v>
      </c>
      <c r="R210" s="24" t="str">
        <f t="shared" si="9"/>
        <v>LIQUIDAR</v>
      </c>
    </row>
    <row r="211" spans="1:18" ht="15" customHeight="1" x14ac:dyDescent="0.3">
      <c r="A211" s="21" t="s">
        <v>241</v>
      </c>
      <c r="B211" s="21" t="s">
        <v>8425</v>
      </c>
      <c r="C211" s="20" t="s">
        <v>8278</v>
      </c>
      <c r="D211" s="20" t="s">
        <v>8159</v>
      </c>
      <c r="E211" s="20">
        <v>2024</v>
      </c>
      <c r="F211" s="20" t="s">
        <v>3706</v>
      </c>
      <c r="G211" s="20">
        <v>174</v>
      </c>
      <c r="H211" s="20">
        <v>50982</v>
      </c>
      <c r="I211" s="19" t="s">
        <v>8149</v>
      </c>
      <c r="J211" s="11" t="str">
        <f t="shared" si="10"/>
        <v>LandtrekLandtrek Active BlueHDi 180 4x4 AT2024</v>
      </c>
      <c r="K211" s="12"/>
      <c r="L211" s="10">
        <f>IFERROR(_xlfn.XLOOKUP(F211,'PRECIO TOMA HISTORICO '!$A:$A,'PRECIO TOMA HISTORICO '!$B:$B,_xlfn.XLOOKUP(F211,BBDD!$S:$S,BBDD!$AO:$AO,"",0,1),0,-1),"")</f>
        <v>29014497</v>
      </c>
      <c r="M211" s="9"/>
      <c r="N211" s="10">
        <f>_xlfn.XLOOKUP(F211,BBDD!$S:$S,BBDD!$AS:$AS)</f>
        <v>20990000</v>
      </c>
      <c r="O211" s="10">
        <f>IFERROR(VLOOKUP(F211,'PRECIO MERCADO'!D:E,2,0),"0")</f>
        <v>19300000</v>
      </c>
      <c r="P211" s="10">
        <f>_xlfn.XLOOKUP(F211,BBDD!$S:$S,BBDD!$AO:$AO)</f>
        <v>29014497</v>
      </c>
      <c r="Q211" s="10">
        <f>_xlfn.XLOOKUP(F211,BBDD!$S:$S,BBDD!$AR:$AR)</f>
        <v>32073060</v>
      </c>
      <c r="R211" s="24" t="str">
        <f t="shared" si="9"/>
        <v>LIQUIDAR</v>
      </c>
    </row>
    <row r="212" spans="1:18" ht="15" customHeight="1" x14ac:dyDescent="0.3">
      <c r="A212" s="21" t="s">
        <v>241</v>
      </c>
      <c r="B212" s="21" t="s">
        <v>8425</v>
      </c>
      <c r="C212" s="21" t="s">
        <v>8278</v>
      </c>
      <c r="D212" s="21" t="s">
        <v>8159</v>
      </c>
      <c r="E212" s="21">
        <v>2024</v>
      </c>
      <c r="F212" s="20" t="s">
        <v>2978</v>
      </c>
      <c r="G212" s="20">
        <v>389</v>
      </c>
      <c r="H212" s="20">
        <v>27913</v>
      </c>
      <c r="I212" s="19" t="s">
        <v>8420</v>
      </c>
      <c r="J212" s="11" t="str">
        <f t="shared" si="10"/>
        <v>LandtrekLandtrek Active BlueHDi 180 4x4 AT2024</v>
      </c>
      <c r="K212" s="12"/>
      <c r="L212" s="10">
        <f>IFERROR(_xlfn.XLOOKUP(F212,'PRECIO TOMA HISTORICO '!$A:$A,'PRECIO TOMA HISTORICO '!$B:$B,_xlfn.XLOOKUP(F212,BBDD!$S:$S,BBDD!$AO:$AO,"",0,1),0,-1),"")</f>
        <v>26670800</v>
      </c>
      <c r="M212" s="9"/>
      <c r="N212" s="10">
        <f>_xlfn.XLOOKUP(F212,BBDD!$S:$S,BBDD!$AS:$AS)</f>
        <v>20990000</v>
      </c>
      <c r="O212" s="10">
        <f>IFERROR(VLOOKUP(F212,'PRECIO MERCADO'!D:E,2,0),"0")</f>
        <v>21900000</v>
      </c>
      <c r="P212" s="10">
        <f>_xlfn.XLOOKUP(F212,BBDD!$S:$S,BBDD!$AO:$AO)</f>
        <v>26670800</v>
      </c>
      <c r="Q212" s="10">
        <f>_xlfn.XLOOKUP(F212,BBDD!$S:$S,BBDD!$AR:$AR)</f>
        <v>27662390</v>
      </c>
      <c r="R212" s="24" t="str">
        <f t="shared" si="9"/>
        <v>LIQUIDAR</v>
      </c>
    </row>
    <row r="213" spans="1:18" ht="15" customHeight="1" x14ac:dyDescent="0.3">
      <c r="A213" s="21" t="s">
        <v>241</v>
      </c>
      <c r="B213" s="21" t="s">
        <v>8425</v>
      </c>
      <c r="C213" s="20" t="s">
        <v>272</v>
      </c>
      <c r="D213" s="20" t="s">
        <v>26</v>
      </c>
      <c r="E213" s="20">
        <v>2024</v>
      </c>
      <c r="F213" s="20" t="s">
        <v>273</v>
      </c>
      <c r="G213" s="20">
        <v>162</v>
      </c>
      <c r="H213" s="20">
        <v>29570</v>
      </c>
      <c r="I213" s="19" t="s">
        <v>5142</v>
      </c>
      <c r="J213" s="11" t="str">
        <f t="shared" si="10"/>
        <v>LandtrekLANDTREK BLUEHDI 4X4 2.2 AUT2024</v>
      </c>
      <c r="K213" s="12"/>
      <c r="L213" s="10">
        <f>IFERROR(_xlfn.XLOOKUP(F213,'PRECIO TOMA HISTORICO '!$A:$A,'PRECIO TOMA HISTORICO '!$B:$B,_xlfn.XLOOKUP(F213,BBDD!$S:$S,BBDD!$AO:$AO,"",0,1),0,-1),"")</f>
        <v>16000000</v>
      </c>
      <c r="M213" s="9"/>
      <c r="N213" s="10">
        <f>_xlfn.XLOOKUP(F213,BBDD!$S:$S,BBDD!$AS:$AS)</f>
        <v>17990000</v>
      </c>
      <c r="O213" s="10">
        <f>IFERROR(VLOOKUP(F213,'PRECIO MERCADO'!D:E,2,0),"0")</f>
        <v>21500000</v>
      </c>
      <c r="P213" s="10">
        <f>_xlfn.XLOOKUP(F213,BBDD!$S:$S,BBDD!$AO:$AO)</f>
        <v>16000000</v>
      </c>
      <c r="Q213" s="10">
        <f>_xlfn.XLOOKUP(F213,BBDD!$S:$S,BBDD!$AR:$AR)</f>
        <v>16369240</v>
      </c>
      <c r="R213" s="24" t="str">
        <f t="shared" si="9"/>
        <v>LIQUIDAR</v>
      </c>
    </row>
    <row r="214" spans="1:18" ht="15" customHeight="1" x14ac:dyDescent="0.3">
      <c r="A214" s="21" t="s">
        <v>241</v>
      </c>
      <c r="B214" s="21" t="s">
        <v>8425</v>
      </c>
      <c r="C214" s="21" t="s">
        <v>272</v>
      </c>
      <c r="D214" s="21" t="s">
        <v>26</v>
      </c>
      <c r="E214" s="20">
        <v>2025</v>
      </c>
      <c r="F214" s="20" t="s">
        <v>274</v>
      </c>
      <c r="G214" s="20">
        <v>348</v>
      </c>
      <c r="H214" s="20">
        <v>5800</v>
      </c>
      <c r="I214" s="19" t="s">
        <v>5142</v>
      </c>
      <c r="J214" s="11" t="str">
        <f t="shared" si="10"/>
        <v>LandtrekLANDTREK BLUEHDI 4X4 2.2 AUT2025</v>
      </c>
      <c r="K214" s="12"/>
      <c r="L214" s="10">
        <f>IFERROR(_xlfn.XLOOKUP(F214,'PRECIO TOMA HISTORICO '!$A:$A,'PRECIO TOMA HISTORICO '!$B:$B,_xlfn.XLOOKUP(F214,BBDD!$S:$S,BBDD!$AO:$AO,"",0,1),0,-1),"")</f>
        <v>27929100</v>
      </c>
      <c r="M214" s="9"/>
      <c r="N214" s="10">
        <f>_xlfn.XLOOKUP(F214,BBDD!$S:$S,BBDD!$AS:$AS)</f>
        <v>20990000</v>
      </c>
      <c r="O214" s="10">
        <f>IFERROR(VLOOKUP(F214,'PRECIO MERCADO'!D:E,2,0),"0")</f>
        <v>22900000</v>
      </c>
      <c r="P214" s="10">
        <f>_xlfn.XLOOKUP(F214,BBDD!$S:$S,BBDD!$AO:$AO)</f>
        <v>27929100</v>
      </c>
      <c r="Q214" s="10">
        <f>_xlfn.XLOOKUP(F214,BBDD!$S:$S,BBDD!$AR:$AR)</f>
        <v>28847714</v>
      </c>
      <c r="R214" s="24" t="str">
        <f t="shared" si="9"/>
        <v>LIQUIDAR</v>
      </c>
    </row>
    <row r="215" spans="1:18" ht="15" customHeight="1" x14ac:dyDescent="0.3">
      <c r="A215" s="21" t="s">
        <v>241</v>
      </c>
      <c r="B215" s="21" t="s">
        <v>8425</v>
      </c>
      <c r="C215" s="21" t="s">
        <v>272</v>
      </c>
      <c r="D215" s="20" t="s">
        <v>40</v>
      </c>
      <c r="E215" s="20">
        <v>2025</v>
      </c>
      <c r="F215" s="20" t="s">
        <v>629</v>
      </c>
      <c r="G215" s="20">
        <v>313</v>
      </c>
      <c r="H215" s="20">
        <v>0</v>
      </c>
      <c r="I215" s="19" t="s">
        <v>8420</v>
      </c>
      <c r="J215" s="11" t="str">
        <f t="shared" si="10"/>
        <v>LandtrekLANDTREK BLUEHDI 4X4 2.2 AUT2025</v>
      </c>
      <c r="K215" s="12"/>
      <c r="L215" s="10">
        <f>IFERROR(_xlfn.XLOOKUP(F215,'PRECIO TOMA HISTORICO '!$A:$A,'PRECIO TOMA HISTORICO '!$B:$B,_xlfn.XLOOKUP(F215,BBDD!$S:$S,BBDD!$AO:$AO,"",0,1),0,-1),"")</f>
        <v>29381100</v>
      </c>
      <c r="M215" s="9"/>
      <c r="N215" s="10">
        <f>_xlfn.XLOOKUP(F215,BBDD!$S:$S,BBDD!$AS:$AS)</f>
        <v>21990000</v>
      </c>
      <c r="O215" s="10">
        <f>IFERROR(VLOOKUP(F215,'PRECIO MERCADO'!D:E,2,0),"0")</f>
        <v>25000000</v>
      </c>
      <c r="P215" s="10">
        <f>_xlfn.XLOOKUP(F215,BBDD!$S:$S,BBDD!$AO:$AO)</f>
        <v>29381100</v>
      </c>
      <c r="Q215" s="10">
        <f>_xlfn.XLOOKUP(F215,BBDD!$S:$S,BBDD!$AR:$AR)</f>
        <v>29381100</v>
      </c>
      <c r="R215" s="24" t="str">
        <f t="shared" si="9"/>
        <v>LIQUIDAR</v>
      </c>
    </row>
    <row r="216" spans="1:18" ht="15" customHeight="1" x14ac:dyDescent="0.3">
      <c r="A216" s="21" t="s">
        <v>241</v>
      </c>
      <c r="B216" s="20" t="s">
        <v>8205</v>
      </c>
      <c r="C216" s="20" t="s">
        <v>8206</v>
      </c>
      <c r="D216" s="20" t="s">
        <v>26</v>
      </c>
      <c r="E216" s="20">
        <v>2024</v>
      </c>
      <c r="F216" s="20" t="s">
        <v>3183</v>
      </c>
      <c r="G216" s="20">
        <v>575</v>
      </c>
      <c r="H216" s="20">
        <v>37</v>
      </c>
      <c r="I216" s="19" t="s">
        <v>8149</v>
      </c>
      <c r="J216" s="11" t="str">
        <f t="shared" si="10"/>
        <v>NUEVA PARTNERPARTNER L1 BLUEHDI 1002024</v>
      </c>
      <c r="K216" s="12"/>
      <c r="L216" s="10">
        <f>IFERROR(_xlfn.XLOOKUP(F216,'PRECIO TOMA HISTORICO '!$A:$A,'PRECIO TOMA HISTORICO '!$B:$B,_xlfn.XLOOKUP(F216,BBDD!$S:$S,BBDD!$AO:$AO,"",0,1),0,-1),"")</f>
        <v>16134417</v>
      </c>
      <c r="M216" s="9"/>
      <c r="N216" s="10">
        <f>_xlfn.XLOOKUP(F216,BBDD!$S:$S,BBDD!$AS:$AS)</f>
        <v>17690000</v>
      </c>
      <c r="O216" s="10">
        <f>IFERROR(VLOOKUP(F216,'PRECIO MERCADO'!D:E,2,0),"0")</f>
        <v>13800000</v>
      </c>
      <c r="P216" s="10">
        <f>_xlfn.XLOOKUP(F216,BBDD!$S:$S,BBDD!$AO:$AO)</f>
        <v>16134417</v>
      </c>
      <c r="Q216" s="10">
        <f>_xlfn.XLOOKUP(F216,BBDD!$S:$S,BBDD!$AR:$AR)</f>
        <v>18070460</v>
      </c>
      <c r="R216" s="24" t="str">
        <f t="shared" si="9"/>
        <v>LIQUIDAR</v>
      </c>
    </row>
    <row r="217" spans="1:18" ht="15" customHeight="1" x14ac:dyDescent="0.3">
      <c r="A217" s="21" t="s">
        <v>241</v>
      </c>
      <c r="B217" s="21" t="s">
        <v>8205</v>
      </c>
      <c r="C217" s="20" t="s">
        <v>11262</v>
      </c>
      <c r="D217" s="20" t="s">
        <v>8159</v>
      </c>
      <c r="E217" s="20">
        <v>2025</v>
      </c>
      <c r="F217" s="20" t="s">
        <v>11278</v>
      </c>
      <c r="G217" s="20">
        <v>728</v>
      </c>
      <c r="H217" s="20">
        <v>0</v>
      </c>
      <c r="I217" s="19" t="s">
        <v>8149</v>
      </c>
      <c r="J217" s="11" t="str">
        <f t="shared" si="10"/>
        <v>NUEVA PARTNERPartner MCA L1 BlueHdi 1002025</v>
      </c>
      <c r="K217" s="12"/>
      <c r="L217" s="10">
        <f>IFERROR(_xlfn.XLOOKUP(F217,'PRECIO TOMA HISTORICO '!$A:$A,'PRECIO TOMA HISTORICO '!$B:$B,_xlfn.XLOOKUP(F217,BBDD!$S:$S,BBDD!$AO:$AO,"",0,1),0,-1),"")</f>
        <v>17322917</v>
      </c>
      <c r="M217" s="9"/>
      <c r="N217" s="10">
        <f>_xlfn.XLOOKUP(F217,BBDD!$S:$S,BBDD!$AS:$AS)</f>
        <v>19090000</v>
      </c>
      <c r="O217" s="10" t="str">
        <f>IFERROR(VLOOKUP(F217,'PRECIO MERCADO'!D:E,2,0),"0")</f>
        <v>0</v>
      </c>
      <c r="P217" s="10">
        <f>_xlfn.XLOOKUP(F217,BBDD!$S:$S,BBDD!$AO:$AO)</f>
        <v>17322917</v>
      </c>
      <c r="Q217" s="10">
        <f>_xlfn.XLOOKUP(F217,BBDD!$S:$S,BBDD!$AR:$AR)</f>
        <v>17763711</v>
      </c>
      <c r="R217" s="24" t="str">
        <f t="shared" si="9"/>
        <v>LIQUIDAR</v>
      </c>
    </row>
    <row r="218" spans="1:18" ht="15" customHeight="1" x14ac:dyDescent="0.3">
      <c r="A218" s="21" t="s">
        <v>241</v>
      </c>
      <c r="B218" s="21" t="s">
        <v>8205</v>
      </c>
      <c r="C218" s="21" t="s">
        <v>11262</v>
      </c>
      <c r="D218" s="21" t="s">
        <v>8159</v>
      </c>
      <c r="E218" s="20">
        <v>2026</v>
      </c>
      <c r="F218" s="20" t="s">
        <v>11265</v>
      </c>
      <c r="G218" s="20">
        <v>544</v>
      </c>
      <c r="H218" s="20">
        <v>0</v>
      </c>
      <c r="I218" s="19" t="s">
        <v>8149</v>
      </c>
      <c r="J218" s="11" t="str">
        <f t="shared" ref="J218:J220" si="11">CONCATENATE(B218,C218,E218)</f>
        <v>NUEVA PARTNERPartner MCA L1 BlueHdi 1002026</v>
      </c>
      <c r="K218" s="12"/>
      <c r="L218" s="10">
        <f>IFERROR(_xlfn.XLOOKUP(F218,'PRECIO TOMA HISTORICO '!$A:$A,'PRECIO TOMA HISTORICO '!$B:$B,_xlfn.XLOOKUP(F218,BBDD!$S:$S,BBDD!$AO:$AO,"",0,1),0,-1),"")</f>
        <v>17413917</v>
      </c>
      <c r="M218" s="9"/>
      <c r="N218" s="10">
        <f>_xlfn.XLOOKUP(F218,BBDD!$S:$S,BBDD!$AS:$AS)</f>
        <v>19090000</v>
      </c>
      <c r="O218" s="10" t="str">
        <f>IFERROR(VLOOKUP(F218,'PRECIO MERCADO'!D:E,2,0),"0")</f>
        <v>0</v>
      </c>
      <c r="P218" s="10">
        <f>_xlfn.XLOOKUP(F218,BBDD!$S:$S,BBDD!$AO:$AO)</f>
        <v>17413917</v>
      </c>
      <c r="Q218" s="10">
        <f>_xlfn.XLOOKUP(F218,BBDD!$S:$S,BBDD!$AR:$AR)</f>
        <v>18487545</v>
      </c>
      <c r="R218" s="24" t="str">
        <f t="shared" si="9"/>
        <v>LIQUIDAR</v>
      </c>
    </row>
    <row r="219" spans="1:18" ht="15" customHeight="1" x14ac:dyDescent="0.3">
      <c r="A219" s="21" t="s">
        <v>241</v>
      </c>
      <c r="B219" s="21" t="s">
        <v>8205</v>
      </c>
      <c r="C219" s="20" t="s">
        <v>10154</v>
      </c>
      <c r="D219" s="20" t="s">
        <v>9526</v>
      </c>
      <c r="E219" s="20">
        <v>2026</v>
      </c>
      <c r="F219" s="20" t="s">
        <v>10157</v>
      </c>
      <c r="G219" s="20">
        <v>130</v>
      </c>
      <c r="H219" s="20">
        <v>0</v>
      </c>
      <c r="I219" s="19" t="s">
        <v>8420</v>
      </c>
      <c r="J219" s="11" t="str">
        <f t="shared" si="11"/>
        <v>NUEVA PARTNERPARTNER MCA L2 Diesel 100hp MT2026</v>
      </c>
      <c r="K219" s="12"/>
      <c r="L219" s="10">
        <f>IFERROR(_xlfn.XLOOKUP(F219,'PRECIO TOMA HISTORICO '!$A:$A,'PRECIO TOMA HISTORICO '!$B:$B,_xlfn.XLOOKUP(F219,BBDD!$S:$S,BBDD!$AO:$AO,"",0,1),0,-1),"")</f>
        <v>18351000</v>
      </c>
      <c r="M219" s="9"/>
      <c r="N219" s="10">
        <f>_xlfn.XLOOKUP(F219,BBDD!$S:$S,BBDD!$AS:$AS)</f>
        <v>20390000</v>
      </c>
      <c r="O219" s="10" t="str">
        <f>IFERROR(VLOOKUP(F219,'PRECIO MERCADO'!D:E,2,0),"0")</f>
        <v>0</v>
      </c>
      <c r="P219" s="10">
        <f>_xlfn.XLOOKUP(F219,BBDD!$S:$S,BBDD!$AO:$AO)</f>
        <v>18351000</v>
      </c>
      <c r="Q219" s="10">
        <f>_xlfn.XLOOKUP(F219,BBDD!$S:$S,BBDD!$AR:$AR)</f>
        <v>18351000</v>
      </c>
      <c r="R219" s="24" t="str">
        <f t="shared" si="9"/>
        <v>LIQUIDAR</v>
      </c>
    </row>
    <row r="220" spans="1:18" ht="15" customHeight="1" x14ac:dyDescent="0.3">
      <c r="A220" s="21" t="s">
        <v>241</v>
      </c>
      <c r="B220" s="20" t="s">
        <v>8451</v>
      </c>
      <c r="C220" s="20" t="s">
        <v>4761</v>
      </c>
      <c r="D220" s="20" t="s">
        <v>8221</v>
      </c>
      <c r="E220" s="20">
        <v>2025</v>
      </c>
      <c r="F220" s="20" t="s">
        <v>3630</v>
      </c>
      <c r="G220" s="20">
        <v>397</v>
      </c>
      <c r="H220" s="20">
        <v>1510</v>
      </c>
      <c r="I220" s="19" t="s">
        <v>8420</v>
      </c>
      <c r="J220" s="11" t="str">
        <f t="shared" si="11"/>
        <v>Nuevo 20082008 ALLURE 130 1.22025</v>
      </c>
      <c r="K220" s="12"/>
      <c r="L220" s="10">
        <f>IFERROR(_xlfn.XLOOKUP(F220,'PRECIO TOMA HISTORICO '!$A:$A,'PRECIO TOMA HISTORICO '!$B:$B,_xlfn.XLOOKUP(F220,BBDD!$S:$S,BBDD!$AO:$AO,"",0,1),0,-1),"")</f>
        <v>20390000</v>
      </c>
      <c r="M220" s="9"/>
      <c r="N220" s="10">
        <f>_xlfn.XLOOKUP(F220,BBDD!$S:$S,BBDD!$AS:$AS)</f>
        <v>16990000</v>
      </c>
      <c r="O220" s="10">
        <f>IFERROR(VLOOKUP(F220,'PRECIO MERCADO'!D:E,2,0),"0")</f>
        <v>16000000</v>
      </c>
      <c r="P220" s="10">
        <f>_xlfn.XLOOKUP(F220,BBDD!$S:$S,BBDD!$AO:$AO)</f>
        <v>20390000</v>
      </c>
      <c r="Q220" s="10">
        <f>_xlfn.XLOOKUP(F220,BBDD!$S:$S,BBDD!$AR:$AR)</f>
        <v>20390000</v>
      </c>
      <c r="R220" s="24" t="str">
        <f t="shared" si="9"/>
        <v>LIQUIDAR</v>
      </c>
    </row>
    <row r="221" spans="1:18" ht="15" customHeight="1" x14ac:dyDescent="0.3">
      <c r="A221" s="21" t="s">
        <v>241</v>
      </c>
      <c r="B221" s="21" t="s">
        <v>8451</v>
      </c>
      <c r="C221" s="20" t="s">
        <v>8408</v>
      </c>
      <c r="D221" s="20" t="s">
        <v>8159</v>
      </c>
      <c r="E221" s="20">
        <v>2024</v>
      </c>
      <c r="F221" s="20" t="s">
        <v>2622</v>
      </c>
      <c r="G221" s="20">
        <v>698</v>
      </c>
      <c r="H221" s="20">
        <v>2139</v>
      </c>
      <c r="I221" s="19" t="s">
        <v>8149</v>
      </c>
      <c r="J221" s="11" t="str">
        <f t="shared" ref="J221:J224" si="12">CONCATENATE(B221,C221,E221)</f>
        <v>Nuevo 20082008 GT EV PRS2024</v>
      </c>
      <c r="K221" s="12"/>
      <c r="L221" s="10">
        <f>IFERROR(_xlfn.XLOOKUP(F221,'PRECIO TOMA HISTORICO '!$A:$A,'PRECIO TOMA HISTORICO '!$B:$B,_xlfn.XLOOKUP(F221,BBDD!$S:$S,BBDD!$AO:$AO,"",0,1),0,-1),"")</f>
        <v>30531382</v>
      </c>
      <c r="M221" s="9"/>
      <c r="N221" s="10">
        <f>_xlfn.XLOOKUP(F221,BBDD!$S:$S,BBDD!$AS:$AS)</f>
        <v>20590000</v>
      </c>
      <c r="O221" s="10">
        <f>IFERROR(VLOOKUP(F221,'PRECIO MERCADO'!D:E,2,0),"0")</f>
        <v>22700000</v>
      </c>
      <c r="P221" s="10">
        <f>_xlfn.XLOOKUP(F221,BBDD!$S:$S,BBDD!$AO:$AO)</f>
        <v>30531382</v>
      </c>
      <c r="Q221" s="10">
        <f>_xlfn.XLOOKUP(F221,BBDD!$S:$S,BBDD!$AR:$AR)</f>
        <v>31658047</v>
      </c>
      <c r="R221" s="24" t="str">
        <f t="shared" ref="R221:R224" si="13">IF(G221&lt;=30,"ROTACION ALTA",IF(G221&lt;30,"ROTACION MEDIA",IF(G221&lt;60,"ROTACION BAJA",IF(G221&gt;60,"LIQUIDAR"))))</f>
        <v>LIQUIDAR</v>
      </c>
    </row>
    <row r="222" spans="1:18" ht="15" customHeight="1" x14ac:dyDescent="0.3">
      <c r="A222" s="21" t="s">
        <v>241</v>
      </c>
      <c r="B222" s="21" t="s">
        <v>8451</v>
      </c>
      <c r="C222" s="20" t="s">
        <v>8452</v>
      </c>
      <c r="D222" s="20" t="s">
        <v>40</v>
      </c>
      <c r="E222" s="20">
        <v>2024</v>
      </c>
      <c r="F222" s="20" t="s">
        <v>3059</v>
      </c>
      <c r="G222" s="20">
        <v>1051</v>
      </c>
      <c r="H222" s="20">
        <v>45647</v>
      </c>
      <c r="I222" s="19" t="s">
        <v>8420</v>
      </c>
      <c r="J222" s="11" t="str">
        <f t="shared" si="12"/>
        <v>Nuevo 20082008 MCA Allure BlueHDi 130 EAT82024</v>
      </c>
      <c r="K222" s="12"/>
      <c r="L222" s="10">
        <f>IFERROR(_xlfn.XLOOKUP(F222,'PRECIO TOMA HISTORICO '!$A:$A,'PRECIO TOMA HISTORICO '!$B:$B,_xlfn.XLOOKUP(F222,BBDD!$S:$S,BBDD!$AO:$AO,"",0,1),0,-1),"")</f>
        <v>21175461</v>
      </c>
      <c r="M222" s="9"/>
      <c r="N222" s="10">
        <f>_xlfn.XLOOKUP(F222,BBDD!$S:$S,BBDD!$AS:$AS)</f>
        <v>17590000</v>
      </c>
      <c r="O222" s="10">
        <f>IFERROR(VLOOKUP(F222,'PRECIO MERCADO'!D:E,2,0),"0")</f>
        <v>17600000</v>
      </c>
      <c r="P222" s="10">
        <f>_xlfn.XLOOKUP(F222,BBDD!$S:$S,BBDD!$AO:$AO)</f>
        <v>21175461</v>
      </c>
      <c r="Q222" s="10">
        <f>_xlfn.XLOOKUP(F222,BBDD!$S:$S,BBDD!$AR:$AR)</f>
        <v>22463917</v>
      </c>
      <c r="R222" s="24" t="str">
        <f t="shared" si="13"/>
        <v>LIQUIDAR</v>
      </c>
    </row>
    <row r="223" spans="1:18" ht="15" customHeight="1" x14ac:dyDescent="0.3">
      <c r="A223" s="21" t="s">
        <v>241</v>
      </c>
      <c r="B223" s="21" t="s">
        <v>8451</v>
      </c>
      <c r="C223" s="20" t="s">
        <v>11376</v>
      </c>
      <c r="D223" s="20" t="s">
        <v>8159</v>
      </c>
      <c r="E223" s="20">
        <v>2026</v>
      </c>
      <c r="F223" s="20" t="s">
        <v>11379</v>
      </c>
      <c r="G223" s="20">
        <v>544</v>
      </c>
      <c r="H223" s="20">
        <v>0</v>
      </c>
      <c r="I223" s="19" t="s">
        <v>8149</v>
      </c>
      <c r="J223" s="11" t="str">
        <f t="shared" si="12"/>
        <v>Nuevo 20082008 MCA Allure Puretech 1302026</v>
      </c>
      <c r="K223" s="12"/>
      <c r="L223" s="10">
        <f>IFERROR(_xlfn.XLOOKUP(F223,'PRECIO TOMA HISTORICO '!$A:$A,'PRECIO TOMA HISTORICO '!$B:$B,_xlfn.XLOOKUP(F223,BBDD!$S:$S,BBDD!$AO:$AO,"",0,1),0,-1),"")</f>
        <v>17893109</v>
      </c>
      <c r="M223" s="9"/>
      <c r="N223" s="10">
        <f>_xlfn.XLOOKUP(F223,BBDD!$S:$S,BBDD!$AS:$AS)</f>
        <v>19403361</v>
      </c>
      <c r="O223" s="10" t="str">
        <f>IFERROR(VLOOKUP(F223,'PRECIO MERCADO'!D:E,2,0),"0")</f>
        <v>0</v>
      </c>
      <c r="P223" s="10">
        <f>_xlfn.XLOOKUP(F223,BBDD!$S:$S,BBDD!$AO:$AO)</f>
        <v>17893109</v>
      </c>
      <c r="Q223" s="10">
        <f>_xlfn.XLOOKUP(F223,BBDD!$S:$S,BBDD!$AR:$AR)</f>
        <v>19002954</v>
      </c>
      <c r="R223" s="24" t="str">
        <f t="shared" si="13"/>
        <v>LIQUIDAR</v>
      </c>
    </row>
    <row r="224" spans="1:18" ht="15" customHeight="1" x14ac:dyDescent="0.3">
      <c r="A224" s="21" t="s">
        <v>241</v>
      </c>
      <c r="B224" s="21" t="s">
        <v>8451</v>
      </c>
      <c r="C224" s="20" t="s">
        <v>8157</v>
      </c>
      <c r="D224" s="20" t="s">
        <v>8159</v>
      </c>
      <c r="E224" s="20">
        <v>2025</v>
      </c>
      <c r="F224" s="20" t="s">
        <v>2999</v>
      </c>
      <c r="G224" s="20">
        <v>292</v>
      </c>
      <c r="H224" s="20">
        <v>0</v>
      </c>
      <c r="I224" s="19" t="s">
        <v>8149</v>
      </c>
      <c r="J224" s="11" t="str">
        <f t="shared" si="12"/>
        <v>Nuevo 20082008 MCA Allure Puretech 130 EAT82025</v>
      </c>
      <c r="K224" s="12"/>
      <c r="L224" s="10">
        <f>IFERROR(_xlfn.XLOOKUP(F224,'PRECIO TOMA HISTORICO '!$A:$A,'PRECIO TOMA HISTORICO '!$B:$B,_xlfn.XLOOKUP(F224,BBDD!$S:$S,BBDD!$AO:$AO,"",0,1),0,-1),"")</f>
        <v>19593950</v>
      </c>
      <c r="M224" s="9"/>
      <c r="N224" s="10">
        <f>_xlfn.XLOOKUP(F224,BBDD!$S:$S,BBDD!$AS:$AS)</f>
        <v>17890000</v>
      </c>
      <c r="O224" s="10">
        <f>IFERROR(VLOOKUP(F224,'PRECIO MERCADO'!D:E,2,0),"0")</f>
        <v>17500000</v>
      </c>
      <c r="P224" s="10">
        <f>_xlfn.XLOOKUP(F224,BBDD!$S:$S,BBDD!$AO:$AO)</f>
        <v>19593950</v>
      </c>
      <c r="Q224" s="10">
        <f>_xlfn.XLOOKUP(F224,BBDD!$S:$S,BBDD!$AR:$AR)</f>
        <v>20835269</v>
      </c>
      <c r="R224" s="24" t="str">
        <f t="shared" si="13"/>
        <v>LIQUIDAR</v>
      </c>
    </row>
    <row r="225" spans="1:18" ht="15" customHeight="1" x14ac:dyDescent="0.3">
      <c r="A225" s="21" t="s">
        <v>241</v>
      </c>
      <c r="B225" s="21" t="s">
        <v>8451</v>
      </c>
      <c r="C225" s="21" t="s">
        <v>8157</v>
      </c>
      <c r="D225" s="20" t="s">
        <v>9526</v>
      </c>
      <c r="E225" s="20">
        <v>2024</v>
      </c>
      <c r="F225" s="20" t="s">
        <v>2681</v>
      </c>
      <c r="G225" s="20">
        <v>929</v>
      </c>
      <c r="H225" s="20">
        <v>23200</v>
      </c>
      <c r="I225" s="19" t="s">
        <v>8149</v>
      </c>
      <c r="J225" s="11" t="str">
        <f t="shared" ref="J225:J237" si="14">CONCATENATE(B225,C225,E225)</f>
        <v>Nuevo 20082008 MCA Allure Puretech 130 EAT82024</v>
      </c>
      <c r="K225" s="12"/>
      <c r="L225" s="10">
        <f>IFERROR(_xlfn.XLOOKUP(F225,'PRECIO TOMA HISTORICO '!$A:$A,'PRECIO TOMA HISTORICO '!$B:$B,_xlfn.XLOOKUP(F225,BBDD!$S:$S,BBDD!$AO:$AO,"",0,1),0,-1),"")</f>
        <v>19683866</v>
      </c>
      <c r="M225" s="9"/>
      <c r="N225" s="10">
        <f>_xlfn.XLOOKUP(F225,BBDD!$S:$S,BBDD!$AS:$AS)</f>
        <v>21336134</v>
      </c>
      <c r="O225" s="10">
        <f>IFERROR(VLOOKUP(F225,'PRECIO MERCADO'!D:E,2,0),"0")</f>
        <v>16200000</v>
      </c>
      <c r="P225" s="10">
        <f>_xlfn.XLOOKUP(F225,BBDD!$S:$S,BBDD!$AO:$AO)</f>
        <v>19683866</v>
      </c>
      <c r="Q225" s="10">
        <f>_xlfn.XLOOKUP(F225,BBDD!$S:$S,BBDD!$AR:$AR)</f>
        <v>21489737</v>
      </c>
      <c r="R225" s="24" t="str">
        <f t="shared" ref="R225:R237" si="15">IF(G225&lt;=30,"ROTACION ALTA",IF(G225&lt;30,"ROTACION MEDIA",IF(G225&lt;60,"ROTACION BAJA",IF(G225&gt;60,"LIQUIDAR"))))</f>
        <v>LIQUIDAR</v>
      </c>
    </row>
    <row r="226" spans="1:18" ht="15" customHeight="1" x14ac:dyDescent="0.3">
      <c r="A226" s="21" t="s">
        <v>241</v>
      </c>
      <c r="B226" s="21" t="s">
        <v>8451</v>
      </c>
      <c r="C226" s="20" t="s">
        <v>11302</v>
      </c>
      <c r="D226" s="20" t="s">
        <v>8159</v>
      </c>
      <c r="E226" s="20">
        <v>2026</v>
      </c>
      <c r="F226" s="20" t="s">
        <v>3631</v>
      </c>
      <c r="G226" s="20">
        <v>544</v>
      </c>
      <c r="H226" s="20">
        <v>0</v>
      </c>
      <c r="I226" s="19" t="s">
        <v>8149</v>
      </c>
      <c r="J226" s="11" t="str">
        <f t="shared" si="14"/>
        <v>Nuevo 20082008 MCA GT EV2026</v>
      </c>
      <c r="K226" s="12"/>
      <c r="L226" s="10">
        <f>IFERROR(_xlfn.XLOOKUP(F226,'PRECIO TOMA HISTORICO '!$A:$A,'PRECIO TOMA HISTORICO '!$B:$B,_xlfn.XLOOKUP(F226,BBDD!$S:$S,BBDD!$AO:$AO,"",0,1),0,-1),"")</f>
        <v>31709748</v>
      </c>
      <c r="M226" s="9"/>
      <c r="N226" s="10">
        <f>_xlfn.XLOOKUP(F226,BBDD!$S:$S,BBDD!$AS:$AS)</f>
        <v>33689076</v>
      </c>
      <c r="O226" s="10">
        <f>IFERROR(VLOOKUP(F226,'PRECIO MERCADO'!D:E,2,0),"0")</f>
        <v>22500000</v>
      </c>
      <c r="P226" s="10">
        <f>_xlfn.XLOOKUP(F226,BBDD!$S:$S,BBDD!$AO:$AO)</f>
        <v>31709748</v>
      </c>
      <c r="Q226" s="10">
        <f>_xlfn.XLOOKUP(F226,BBDD!$S:$S,BBDD!$AR:$AR)</f>
        <v>32414345</v>
      </c>
      <c r="R226" s="24" t="str">
        <f t="shared" si="15"/>
        <v>LIQUIDAR</v>
      </c>
    </row>
    <row r="227" spans="1:18" ht="15" customHeight="1" x14ac:dyDescent="0.3">
      <c r="A227" s="21" t="s">
        <v>241</v>
      </c>
      <c r="B227" s="21" t="s">
        <v>8451</v>
      </c>
      <c r="C227" s="20" t="s">
        <v>11254</v>
      </c>
      <c r="D227" s="20" t="s">
        <v>8159</v>
      </c>
      <c r="E227" s="20">
        <v>2026</v>
      </c>
      <c r="F227" s="20" t="s">
        <v>11257</v>
      </c>
      <c r="G227" s="20">
        <v>368</v>
      </c>
      <c r="H227" s="20">
        <v>0</v>
      </c>
      <c r="I227" s="19" t="s">
        <v>8420</v>
      </c>
      <c r="J227" s="11" t="str">
        <f t="shared" si="14"/>
        <v>Nuevo 20082008 MCA Style Gasolina 130hp MT2026</v>
      </c>
      <c r="K227" s="12"/>
      <c r="L227" s="10">
        <f>IFERROR(_xlfn.XLOOKUP(F227,'PRECIO TOMA HISTORICO '!$A:$A,'PRECIO TOMA HISTORICO '!$B:$B,_xlfn.XLOOKUP(F227,BBDD!$S:$S,BBDD!$AO:$AO,"",0,1),0,-1),"")</f>
        <v>14312605</v>
      </c>
      <c r="M227" s="9"/>
      <c r="N227" s="10">
        <f>_xlfn.XLOOKUP(F227,BBDD!$S:$S,BBDD!$AS:$AS)</f>
        <v>17722689</v>
      </c>
      <c r="O227" s="10" t="str">
        <f>IFERROR(VLOOKUP(F227,'PRECIO MERCADO'!D:E,2,0),"0")</f>
        <v>0</v>
      </c>
      <c r="P227" s="10">
        <f>_xlfn.XLOOKUP(F227,BBDD!$S:$S,BBDD!$AO:$AO)</f>
        <v>14312605</v>
      </c>
      <c r="Q227" s="10">
        <f>_xlfn.XLOOKUP(F227,BBDD!$S:$S,BBDD!$AR:$AR)</f>
        <v>14721660</v>
      </c>
      <c r="R227" s="24" t="str">
        <f t="shared" si="15"/>
        <v>LIQUIDAR</v>
      </c>
    </row>
    <row r="228" spans="1:18" ht="15" customHeight="1" x14ac:dyDescent="0.3">
      <c r="A228" s="21" t="s">
        <v>241</v>
      </c>
      <c r="B228" s="21" t="s">
        <v>8451</v>
      </c>
      <c r="C228" s="20" t="s">
        <v>8184</v>
      </c>
      <c r="D228" s="20" t="s">
        <v>8159</v>
      </c>
      <c r="E228" s="20">
        <v>2026</v>
      </c>
      <c r="F228" s="20" t="s">
        <v>3738</v>
      </c>
      <c r="G228" s="20">
        <v>592</v>
      </c>
      <c r="H228" s="20">
        <v>0</v>
      </c>
      <c r="I228" s="19" t="s">
        <v>8149</v>
      </c>
      <c r="J228" s="11" t="str">
        <f t="shared" si="14"/>
        <v>Nuevo 2008New 2008 MCA Allure MHEV 136 EDCT62026</v>
      </c>
      <c r="K228" s="12"/>
      <c r="L228" s="10">
        <f>IFERROR(_xlfn.XLOOKUP(F228,'PRECIO TOMA HISTORICO '!$A:$A,'PRECIO TOMA HISTORICO '!$B:$B,_xlfn.XLOOKUP(F228,BBDD!$S:$S,BBDD!$AO:$AO,"",0,1),0,-1),"")</f>
        <v>21062857</v>
      </c>
      <c r="M228" s="9"/>
      <c r="N228" s="10">
        <f>_xlfn.XLOOKUP(F228,BBDD!$S:$S,BBDD!$AS:$AS)</f>
        <v>22848739</v>
      </c>
      <c r="O228" s="10">
        <f>IFERROR(VLOOKUP(F228,'PRECIO MERCADO'!D:E,2,0),"0")</f>
        <v>17200000</v>
      </c>
      <c r="P228" s="10">
        <f>_xlfn.XLOOKUP(F228,BBDD!$S:$S,BBDD!$AO:$AO)</f>
        <v>21062857</v>
      </c>
      <c r="Q228" s="10">
        <f>_xlfn.XLOOKUP(F228,BBDD!$S:$S,BBDD!$AR:$AR)</f>
        <v>21939566</v>
      </c>
      <c r="R228" s="24" t="str">
        <f t="shared" si="15"/>
        <v>LIQUIDAR</v>
      </c>
    </row>
    <row r="229" spans="1:18" ht="15" customHeight="1" x14ac:dyDescent="0.3">
      <c r="A229" s="21" t="s">
        <v>241</v>
      </c>
      <c r="B229" s="21" t="s">
        <v>8451</v>
      </c>
      <c r="C229" s="21" t="s">
        <v>8184</v>
      </c>
      <c r="D229" s="20" t="s">
        <v>8098</v>
      </c>
      <c r="E229" s="20">
        <v>2026</v>
      </c>
      <c r="F229" s="20" t="s">
        <v>8187</v>
      </c>
      <c r="G229" s="20">
        <v>544</v>
      </c>
      <c r="H229" s="20">
        <v>0</v>
      </c>
      <c r="I229" s="19" t="s">
        <v>8149</v>
      </c>
      <c r="J229" s="11" t="str">
        <f t="shared" si="14"/>
        <v>Nuevo 2008New 2008 MCA Allure MHEV 136 EDCT62026</v>
      </c>
      <c r="K229" s="12"/>
      <c r="L229" s="10">
        <f>IFERROR(_xlfn.XLOOKUP(F229,'PRECIO TOMA HISTORICO '!$A:$A,'PRECIO TOMA HISTORICO '!$B:$B,_xlfn.XLOOKUP(F229,BBDD!$S:$S,BBDD!$AO:$AO,"",0,1),0,-1),"")</f>
        <v>21062857</v>
      </c>
      <c r="M229" s="9"/>
      <c r="N229" s="10">
        <f>_xlfn.XLOOKUP(F229,BBDD!$S:$S,BBDD!$AS:$AS)</f>
        <v>18990000</v>
      </c>
      <c r="O229" s="10" t="str">
        <f>IFERROR(VLOOKUP(F229,'PRECIO MERCADO'!D:E,2,0),"0")</f>
        <v>0</v>
      </c>
      <c r="P229" s="10">
        <f>_xlfn.XLOOKUP(F229,BBDD!$S:$S,BBDD!$AO:$AO)</f>
        <v>21062857</v>
      </c>
      <c r="Q229" s="10">
        <f>_xlfn.XLOOKUP(F229,BBDD!$S:$S,BBDD!$AR:$AR)</f>
        <v>22534502</v>
      </c>
      <c r="R229" s="24" t="str">
        <f t="shared" si="15"/>
        <v>LIQUIDAR</v>
      </c>
    </row>
    <row r="230" spans="1:18" ht="15" customHeight="1" x14ac:dyDescent="0.3">
      <c r="A230" s="21" t="s">
        <v>241</v>
      </c>
      <c r="B230" s="21" t="s">
        <v>8451</v>
      </c>
      <c r="C230" s="20" t="s">
        <v>8225</v>
      </c>
      <c r="D230" s="20" t="s">
        <v>8159</v>
      </c>
      <c r="E230" s="20">
        <v>2024</v>
      </c>
      <c r="F230" s="20" t="s">
        <v>2698</v>
      </c>
      <c r="G230" s="20">
        <v>543</v>
      </c>
      <c r="H230" s="20">
        <v>22197</v>
      </c>
      <c r="I230" s="19" t="s">
        <v>8149</v>
      </c>
      <c r="J230" s="11" t="str">
        <f t="shared" si="14"/>
        <v>Nuevo 2008Nuevo 2008 MCA Allure Pack Puretech 130 e6.42024</v>
      </c>
      <c r="K230" s="12"/>
      <c r="L230" s="10">
        <f>IFERROR(_xlfn.XLOOKUP(F230,'PRECIO TOMA HISTORICO '!$A:$A,'PRECIO TOMA HISTORICO '!$B:$B,_xlfn.XLOOKUP(F230,BBDD!$S:$S,BBDD!$AO:$AO,"",0,1),0,-1),"")</f>
        <v>18519784</v>
      </c>
      <c r="M230" s="9"/>
      <c r="N230" s="10">
        <f>_xlfn.XLOOKUP(F230,BBDD!$S:$S,BBDD!$AS:$AS)</f>
        <v>14490000</v>
      </c>
      <c r="O230" s="10">
        <f>IFERROR(VLOOKUP(F230,'PRECIO MERCADO'!D:E,2,0),"0")</f>
        <v>16000000</v>
      </c>
      <c r="P230" s="10">
        <f>_xlfn.XLOOKUP(F230,BBDD!$S:$S,BBDD!$AO:$AO)</f>
        <v>18519784</v>
      </c>
      <c r="Q230" s="10">
        <f>_xlfn.XLOOKUP(F230,BBDD!$S:$S,BBDD!$AR:$AR)</f>
        <v>20600020</v>
      </c>
      <c r="R230" s="24" t="str">
        <f t="shared" si="15"/>
        <v>LIQUIDAR</v>
      </c>
    </row>
    <row r="231" spans="1:18" ht="15" customHeight="1" x14ac:dyDescent="0.3">
      <c r="A231" s="21" t="s">
        <v>241</v>
      </c>
      <c r="B231" s="20" t="s">
        <v>2485</v>
      </c>
      <c r="C231" s="20" t="s">
        <v>11335</v>
      </c>
      <c r="D231" s="20" t="s">
        <v>8159</v>
      </c>
      <c r="E231" s="20">
        <v>2026</v>
      </c>
      <c r="F231" s="20" t="s">
        <v>11338</v>
      </c>
      <c r="G231" s="20">
        <v>544</v>
      </c>
      <c r="H231" s="20">
        <v>0</v>
      </c>
      <c r="I231" s="19" t="s">
        <v>8149</v>
      </c>
      <c r="J231" s="11" t="str">
        <f t="shared" si="14"/>
        <v>NUEVO 208208 MCA Style Puretech 1002026</v>
      </c>
      <c r="K231" s="12"/>
      <c r="L231" s="10">
        <f>IFERROR(_xlfn.XLOOKUP(F231,'PRECIO TOMA HISTORICO '!$A:$A,'PRECIO TOMA HISTORICO '!$B:$B,_xlfn.XLOOKUP(F231,BBDD!$S:$S,BBDD!$AO:$AO,"",0,1),0,-1),"")</f>
        <v>14568739</v>
      </c>
      <c r="M231" s="9"/>
      <c r="N231" s="10">
        <f>_xlfn.XLOOKUP(F231,BBDD!$S:$S,BBDD!$AS:$AS)</f>
        <v>15789916</v>
      </c>
      <c r="O231" s="10" t="str">
        <f>IFERROR(VLOOKUP(F231,'PRECIO MERCADO'!D:E,2,0),"0")</f>
        <v>0</v>
      </c>
      <c r="P231" s="10">
        <f>_xlfn.XLOOKUP(F231,BBDD!$S:$S,BBDD!$AO:$AO)</f>
        <v>14568739</v>
      </c>
      <c r="Q231" s="10">
        <f>_xlfn.XLOOKUP(F231,BBDD!$S:$S,BBDD!$AR:$AR)</f>
        <v>15539623</v>
      </c>
      <c r="R231" s="24" t="str">
        <f t="shared" si="15"/>
        <v>LIQUIDAR</v>
      </c>
    </row>
    <row r="232" spans="1:18" ht="15" customHeight="1" x14ac:dyDescent="0.3">
      <c r="A232" s="21" t="s">
        <v>241</v>
      </c>
      <c r="B232" s="21" t="s">
        <v>2485</v>
      </c>
      <c r="C232" s="20" t="s">
        <v>8210</v>
      </c>
      <c r="D232" s="20" t="s">
        <v>8159</v>
      </c>
      <c r="E232" s="20">
        <v>2024</v>
      </c>
      <c r="F232" s="20" t="s">
        <v>3035</v>
      </c>
      <c r="G232" s="20">
        <v>223</v>
      </c>
      <c r="H232" s="20">
        <v>0</v>
      </c>
      <c r="I232" s="19" t="s">
        <v>8149</v>
      </c>
      <c r="J232" s="11" t="str">
        <f t="shared" si="14"/>
        <v>NUEVO 208NUEVO 208 ALLURE PACK PURETECH 130 EAT82024</v>
      </c>
      <c r="K232" s="12"/>
      <c r="L232" s="10">
        <f>IFERROR(_xlfn.XLOOKUP(F232,'PRECIO TOMA HISTORICO '!$A:$A,'PRECIO TOMA HISTORICO '!$B:$B,_xlfn.XLOOKUP(F232,BBDD!$S:$S,BBDD!$AO:$AO,"",0,1),0,-1),"")</f>
        <v>16746050</v>
      </c>
      <c r="M232" s="9"/>
      <c r="N232" s="10">
        <f>_xlfn.XLOOKUP(F232,BBDD!$S:$S,BBDD!$AS:$AS)</f>
        <v>13890000</v>
      </c>
      <c r="O232" s="10">
        <f>IFERROR(VLOOKUP(F232,'PRECIO MERCADO'!D:E,2,0),"0")</f>
        <v>13900000</v>
      </c>
      <c r="P232" s="10">
        <f>_xlfn.XLOOKUP(F232,BBDD!$S:$S,BBDD!$AO:$AO)</f>
        <v>16746050</v>
      </c>
      <c r="Q232" s="10">
        <f>_xlfn.XLOOKUP(F232,BBDD!$S:$S,BBDD!$AR:$AR)</f>
        <v>18247655</v>
      </c>
      <c r="R232" s="24" t="str">
        <f t="shared" si="15"/>
        <v>LIQUIDAR</v>
      </c>
    </row>
    <row r="233" spans="1:18" ht="15" customHeight="1" x14ac:dyDescent="0.3">
      <c r="A233" s="21" t="s">
        <v>241</v>
      </c>
      <c r="B233" s="21" t="s">
        <v>2485</v>
      </c>
      <c r="C233" s="20" t="s">
        <v>8213</v>
      </c>
      <c r="D233" s="20" t="s">
        <v>8159</v>
      </c>
      <c r="E233" s="20">
        <v>2025</v>
      </c>
      <c r="F233" s="20" t="s">
        <v>8216</v>
      </c>
      <c r="G233" s="20">
        <v>144</v>
      </c>
      <c r="H233" s="20">
        <v>0</v>
      </c>
      <c r="I233" s="19" t="s">
        <v>8149</v>
      </c>
      <c r="J233" s="11" t="str">
        <f t="shared" si="14"/>
        <v>NUEVO 208Nuevo 208 MCA Active Pack Puretech 75 MT52025</v>
      </c>
      <c r="K233" s="12"/>
      <c r="L233" s="10">
        <f>IFERROR(_xlfn.XLOOKUP(F233,'PRECIO TOMA HISTORICO '!$A:$A,'PRECIO TOMA HISTORICO '!$B:$B,_xlfn.XLOOKUP(F233,BBDD!$S:$S,BBDD!$AO:$AO,"",0,1),0,-1),"")</f>
        <v>12945210</v>
      </c>
      <c r="M233" s="9"/>
      <c r="N233" s="10">
        <f>_xlfn.XLOOKUP(F233,BBDD!$S:$S,BBDD!$AS:$AS)</f>
        <v>14025210</v>
      </c>
      <c r="O233" s="10">
        <f>IFERROR(VLOOKUP(F233,'PRECIO MERCADO'!D:E,2,0),"0")</f>
        <v>11600000</v>
      </c>
      <c r="P233" s="10">
        <f>_xlfn.XLOOKUP(F233,BBDD!$S:$S,BBDD!$AO:$AO)</f>
        <v>12945210</v>
      </c>
      <c r="Q233" s="10">
        <f>_xlfn.XLOOKUP(F233,BBDD!$S:$S,BBDD!$AR:$AR)</f>
        <v>13868879</v>
      </c>
      <c r="R233" s="24" t="str">
        <f t="shared" si="15"/>
        <v>LIQUIDAR</v>
      </c>
    </row>
    <row r="234" spans="1:18" ht="15" customHeight="1" x14ac:dyDescent="0.3">
      <c r="A234" s="21" t="s">
        <v>241</v>
      </c>
      <c r="B234" s="20" t="s">
        <v>2487</v>
      </c>
      <c r="C234" s="20" t="s">
        <v>9508</v>
      </c>
      <c r="D234" s="20" t="s">
        <v>8159</v>
      </c>
      <c r="E234" s="20">
        <v>2025</v>
      </c>
      <c r="F234" s="20" t="s">
        <v>2615</v>
      </c>
      <c r="G234" s="20">
        <v>538</v>
      </c>
      <c r="H234" s="20">
        <v>9609</v>
      </c>
      <c r="I234" s="19" t="s">
        <v>8149</v>
      </c>
      <c r="J234" s="11" t="str">
        <f t="shared" si="14"/>
        <v>NUEVO 30083008 GT Black Pack Puretech 180 EAT82025</v>
      </c>
      <c r="K234" s="12"/>
      <c r="L234" s="10">
        <f>IFERROR(_xlfn.XLOOKUP(F234,'PRECIO TOMA HISTORICO '!$A:$A,'PRECIO TOMA HISTORICO '!$B:$B,_xlfn.XLOOKUP(F234,BBDD!$S:$S,BBDD!$AO:$AO,"",0,1),0,-1),"")</f>
        <v>25856134</v>
      </c>
      <c r="M234" s="9"/>
      <c r="N234" s="10">
        <f>_xlfn.XLOOKUP(F234,BBDD!$S:$S,BBDD!$AS:$AS)</f>
        <v>25990000</v>
      </c>
      <c r="O234" s="10">
        <f>IFERROR(VLOOKUP(F234,'PRECIO MERCADO'!D:E,2,0),"0")</f>
        <v>24200000</v>
      </c>
      <c r="P234" s="10">
        <f>_xlfn.XLOOKUP(F234,BBDD!$S:$S,BBDD!$AO:$AO)</f>
        <v>25856134</v>
      </c>
      <c r="Q234" s="10">
        <f>_xlfn.XLOOKUP(F234,BBDD!$S:$S,BBDD!$AR:$AR)</f>
        <v>27093205</v>
      </c>
      <c r="R234" s="24" t="str">
        <f t="shared" si="15"/>
        <v>LIQUIDAR</v>
      </c>
    </row>
    <row r="235" spans="1:18" ht="15" customHeight="1" x14ac:dyDescent="0.3">
      <c r="A235" s="21" t="s">
        <v>241</v>
      </c>
      <c r="B235" s="21" t="s">
        <v>2487</v>
      </c>
      <c r="C235" s="20" t="s">
        <v>8171</v>
      </c>
      <c r="D235" s="20" t="s">
        <v>8159</v>
      </c>
      <c r="E235" s="20">
        <v>2025</v>
      </c>
      <c r="F235" s="20" t="s">
        <v>2617</v>
      </c>
      <c r="G235" s="20">
        <v>533</v>
      </c>
      <c r="H235" s="20">
        <v>7735</v>
      </c>
      <c r="I235" s="19" t="s">
        <v>8149</v>
      </c>
      <c r="J235" s="11" t="str">
        <f t="shared" si="14"/>
        <v>NUEVO 30083008 GT HYBRID4 300 eEAT82025</v>
      </c>
      <c r="K235" s="12"/>
      <c r="L235" s="10">
        <f>IFERROR(_xlfn.XLOOKUP(F235,'PRECIO TOMA HISTORICO '!$A:$A,'PRECIO TOMA HISTORICO '!$B:$B,_xlfn.XLOOKUP(F235,BBDD!$S:$S,BBDD!$AO:$AO,"",0,1),0,-1),"")</f>
        <v>38661008</v>
      </c>
      <c r="M235" s="9"/>
      <c r="N235" s="10">
        <f>_xlfn.XLOOKUP(F235,BBDD!$S:$S,BBDD!$AS:$AS)</f>
        <v>30590000</v>
      </c>
      <c r="O235" s="10">
        <f>IFERROR(VLOOKUP(F235,'PRECIO MERCADO'!D:E,2,0),"0")</f>
        <v>29600000</v>
      </c>
      <c r="P235" s="10">
        <f>_xlfn.XLOOKUP(F235,BBDD!$S:$S,BBDD!$AO:$AO)</f>
        <v>38661008</v>
      </c>
      <c r="Q235" s="10">
        <f>_xlfn.XLOOKUP(F235,BBDD!$S:$S,BBDD!$AR:$AR)</f>
        <v>39537687</v>
      </c>
      <c r="R235" s="24" t="str">
        <f t="shared" si="15"/>
        <v>LIQUIDAR</v>
      </c>
    </row>
    <row r="236" spans="1:18" ht="15" customHeight="1" x14ac:dyDescent="0.3">
      <c r="A236" s="21" t="s">
        <v>241</v>
      </c>
      <c r="B236" s="21" t="s">
        <v>2487</v>
      </c>
      <c r="C236" s="20" t="s">
        <v>10146</v>
      </c>
      <c r="D236" s="20" t="s">
        <v>9526</v>
      </c>
      <c r="E236" s="20">
        <v>2026</v>
      </c>
      <c r="F236" s="20" t="s">
        <v>11154</v>
      </c>
      <c r="G236" s="20">
        <v>110</v>
      </c>
      <c r="H236" s="20">
        <v>0</v>
      </c>
      <c r="I236" s="19" t="s">
        <v>8420</v>
      </c>
      <c r="J236" s="11" t="str">
        <f t="shared" si="14"/>
        <v>NUEVO 30083008 P64 GT Hybrid 136hp AT2026</v>
      </c>
      <c r="K236" s="12"/>
      <c r="L236" s="10">
        <f>IFERROR(_xlfn.XLOOKUP(F236,'PRECIO TOMA HISTORICO '!$A:$A,'PRECIO TOMA HISTORICO '!$B:$B,_xlfn.XLOOKUP(F236,BBDD!$S:$S,BBDD!$AO:$AO,"",0,1),0,-1),"")</f>
        <v>28515882</v>
      </c>
      <c r="M236" s="9"/>
      <c r="N236" s="10">
        <f>_xlfn.XLOOKUP(F236,BBDD!$S:$S,BBDD!$AS:$AS)</f>
        <v>31336134</v>
      </c>
      <c r="O236" s="10" t="str">
        <f>IFERROR(VLOOKUP(F236,'PRECIO MERCADO'!D:E,2,0),"0")</f>
        <v>0</v>
      </c>
      <c r="P236" s="10">
        <f>_xlfn.XLOOKUP(F236,BBDD!$S:$S,BBDD!$AO:$AO)</f>
        <v>28515882</v>
      </c>
      <c r="Q236" s="10">
        <f>_xlfn.XLOOKUP(F236,BBDD!$S:$S,BBDD!$AR:$AR)</f>
        <v>29546435</v>
      </c>
      <c r="R236" s="24" t="str">
        <f t="shared" si="15"/>
        <v>LIQUIDAR</v>
      </c>
    </row>
    <row r="237" spans="1:18" ht="15" customHeight="1" x14ac:dyDescent="0.3">
      <c r="A237" s="21" t="s">
        <v>241</v>
      </c>
      <c r="B237" s="21" t="s">
        <v>2487</v>
      </c>
      <c r="C237" s="21" t="s">
        <v>10146</v>
      </c>
      <c r="D237" s="20" t="s">
        <v>8098</v>
      </c>
      <c r="E237" s="20">
        <v>2026</v>
      </c>
      <c r="F237" s="20" t="s">
        <v>11249</v>
      </c>
      <c r="G237" s="20">
        <v>262</v>
      </c>
      <c r="H237" s="20">
        <v>0</v>
      </c>
      <c r="I237" s="19" t="s">
        <v>8420</v>
      </c>
      <c r="J237" s="11" t="str">
        <f t="shared" si="14"/>
        <v>NUEVO 30083008 P64 GT Hybrid 136hp AT2026</v>
      </c>
      <c r="K237" s="12"/>
      <c r="L237" s="10">
        <f>IFERROR(_xlfn.XLOOKUP(F237,'PRECIO TOMA HISTORICO '!$A:$A,'PRECIO TOMA HISTORICO '!$B:$B,_xlfn.XLOOKUP(F237,BBDD!$S:$S,BBDD!$AO:$AO,"",0,1),0,-1),"")</f>
        <v>28983865</v>
      </c>
      <c r="M237" s="9"/>
      <c r="N237" s="10">
        <f>_xlfn.XLOOKUP(F237,BBDD!$S:$S,BBDD!$AS:$AS)</f>
        <v>31336134</v>
      </c>
      <c r="O237" s="10" t="str">
        <f>IFERROR(VLOOKUP(F237,'PRECIO MERCADO'!D:E,2,0),"0")</f>
        <v>0</v>
      </c>
      <c r="P237" s="10">
        <f>_xlfn.XLOOKUP(F237,BBDD!$S:$S,BBDD!$AO:$AO)</f>
        <v>28983865</v>
      </c>
      <c r="Q237" s="10">
        <f>_xlfn.XLOOKUP(F237,BBDD!$S:$S,BBDD!$AR:$AR)</f>
        <v>30322169</v>
      </c>
      <c r="R237" s="24" t="str">
        <f t="shared" si="15"/>
        <v>LIQUIDAR</v>
      </c>
    </row>
    <row r="238" spans="1:18" ht="15" customHeight="1" x14ac:dyDescent="0.3">
      <c r="A238" s="21" t="s">
        <v>241</v>
      </c>
      <c r="B238" s="21" t="s">
        <v>2487</v>
      </c>
      <c r="C238" s="20" t="s">
        <v>11318</v>
      </c>
      <c r="D238" s="20" t="s">
        <v>8159</v>
      </c>
      <c r="E238" s="20">
        <v>2026</v>
      </c>
      <c r="F238" s="20" t="s">
        <v>3746</v>
      </c>
      <c r="G238" s="20">
        <v>544</v>
      </c>
      <c r="H238" s="20">
        <v>0</v>
      </c>
      <c r="I238" s="19" t="s">
        <v>8149</v>
      </c>
      <c r="J238" s="11" t="str">
        <f t="shared" ref="J238:J271" si="16">CONCATENATE(B238,C238,E238)</f>
        <v>NUEVO 3008New 3008 Allure MHEV 136 eDCT62026</v>
      </c>
      <c r="K238" s="12"/>
      <c r="L238" s="10">
        <f>IFERROR(_xlfn.XLOOKUP(F238,'PRECIO TOMA HISTORICO '!$A:$A,'PRECIO TOMA HISTORICO '!$B:$B,_xlfn.XLOOKUP(F238,BBDD!$S:$S,BBDD!$AO:$AO,"",0,1),0,-1),"")</f>
        <v>24773782</v>
      </c>
      <c r="M238" s="9"/>
      <c r="N238" s="10">
        <f>_xlfn.XLOOKUP(F238,BBDD!$S:$S,BBDD!$AS:$AS)</f>
        <v>26882353</v>
      </c>
      <c r="O238" s="10">
        <f>IFERROR(VLOOKUP(F238,'PRECIO MERCADO'!D:E,2,0),"0")</f>
        <v>22800000</v>
      </c>
      <c r="P238" s="10">
        <f>_xlfn.XLOOKUP(F238,BBDD!$S:$S,BBDD!$AO:$AO)</f>
        <v>24773782</v>
      </c>
      <c r="Q238" s="10">
        <f>_xlfn.XLOOKUP(F238,BBDD!$S:$S,BBDD!$AR:$AR)</f>
        <v>26651183</v>
      </c>
      <c r="R238" s="24" t="str">
        <f t="shared" ref="R238:R271" si="17">IF(G238&lt;=30,"ROTACION ALTA",IF(G238&lt;30,"ROTACION MEDIA",IF(G238&lt;60,"ROTACION BAJA",IF(G238&gt;60,"LIQUIDAR"))))</f>
        <v>LIQUIDAR</v>
      </c>
    </row>
    <row r="239" spans="1:18" ht="15" customHeight="1" x14ac:dyDescent="0.3">
      <c r="A239" s="21" t="s">
        <v>241</v>
      </c>
      <c r="B239" s="21" t="s">
        <v>2487</v>
      </c>
      <c r="C239" s="20" t="s">
        <v>8200</v>
      </c>
      <c r="D239" s="20" t="s">
        <v>8159</v>
      </c>
      <c r="E239" s="20">
        <v>2025</v>
      </c>
      <c r="F239" s="20" t="s">
        <v>3050</v>
      </c>
      <c r="G239" s="20">
        <v>223</v>
      </c>
      <c r="H239" s="20">
        <v>0</v>
      </c>
      <c r="I239" s="19" t="s">
        <v>8149</v>
      </c>
      <c r="J239" s="11" t="str">
        <f t="shared" si="16"/>
        <v>NUEVO 3008New 3008 PREMIERE MHEV 136 eDCT62025</v>
      </c>
      <c r="K239" s="12"/>
      <c r="L239" s="10">
        <f>IFERROR(_xlfn.XLOOKUP(F239,'PRECIO TOMA HISTORICO '!$A:$A,'PRECIO TOMA HISTORICO '!$B:$B,_xlfn.XLOOKUP(F239,BBDD!$S:$S,BBDD!$AO:$AO,"",0,1),0,-1),"")</f>
        <v>25392269</v>
      </c>
      <c r="M239" s="9"/>
      <c r="N239" s="10">
        <f>_xlfn.XLOOKUP(F239,BBDD!$S:$S,BBDD!$AS:$AS)</f>
        <v>26990000</v>
      </c>
      <c r="O239" s="10">
        <f>IFERROR(VLOOKUP(F239,'PRECIO MERCADO'!D:E,2,0),"0")</f>
        <v>22900000</v>
      </c>
      <c r="P239" s="10">
        <f>_xlfn.XLOOKUP(F239,BBDD!$S:$S,BBDD!$AO:$AO)</f>
        <v>25392269</v>
      </c>
      <c r="Q239" s="10">
        <f>_xlfn.XLOOKUP(F239,BBDD!$S:$S,BBDD!$AR:$AR)</f>
        <v>27031792</v>
      </c>
      <c r="R239" s="24" t="str">
        <f t="shared" si="17"/>
        <v>LIQUIDAR</v>
      </c>
    </row>
    <row r="240" spans="1:18" ht="15" customHeight="1" x14ac:dyDescent="0.3">
      <c r="A240" s="21" t="s">
        <v>241</v>
      </c>
      <c r="B240" s="21" t="s">
        <v>2487</v>
      </c>
      <c r="C240" s="21" t="s">
        <v>8200</v>
      </c>
      <c r="D240" s="21" t="s">
        <v>8159</v>
      </c>
      <c r="E240" s="21">
        <v>2025</v>
      </c>
      <c r="F240" s="20" t="s">
        <v>3622</v>
      </c>
      <c r="G240" s="20">
        <v>162</v>
      </c>
      <c r="H240" s="20">
        <v>23967</v>
      </c>
      <c r="I240" s="19" t="s">
        <v>8149</v>
      </c>
      <c r="J240" s="11" t="str">
        <f t="shared" si="16"/>
        <v>NUEVO 3008New 3008 PREMIERE MHEV 136 eDCT62025</v>
      </c>
      <c r="K240" s="12"/>
      <c r="L240" s="10">
        <f>IFERROR(_xlfn.XLOOKUP(F240,'PRECIO TOMA HISTORICO '!$A:$A,'PRECIO TOMA HISTORICO '!$B:$B,_xlfn.XLOOKUP(F240,BBDD!$S:$S,BBDD!$AO:$AO,"",0,1),0,-1),"")</f>
        <v>25546891</v>
      </c>
      <c r="M240" s="9"/>
      <c r="N240" s="10">
        <f>_xlfn.XLOOKUP(F240,BBDD!$S:$S,BBDD!$AS:$AS)</f>
        <v>24290000</v>
      </c>
      <c r="O240" s="10">
        <f>IFERROR(VLOOKUP(F240,'PRECIO MERCADO'!D:E,2,0),"0")</f>
        <v>22300000</v>
      </c>
      <c r="P240" s="10">
        <f>_xlfn.XLOOKUP(F240,BBDD!$S:$S,BBDD!$AO:$AO)</f>
        <v>25546891</v>
      </c>
      <c r="Q240" s="10">
        <f>_xlfn.XLOOKUP(F240,BBDD!$S:$S,BBDD!$AR:$AR)</f>
        <v>27463671</v>
      </c>
      <c r="R240" s="24" t="str">
        <f t="shared" si="17"/>
        <v>LIQUIDAR</v>
      </c>
    </row>
    <row r="241" spans="1:18" ht="15" customHeight="1" x14ac:dyDescent="0.3">
      <c r="A241" s="21" t="s">
        <v>241</v>
      </c>
      <c r="B241" s="21" t="s">
        <v>2487</v>
      </c>
      <c r="C241" s="21" t="s">
        <v>8200</v>
      </c>
      <c r="D241" s="21" t="s">
        <v>8159</v>
      </c>
      <c r="E241" s="21">
        <v>2025</v>
      </c>
      <c r="F241" s="20" t="s">
        <v>3679</v>
      </c>
      <c r="G241" s="20">
        <v>162</v>
      </c>
      <c r="H241" s="20">
        <v>8160</v>
      </c>
      <c r="I241" s="19" t="s">
        <v>8149</v>
      </c>
      <c r="J241" s="11" t="str">
        <f t="shared" si="16"/>
        <v>NUEVO 3008New 3008 PREMIERE MHEV 136 eDCT62025</v>
      </c>
      <c r="K241" s="12"/>
      <c r="L241" s="10">
        <f>IFERROR(_xlfn.XLOOKUP(F241,'PRECIO TOMA HISTORICO '!$A:$A,'PRECIO TOMA HISTORICO '!$B:$B,_xlfn.XLOOKUP(F241,BBDD!$S:$S,BBDD!$AO:$AO,"",0,1),0,-1),"")</f>
        <v>25546891</v>
      </c>
      <c r="M241" s="9"/>
      <c r="N241" s="10">
        <f>_xlfn.XLOOKUP(F241,BBDD!$S:$S,BBDD!$AS:$AS)</f>
        <v>27722689</v>
      </c>
      <c r="O241" s="10">
        <f>IFERROR(VLOOKUP(F241,'PRECIO MERCADO'!D:E,2,0),"0")</f>
        <v>23600000</v>
      </c>
      <c r="P241" s="10">
        <f>_xlfn.XLOOKUP(F241,BBDD!$S:$S,BBDD!$AO:$AO)</f>
        <v>25546891</v>
      </c>
      <c r="Q241" s="10">
        <f>_xlfn.XLOOKUP(F241,BBDD!$S:$S,BBDD!$AR:$AR)</f>
        <v>27972546</v>
      </c>
      <c r="R241" s="24" t="str">
        <f t="shared" si="17"/>
        <v>LIQUIDAR</v>
      </c>
    </row>
    <row r="242" spans="1:18" ht="15" customHeight="1" x14ac:dyDescent="0.3">
      <c r="A242" s="21" t="s">
        <v>241</v>
      </c>
      <c r="B242" s="21" t="s">
        <v>2487</v>
      </c>
      <c r="C242" s="21" t="s">
        <v>8200</v>
      </c>
      <c r="D242" s="21" t="s">
        <v>8159</v>
      </c>
      <c r="E242" s="20">
        <v>2026</v>
      </c>
      <c r="F242" s="20" t="s">
        <v>11361</v>
      </c>
      <c r="G242" s="20">
        <v>592</v>
      </c>
      <c r="H242" s="20">
        <v>0</v>
      </c>
      <c r="I242" s="19" t="s">
        <v>8149</v>
      </c>
      <c r="J242" s="11" t="str">
        <f t="shared" si="16"/>
        <v>NUEVO 3008New 3008 PREMIERE MHEV 136 eDCT62026</v>
      </c>
      <c r="K242" s="12"/>
      <c r="L242" s="10">
        <f>IFERROR(_xlfn.XLOOKUP(F242,'PRECIO TOMA HISTORICO '!$A:$A,'PRECIO TOMA HISTORICO '!$B:$B,_xlfn.XLOOKUP(F242,BBDD!$S:$S,BBDD!$AO:$AO,"",0,1),0,-1),"")</f>
        <v>25392269</v>
      </c>
      <c r="M242" s="9"/>
      <c r="N242" s="10">
        <f>_xlfn.XLOOKUP(F242,BBDD!$S:$S,BBDD!$AS:$AS)</f>
        <v>27722689</v>
      </c>
      <c r="O242" s="10" t="str">
        <f>IFERROR(VLOOKUP(F242,'PRECIO MERCADO'!D:E,2,0),"0")</f>
        <v>0</v>
      </c>
      <c r="P242" s="10">
        <f>_xlfn.XLOOKUP(F242,BBDD!$S:$S,BBDD!$AO:$AO)</f>
        <v>25392269</v>
      </c>
      <c r="Q242" s="10">
        <f>_xlfn.XLOOKUP(F242,BBDD!$S:$S,BBDD!$AR:$AR)</f>
        <v>27037802</v>
      </c>
      <c r="R242" s="24" t="str">
        <f t="shared" si="17"/>
        <v>LIQUIDAR</v>
      </c>
    </row>
    <row r="243" spans="1:18" ht="15" customHeight="1" x14ac:dyDescent="0.3">
      <c r="A243" s="21" t="s">
        <v>241</v>
      </c>
      <c r="B243" s="21" t="s">
        <v>2487</v>
      </c>
      <c r="C243" s="21" t="s">
        <v>8200</v>
      </c>
      <c r="D243" s="21" t="s">
        <v>8159</v>
      </c>
      <c r="E243" s="21">
        <v>2026</v>
      </c>
      <c r="F243" s="20" t="s">
        <v>11385</v>
      </c>
      <c r="G243" s="20">
        <v>592</v>
      </c>
      <c r="H243" s="20">
        <v>0</v>
      </c>
      <c r="I243" s="19" t="s">
        <v>8149</v>
      </c>
      <c r="J243" s="11" t="str">
        <f t="shared" si="16"/>
        <v>NUEVO 3008New 3008 PREMIERE MHEV 136 eDCT62026</v>
      </c>
      <c r="K243" s="12"/>
      <c r="L243" s="10">
        <f>IFERROR(_xlfn.XLOOKUP(F243,'PRECIO TOMA HISTORICO '!$A:$A,'PRECIO TOMA HISTORICO '!$B:$B,_xlfn.XLOOKUP(F243,BBDD!$S:$S,BBDD!$AO:$AO,"",0,1),0,-1),"")</f>
        <v>25392269</v>
      </c>
      <c r="M243" s="9"/>
      <c r="N243" s="10">
        <f>_xlfn.XLOOKUP(F243,BBDD!$S:$S,BBDD!$AS:$AS)</f>
        <v>27722689</v>
      </c>
      <c r="O243" s="10" t="str">
        <f>IFERROR(VLOOKUP(F243,'PRECIO MERCADO'!D:E,2,0),"0")</f>
        <v>0</v>
      </c>
      <c r="P243" s="10">
        <f>_xlfn.XLOOKUP(F243,BBDD!$S:$S,BBDD!$AO:$AO)</f>
        <v>25392269</v>
      </c>
      <c r="Q243" s="10">
        <f>_xlfn.XLOOKUP(F243,BBDD!$S:$S,BBDD!$AR:$AR)</f>
        <v>27007507</v>
      </c>
      <c r="R243" s="24" t="str">
        <f t="shared" si="17"/>
        <v>LIQUIDAR</v>
      </c>
    </row>
    <row r="244" spans="1:18" ht="15" customHeight="1" x14ac:dyDescent="0.3">
      <c r="A244" s="21" t="s">
        <v>241</v>
      </c>
      <c r="B244" s="21" t="s">
        <v>2487</v>
      </c>
      <c r="C244" s="21" t="s">
        <v>8200</v>
      </c>
      <c r="D244" s="21" t="s">
        <v>8159</v>
      </c>
      <c r="E244" s="21">
        <v>2026</v>
      </c>
      <c r="F244" s="20" t="s">
        <v>11272</v>
      </c>
      <c r="G244" s="20">
        <v>544</v>
      </c>
      <c r="H244" s="20">
        <v>0</v>
      </c>
      <c r="I244" s="19" t="s">
        <v>8149</v>
      </c>
      <c r="J244" s="11" t="str">
        <f t="shared" si="16"/>
        <v>NUEVO 3008New 3008 PREMIERE MHEV 136 eDCT62026</v>
      </c>
      <c r="K244" s="12"/>
      <c r="L244" s="10">
        <f>IFERROR(_xlfn.XLOOKUP(F244,'PRECIO TOMA HISTORICO '!$A:$A,'PRECIO TOMA HISTORICO '!$B:$B,_xlfn.XLOOKUP(F244,BBDD!$S:$S,BBDD!$AO:$AO,"",0,1),0,-1),"")</f>
        <v>25546891</v>
      </c>
      <c r="M244" s="9"/>
      <c r="N244" s="10">
        <f>_xlfn.XLOOKUP(F244,BBDD!$S:$S,BBDD!$AS:$AS)</f>
        <v>27722689</v>
      </c>
      <c r="O244" s="10" t="str">
        <f>IFERROR(VLOOKUP(F244,'PRECIO MERCADO'!D:E,2,0),"0")</f>
        <v>0</v>
      </c>
      <c r="P244" s="10">
        <f>_xlfn.XLOOKUP(F244,BBDD!$S:$S,BBDD!$AO:$AO)</f>
        <v>25546891</v>
      </c>
      <c r="Q244" s="10">
        <f>_xlfn.XLOOKUP(F244,BBDD!$S:$S,BBDD!$AR:$AR)</f>
        <v>27463671</v>
      </c>
      <c r="R244" s="24" t="str">
        <f t="shared" si="17"/>
        <v>LIQUIDAR</v>
      </c>
    </row>
    <row r="245" spans="1:18" ht="15" customHeight="1" x14ac:dyDescent="0.3">
      <c r="A245" s="21" t="s">
        <v>241</v>
      </c>
      <c r="B245" s="21" t="s">
        <v>2487</v>
      </c>
      <c r="C245" s="20" t="s">
        <v>8382</v>
      </c>
      <c r="D245" s="20" t="s">
        <v>8159</v>
      </c>
      <c r="E245" s="20">
        <v>2023</v>
      </c>
      <c r="F245" s="20" t="s">
        <v>2589</v>
      </c>
      <c r="G245" s="20">
        <v>1140</v>
      </c>
      <c r="H245" s="20">
        <v>3324</v>
      </c>
      <c r="I245" s="19" t="s">
        <v>8149</v>
      </c>
      <c r="J245" s="11" t="str">
        <f t="shared" si="16"/>
        <v>NUEVO 3008Nuevo 3008 Active Pack Puretech 1302023</v>
      </c>
      <c r="K245" s="12"/>
      <c r="L245" s="10">
        <f>IFERROR(_xlfn.XLOOKUP(F245,'PRECIO TOMA HISTORICO '!$A:$A,'PRECIO TOMA HISTORICO '!$B:$B,_xlfn.XLOOKUP(F245,BBDD!$S:$S,BBDD!$AO:$AO,"",0,1),0,-1),"")</f>
        <v>18761887</v>
      </c>
      <c r="M245" s="9"/>
      <c r="N245" s="10">
        <f>_xlfn.XLOOKUP(F245,BBDD!$S:$S,BBDD!$AS:$AS)</f>
        <v>14990000</v>
      </c>
      <c r="O245" s="10">
        <f>IFERROR(VLOOKUP(F245,'PRECIO MERCADO'!D:E,2,0),"0")</f>
        <v>15100000</v>
      </c>
      <c r="P245" s="10">
        <f>_xlfn.XLOOKUP(F245,BBDD!$S:$S,BBDD!$AO:$AO)</f>
        <v>18761887</v>
      </c>
      <c r="Q245" s="10">
        <f>_xlfn.XLOOKUP(F245,BBDD!$S:$S,BBDD!$AR:$AR)</f>
        <v>20830176</v>
      </c>
      <c r="R245" s="24" t="str">
        <f t="shared" si="17"/>
        <v>LIQUIDAR</v>
      </c>
    </row>
    <row r="246" spans="1:18" ht="15" customHeight="1" x14ac:dyDescent="0.3">
      <c r="A246" s="21" t="s">
        <v>241</v>
      </c>
      <c r="B246" s="21" t="s">
        <v>2487</v>
      </c>
      <c r="C246" s="21" t="s">
        <v>8382</v>
      </c>
      <c r="D246" s="21" t="s">
        <v>8159</v>
      </c>
      <c r="E246" s="20">
        <v>2025</v>
      </c>
      <c r="F246" s="20" t="s">
        <v>2619</v>
      </c>
      <c r="G246" s="20">
        <v>587</v>
      </c>
      <c r="H246" s="20">
        <v>3150</v>
      </c>
      <c r="I246" s="19" t="s">
        <v>8149</v>
      </c>
      <c r="J246" s="11" t="str">
        <f t="shared" si="16"/>
        <v>NUEVO 3008Nuevo 3008 Active Pack Puretech 1302025</v>
      </c>
      <c r="K246" s="12"/>
      <c r="L246" s="10">
        <f>IFERROR(_xlfn.XLOOKUP(F246,'PRECIO TOMA HISTORICO '!$A:$A,'PRECIO TOMA HISTORICO '!$B:$B,_xlfn.XLOOKUP(F246,BBDD!$S:$S,BBDD!$AO:$AO,"",0,1),0,-1),"")</f>
        <v>19610840</v>
      </c>
      <c r="M246" s="9"/>
      <c r="N246" s="10">
        <f>_xlfn.XLOOKUP(F246,BBDD!$S:$S,BBDD!$AS:$AS)</f>
        <v>16590000</v>
      </c>
      <c r="O246" s="10">
        <f>IFERROR(VLOOKUP(F246,'PRECIO MERCADO'!D:E,2,0),"0")</f>
        <v>17900000</v>
      </c>
      <c r="P246" s="10">
        <f>_xlfn.XLOOKUP(F246,BBDD!$S:$S,BBDD!$AO:$AO)</f>
        <v>19610840</v>
      </c>
      <c r="Q246" s="10">
        <f>_xlfn.XLOOKUP(F246,BBDD!$S:$S,BBDD!$AR:$AR)</f>
        <v>20588761</v>
      </c>
      <c r="R246" s="24" t="str">
        <f t="shared" si="17"/>
        <v>LIQUIDAR</v>
      </c>
    </row>
    <row r="247" spans="1:18" ht="15" customHeight="1" x14ac:dyDescent="0.3">
      <c r="A247" s="21" t="s">
        <v>241</v>
      </c>
      <c r="B247" s="20" t="s">
        <v>2478</v>
      </c>
      <c r="C247" s="20" t="s">
        <v>11309</v>
      </c>
      <c r="D247" s="20" t="s">
        <v>8159</v>
      </c>
      <c r="E247" s="20">
        <v>2026</v>
      </c>
      <c r="F247" s="20" t="s">
        <v>11312</v>
      </c>
      <c r="G247" s="20">
        <v>357</v>
      </c>
      <c r="H247" s="20">
        <v>0</v>
      </c>
      <c r="I247" s="19" t="s">
        <v>8149</v>
      </c>
      <c r="J247" s="11" t="str">
        <f t="shared" si="16"/>
        <v>NUEVO 308308 Allure Diesel 130hp AT2026</v>
      </c>
      <c r="K247" s="12"/>
      <c r="L247" s="10">
        <f>IFERROR(_xlfn.XLOOKUP(F247,'PRECIO TOMA HISTORICO '!$A:$A,'PRECIO TOMA HISTORICO '!$B:$B,_xlfn.XLOOKUP(F247,BBDD!$S:$S,BBDD!$AO:$AO,"",0,1),0,-1),"")</f>
        <v>21449412</v>
      </c>
      <c r="M247" s="9"/>
      <c r="N247" s="10">
        <f>_xlfn.XLOOKUP(F247,BBDD!$S:$S,BBDD!$AS:$AS)</f>
        <v>23268908</v>
      </c>
      <c r="O247" s="10" t="str">
        <f>IFERROR(VLOOKUP(F247,'PRECIO MERCADO'!D:E,2,0),"0")</f>
        <v>0</v>
      </c>
      <c r="P247" s="10">
        <f>_xlfn.XLOOKUP(F247,BBDD!$S:$S,BBDD!$AO:$AO)</f>
        <v>21449412</v>
      </c>
      <c r="Q247" s="10">
        <f>_xlfn.XLOOKUP(F247,BBDD!$S:$S,BBDD!$AR:$AR)</f>
        <v>22521496</v>
      </c>
      <c r="R247" s="24" t="str">
        <f t="shared" si="17"/>
        <v>LIQUIDAR</v>
      </c>
    </row>
    <row r="248" spans="1:18" ht="15" customHeight="1" x14ac:dyDescent="0.3">
      <c r="A248" s="21" t="s">
        <v>241</v>
      </c>
      <c r="B248" s="20" t="s">
        <v>2501</v>
      </c>
      <c r="C248" s="20" t="s">
        <v>11367</v>
      </c>
      <c r="D248" s="20" t="s">
        <v>8159</v>
      </c>
      <c r="E248" s="20">
        <v>2026</v>
      </c>
      <c r="F248" s="20" t="s">
        <v>11370</v>
      </c>
      <c r="G248" s="20">
        <v>503</v>
      </c>
      <c r="H248" s="20">
        <v>0</v>
      </c>
      <c r="I248" s="19" t="s">
        <v>8149</v>
      </c>
      <c r="J248" s="11" t="str">
        <f t="shared" si="16"/>
        <v>NUEVO 5008New 5008 Gt MHEV 136 eDCT62026</v>
      </c>
      <c r="K248" s="12"/>
      <c r="L248" s="10">
        <f>IFERROR(_xlfn.XLOOKUP(F248,'PRECIO TOMA HISTORICO '!$A:$A,'PRECIO TOMA HISTORICO '!$B:$B,_xlfn.XLOOKUP(F248,BBDD!$S:$S,BBDD!$AO:$AO,"",0,1),0,-1),"")</f>
        <v>26724370</v>
      </c>
      <c r="M248" s="9"/>
      <c r="N248" s="10">
        <f>_xlfn.XLOOKUP(F248,BBDD!$S:$S,BBDD!$AS:$AS)</f>
        <v>33352941</v>
      </c>
      <c r="O248" s="10" t="str">
        <f>IFERROR(VLOOKUP(F248,'PRECIO MERCADO'!D:E,2,0),"0")</f>
        <v>0</v>
      </c>
      <c r="P248" s="10">
        <f>_xlfn.XLOOKUP(F248,BBDD!$S:$S,BBDD!$AO:$AO)</f>
        <v>26724370</v>
      </c>
      <c r="Q248" s="10">
        <f>_xlfn.XLOOKUP(F248,BBDD!$S:$S,BBDD!$AR:$AR)</f>
        <v>27892331</v>
      </c>
      <c r="R248" s="24" t="str">
        <f t="shared" si="17"/>
        <v>LIQUIDAR</v>
      </c>
    </row>
    <row r="249" spans="1:18" ht="15" customHeight="1" x14ac:dyDescent="0.3">
      <c r="A249" s="21" t="s">
        <v>241</v>
      </c>
      <c r="B249" s="20" t="s">
        <v>11230</v>
      </c>
      <c r="C249" s="20" t="s">
        <v>11231</v>
      </c>
      <c r="D249" s="20" t="s">
        <v>8159</v>
      </c>
      <c r="E249" s="20">
        <v>2026</v>
      </c>
      <c r="F249" s="20" t="s">
        <v>11234</v>
      </c>
      <c r="G249" s="20">
        <v>368</v>
      </c>
      <c r="H249" s="20">
        <v>0</v>
      </c>
      <c r="I249" s="19" t="s">
        <v>8420</v>
      </c>
      <c r="J249" s="11" t="str">
        <f t="shared" si="16"/>
        <v>RifterRIFTER MCA ALLURE Diesel 130hp AT2026</v>
      </c>
      <c r="K249" s="12"/>
      <c r="L249" s="10">
        <f>IFERROR(_xlfn.XLOOKUP(F249,'PRECIO TOMA HISTORICO '!$A:$A,'PRECIO TOMA HISTORICO '!$B:$B,_xlfn.XLOOKUP(F249,BBDD!$S:$S,BBDD!$AO:$AO,"",0,1),0,-1),"")</f>
        <v>18211764</v>
      </c>
      <c r="M249" s="9"/>
      <c r="N249" s="10">
        <f>_xlfn.XLOOKUP(F249,BBDD!$S:$S,BBDD!$AS:$AS)</f>
        <v>22176471</v>
      </c>
      <c r="O249" s="10" t="str">
        <f>IFERROR(VLOOKUP(F249,'PRECIO MERCADO'!D:E,2,0),"0")</f>
        <v>0</v>
      </c>
      <c r="P249" s="10">
        <f>_xlfn.XLOOKUP(F249,BBDD!$S:$S,BBDD!$AO:$AO)</f>
        <v>18211764</v>
      </c>
      <c r="Q249" s="10">
        <f>_xlfn.XLOOKUP(F249,BBDD!$S:$S,BBDD!$AR:$AR)</f>
        <v>19038213</v>
      </c>
      <c r="R249" s="24" t="str">
        <f t="shared" si="17"/>
        <v>LIQUIDAR</v>
      </c>
    </row>
    <row r="250" spans="1:18" ht="15" customHeight="1" x14ac:dyDescent="0.3">
      <c r="A250" s="20" t="s">
        <v>278</v>
      </c>
      <c r="B250" s="20" t="s">
        <v>279</v>
      </c>
      <c r="C250" s="20" t="s">
        <v>4858</v>
      </c>
      <c r="D250" s="20" t="s">
        <v>40</v>
      </c>
      <c r="E250" s="20">
        <v>2025</v>
      </c>
      <c r="F250" s="20" t="s">
        <v>8524</v>
      </c>
      <c r="G250" s="20">
        <v>168</v>
      </c>
      <c r="H250" s="20">
        <v>0</v>
      </c>
      <c r="I250" s="19" t="s">
        <v>8491</v>
      </c>
      <c r="J250" s="11" t="str">
        <f t="shared" si="16"/>
        <v>RAM 15001500 BIG HORN 4X4 3.6 AT2025</v>
      </c>
      <c r="K250" s="12"/>
      <c r="L250" s="10">
        <f>IFERROR(_xlfn.XLOOKUP(F250,'PRECIO TOMA HISTORICO '!$A:$A,'PRECIO TOMA HISTORICO '!$B:$B,_xlfn.XLOOKUP(F250,BBDD!$S:$S,BBDD!$AO:$AO,"",0,1),0,-1),"")</f>
        <v>65150753</v>
      </c>
      <c r="M250" s="9"/>
      <c r="N250" s="10">
        <f>_xlfn.XLOOKUP(F250,BBDD!$S:$S,BBDD!$AS:$AS)</f>
        <v>65150753</v>
      </c>
      <c r="O250" s="10">
        <f>IFERROR(VLOOKUP(F250,'PRECIO MERCADO'!D:E,2,0),"0")</f>
        <v>38800000</v>
      </c>
      <c r="P250" s="10">
        <f>_xlfn.XLOOKUP(F250,BBDD!$S:$S,BBDD!$AO:$AO)</f>
        <v>65150753</v>
      </c>
      <c r="Q250" s="10">
        <f>_xlfn.XLOOKUP(F250,BBDD!$S:$S,BBDD!$AR:$AR)</f>
        <v>65150753</v>
      </c>
      <c r="R250" s="24" t="str">
        <f t="shared" si="17"/>
        <v>LIQUIDAR</v>
      </c>
    </row>
    <row r="251" spans="1:18" ht="15" customHeight="1" x14ac:dyDescent="0.3">
      <c r="A251" s="21" t="s">
        <v>278</v>
      </c>
      <c r="B251" s="21" t="s">
        <v>279</v>
      </c>
      <c r="C251" s="20" t="s">
        <v>283</v>
      </c>
      <c r="D251" s="20" t="s">
        <v>26</v>
      </c>
      <c r="E251" s="20">
        <v>2025</v>
      </c>
      <c r="F251" s="20" t="s">
        <v>284</v>
      </c>
      <c r="G251" s="20">
        <v>221</v>
      </c>
      <c r="H251" s="20">
        <v>16869</v>
      </c>
      <c r="I251" s="19" t="s">
        <v>5142</v>
      </c>
      <c r="J251" s="11" t="str">
        <f t="shared" si="16"/>
        <v>RAM 1500RAMPAGE DS LARAMIE 4X4 2.0 AUT2025</v>
      </c>
      <c r="K251" s="12"/>
      <c r="L251" s="10">
        <f>IFERROR(_xlfn.XLOOKUP(F251,'PRECIO TOMA HISTORICO '!$A:$A,'PRECIO TOMA HISTORICO '!$B:$B,_xlfn.XLOOKUP(F251,BBDD!$S:$S,BBDD!$AO:$AO,"",0,1),0,-1),"")</f>
        <v>29000000</v>
      </c>
      <c r="M251" s="9"/>
      <c r="N251" s="10">
        <f>_xlfn.XLOOKUP(F251,BBDD!$S:$S,BBDD!$AS:$AS)</f>
        <v>30990000</v>
      </c>
      <c r="O251" s="10">
        <f>IFERROR(VLOOKUP(F251,'PRECIO MERCADO'!D:E,2,0),"0")</f>
        <v>31700000</v>
      </c>
      <c r="P251" s="10">
        <f>_xlfn.XLOOKUP(F251,BBDD!$S:$S,BBDD!$AO:$AO)</f>
        <v>29000000</v>
      </c>
      <c r="Q251" s="10">
        <f>_xlfn.XLOOKUP(F251,BBDD!$S:$S,BBDD!$AR:$AR)</f>
        <v>29561030</v>
      </c>
      <c r="R251" s="24" t="str">
        <f t="shared" si="17"/>
        <v>LIQUIDAR</v>
      </c>
    </row>
    <row r="252" spans="1:18" ht="15" customHeight="1" x14ac:dyDescent="0.3">
      <c r="A252" s="21" t="s">
        <v>278</v>
      </c>
      <c r="B252" s="20" t="s">
        <v>4867</v>
      </c>
      <c r="C252" s="20" t="s">
        <v>4870</v>
      </c>
      <c r="D252" s="20" t="s">
        <v>16</v>
      </c>
      <c r="E252" s="20">
        <v>2023</v>
      </c>
      <c r="F252" s="20" t="s">
        <v>11543</v>
      </c>
      <c r="G252" s="20">
        <v>6</v>
      </c>
      <c r="H252" s="20">
        <v>93000</v>
      </c>
      <c r="I252" s="19" t="s">
        <v>5142</v>
      </c>
      <c r="J252" s="11" t="str">
        <f t="shared" si="16"/>
        <v>RAM 700700 BIGHORN D CAB 4X2 1.42023</v>
      </c>
      <c r="K252" s="12"/>
      <c r="L252" s="10">
        <f>IFERROR(_xlfn.XLOOKUP(F252,'PRECIO TOMA HISTORICO '!$A:$A,'PRECIO TOMA HISTORICO '!$B:$B,_xlfn.XLOOKUP(F252,BBDD!$S:$S,BBDD!$AO:$AO,"",0,1),0,-1),"")</f>
        <v>8200000</v>
      </c>
      <c r="M252" s="9"/>
      <c r="N252" s="10">
        <f>_xlfn.XLOOKUP(F252,BBDD!$S:$S,BBDD!$AS:$AS)</f>
        <v>10690000</v>
      </c>
      <c r="O252" s="10">
        <f>IFERROR(VLOOKUP(F252,'PRECIO MERCADO'!D:E,2,0),"0")</f>
        <v>10900000</v>
      </c>
      <c r="P252" s="10">
        <f>_xlfn.XLOOKUP(F252,BBDD!$S:$S,BBDD!$AO:$AO)</f>
        <v>8200000</v>
      </c>
      <c r="Q252" s="10">
        <f>_xlfn.XLOOKUP(F252,BBDD!$S:$S,BBDD!$AR:$AR)</f>
        <v>8452240</v>
      </c>
      <c r="R252" s="24" t="str">
        <f t="shared" si="17"/>
        <v>ROTACION ALTA</v>
      </c>
    </row>
    <row r="253" spans="1:18" ht="15" customHeight="1" x14ac:dyDescent="0.3">
      <c r="A253" s="21" t="s">
        <v>278</v>
      </c>
      <c r="B253" s="20" t="s">
        <v>4876</v>
      </c>
      <c r="C253" s="20" t="s">
        <v>8495</v>
      </c>
      <c r="D253" s="20" t="s">
        <v>8086</v>
      </c>
      <c r="E253" s="20">
        <v>2020</v>
      </c>
      <c r="F253" s="20" t="s">
        <v>8498</v>
      </c>
      <c r="G253" s="20">
        <v>2390</v>
      </c>
      <c r="H253" s="20">
        <v>0</v>
      </c>
      <c r="I253" s="19" t="s">
        <v>8491</v>
      </c>
      <c r="J253" s="11" t="str">
        <f t="shared" si="16"/>
        <v>RAM V700VAN 700 RAPID 1.4L ST2020</v>
      </c>
      <c r="K253" s="12"/>
      <c r="L253" s="10">
        <f>IFERROR(_xlfn.XLOOKUP(F253,'PRECIO TOMA HISTORICO '!$A:$A,'PRECIO TOMA HISTORICO '!$B:$B,_xlfn.XLOOKUP(F253,BBDD!$S:$S,BBDD!$AO:$AO,"",0,1),0,-1),"")</f>
        <v>6854706</v>
      </c>
      <c r="M253" s="9"/>
      <c r="N253" s="10">
        <f>_xlfn.XLOOKUP(F253,BBDD!$S:$S,BBDD!$AS:$AS)</f>
        <v>12490000</v>
      </c>
      <c r="O253" s="10" t="str">
        <f>IFERROR(VLOOKUP(F253,'PRECIO MERCADO'!D:E,2,0),"0")</f>
        <v>0</v>
      </c>
      <c r="P253" s="10">
        <f>_xlfn.XLOOKUP(F253,BBDD!$S:$S,BBDD!$AO:$AO)</f>
        <v>6854706</v>
      </c>
      <c r="Q253" s="10">
        <f>_xlfn.XLOOKUP(F253,BBDD!$S:$S,BBDD!$AR:$AR)</f>
        <v>9531589</v>
      </c>
      <c r="R253" s="24" t="str">
        <f t="shared" si="17"/>
        <v>LIQUIDAR</v>
      </c>
    </row>
    <row r="254" spans="1:18" ht="15" customHeight="1" x14ac:dyDescent="0.3">
      <c r="A254" s="20" t="s">
        <v>288</v>
      </c>
      <c r="B254" s="20" t="s">
        <v>288</v>
      </c>
      <c r="C254" s="20" t="s">
        <v>289</v>
      </c>
      <c r="D254" s="20" t="s">
        <v>40</v>
      </c>
      <c r="E254" s="20">
        <v>2019</v>
      </c>
      <c r="F254" s="20" t="s">
        <v>290</v>
      </c>
      <c r="G254" s="20">
        <v>138</v>
      </c>
      <c r="H254" s="20">
        <v>95000</v>
      </c>
      <c r="I254" s="19" t="s">
        <v>5142</v>
      </c>
      <c r="J254" s="11" t="str">
        <f t="shared" si="16"/>
        <v>RENAULTDUSTER ZEN 1.62019</v>
      </c>
      <c r="K254" s="12"/>
      <c r="L254" s="10">
        <f>IFERROR(_xlfn.XLOOKUP(F254,'PRECIO TOMA HISTORICO '!$A:$A,'PRECIO TOMA HISTORICO '!$B:$B,_xlfn.XLOOKUP(F254,BBDD!$S:$S,BBDD!$AO:$AO,"",0,1),0,-1),"")</f>
        <v>5800000</v>
      </c>
      <c r="M254" s="9"/>
      <c r="N254" s="10">
        <f>_xlfn.XLOOKUP(F254,BBDD!$S:$S,BBDD!$AS:$AS)</f>
        <v>7690000</v>
      </c>
      <c r="O254" s="10">
        <f>IFERROR(VLOOKUP(F254,'PRECIO MERCADO'!D:E,2,0),"0")</f>
        <v>7900000</v>
      </c>
      <c r="P254" s="10">
        <f>_xlfn.XLOOKUP(F254,BBDD!$S:$S,BBDD!$AO:$AO)</f>
        <v>5800000</v>
      </c>
      <c r="Q254" s="10">
        <f>_xlfn.XLOOKUP(F254,BBDD!$S:$S,BBDD!$AR:$AR)</f>
        <v>6016240</v>
      </c>
      <c r="R254" s="24" t="str">
        <f t="shared" si="17"/>
        <v>LIQUIDAR</v>
      </c>
    </row>
    <row r="255" spans="1:18" ht="15" customHeight="1" x14ac:dyDescent="0.3">
      <c r="A255" s="20" t="s">
        <v>291</v>
      </c>
      <c r="B255" s="20" t="s">
        <v>11619</v>
      </c>
      <c r="C255" s="20" t="s">
        <v>11620</v>
      </c>
      <c r="D255" s="20" t="s">
        <v>16</v>
      </c>
      <c r="E255" s="20">
        <v>2019</v>
      </c>
      <c r="F255" s="20" t="s">
        <v>11623</v>
      </c>
      <c r="G255" s="20">
        <v>1</v>
      </c>
      <c r="H255" s="20">
        <v>75950</v>
      </c>
      <c r="I255" s="19" t="s">
        <v>5142</v>
      </c>
      <c r="J255" s="11" t="str">
        <f t="shared" si="16"/>
        <v>GRAND MUSSOGRAND MUSSO 2.22019</v>
      </c>
      <c r="K255" s="12"/>
      <c r="L255" s="10">
        <f>IFERROR(_xlfn.XLOOKUP(F255,'PRECIO TOMA HISTORICO '!$A:$A,'PRECIO TOMA HISTORICO '!$B:$B,_xlfn.XLOOKUP(F255,BBDD!$S:$S,BBDD!$AO:$AO,"",0,1),0,-1),"")</f>
        <v>9000000</v>
      </c>
      <c r="M255" s="9"/>
      <c r="N255" s="10">
        <f>_xlfn.XLOOKUP(F255,BBDD!$S:$S,BBDD!$AS:$AS)</f>
        <v>11290000</v>
      </c>
      <c r="O255" s="10">
        <f>IFERROR(VLOOKUP(F255,'PRECIO MERCADO'!D:E,2,0),"0")</f>
        <v>12200000</v>
      </c>
      <c r="P255" s="10">
        <f>_xlfn.XLOOKUP(F255,BBDD!$S:$S,BBDD!$AO:$AO)</f>
        <v>9000000</v>
      </c>
      <c r="Q255" s="10">
        <f>_xlfn.XLOOKUP(F255,BBDD!$S:$S,BBDD!$AR:$AR)</f>
        <v>9264240</v>
      </c>
      <c r="R255" s="24" t="str">
        <f t="shared" si="17"/>
        <v>ROTACION ALTA</v>
      </c>
    </row>
    <row r="256" spans="1:18" ht="15" customHeight="1" x14ac:dyDescent="0.3">
      <c r="A256" s="21" t="s">
        <v>291</v>
      </c>
      <c r="B256" s="20" t="s">
        <v>292</v>
      </c>
      <c r="C256" s="20" t="s">
        <v>293</v>
      </c>
      <c r="D256" s="20" t="s">
        <v>40</v>
      </c>
      <c r="E256" s="20">
        <v>2021</v>
      </c>
      <c r="F256" s="20" t="s">
        <v>294</v>
      </c>
      <c r="G256" s="20">
        <v>427</v>
      </c>
      <c r="H256" s="20">
        <v>75000</v>
      </c>
      <c r="I256" s="19" t="s">
        <v>5142</v>
      </c>
      <c r="J256" s="11" t="str">
        <f t="shared" si="16"/>
        <v>KORANDONEW KORANDO 1.62021</v>
      </c>
      <c r="K256" s="12"/>
      <c r="L256" s="10">
        <f>IFERROR(_xlfn.XLOOKUP(F256,'PRECIO TOMA HISTORICO '!$A:$A,'PRECIO TOMA HISTORICO '!$B:$B,_xlfn.XLOOKUP(F256,BBDD!$S:$S,BBDD!$AO:$AO,"",0,1),0,-1),"")</f>
        <v>11000000</v>
      </c>
      <c r="M256" s="9"/>
      <c r="N256" s="10">
        <f>_xlfn.XLOOKUP(F256,BBDD!$S:$S,BBDD!$AS:$AS)</f>
        <v>12990000</v>
      </c>
      <c r="O256" s="10">
        <f>IFERROR(VLOOKUP(F256,'PRECIO MERCADO'!D:E,2,0),"0")</f>
        <v>12100000</v>
      </c>
      <c r="P256" s="10">
        <f>_xlfn.XLOOKUP(F256,BBDD!$S:$S,BBDD!$AO:$AO)</f>
        <v>11000000</v>
      </c>
      <c r="Q256" s="10">
        <f>_xlfn.XLOOKUP(F256,BBDD!$S:$S,BBDD!$AR:$AR)</f>
        <v>11443877</v>
      </c>
      <c r="R256" s="24" t="str">
        <f t="shared" si="17"/>
        <v>LIQUIDAR</v>
      </c>
    </row>
    <row r="257" spans="1:18" ht="15" customHeight="1" x14ac:dyDescent="0.3">
      <c r="A257" s="21" t="s">
        <v>291</v>
      </c>
      <c r="B257" s="21" t="s">
        <v>292</v>
      </c>
      <c r="C257" s="20" t="s">
        <v>8559</v>
      </c>
      <c r="D257" s="20" t="s">
        <v>40</v>
      </c>
      <c r="E257" s="20">
        <v>2023</v>
      </c>
      <c r="F257" s="20" t="s">
        <v>8562</v>
      </c>
      <c r="G257" s="20">
        <v>343</v>
      </c>
      <c r="H257" s="20">
        <v>0</v>
      </c>
      <c r="I257" s="19" t="s">
        <v>8491</v>
      </c>
      <c r="J257" s="11" t="str">
        <f t="shared" si="16"/>
        <v>KORANDONEW KORANDO GLX 1.62023</v>
      </c>
      <c r="K257" s="12"/>
      <c r="L257" s="10">
        <f>IFERROR(_xlfn.XLOOKUP(F257,'PRECIO TOMA HISTORICO '!$A:$A,'PRECIO TOMA HISTORICO '!$B:$B,_xlfn.XLOOKUP(F257,BBDD!$S:$S,BBDD!$AO:$AO,"",0,1),0,-1),"")</f>
        <v>22563664</v>
      </c>
      <c r="M257" s="9"/>
      <c r="N257" s="10">
        <f>_xlfn.XLOOKUP(F257,BBDD!$S:$S,BBDD!$AS:$AS)</f>
        <v>22563664</v>
      </c>
      <c r="O257" s="10">
        <f>IFERROR(VLOOKUP(F257,'PRECIO MERCADO'!D:E,2,0),"0")</f>
        <v>15200000</v>
      </c>
      <c r="P257" s="10">
        <f>_xlfn.XLOOKUP(F257,BBDD!$S:$S,BBDD!$AO:$AO)</f>
        <v>22563664</v>
      </c>
      <c r="Q257" s="10">
        <f>_xlfn.XLOOKUP(F257,BBDD!$S:$S,BBDD!$AR:$AR)</f>
        <v>22563664</v>
      </c>
      <c r="R257" s="24" t="str">
        <f t="shared" si="17"/>
        <v>LIQUIDAR</v>
      </c>
    </row>
    <row r="258" spans="1:18" ht="15" customHeight="1" x14ac:dyDescent="0.3">
      <c r="A258" s="21" t="s">
        <v>291</v>
      </c>
      <c r="B258" s="21" t="s">
        <v>292</v>
      </c>
      <c r="C258" s="20" t="s">
        <v>8567</v>
      </c>
      <c r="D258" s="20" t="s">
        <v>40</v>
      </c>
      <c r="E258" s="20">
        <v>2024</v>
      </c>
      <c r="F258" s="20" t="s">
        <v>8570</v>
      </c>
      <c r="G258" s="20">
        <v>573</v>
      </c>
      <c r="H258" s="20">
        <v>0</v>
      </c>
      <c r="I258" s="19" t="s">
        <v>8491</v>
      </c>
      <c r="J258" s="11" t="str">
        <f t="shared" si="16"/>
        <v>KORANDONEW KORANDO GLX 1.6 AUT2024</v>
      </c>
      <c r="K258" s="12"/>
      <c r="L258" s="10">
        <f>IFERROR(_xlfn.XLOOKUP(F258,'PRECIO TOMA HISTORICO '!$A:$A,'PRECIO TOMA HISTORICO '!$B:$B,_xlfn.XLOOKUP(F258,BBDD!$S:$S,BBDD!$AO:$AO,"",0,1),0,-1),"")</f>
        <v>24957854</v>
      </c>
      <c r="M258" s="9"/>
      <c r="N258" s="10">
        <f>_xlfn.XLOOKUP(F258,BBDD!$S:$S,BBDD!$AS:$AS)</f>
        <v>24957854</v>
      </c>
      <c r="O258" s="10">
        <f>IFERROR(VLOOKUP(F258,'PRECIO MERCADO'!D:E,2,0),"0")</f>
        <v>17900000</v>
      </c>
      <c r="P258" s="10">
        <f>_xlfn.XLOOKUP(F258,BBDD!$S:$S,BBDD!$AO:$AO)</f>
        <v>24957854</v>
      </c>
      <c r="Q258" s="10">
        <f>_xlfn.XLOOKUP(F258,BBDD!$S:$S,BBDD!$AR:$AR)</f>
        <v>24957854</v>
      </c>
      <c r="R258" s="24" t="str">
        <f t="shared" si="17"/>
        <v>LIQUIDAR</v>
      </c>
    </row>
    <row r="259" spans="1:18" ht="15" customHeight="1" x14ac:dyDescent="0.3">
      <c r="A259" s="21" t="s">
        <v>291</v>
      </c>
      <c r="B259" s="20" t="s">
        <v>3161</v>
      </c>
      <c r="C259" s="20" t="s">
        <v>4911</v>
      </c>
      <c r="D259" s="20" t="s">
        <v>20</v>
      </c>
      <c r="E259" s="20">
        <v>2023</v>
      </c>
      <c r="F259" s="20" t="s">
        <v>11150</v>
      </c>
      <c r="G259" s="20">
        <v>19</v>
      </c>
      <c r="H259" s="20">
        <v>31306</v>
      </c>
      <c r="I259" s="19" t="s">
        <v>5142</v>
      </c>
      <c r="J259" s="11" t="str">
        <f t="shared" si="16"/>
        <v>NEW REXTONNEW REXTON LX 4X4 2.0 AUT2023</v>
      </c>
      <c r="K259" s="12"/>
      <c r="L259" s="10">
        <f>IFERROR(_xlfn.XLOOKUP(F259,'PRECIO TOMA HISTORICO '!$A:$A,'PRECIO TOMA HISTORICO '!$B:$B,_xlfn.XLOOKUP(F259,BBDD!$S:$S,BBDD!$AO:$AO,"",0,1),0,-1),"")</f>
        <v>15800000</v>
      </c>
      <c r="M259" s="9"/>
      <c r="N259" s="10">
        <f>_xlfn.XLOOKUP(F259,BBDD!$S:$S,BBDD!$AS:$AS)</f>
        <v>18990000</v>
      </c>
      <c r="O259" s="10">
        <f>IFERROR(VLOOKUP(F259,'PRECIO MERCADO'!D:E,2,0),"0")</f>
        <v>20700000</v>
      </c>
      <c r="P259" s="10">
        <f>_xlfn.XLOOKUP(F259,BBDD!$S:$S,BBDD!$AO:$AO)</f>
        <v>15800000</v>
      </c>
      <c r="Q259" s="10">
        <f>_xlfn.XLOOKUP(F259,BBDD!$S:$S,BBDD!$AR:$AR)</f>
        <v>16166240</v>
      </c>
      <c r="R259" s="24" t="str">
        <f t="shared" si="17"/>
        <v>ROTACION ALTA</v>
      </c>
    </row>
    <row r="260" spans="1:18" ht="15" customHeight="1" x14ac:dyDescent="0.3">
      <c r="A260" s="21" t="s">
        <v>291</v>
      </c>
      <c r="B260" s="21" t="s">
        <v>3161</v>
      </c>
      <c r="C260" s="21" t="s">
        <v>4911</v>
      </c>
      <c r="D260" s="20" t="s">
        <v>16</v>
      </c>
      <c r="E260" s="20">
        <v>2023</v>
      </c>
      <c r="F260" s="20" t="s">
        <v>3864</v>
      </c>
      <c r="G260" s="20">
        <v>46</v>
      </c>
      <c r="H260" s="20">
        <v>31000</v>
      </c>
      <c r="I260" s="19" t="s">
        <v>5142</v>
      </c>
      <c r="J260" s="11" t="str">
        <f t="shared" si="16"/>
        <v>NEW REXTONNEW REXTON LX 4X4 2.0 AUT2023</v>
      </c>
      <c r="K260" s="12"/>
      <c r="L260" s="10">
        <f>IFERROR(_xlfn.XLOOKUP(F260,'PRECIO TOMA HISTORICO '!$A:$A,'PRECIO TOMA HISTORICO '!$B:$B,_xlfn.XLOOKUP(F260,BBDD!$S:$S,BBDD!$AO:$AO,"",0,1),0,-1),"")</f>
        <v>16000000</v>
      </c>
      <c r="M260" s="9"/>
      <c r="N260" s="10">
        <f>_xlfn.XLOOKUP(F260,BBDD!$S:$S,BBDD!$AS:$AS)</f>
        <v>18990000</v>
      </c>
      <c r="O260" s="10">
        <f>IFERROR(VLOOKUP(F260,'PRECIO MERCADO'!D:E,2,0),"0")</f>
        <v>20300000</v>
      </c>
      <c r="P260" s="10">
        <f>_xlfn.XLOOKUP(F260,BBDD!$S:$S,BBDD!$AO:$AO)</f>
        <v>16000000</v>
      </c>
      <c r="Q260" s="10">
        <f>_xlfn.XLOOKUP(F260,BBDD!$S:$S,BBDD!$AR:$AR)</f>
        <v>16369240</v>
      </c>
      <c r="R260" s="24" t="str">
        <f t="shared" si="17"/>
        <v>ROTACION BAJA</v>
      </c>
    </row>
    <row r="261" spans="1:18" ht="15" customHeight="1" x14ac:dyDescent="0.3">
      <c r="A261" s="21" t="s">
        <v>291</v>
      </c>
      <c r="B261" s="20" t="s">
        <v>295</v>
      </c>
      <c r="C261" s="20" t="s">
        <v>8071</v>
      </c>
      <c r="D261" s="20" t="s">
        <v>63</v>
      </c>
      <c r="E261" s="20">
        <v>2015</v>
      </c>
      <c r="F261" s="20" t="s">
        <v>296</v>
      </c>
      <c r="G261" s="20">
        <v>1645</v>
      </c>
      <c r="H261" s="20">
        <v>169000</v>
      </c>
      <c r="I261" s="19" t="s">
        <v>5142</v>
      </c>
      <c r="J261" s="11" t="str">
        <f t="shared" si="16"/>
        <v>REXTONREXTON 2.02015</v>
      </c>
      <c r="K261" s="12"/>
      <c r="L261" s="10">
        <f>IFERROR(_xlfn.XLOOKUP(F261,'PRECIO TOMA HISTORICO '!$A:$A,'PRECIO TOMA HISTORICO '!$B:$B,_xlfn.XLOOKUP(F261,BBDD!$S:$S,BBDD!$AO:$AO,"",0,1),0,-1),"")</f>
        <v>10500000</v>
      </c>
      <c r="M261" s="9"/>
      <c r="N261" s="10">
        <f>_xlfn.XLOOKUP(F261,BBDD!$S:$S,BBDD!$AS:$AS)</f>
        <v>8490000</v>
      </c>
      <c r="O261" s="10">
        <f>IFERROR(VLOOKUP(F261,'PRECIO MERCADO'!D:E,2,0),"0")</f>
        <v>8300000</v>
      </c>
      <c r="P261" s="10">
        <f>_xlfn.XLOOKUP(F261,BBDD!$S:$S,BBDD!$AO:$AO)</f>
        <v>10500000</v>
      </c>
      <c r="Q261" s="10">
        <f>_xlfn.XLOOKUP(F261,BBDD!$S:$S,BBDD!$AR:$AR)</f>
        <v>10961694</v>
      </c>
      <c r="R261" s="24" t="str">
        <f t="shared" si="17"/>
        <v>LIQUIDAR</v>
      </c>
    </row>
    <row r="262" spans="1:18" ht="15" customHeight="1" x14ac:dyDescent="0.3">
      <c r="A262" s="21" t="s">
        <v>291</v>
      </c>
      <c r="B262" s="20" t="s">
        <v>297</v>
      </c>
      <c r="C262" s="20" t="s">
        <v>298</v>
      </c>
      <c r="D262" s="20" t="s">
        <v>26</v>
      </c>
      <c r="E262" s="20">
        <v>2024</v>
      </c>
      <c r="F262" s="20" t="s">
        <v>299</v>
      </c>
      <c r="G262" s="20">
        <v>256</v>
      </c>
      <c r="H262" s="20">
        <v>35150</v>
      </c>
      <c r="I262" s="19" t="s">
        <v>5142</v>
      </c>
      <c r="J262" s="11" t="str">
        <f t="shared" si="16"/>
        <v>TORRESTORRES 4X2 1.52024</v>
      </c>
      <c r="K262" s="12"/>
      <c r="L262" s="10">
        <f>IFERROR(_xlfn.XLOOKUP(F262,'PRECIO TOMA HISTORICO '!$A:$A,'PRECIO TOMA HISTORICO '!$B:$B,_xlfn.XLOOKUP(F262,BBDD!$S:$S,BBDD!$AO:$AO,"",0,1),0,-1),"")</f>
        <v>16400000</v>
      </c>
      <c r="M262" s="9"/>
      <c r="N262" s="10">
        <f>_xlfn.XLOOKUP(F262,BBDD!$S:$S,BBDD!$AS:$AS)</f>
        <v>17490000</v>
      </c>
      <c r="O262" s="10">
        <f>IFERROR(VLOOKUP(F262,'PRECIO MERCADO'!D:E,2,0),"0")</f>
        <v>19300000</v>
      </c>
      <c r="P262" s="10">
        <f>_xlfn.XLOOKUP(F262,BBDD!$S:$S,BBDD!$AO:$AO)</f>
        <v>16400000</v>
      </c>
      <c r="Q262" s="10">
        <f>_xlfn.XLOOKUP(F262,BBDD!$S:$S,BBDD!$AR:$AR)</f>
        <v>16772030</v>
      </c>
      <c r="R262" s="24" t="str">
        <f t="shared" si="17"/>
        <v>LIQUIDAR</v>
      </c>
    </row>
    <row r="263" spans="1:18" ht="15" customHeight="1" x14ac:dyDescent="0.3">
      <c r="A263" s="20" t="s">
        <v>2545</v>
      </c>
      <c r="B263" s="20" t="s">
        <v>2856</v>
      </c>
      <c r="C263" s="20" t="s">
        <v>4930</v>
      </c>
      <c r="D263" s="20" t="s">
        <v>3948</v>
      </c>
      <c r="E263" s="20">
        <v>2023</v>
      </c>
      <c r="F263" s="20" t="s">
        <v>10617</v>
      </c>
      <c r="G263" s="20">
        <v>14</v>
      </c>
      <c r="H263" s="20">
        <v>60800</v>
      </c>
      <c r="I263" s="19" t="s">
        <v>5142</v>
      </c>
      <c r="J263" s="11" t="str">
        <f t="shared" si="16"/>
        <v>FORESTERFORESTER 4X4 2.0 AT2023</v>
      </c>
      <c r="K263" s="12"/>
      <c r="L263" s="10">
        <f>IFERROR(_xlfn.XLOOKUP(F263,'PRECIO TOMA HISTORICO '!$A:$A,'PRECIO TOMA HISTORICO '!$B:$B,_xlfn.XLOOKUP(F263,BBDD!$S:$S,BBDD!$AO:$AO,"",0,1),0,-1),"")</f>
        <v>19000000</v>
      </c>
      <c r="M263" s="9"/>
      <c r="N263" s="10">
        <f>_xlfn.XLOOKUP(F263,BBDD!$S:$S,BBDD!$AS:$AS)</f>
        <v>22490000</v>
      </c>
      <c r="O263" s="10">
        <f>IFERROR(VLOOKUP(F263,'PRECIO MERCADO'!D:E,2,0),"0")</f>
        <v>22500000</v>
      </c>
      <c r="P263" s="10">
        <f>_xlfn.XLOOKUP(F263,BBDD!$S:$S,BBDD!$AO:$AO)</f>
        <v>19000000</v>
      </c>
      <c r="Q263" s="10">
        <f>_xlfn.XLOOKUP(F263,BBDD!$S:$S,BBDD!$AR:$AR)</f>
        <v>19414240</v>
      </c>
      <c r="R263" s="24" t="str">
        <f t="shared" si="17"/>
        <v>ROTACION ALTA</v>
      </c>
    </row>
    <row r="264" spans="1:18" ht="15" customHeight="1" x14ac:dyDescent="0.3">
      <c r="A264" s="21" t="s">
        <v>2545</v>
      </c>
      <c r="B264" s="21" t="s">
        <v>2856</v>
      </c>
      <c r="C264" s="21" t="s">
        <v>4930</v>
      </c>
      <c r="D264" s="20" t="s">
        <v>26</v>
      </c>
      <c r="E264" s="20">
        <v>2024</v>
      </c>
      <c r="F264" s="20" t="s">
        <v>5555</v>
      </c>
      <c r="G264" s="20">
        <v>111</v>
      </c>
      <c r="H264" s="20">
        <v>76000</v>
      </c>
      <c r="I264" s="19" t="s">
        <v>5142</v>
      </c>
      <c r="J264" s="11" t="str">
        <f t="shared" si="16"/>
        <v>FORESTERFORESTER 4X4 2.0 AT2024</v>
      </c>
      <c r="K264" s="12"/>
      <c r="L264" s="10">
        <f>IFERROR(_xlfn.XLOOKUP(F264,'PRECIO TOMA HISTORICO '!$A:$A,'PRECIO TOMA HISTORICO '!$B:$B,_xlfn.XLOOKUP(F264,BBDD!$S:$S,BBDD!$AO:$AO,"",0,1),0,-1),"")</f>
        <v>19000000</v>
      </c>
      <c r="M264" s="9"/>
      <c r="N264" s="10">
        <f>_xlfn.XLOOKUP(F264,BBDD!$S:$S,BBDD!$AS:$AS)</f>
        <v>20490000</v>
      </c>
      <c r="O264" s="10">
        <f>IFERROR(VLOOKUP(F264,'PRECIO MERCADO'!D:E,2,0),"0")</f>
        <v>20900000</v>
      </c>
      <c r="P264" s="10">
        <f>_xlfn.XLOOKUP(F264,BBDD!$S:$S,BBDD!$AO:$AO)</f>
        <v>19000000</v>
      </c>
      <c r="Q264" s="10">
        <f>_xlfn.XLOOKUP(F264,BBDD!$S:$S,BBDD!$AR:$AR)</f>
        <v>19414240</v>
      </c>
      <c r="R264" s="24" t="str">
        <f t="shared" si="17"/>
        <v>LIQUIDAR</v>
      </c>
    </row>
    <row r="265" spans="1:18" ht="15" customHeight="1" x14ac:dyDescent="0.3">
      <c r="A265" s="21" t="s">
        <v>2545</v>
      </c>
      <c r="B265" s="21" t="s">
        <v>2856</v>
      </c>
      <c r="C265" s="21" t="s">
        <v>4930</v>
      </c>
      <c r="D265" s="20" t="s">
        <v>16</v>
      </c>
      <c r="E265" s="20">
        <v>2023</v>
      </c>
      <c r="F265" s="20" t="s">
        <v>7655</v>
      </c>
      <c r="G265" s="20">
        <v>19</v>
      </c>
      <c r="H265" s="20">
        <v>48000</v>
      </c>
      <c r="I265" s="19" t="s">
        <v>5142</v>
      </c>
      <c r="J265" s="11" t="str">
        <f t="shared" si="16"/>
        <v>FORESTERFORESTER 4X4 2.0 AT2023</v>
      </c>
      <c r="K265" s="12"/>
      <c r="L265" s="10">
        <f>IFERROR(_xlfn.XLOOKUP(F265,'PRECIO TOMA HISTORICO '!$A:$A,'PRECIO TOMA HISTORICO '!$B:$B,_xlfn.XLOOKUP(F265,BBDD!$S:$S,BBDD!$AO:$AO,"",0,1),0,-1),"")</f>
        <v>17000000</v>
      </c>
      <c r="M265" s="9"/>
      <c r="N265" s="10">
        <f>_xlfn.XLOOKUP(F265,BBDD!$S:$S,BBDD!$AS:$AS)</f>
        <v>22490000</v>
      </c>
      <c r="O265" s="10">
        <f>IFERROR(VLOOKUP(F265,'PRECIO MERCADO'!D:E,2,0),"0")</f>
        <v>23100000</v>
      </c>
      <c r="P265" s="10">
        <f>_xlfn.XLOOKUP(F265,BBDD!$S:$S,BBDD!$AO:$AO)</f>
        <v>17000000</v>
      </c>
      <c r="Q265" s="10">
        <f>_xlfn.XLOOKUP(F265,BBDD!$S:$S,BBDD!$AR:$AR)</f>
        <v>17384240</v>
      </c>
      <c r="R265" s="24" t="str">
        <f t="shared" si="17"/>
        <v>ROTACION ALTA</v>
      </c>
    </row>
    <row r="266" spans="1:18" ht="15" customHeight="1" x14ac:dyDescent="0.3">
      <c r="A266" s="21" t="s">
        <v>2545</v>
      </c>
      <c r="B266" s="21" t="s">
        <v>2856</v>
      </c>
      <c r="C266" s="20" t="s">
        <v>4936</v>
      </c>
      <c r="D266" s="20" t="s">
        <v>16</v>
      </c>
      <c r="E266" s="20">
        <v>2020</v>
      </c>
      <c r="F266" s="20" t="s">
        <v>11012</v>
      </c>
      <c r="G266" s="20">
        <v>18</v>
      </c>
      <c r="H266" s="20">
        <v>47000</v>
      </c>
      <c r="I266" s="19" t="s">
        <v>5142</v>
      </c>
      <c r="J266" s="11" t="str">
        <f t="shared" si="16"/>
        <v>FORESTERFORESTER CVT 4X4 2.0 AUT2020</v>
      </c>
      <c r="K266" s="12"/>
      <c r="L266" s="10">
        <f>IFERROR(_xlfn.XLOOKUP(F266,'PRECIO TOMA HISTORICO '!$A:$A,'PRECIO TOMA HISTORICO '!$B:$B,_xlfn.XLOOKUP(F266,BBDD!$S:$S,BBDD!$AO:$AO,"",0,1),0,-1),"")</f>
        <v>15700000</v>
      </c>
      <c r="M266" s="9"/>
      <c r="N266" s="10">
        <f>_xlfn.XLOOKUP(F266,BBDD!$S:$S,BBDD!$AS:$AS)</f>
        <v>17990000</v>
      </c>
      <c r="O266" s="10">
        <f>IFERROR(VLOOKUP(F266,'PRECIO MERCADO'!D:E,2,0),"0")</f>
        <v>18800000</v>
      </c>
      <c r="P266" s="10">
        <f>_xlfn.XLOOKUP(F266,BBDD!$S:$S,BBDD!$AO:$AO)</f>
        <v>15700000</v>
      </c>
      <c r="Q266" s="10">
        <f>_xlfn.XLOOKUP(F266,BBDD!$S:$S,BBDD!$AR:$AR)</f>
        <v>16064740</v>
      </c>
      <c r="R266" s="24" t="str">
        <f t="shared" si="17"/>
        <v>ROTACION ALTA</v>
      </c>
    </row>
    <row r="267" spans="1:18" ht="15" customHeight="1" x14ac:dyDescent="0.3">
      <c r="A267" s="21" t="s">
        <v>2545</v>
      </c>
      <c r="B267" s="20" t="s">
        <v>2546</v>
      </c>
      <c r="C267" s="20" t="s">
        <v>8343</v>
      </c>
      <c r="D267" s="20" t="s">
        <v>63</v>
      </c>
      <c r="E267" s="20">
        <v>2019</v>
      </c>
      <c r="F267" s="20" t="s">
        <v>8346</v>
      </c>
      <c r="G267" s="20">
        <v>1411</v>
      </c>
      <c r="H267" s="20">
        <v>6400</v>
      </c>
      <c r="I267" s="19" t="s">
        <v>8149</v>
      </c>
      <c r="J267" s="11" t="str">
        <f t="shared" si="16"/>
        <v>XVNEW XV 2.0I AWD CVT DYNAMIC2019</v>
      </c>
      <c r="K267" s="12"/>
      <c r="L267" s="10">
        <f>IFERROR(_xlfn.XLOOKUP(F267,'PRECIO TOMA HISTORICO '!$A:$A,'PRECIO TOMA HISTORICO '!$B:$B,_xlfn.XLOOKUP(F267,BBDD!$S:$S,BBDD!$AO:$AO,"",0,1),0,-1),"")</f>
        <v>12497480</v>
      </c>
      <c r="M267" s="9"/>
      <c r="N267" s="10">
        <f>_xlfn.XLOOKUP(F267,BBDD!$S:$S,BBDD!$AS:$AS)</f>
        <v>15900000</v>
      </c>
      <c r="O267" s="10">
        <f>IFERROR(VLOOKUP(F267,'PRECIO MERCADO'!D:E,2,0),"0")</f>
        <v>15500000</v>
      </c>
      <c r="P267" s="10">
        <f>_xlfn.XLOOKUP(F267,BBDD!$S:$S,BBDD!$AO:$AO)</f>
        <v>12497480</v>
      </c>
      <c r="Q267" s="10">
        <f>_xlfn.XLOOKUP(F267,BBDD!$S:$S,BBDD!$AR:$AR)</f>
        <v>15632904</v>
      </c>
      <c r="R267" s="24" t="str">
        <f t="shared" si="17"/>
        <v>LIQUIDAR</v>
      </c>
    </row>
    <row r="268" spans="1:18" ht="15" customHeight="1" x14ac:dyDescent="0.3">
      <c r="A268" s="20" t="s">
        <v>306</v>
      </c>
      <c r="B268" s="20" t="s">
        <v>5039</v>
      </c>
      <c r="C268" s="20" t="s">
        <v>9784</v>
      </c>
      <c r="D268" s="20" t="s">
        <v>16</v>
      </c>
      <c r="E268" s="20">
        <v>2024</v>
      </c>
      <c r="F268" s="20" t="s">
        <v>2895</v>
      </c>
      <c r="G268" s="20">
        <v>76</v>
      </c>
      <c r="H268" s="20">
        <v>56985</v>
      </c>
      <c r="I268" s="19" t="s">
        <v>5142</v>
      </c>
      <c r="J268" s="11" t="str">
        <f t="shared" si="16"/>
        <v>RAVRAV4 CVT 2.02024</v>
      </c>
      <c r="K268" s="12"/>
      <c r="L268" s="10">
        <f>IFERROR(_xlfn.XLOOKUP(F268,'PRECIO TOMA HISTORICO '!$A:$A,'PRECIO TOMA HISTORICO '!$B:$B,_xlfn.XLOOKUP(F268,BBDD!$S:$S,BBDD!$AO:$AO,"",0,1),0,-1),"")</f>
        <v>17000000</v>
      </c>
      <c r="M268" s="9"/>
      <c r="N268" s="10">
        <f>_xlfn.XLOOKUP(F268,BBDD!$S:$S,BBDD!$AS:$AS)</f>
        <v>20290000</v>
      </c>
      <c r="O268" s="10">
        <f>IFERROR(VLOOKUP(F268,'PRECIO MERCADO'!D:E,2,0),"0")</f>
        <v>21800000</v>
      </c>
      <c r="P268" s="10">
        <f>_xlfn.XLOOKUP(F268,BBDD!$S:$S,BBDD!$AO:$AO)</f>
        <v>17000000</v>
      </c>
      <c r="Q268" s="10">
        <f>_xlfn.XLOOKUP(F268,BBDD!$S:$S,BBDD!$AR:$AR)</f>
        <v>17384240</v>
      </c>
      <c r="R268" s="24" t="str">
        <f t="shared" si="17"/>
        <v>LIQUIDAR</v>
      </c>
    </row>
    <row r="269" spans="1:18" ht="15" customHeight="1" x14ac:dyDescent="0.3">
      <c r="A269" s="20" t="s">
        <v>311</v>
      </c>
      <c r="B269" s="20" t="s">
        <v>312</v>
      </c>
      <c r="C269" s="20" t="s">
        <v>313</v>
      </c>
      <c r="D269" s="20" t="s">
        <v>63</v>
      </c>
      <c r="E269" s="20">
        <v>2023</v>
      </c>
      <c r="F269" s="20" t="s">
        <v>314</v>
      </c>
      <c r="G269" s="20">
        <v>868</v>
      </c>
      <c r="H269" s="20">
        <v>15600</v>
      </c>
      <c r="I269" s="19" t="s">
        <v>5142</v>
      </c>
      <c r="J269" s="11" t="str">
        <f t="shared" si="16"/>
        <v>AMAROKAMAROK DCAB TDI DOHC 4X4 2.0 AUT2023</v>
      </c>
      <c r="K269" s="12"/>
      <c r="L269" s="10">
        <f>IFERROR(_xlfn.XLOOKUP(F269,'PRECIO TOMA HISTORICO '!$A:$A,'PRECIO TOMA HISTORICO '!$B:$B,_xlfn.XLOOKUP(F269,BBDD!$S:$S,BBDD!$AO:$AO,"",0,1),0,-1),"")</f>
        <v>28500000</v>
      </c>
      <c r="M269" s="9"/>
      <c r="N269" s="10">
        <f>_xlfn.XLOOKUP(F269,BBDD!$S:$S,BBDD!$AS:$AS)</f>
        <v>33190000</v>
      </c>
      <c r="O269" s="10">
        <f>IFERROR(VLOOKUP(F269,'PRECIO MERCADO'!D:E,2,0),"0")</f>
        <v>31500000</v>
      </c>
      <c r="P269" s="10">
        <f>_xlfn.XLOOKUP(F269,BBDD!$S:$S,BBDD!$AO:$AO)</f>
        <v>28500000</v>
      </c>
      <c r="Q269" s="10">
        <f>_xlfn.XLOOKUP(F269,BBDD!$S:$S,BBDD!$AR:$AR)</f>
        <v>29597663</v>
      </c>
      <c r="R269" s="24" t="str">
        <f t="shared" si="17"/>
        <v>LIQUIDAR</v>
      </c>
    </row>
    <row r="270" spans="1:18" ht="15" customHeight="1" x14ac:dyDescent="0.3">
      <c r="A270" s="21" t="s">
        <v>311</v>
      </c>
      <c r="B270" s="20" t="s">
        <v>2979</v>
      </c>
      <c r="C270" s="20" t="s">
        <v>10264</v>
      </c>
      <c r="D270" s="20" t="s">
        <v>63</v>
      </c>
      <c r="E270" s="20">
        <v>2016</v>
      </c>
      <c r="F270" s="20" t="s">
        <v>10113</v>
      </c>
      <c r="G270" s="20">
        <v>46</v>
      </c>
      <c r="H270" s="20">
        <v>80000</v>
      </c>
      <c r="I270" s="19" t="s">
        <v>5142</v>
      </c>
      <c r="J270" s="11" t="str">
        <f t="shared" si="16"/>
        <v>GOLFGOLF HB 1.4 AUT2016</v>
      </c>
      <c r="K270" s="12"/>
      <c r="L270" s="10">
        <f>IFERROR(_xlfn.XLOOKUP(F270,'PRECIO TOMA HISTORICO '!$A:$A,'PRECIO TOMA HISTORICO '!$B:$B,_xlfn.XLOOKUP(F270,BBDD!$S:$S,BBDD!$AO:$AO,"",0,1),0,-1),"")</f>
        <v>6600000</v>
      </c>
      <c r="M270" s="9"/>
      <c r="N270" s="10">
        <f>_xlfn.XLOOKUP(F270,BBDD!$S:$S,BBDD!$AS:$AS)</f>
        <v>8990000</v>
      </c>
      <c r="O270" s="10">
        <f>IFERROR(VLOOKUP(F270,'PRECIO MERCADO'!D:E,2,0),"0")</f>
        <v>10100000</v>
      </c>
      <c r="P270" s="10">
        <f>_xlfn.XLOOKUP(F270,BBDD!$S:$S,BBDD!$AO:$AO)</f>
        <v>6600000</v>
      </c>
      <c r="Q270" s="10">
        <f>_xlfn.XLOOKUP(F270,BBDD!$S:$S,BBDD!$AR:$AR)</f>
        <v>6828240</v>
      </c>
      <c r="R270" s="24" t="str">
        <f t="shared" si="17"/>
        <v>ROTACION BAJA</v>
      </c>
    </row>
    <row r="271" spans="1:18" ht="15" customHeight="1" x14ac:dyDescent="0.3">
      <c r="A271" s="22" t="s">
        <v>317</v>
      </c>
      <c r="B271" s="22" t="s">
        <v>318</v>
      </c>
      <c r="C271" s="22" t="s">
        <v>11098</v>
      </c>
      <c r="D271" s="22" t="s">
        <v>63</v>
      </c>
      <c r="E271" s="22">
        <v>2022</v>
      </c>
      <c r="F271" s="22" t="s">
        <v>319</v>
      </c>
      <c r="G271" s="22">
        <v>162</v>
      </c>
      <c r="H271" s="22">
        <v>65000</v>
      </c>
      <c r="I271" s="23" t="s">
        <v>5142</v>
      </c>
      <c r="J271" s="11" t="str">
        <f t="shared" si="16"/>
        <v>TERRALORDTERRALORD 4X4 2.5 AUT2022</v>
      </c>
      <c r="K271" s="12"/>
      <c r="L271" s="10">
        <f>IFERROR(_xlfn.XLOOKUP(F271,'PRECIO TOMA HISTORICO '!$A:$A,'PRECIO TOMA HISTORICO '!$B:$B,_xlfn.XLOOKUP(F271,BBDD!$S:$S,BBDD!$AO:$AO,"",0,1),0,-1),"")</f>
        <v>11500000</v>
      </c>
      <c r="M271" s="9"/>
      <c r="N271" s="10">
        <f>_xlfn.XLOOKUP(F271,BBDD!$S:$S,BBDD!$AS:$AS)</f>
        <v>13690000</v>
      </c>
      <c r="O271" s="10">
        <f>IFERROR(VLOOKUP(F271,'PRECIO MERCADO'!D:E,2,0),"0")</f>
        <v>14100000</v>
      </c>
      <c r="P271" s="10">
        <f>_xlfn.XLOOKUP(F271,BBDD!$S:$S,BBDD!$AO:$AO)</f>
        <v>11500000</v>
      </c>
      <c r="Q271" s="10">
        <f>_xlfn.XLOOKUP(F271,BBDD!$S:$S,BBDD!$AR:$AR)</f>
        <v>11801740</v>
      </c>
      <c r="R271" s="24" t="str">
        <f t="shared" si="17"/>
        <v>LIQUIDAR</v>
      </c>
    </row>
    <row r="272" spans="1:18" ht="15" customHeight="1" x14ac:dyDescent="0.3">
      <c r="H272"/>
      <c r="I272"/>
      <c r="R272"/>
    </row>
    <row r="273" customFormat="1" ht="15" customHeight="1" x14ac:dyDescent="0.3"/>
    <row r="274" customFormat="1" ht="15" customHeight="1" x14ac:dyDescent="0.3"/>
    <row r="275" customFormat="1" ht="15" customHeight="1" x14ac:dyDescent="0.3"/>
    <row r="276" customFormat="1" ht="15" customHeight="1" x14ac:dyDescent="0.3"/>
    <row r="277" customFormat="1" ht="15" customHeight="1" x14ac:dyDescent="0.3"/>
    <row r="278" customFormat="1" ht="15" customHeight="1" x14ac:dyDescent="0.3"/>
    <row r="279" customFormat="1" ht="15" customHeight="1" x14ac:dyDescent="0.3"/>
    <row r="280" customFormat="1" ht="15" customHeight="1" x14ac:dyDescent="0.3"/>
    <row r="281" customFormat="1" ht="15" customHeight="1" x14ac:dyDescent="0.3"/>
    <row r="282" customFormat="1" ht="15" customHeight="1" x14ac:dyDescent="0.3"/>
    <row r="283" customFormat="1" ht="15" customHeight="1" x14ac:dyDescent="0.3"/>
    <row r="284" customFormat="1" ht="15" customHeight="1" x14ac:dyDescent="0.3"/>
    <row r="285" customFormat="1" ht="15" customHeight="1" x14ac:dyDescent="0.3"/>
    <row r="286" customFormat="1" ht="15" customHeight="1" x14ac:dyDescent="0.3"/>
    <row r="287" customFormat="1" ht="15" customHeight="1" x14ac:dyDescent="0.3"/>
    <row r="288" customFormat="1" ht="15" customHeight="1" x14ac:dyDescent="0.3"/>
    <row r="289" customFormat="1" ht="15" customHeight="1" x14ac:dyDescent="0.3"/>
    <row r="290" customFormat="1" ht="15" customHeight="1" x14ac:dyDescent="0.3"/>
    <row r="291" customFormat="1" ht="15" customHeight="1" x14ac:dyDescent="0.3"/>
    <row r="292" customFormat="1" ht="15" customHeight="1" x14ac:dyDescent="0.3"/>
    <row r="293" customFormat="1" ht="15" customHeight="1" x14ac:dyDescent="0.3"/>
    <row r="294" customFormat="1" ht="15" customHeight="1" x14ac:dyDescent="0.3"/>
    <row r="295" customFormat="1" ht="15" customHeight="1" x14ac:dyDescent="0.3"/>
    <row r="296" customFormat="1" ht="15" customHeight="1" x14ac:dyDescent="0.3"/>
    <row r="297" customFormat="1" ht="15" customHeight="1" x14ac:dyDescent="0.3"/>
    <row r="298" customFormat="1" ht="15" customHeight="1" x14ac:dyDescent="0.3"/>
    <row r="299" customFormat="1" ht="15" customHeight="1" x14ac:dyDescent="0.3"/>
    <row r="300" customFormat="1" ht="15" customHeight="1" x14ac:dyDescent="0.3"/>
    <row r="301" customFormat="1" ht="15" customHeight="1" x14ac:dyDescent="0.3"/>
    <row r="302" customFormat="1" ht="15" customHeight="1" x14ac:dyDescent="0.3"/>
    <row r="303" customFormat="1" ht="15" customHeight="1" x14ac:dyDescent="0.3"/>
    <row r="304" customFormat="1" ht="15" customHeight="1" x14ac:dyDescent="0.3"/>
    <row r="305" customFormat="1" ht="15" customHeight="1" x14ac:dyDescent="0.3"/>
    <row r="306" customFormat="1" ht="15" customHeight="1" x14ac:dyDescent="0.3"/>
    <row r="307" customFormat="1" ht="15" customHeight="1" x14ac:dyDescent="0.3"/>
    <row r="308" customFormat="1" ht="15" customHeight="1" x14ac:dyDescent="0.3"/>
    <row r="309" customFormat="1" ht="15" customHeight="1" x14ac:dyDescent="0.3"/>
    <row r="310" customFormat="1" ht="15" customHeight="1" x14ac:dyDescent="0.3"/>
    <row r="311" customFormat="1" ht="15" customHeight="1" x14ac:dyDescent="0.3"/>
    <row r="312" customFormat="1" ht="15" customHeight="1" x14ac:dyDescent="0.3"/>
    <row r="313" customFormat="1" ht="15" customHeight="1" x14ac:dyDescent="0.3"/>
    <row r="314" customFormat="1" ht="15" customHeight="1" x14ac:dyDescent="0.3"/>
    <row r="315" customFormat="1" ht="15" customHeight="1" x14ac:dyDescent="0.3"/>
    <row r="316" customFormat="1" ht="15" customHeight="1" x14ac:dyDescent="0.3"/>
    <row r="317" customFormat="1" ht="15" customHeight="1" x14ac:dyDescent="0.3"/>
    <row r="318" customFormat="1" ht="15" customHeight="1" x14ac:dyDescent="0.3"/>
    <row r="319" customFormat="1" ht="15" customHeight="1" x14ac:dyDescent="0.3"/>
    <row r="320" customFormat="1" ht="15" customHeight="1" x14ac:dyDescent="0.3"/>
    <row r="321" customFormat="1" ht="15" customHeight="1" x14ac:dyDescent="0.3"/>
    <row r="322" customFormat="1" ht="15" customHeight="1" x14ac:dyDescent="0.3"/>
    <row r="323" customFormat="1" ht="15" customHeight="1" x14ac:dyDescent="0.3"/>
    <row r="324" customFormat="1" ht="15" customHeight="1" x14ac:dyDescent="0.3"/>
    <row r="325" customFormat="1" ht="15" customHeight="1" x14ac:dyDescent="0.3"/>
    <row r="326" customFormat="1" ht="15" customHeight="1" x14ac:dyDescent="0.3"/>
    <row r="327" customFormat="1" ht="15" customHeight="1" x14ac:dyDescent="0.3"/>
    <row r="328" customFormat="1" ht="15" customHeight="1" x14ac:dyDescent="0.3"/>
    <row r="329" customFormat="1" ht="15" customHeight="1" x14ac:dyDescent="0.3"/>
    <row r="330" customFormat="1" ht="15" customHeight="1" x14ac:dyDescent="0.3"/>
    <row r="331" customFormat="1" ht="15" customHeight="1" x14ac:dyDescent="0.3"/>
    <row r="332" customFormat="1" ht="15" customHeight="1" x14ac:dyDescent="0.3"/>
    <row r="333" customFormat="1" ht="15" customHeight="1" x14ac:dyDescent="0.3"/>
    <row r="334" customFormat="1" ht="15" customHeight="1" x14ac:dyDescent="0.3"/>
    <row r="335" customFormat="1" ht="15" customHeight="1" x14ac:dyDescent="0.3"/>
    <row r="336" customFormat="1" ht="15" customHeight="1" x14ac:dyDescent="0.3"/>
    <row r="337" customFormat="1" ht="15" customHeight="1" x14ac:dyDescent="0.3"/>
    <row r="338" customFormat="1" ht="15" customHeight="1" x14ac:dyDescent="0.3"/>
    <row r="339" customFormat="1" ht="15" customHeight="1" x14ac:dyDescent="0.3"/>
    <row r="340" customFormat="1" ht="15" customHeight="1" x14ac:dyDescent="0.3"/>
    <row r="341" customFormat="1" ht="15" customHeight="1" x14ac:dyDescent="0.3"/>
    <row r="342" customFormat="1" ht="15" customHeight="1" x14ac:dyDescent="0.3"/>
    <row r="343" customFormat="1" ht="15" customHeight="1" x14ac:dyDescent="0.3"/>
    <row r="344" customFormat="1" ht="15" customHeight="1" x14ac:dyDescent="0.3"/>
    <row r="345" customFormat="1" ht="15" customHeight="1" x14ac:dyDescent="0.3"/>
    <row r="346" customFormat="1" ht="15" customHeight="1" x14ac:dyDescent="0.3"/>
    <row r="347" customFormat="1" ht="15" customHeight="1" x14ac:dyDescent="0.3"/>
    <row r="348" customFormat="1" ht="15" customHeight="1" x14ac:dyDescent="0.3"/>
    <row r="349" customFormat="1" ht="15" customHeight="1" x14ac:dyDescent="0.3"/>
    <row r="350" customFormat="1" ht="15" customHeight="1" x14ac:dyDescent="0.3"/>
    <row r="351" customFormat="1" ht="15" customHeight="1" x14ac:dyDescent="0.3"/>
    <row r="352" customFormat="1" ht="15" customHeight="1" x14ac:dyDescent="0.3"/>
    <row r="353" customFormat="1" ht="15" customHeight="1" x14ac:dyDescent="0.3"/>
    <row r="354" customFormat="1" ht="15" customHeight="1" x14ac:dyDescent="0.3"/>
    <row r="355" customFormat="1" ht="15" customHeight="1" x14ac:dyDescent="0.3"/>
    <row r="356" customFormat="1" ht="15" customHeight="1" x14ac:dyDescent="0.3"/>
    <row r="357" customFormat="1" ht="15" customHeight="1" x14ac:dyDescent="0.3"/>
    <row r="358" customFormat="1" ht="15" customHeight="1" x14ac:dyDescent="0.3"/>
    <row r="359" customFormat="1" ht="15" customHeight="1" x14ac:dyDescent="0.3"/>
    <row r="360" customFormat="1" ht="15" customHeight="1" x14ac:dyDescent="0.3"/>
    <row r="361" customFormat="1" ht="15" customHeight="1" x14ac:dyDescent="0.3"/>
    <row r="362" customFormat="1" ht="15" customHeight="1" x14ac:dyDescent="0.3"/>
    <row r="363" customFormat="1" ht="15" customHeight="1" x14ac:dyDescent="0.3"/>
    <row r="364" customFormat="1" ht="15" customHeight="1" x14ac:dyDescent="0.3"/>
    <row r="365" customFormat="1" ht="15" customHeight="1" x14ac:dyDescent="0.3"/>
    <row r="366" customFormat="1" ht="15" customHeight="1" x14ac:dyDescent="0.3"/>
    <row r="367" customFormat="1" ht="15" customHeight="1" x14ac:dyDescent="0.3"/>
    <row r="368" customFormat="1" ht="15" customHeight="1" x14ac:dyDescent="0.3"/>
    <row r="369" customFormat="1" ht="15" customHeight="1" x14ac:dyDescent="0.3"/>
    <row r="370" customFormat="1" ht="15" customHeight="1" x14ac:dyDescent="0.3"/>
    <row r="371" customFormat="1" ht="15" customHeight="1" x14ac:dyDescent="0.3"/>
    <row r="372" customFormat="1" ht="15" customHeight="1" x14ac:dyDescent="0.3"/>
    <row r="373" customFormat="1" ht="15" customHeight="1" x14ac:dyDescent="0.3"/>
    <row r="374" customFormat="1" ht="15" customHeight="1" x14ac:dyDescent="0.3"/>
    <row r="375" customFormat="1" ht="15" customHeight="1" x14ac:dyDescent="0.3"/>
    <row r="376" customFormat="1" ht="15" customHeight="1" x14ac:dyDescent="0.3"/>
    <row r="377" customFormat="1" ht="15" customHeight="1" x14ac:dyDescent="0.3"/>
    <row r="378" customFormat="1" ht="15" customHeight="1" x14ac:dyDescent="0.3"/>
    <row r="379" customFormat="1" ht="15" customHeight="1" x14ac:dyDescent="0.3"/>
    <row r="380" customFormat="1" ht="15" customHeight="1" x14ac:dyDescent="0.3"/>
    <row r="381" customFormat="1" ht="15" customHeight="1" x14ac:dyDescent="0.3"/>
    <row r="382" customFormat="1" ht="15" customHeight="1" x14ac:dyDescent="0.3"/>
    <row r="383" customFormat="1" ht="15" customHeight="1" x14ac:dyDescent="0.3"/>
    <row r="384" customFormat="1" ht="15" customHeight="1" x14ac:dyDescent="0.3"/>
    <row r="385" customFormat="1" ht="15" customHeight="1" x14ac:dyDescent="0.3"/>
    <row r="386" customFormat="1" ht="15" customHeight="1" x14ac:dyDescent="0.3"/>
    <row r="387" customFormat="1" ht="15" customHeight="1" x14ac:dyDescent="0.3"/>
    <row r="388" customFormat="1" ht="15" customHeight="1" x14ac:dyDescent="0.3"/>
    <row r="389" customFormat="1" ht="15" customHeight="1" x14ac:dyDescent="0.3"/>
    <row r="390" customFormat="1" ht="15" customHeight="1" x14ac:dyDescent="0.3"/>
    <row r="391" customFormat="1" ht="15" customHeight="1" x14ac:dyDescent="0.3"/>
    <row r="392" customFormat="1" ht="15" customHeight="1" x14ac:dyDescent="0.3"/>
    <row r="393" customFormat="1" ht="15" customHeight="1" x14ac:dyDescent="0.3"/>
    <row r="394" customFormat="1" ht="15" customHeight="1" x14ac:dyDescent="0.3"/>
    <row r="395" customFormat="1" ht="15" customHeight="1" x14ac:dyDescent="0.3"/>
    <row r="396" customFormat="1" ht="15" customHeight="1" x14ac:dyDescent="0.3"/>
    <row r="397" customFormat="1" ht="15" customHeight="1" x14ac:dyDescent="0.3"/>
    <row r="398" customFormat="1" ht="15" customHeight="1" x14ac:dyDescent="0.3"/>
    <row r="399" customFormat="1" ht="15" customHeight="1" x14ac:dyDescent="0.3"/>
    <row r="400" customFormat="1" ht="15" customHeight="1" x14ac:dyDescent="0.3"/>
    <row r="401" customFormat="1" ht="15" customHeight="1" x14ac:dyDescent="0.3"/>
    <row r="402" customFormat="1" ht="15" customHeight="1" x14ac:dyDescent="0.3"/>
    <row r="403" customFormat="1" ht="15" customHeight="1" x14ac:dyDescent="0.3"/>
    <row r="404" customFormat="1" ht="15" customHeight="1" x14ac:dyDescent="0.3"/>
    <row r="405" customFormat="1" ht="15" customHeight="1" x14ac:dyDescent="0.3"/>
    <row r="406" customFormat="1" ht="15" customHeight="1" x14ac:dyDescent="0.3"/>
    <row r="407" customFormat="1" ht="15" customHeight="1" x14ac:dyDescent="0.3"/>
    <row r="408" customFormat="1" ht="15" customHeight="1" x14ac:dyDescent="0.3"/>
    <row r="409" customFormat="1" ht="15" customHeight="1" x14ac:dyDescent="0.3"/>
    <row r="410" customFormat="1" ht="15" customHeight="1" x14ac:dyDescent="0.3"/>
    <row r="411" customFormat="1" ht="15" customHeight="1" x14ac:dyDescent="0.3"/>
    <row r="412" customFormat="1" ht="15" customHeight="1" x14ac:dyDescent="0.3"/>
    <row r="413" customFormat="1" ht="15" customHeight="1" x14ac:dyDescent="0.3"/>
    <row r="414" customFormat="1" ht="15" customHeight="1" x14ac:dyDescent="0.3"/>
    <row r="415" customFormat="1" ht="15" customHeight="1" x14ac:dyDescent="0.3"/>
    <row r="416" customFormat="1" ht="15" customHeight="1" x14ac:dyDescent="0.3"/>
    <row r="417" customFormat="1" ht="15" customHeight="1" x14ac:dyDescent="0.3"/>
    <row r="418" customFormat="1" ht="15" customHeight="1" x14ac:dyDescent="0.3"/>
    <row r="419" customFormat="1" ht="15" customHeight="1" x14ac:dyDescent="0.3"/>
    <row r="420" customFormat="1" ht="15" customHeight="1" x14ac:dyDescent="0.3"/>
    <row r="421" customFormat="1" ht="15" customHeight="1" x14ac:dyDescent="0.3"/>
    <row r="422" customFormat="1" ht="15" customHeight="1" x14ac:dyDescent="0.3"/>
    <row r="423" customFormat="1" ht="15" customHeight="1" x14ac:dyDescent="0.3"/>
    <row r="424" customFormat="1" ht="15" customHeight="1" x14ac:dyDescent="0.3"/>
    <row r="425" customFormat="1" ht="15" customHeight="1" x14ac:dyDescent="0.3"/>
    <row r="426" customFormat="1" ht="15" customHeight="1" x14ac:dyDescent="0.3"/>
    <row r="427" customFormat="1" ht="15" customHeight="1" x14ac:dyDescent="0.3"/>
    <row r="428" customFormat="1" ht="15" customHeight="1" x14ac:dyDescent="0.3"/>
    <row r="429" customFormat="1" ht="15" customHeight="1" x14ac:dyDescent="0.3"/>
    <row r="430" customFormat="1" ht="15" customHeight="1" x14ac:dyDescent="0.3"/>
    <row r="431" customFormat="1" ht="15" customHeight="1" x14ac:dyDescent="0.3"/>
    <row r="432" customFormat="1" ht="15" customHeight="1" x14ac:dyDescent="0.3"/>
    <row r="433" customFormat="1" ht="15" customHeight="1" x14ac:dyDescent="0.3"/>
    <row r="434" customFormat="1" ht="15" customHeight="1" x14ac:dyDescent="0.3"/>
    <row r="435" customFormat="1" ht="15" customHeight="1" x14ac:dyDescent="0.3"/>
    <row r="436" customFormat="1" ht="15" customHeight="1" x14ac:dyDescent="0.3"/>
    <row r="437" customFormat="1" ht="15" customHeight="1" x14ac:dyDescent="0.3"/>
    <row r="438" customFormat="1" ht="15" customHeight="1" x14ac:dyDescent="0.3"/>
    <row r="439" customFormat="1" ht="15" customHeight="1" x14ac:dyDescent="0.3"/>
    <row r="440" customFormat="1" ht="15" customHeight="1" x14ac:dyDescent="0.3"/>
    <row r="441" customFormat="1" ht="15" customHeight="1" x14ac:dyDescent="0.3"/>
    <row r="442" customFormat="1" ht="15" customHeight="1" x14ac:dyDescent="0.3"/>
    <row r="443" customFormat="1" ht="15" customHeight="1" x14ac:dyDescent="0.3"/>
    <row r="444" customFormat="1" ht="15" customHeight="1" x14ac:dyDescent="0.3"/>
    <row r="445" customFormat="1" ht="15" customHeight="1" x14ac:dyDescent="0.3"/>
    <row r="446" customFormat="1" ht="15" customHeight="1" x14ac:dyDescent="0.3"/>
    <row r="447" customFormat="1" ht="15" customHeight="1" x14ac:dyDescent="0.3"/>
    <row r="448" customFormat="1" ht="15" customHeight="1" x14ac:dyDescent="0.3"/>
    <row r="449" customFormat="1" ht="15" customHeight="1" x14ac:dyDescent="0.3"/>
    <row r="450" customFormat="1" ht="15" customHeight="1" x14ac:dyDescent="0.3"/>
    <row r="451" customFormat="1" ht="15" customHeight="1" x14ac:dyDescent="0.3"/>
    <row r="452" customFormat="1" ht="15" customHeight="1" x14ac:dyDescent="0.3"/>
    <row r="453" customFormat="1" ht="15" customHeight="1" x14ac:dyDescent="0.3"/>
    <row r="454" customFormat="1" ht="15" customHeight="1" x14ac:dyDescent="0.3"/>
    <row r="455" customFormat="1" ht="15" customHeight="1" x14ac:dyDescent="0.3"/>
    <row r="456" customFormat="1" ht="15" customHeight="1" x14ac:dyDescent="0.3"/>
    <row r="457" customFormat="1" ht="15" customHeight="1" x14ac:dyDescent="0.3"/>
    <row r="458" customFormat="1" ht="15" customHeight="1" x14ac:dyDescent="0.3"/>
    <row r="459" customFormat="1" ht="15" customHeight="1" x14ac:dyDescent="0.3"/>
    <row r="460" customFormat="1" ht="15" customHeight="1" x14ac:dyDescent="0.3"/>
    <row r="461" customFormat="1" ht="15" customHeight="1" x14ac:dyDescent="0.3"/>
    <row r="462" customFormat="1" ht="15" customHeight="1" x14ac:dyDescent="0.3"/>
    <row r="463" customFormat="1" ht="15" customHeight="1" x14ac:dyDescent="0.3"/>
    <row r="464" customFormat="1" ht="15" customHeight="1" x14ac:dyDescent="0.3"/>
    <row r="465" customFormat="1" ht="15" customHeight="1" x14ac:dyDescent="0.3"/>
    <row r="466" customFormat="1" ht="15" customHeight="1" x14ac:dyDescent="0.3"/>
    <row r="467" customFormat="1" ht="15" customHeight="1" x14ac:dyDescent="0.3"/>
    <row r="468" customFormat="1" ht="15" customHeight="1" x14ac:dyDescent="0.3"/>
    <row r="469" customFormat="1" ht="15" customHeight="1" x14ac:dyDescent="0.3"/>
    <row r="470" customFormat="1" ht="15" customHeight="1" x14ac:dyDescent="0.3"/>
    <row r="471" customFormat="1" ht="15" customHeight="1" x14ac:dyDescent="0.3"/>
    <row r="472" customFormat="1" ht="15" customHeight="1" x14ac:dyDescent="0.3"/>
    <row r="473" customFormat="1" ht="15" customHeight="1" x14ac:dyDescent="0.3"/>
    <row r="474" customFormat="1" ht="15" customHeight="1" x14ac:dyDescent="0.3"/>
    <row r="475" customFormat="1" ht="15" customHeight="1" x14ac:dyDescent="0.3"/>
    <row r="476" customFormat="1" ht="15" customHeight="1" x14ac:dyDescent="0.3"/>
    <row r="477" customFormat="1" ht="15" customHeight="1" x14ac:dyDescent="0.3"/>
    <row r="478" customFormat="1" ht="15" customHeight="1" x14ac:dyDescent="0.3"/>
    <row r="479" customFormat="1" ht="15" customHeight="1" x14ac:dyDescent="0.3"/>
    <row r="480" customFormat="1" ht="15" customHeight="1" x14ac:dyDescent="0.3"/>
    <row r="481" customFormat="1" ht="15" customHeight="1" x14ac:dyDescent="0.3"/>
    <row r="482" customFormat="1" ht="15" customHeight="1" x14ac:dyDescent="0.3"/>
    <row r="483" customFormat="1" ht="15" customHeight="1" x14ac:dyDescent="0.3"/>
    <row r="484" customFormat="1" ht="15" customHeight="1" x14ac:dyDescent="0.3"/>
    <row r="485" customFormat="1" ht="15" customHeight="1" x14ac:dyDescent="0.3"/>
    <row r="486" customFormat="1" ht="15" customHeight="1" x14ac:dyDescent="0.3"/>
    <row r="487" customFormat="1" ht="15" customHeight="1" x14ac:dyDescent="0.3"/>
    <row r="488" customFormat="1" ht="15" customHeight="1" x14ac:dyDescent="0.3"/>
    <row r="489" customFormat="1" ht="15" customHeight="1" x14ac:dyDescent="0.3"/>
    <row r="490" customFormat="1" ht="15" customHeight="1" x14ac:dyDescent="0.3"/>
    <row r="491" customFormat="1" ht="15" customHeight="1" x14ac:dyDescent="0.3"/>
    <row r="492" customFormat="1" ht="15" customHeight="1" x14ac:dyDescent="0.3"/>
    <row r="493" customFormat="1" ht="15" customHeight="1" x14ac:dyDescent="0.3"/>
    <row r="494" customFormat="1" ht="15" customHeight="1" x14ac:dyDescent="0.3"/>
    <row r="495" customFormat="1" ht="15" customHeight="1" x14ac:dyDescent="0.3"/>
    <row r="496" customFormat="1" ht="15" customHeight="1" x14ac:dyDescent="0.3"/>
    <row r="497" customFormat="1" ht="15" customHeight="1" x14ac:dyDescent="0.3"/>
    <row r="498" customFormat="1" ht="15" customHeight="1" x14ac:dyDescent="0.3"/>
    <row r="499" customFormat="1" ht="15" customHeight="1" x14ac:dyDescent="0.3"/>
    <row r="500" customFormat="1" ht="15" customHeight="1" x14ac:dyDescent="0.3"/>
    <row r="501" customFormat="1" ht="15" customHeight="1" x14ac:dyDescent="0.3"/>
    <row r="502" customFormat="1" ht="15" customHeight="1" x14ac:dyDescent="0.3"/>
    <row r="503" customFormat="1" ht="15" customHeight="1" x14ac:dyDescent="0.3"/>
    <row r="504" customFormat="1" ht="15" customHeight="1" x14ac:dyDescent="0.3"/>
    <row r="505" customFormat="1" ht="15" customHeight="1" x14ac:dyDescent="0.3"/>
    <row r="506" customFormat="1" ht="15" customHeight="1" x14ac:dyDescent="0.3"/>
    <row r="507" customFormat="1" ht="15" customHeight="1" x14ac:dyDescent="0.3"/>
    <row r="508" customFormat="1" ht="15" customHeight="1" x14ac:dyDescent="0.3"/>
    <row r="509" customFormat="1" ht="15" customHeight="1" x14ac:dyDescent="0.3"/>
    <row r="510" customFormat="1" ht="15" customHeight="1" x14ac:dyDescent="0.3"/>
    <row r="511" customFormat="1" ht="15" customHeight="1" x14ac:dyDescent="0.3"/>
    <row r="512" customFormat="1" ht="15" customHeight="1" x14ac:dyDescent="0.3"/>
    <row r="513" customFormat="1" ht="15" customHeight="1" x14ac:dyDescent="0.3"/>
    <row r="514" customFormat="1" ht="15" customHeight="1" x14ac:dyDescent="0.3"/>
    <row r="515" customFormat="1" ht="15" customHeight="1" x14ac:dyDescent="0.3"/>
    <row r="516" customFormat="1" ht="15" customHeight="1" x14ac:dyDescent="0.3"/>
    <row r="517" customFormat="1" ht="15" customHeight="1" x14ac:dyDescent="0.3"/>
    <row r="518" customFormat="1" ht="15" customHeight="1" x14ac:dyDescent="0.3"/>
    <row r="519" customFormat="1" ht="15" customHeight="1" x14ac:dyDescent="0.3"/>
    <row r="520" customFormat="1" ht="15" customHeight="1" x14ac:dyDescent="0.3"/>
    <row r="521" customFormat="1" ht="15" customHeight="1" x14ac:dyDescent="0.3"/>
    <row r="522" customFormat="1" ht="15" customHeight="1" x14ac:dyDescent="0.3"/>
    <row r="523" customFormat="1" ht="15" customHeight="1" x14ac:dyDescent="0.3"/>
    <row r="524" customFormat="1" ht="15" customHeight="1" x14ac:dyDescent="0.3"/>
    <row r="525" customFormat="1" ht="15" customHeight="1" x14ac:dyDescent="0.3"/>
    <row r="526" customFormat="1" ht="15" customHeight="1" x14ac:dyDescent="0.3"/>
    <row r="527" customFormat="1" ht="15" customHeight="1" x14ac:dyDescent="0.3"/>
    <row r="528" customFormat="1" ht="15" customHeight="1" x14ac:dyDescent="0.3"/>
    <row r="529" customFormat="1" ht="15" customHeight="1" x14ac:dyDescent="0.3"/>
    <row r="530" customFormat="1" ht="15" customHeight="1" x14ac:dyDescent="0.3"/>
    <row r="531" customFormat="1" ht="15" customHeight="1" x14ac:dyDescent="0.3"/>
    <row r="532" customFormat="1" ht="15" customHeight="1" x14ac:dyDescent="0.3"/>
    <row r="533" customFormat="1" ht="15" customHeight="1" x14ac:dyDescent="0.3"/>
    <row r="534" customFormat="1" ht="15" customHeight="1" x14ac:dyDescent="0.3"/>
    <row r="535" customFormat="1" ht="15" customHeight="1" x14ac:dyDescent="0.3"/>
    <row r="536" customFormat="1" ht="15" customHeight="1" x14ac:dyDescent="0.3"/>
    <row r="537" customFormat="1" ht="15" customHeight="1" x14ac:dyDescent="0.3"/>
    <row r="538" customFormat="1" ht="15" customHeight="1" x14ac:dyDescent="0.3"/>
    <row r="539" customFormat="1" ht="15" customHeight="1" x14ac:dyDescent="0.3"/>
    <row r="540" customFormat="1" ht="15" customHeight="1" x14ac:dyDescent="0.3"/>
    <row r="541" customFormat="1" ht="15" customHeight="1" x14ac:dyDescent="0.3"/>
    <row r="542" customFormat="1" ht="15" customHeight="1" x14ac:dyDescent="0.3"/>
    <row r="543" customFormat="1" ht="15" customHeight="1" x14ac:dyDescent="0.3"/>
    <row r="544" customFormat="1" ht="15" customHeight="1" x14ac:dyDescent="0.3"/>
    <row r="545" customFormat="1" ht="15" customHeight="1" x14ac:dyDescent="0.3"/>
    <row r="546" customFormat="1" ht="15" customHeight="1" x14ac:dyDescent="0.3"/>
    <row r="547" customFormat="1" ht="15" customHeight="1" x14ac:dyDescent="0.3"/>
    <row r="548" customFormat="1" ht="15" customHeight="1" x14ac:dyDescent="0.3"/>
    <row r="549" customFormat="1" ht="15" customHeight="1" x14ac:dyDescent="0.3"/>
    <row r="550" customFormat="1" ht="15" customHeight="1" x14ac:dyDescent="0.3"/>
    <row r="551" customFormat="1" ht="15" customHeight="1" x14ac:dyDescent="0.3"/>
    <row r="552" customFormat="1" ht="15" customHeight="1" x14ac:dyDescent="0.3"/>
    <row r="553" customFormat="1" ht="15" customHeight="1" x14ac:dyDescent="0.3"/>
    <row r="554" customFormat="1" ht="15" customHeight="1" x14ac:dyDescent="0.3"/>
    <row r="555" customFormat="1" ht="15" customHeight="1" x14ac:dyDescent="0.3"/>
    <row r="556" customFormat="1" ht="15" customHeight="1" x14ac:dyDescent="0.3"/>
    <row r="557" customFormat="1" ht="15" customHeight="1" x14ac:dyDescent="0.3"/>
    <row r="558" customFormat="1" ht="15" customHeight="1" x14ac:dyDescent="0.3"/>
    <row r="559" customFormat="1" ht="15" customHeight="1" x14ac:dyDescent="0.3"/>
    <row r="560" customFormat="1" ht="15" customHeight="1" x14ac:dyDescent="0.3"/>
    <row r="561" customFormat="1" ht="15" customHeight="1" x14ac:dyDescent="0.3"/>
    <row r="562" customFormat="1" ht="15" customHeight="1" x14ac:dyDescent="0.3"/>
    <row r="563" customFormat="1" ht="15" customHeight="1" x14ac:dyDescent="0.3"/>
    <row r="564" customFormat="1" ht="15" customHeight="1" x14ac:dyDescent="0.3"/>
    <row r="565" customFormat="1" ht="15" customHeight="1" x14ac:dyDescent="0.3"/>
    <row r="566" customFormat="1" ht="15" customHeight="1" x14ac:dyDescent="0.3"/>
    <row r="567" customFormat="1" ht="15" customHeight="1" x14ac:dyDescent="0.3"/>
    <row r="568" customFormat="1" ht="15" customHeight="1" x14ac:dyDescent="0.3"/>
    <row r="569" customFormat="1" ht="15" customHeight="1" x14ac:dyDescent="0.3"/>
    <row r="570" customFormat="1" ht="15" customHeight="1" x14ac:dyDescent="0.3"/>
    <row r="571" customFormat="1" ht="15" customHeight="1" x14ac:dyDescent="0.3"/>
    <row r="572" customFormat="1" ht="15" customHeight="1" x14ac:dyDescent="0.3"/>
    <row r="573" customFormat="1" ht="15" customHeight="1" x14ac:dyDescent="0.3"/>
    <row r="574" customFormat="1" ht="15" customHeight="1" x14ac:dyDescent="0.3"/>
    <row r="575" customFormat="1" ht="15" customHeight="1" x14ac:dyDescent="0.3"/>
    <row r="576" customFormat="1" ht="15" customHeight="1" x14ac:dyDescent="0.3"/>
    <row r="577" customFormat="1" ht="15" customHeight="1" x14ac:dyDescent="0.3"/>
    <row r="578" customFormat="1" ht="15" customHeight="1" x14ac:dyDescent="0.3"/>
    <row r="579" customFormat="1" ht="15" customHeight="1" x14ac:dyDescent="0.3"/>
    <row r="580" customFormat="1" ht="15" customHeight="1" x14ac:dyDescent="0.3"/>
    <row r="581" customFormat="1" ht="15" customHeight="1" x14ac:dyDescent="0.3"/>
    <row r="582" customFormat="1" ht="15" customHeight="1" x14ac:dyDescent="0.3"/>
    <row r="583" customFormat="1" ht="15" customHeight="1" x14ac:dyDescent="0.3"/>
    <row r="584" customFormat="1" ht="15" customHeight="1" x14ac:dyDescent="0.3"/>
    <row r="585" customFormat="1" ht="15" customHeight="1" x14ac:dyDescent="0.3"/>
    <row r="586" customFormat="1" ht="15" customHeight="1" x14ac:dyDescent="0.3"/>
    <row r="587" customFormat="1" ht="15" customHeight="1" x14ac:dyDescent="0.3"/>
    <row r="588" customFormat="1" ht="15" customHeight="1" x14ac:dyDescent="0.3"/>
    <row r="589" customFormat="1" ht="15" customHeight="1" x14ac:dyDescent="0.3"/>
    <row r="590" customFormat="1" ht="15" customHeight="1" x14ac:dyDescent="0.3"/>
    <row r="591" customFormat="1" ht="15" customHeight="1" x14ac:dyDescent="0.3"/>
    <row r="592" customFormat="1" ht="15" customHeight="1" x14ac:dyDescent="0.3"/>
    <row r="593" customFormat="1" ht="15" customHeight="1" x14ac:dyDescent="0.3"/>
    <row r="594" customFormat="1" ht="15" customHeight="1" x14ac:dyDescent="0.3"/>
    <row r="595" customFormat="1" ht="15" customHeight="1" x14ac:dyDescent="0.3"/>
    <row r="596" customFormat="1" ht="15" customHeight="1" x14ac:dyDescent="0.3"/>
    <row r="597" customFormat="1" ht="15" customHeight="1" x14ac:dyDescent="0.3"/>
    <row r="598" customFormat="1" ht="15" customHeight="1" x14ac:dyDescent="0.3"/>
    <row r="599" customFormat="1" ht="15" customHeight="1" x14ac:dyDescent="0.3"/>
    <row r="600" customFormat="1" ht="15" customHeight="1" x14ac:dyDescent="0.3"/>
    <row r="601" customFormat="1" ht="15" customHeight="1" x14ac:dyDescent="0.3"/>
    <row r="602" customFormat="1" ht="15" customHeight="1" x14ac:dyDescent="0.3"/>
    <row r="603" customFormat="1" ht="15" customHeight="1" x14ac:dyDescent="0.3"/>
    <row r="604" customFormat="1" ht="15" customHeight="1" x14ac:dyDescent="0.3"/>
    <row r="605" customFormat="1" ht="15" customHeight="1" x14ac:dyDescent="0.3"/>
    <row r="606" customFormat="1" ht="15" customHeight="1" x14ac:dyDescent="0.3"/>
    <row r="607" customFormat="1" ht="15" customHeight="1" x14ac:dyDescent="0.3"/>
    <row r="608" customFormat="1" ht="15" customHeight="1" x14ac:dyDescent="0.3"/>
    <row r="609" customFormat="1" ht="15" customHeight="1" x14ac:dyDescent="0.3"/>
    <row r="610" customFormat="1" ht="15" customHeight="1" x14ac:dyDescent="0.3"/>
    <row r="611" customFormat="1" ht="15" customHeight="1" x14ac:dyDescent="0.3"/>
    <row r="612" customFormat="1" ht="15" customHeight="1" x14ac:dyDescent="0.3"/>
    <row r="613" customFormat="1" ht="15" customHeight="1" x14ac:dyDescent="0.3"/>
    <row r="614" customFormat="1" ht="15" customHeight="1" x14ac:dyDescent="0.3"/>
    <row r="615" customFormat="1" ht="15" customHeight="1" x14ac:dyDescent="0.3"/>
    <row r="616" customFormat="1" ht="15" customHeight="1" x14ac:dyDescent="0.3"/>
    <row r="617" customFormat="1" ht="15" customHeight="1" x14ac:dyDescent="0.3"/>
    <row r="618" customFormat="1" ht="15" customHeight="1" x14ac:dyDescent="0.3"/>
    <row r="619" customFormat="1" ht="15" customHeight="1" x14ac:dyDescent="0.3"/>
    <row r="620" customFormat="1" ht="15" customHeight="1" x14ac:dyDescent="0.3"/>
    <row r="621" customFormat="1" ht="15" customHeight="1" x14ac:dyDescent="0.3"/>
    <row r="622" customFormat="1" ht="15" customHeight="1" x14ac:dyDescent="0.3"/>
    <row r="623" customFormat="1" ht="15" customHeight="1" x14ac:dyDescent="0.3"/>
    <row r="624" customFormat="1" ht="15" customHeight="1" x14ac:dyDescent="0.3"/>
    <row r="625" customFormat="1" ht="15" customHeight="1" x14ac:dyDescent="0.3"/>
    <row r="626" customFormat="1" ht="15" customHeight="1" x14ac:dyDescent="0.3"/>
    <row r="627" customFormat="1" ht="15" customHeight="1" x14ac:dyDescent="0.3"/>
    <row r="628" customFormat="1" ht="15" customHeight="1" x14ac:dyDescent="0.3"/>
    <row r="629" customFormat="1" ht="15" customHeight="1" x14ac:dyDescent="0.3"/>
    <row r="630" customFormat="1" ht="15" customHeight="1" x14ac:dyDescent="0.3"/>
    <row r="631" customFormat="1" ht="15" customHeight="1" x14ac:dyDescent="0.3"/>
    <row r="632" customFormat="1" ht="15" customHeight="1" x14ac:dyDescent="0.3"/>
    <row r="633" customFormat="1" ht="15" customHeight="1" x14ac:dyDescent="0.3"/>
    <row r="634" customFormat="1" ht="15" customHeight="1" x14ac:dyDescent="0.3"/>
    <row r="635" customFormat="1" ht="15" customHeight="1" x14ac:dyDescent="0.3"/>
    <row r="636" customFormat="1" ht="15" customHeight="1" x14ac:dyDescent="0.3"/>
    <row r="637" customFormat="1" ht="15" customHeight="1" x14ac:dyDescent="0.3"/>
    <row r="638" customFormat="1" ht="15" customHeight="1" x14ac:dyDescent="0.3"/>
    <row r="639" customFormat="1" ht="15" customHeight="1" x14ac:dyDescent="0.3"/>
    <row r="640" customFormat="1" ht="15" customHeight="1" x14ac:dyDescent="0.3"/>
    <row r="641" customFormat="1" ht="15" customHeight="1" x14ac:dyDescent="0.3"/>
    <row r="642" customFormat="1" ht="15" customHeight="1" x14ac:dyDescent="0.3"/>
    <row r="643" customFormat="1" ht="15" customHeight="1" x14ac:dyDescent="0.3"/>
    <row r="644" customFormat="1" ht="15" customHeight="1" x14ac:dyDescent="0.3"/>
    <row r="645" customFormat="1" ht="15" customHeight="1" x14ac:dyDescent="0.3"/>
    <row r="646" customFormat="1" ht="15" customHeight="1" x14ac:dyDescent="0.3"/>
    <row r="647" customFormat="1" ht="15" customHeight="1" x14ac:dyDescent="0.3"/>
    <row r="648" customFormat="1" ht="15" customHeight="1" x14ac:dyDescent="0.3"/>
    <row r="649" customFormat="1" ht="15" customHeight="1" x14ac:dyDescent="0.3"/>
    <row r="650" customFormat="1" ht="15" customHeight="1" x14ac:dyDescent="0.3"/>
    <row r="651" customFormat="1" ht="15" customHeight="1" x14ac:dyDescent="0.3"/>
    <row r="652" customFormat="1" ht="15" customHeight="1" x14ac:dyDescent="0.3"/>
    <row r="653" customFormat="1" ht="15" customHeight="1" x14ac:dyDescent="0.3"/>
    <row r="654" customFormat="1" ht="15" customHeight="1" x14ac:dyDescent="0.3"/>
    <row r="655" customFormat="1" ht="15" customHeight="1" x14ac:dyDescent="0.3"/>
    <row r="656" customFormat="1" ht="15" customHeight="1" x14ac:dyDescent="0.3"/>
    <row r="657" customFormat="1" ht="15" customHeight="1" x14ac:dyDescent="0.3"/>
    <row r="658" customFormat="1" ht="15" customHeight="1" x14ac:dyDescent="0.3"/>
    <row r="659" customFormat="1" ht="15" customHeight="1" x14ac:dyDescent="0.3"/>
    <row r="660" customFormat="1" ht="15" customHeight="1" x14ac:dyDescent="0.3"/>
    <row r="661" customFormat="1" ht="15" customHeight="1" x14ac:dyDescent="0.3"/>
    <row r="662" customFormat="1" ht="15" customHeight="1" x14ac:dyDescent="0.3"/>
    <row r="663" customFormat="1" ht="15" customHeight="1" x14ac:dyDescent="0.3"/>
    <row r="664" customFormat="1" ht="15" customHeight="1" x14ac:dyDescent="0.3"/>
    <row r="665" customFormat="1" ht="15" customHeight="1" x14ac:dyDescent="0.3"/>
    <row r="666" customFormat="1" ht="15" customHeight="1" x14ac:dyDescent="0.3"/>
    <row r="667" customFormat="1" ht="15" customHeight="1" x14ac:dyDescent="0.3"/>
    <row r="668" customFormat="1" ht="15" customHeight="1" x14ac:dyDescent="0.3"/>
    <row r="669" customFormat="1" ht="15" customHeight="1" x14ac:dyDescent="0.3"/>
    <row r="670" customFormat="1" ht="15" customHeight="1" x14ac:dyDescent="0.3"/>
    <row r="671" customFormat="1" ht="15" customHeight="1" x14ac:dyDescent="0.3"/>
    <row r="672" customFormat="1" ht="15" customHeight="1" x14ac:dyDescent="0.3"/>
    <row r="673" customFormat="1" ht="15" customHeight="1" x14ac:dyDescent="0.3"/>
    <row r="674" customFormat="1" ht="15" customHeight="1" x14ac:dyDescent="0.3"/>
    <row r="675" customFormat="1" ht="15" customHeight="1" x14ac:dyDescent="0.3"/>
    <row r="676" customFormat="1" ht="15" customHeight="1" x14ac:dyDescent="0.3"/>
    <row r="677" customFormat="1" ht="15" customHeight="1" x14ac:dyDescent="0.3"/>
    <row r="678" customFormat="1" ht="15" customHeight="1" x14ac:dyDescent="0.3"/>
    <row r="679" customFormat="1" ht="15" customHeight="1" x14ac:dyDescent="0.3"/>
    <row r="680" customFormat="1" ht="15" customHeight="1" x14ac:dyDescent="0.3"/>
    <row r="681" customFormat="1" ht="15" customHeight="1" x14ac:dyDescent="0.3"/>
    <row r="682" customFormat="1" ht="15" customHeight="1" x14ac:dyDescent="0.3"/>
    <row r="683" customFormat="1" ht="15" customHeight="1" x14ac:dyDescent="0.3"/>
    <row r="684" customFormat="1" ht="15" customHeight="1" x14ac:dyDescent="0.3"/>
    <row r="685" customFormat="1" ht="15" customHeight="1" x14ac:dyDescent="0.3"/>
    <row r="686" customFormat="1" ht="15" customHeight="1" x14ac:dyDescent="0.3"/>
    <row r="687" customFormat="1" ht="15" customHeight="1" x14ac:dyDescent="0.3"/>
    <row r="688" customFormat="1" ht="15" customHeight="1" x14ac:dyDescent="0.3"/>
    <row r="689" customFormat="1" ht="15" customHeight="1" x14ac:dyDescent="0.3"/>
    <row r="690" customFormat="1" ht="15" customHeight="1" x14ac:dyDescent="0.3"/>
    <row r="691" customFormat="1" ht="15" customHeight="1" x14ac:dyDescent="0.3"/>
    <row r="692" customFormat="1" ht="15" customHeight="1" x14ac:dyDescent="0.3"/>
    <row r="693" customFormat="1" ht="15" customHeight="1" x14ac:dyDescent="0.3"/>
    <row r="694" customFormat="1" ht="15" customHeight="1" x14ac:dyDescent="0.3"/>
    <row r="695" customFormat="1" ht="15" customHeight="1" x14ac:dyDescent="0.3"/>
    <row r="696" customFormat="1" ht="15" customHeight="1" x14ac:dyDescent="0.3"/>
    <row r="697" customFormat="1" ht="15" customHeight="1" x14ac:dyDescent="0.3"/>
    <row r="698" customFormat="1" ht="15" customHeight="1" x14ac:dyDescent="0.3"/>
    <row r="699" customFormat="1" ht="15" customHeight="1" x14ac:dyDescent="0.3"/>
    <row r="700" customFormat="1" ht="15" customHeight="1" x14ac:dyDescent="0.3"/>
    <row r="701" customFormat="1" ht="15" customHeight="1" x14ac:dyDescent="0.3"/>
    <row r="702" customFormat="1" ht="15" customHeight="1" x14ac:dyDescent="0.3"/>
    <row r="703" customFormat="1" ht="15" customHeight="1" x14ac:dyDescent="0.3"/>
    <row r="704" customFormat="1" ht="15" customHeight="1" x14ac:dyDescent="0.3"/>
    <row r="705" customFormat="1" ht="15" customHeight="1" x14ac:dyDescent="0.3"/>
    <row r="706" customFormat="1" ht="15" customHeight="1" x14ac:dyDescent="0.3"/>
    <row r="707" customFormat="1" ht="15" customHeight="1" x14ac:dyDescent="0.3"/>
    <row r="708" customFormat="1" ht="15" customHeight="1" x14ac:dyDescent="0.3"/>
    <row r="709" customFormat="1" ht="15" customHeight="1" x14ac:dyDescent="0.3"/>
    <row r="710" customFormat="1" ht="15" customHeight="1" x14ac:dyDescent="0.3"/>
    <row r="711" customFormat="1" ht="15" customHeight="1" x14ac:dyDescent="0.3"/>
    <row r="712" customFormat="1" ht="15" customHeight="1" x14ac:dyDescent="0.3"/>
    <row r="713" customFormat="1" ht="15" customHeight="1" x14ac:dyDescent="0.3"/>
    <row r="714" customFormat="1" ht="15" customHeight="1" x14ac:dyDescent="0.3"/>
    <row r="715" customFormat="1" ht="15" customHeight="1" x14ac:dyDescent="0.3"/>
    <row r="716" customFormat="1" ht="15" customHeight="1" x14ac:dyDescent="0.3"/>
    <row r="717" customFormat="1" ht="15" customHeight="1" x14ac:dyDescent="0.3"/>
    <row r="718" customFormat="1" ht="15" customHeight="1" x14ac:dyDescent="0.3"/>
    <row r="719" customFormat="1" ht="15" customHeight="1" x14ac:dyDescent="0.3"/>
    <row r="720" customFormat="1" ht="15" customHeight="1" x14ac:dyDescent="0.3"/>
    <row r="721" customFormat="1" ht="15" customHeight="1" x14ac:dyDescent="0.3"/>
    <row r="722" customFormat="1" ht="15" customHeight="1" x14ac:dyDescent="0.3"/>
    <row r="723" customFormat="1" ht="15" customHeight="1" x14ac:dyDescent="0.3"/>
    <row r="724" customFormat="1" ht="15" customHeight="1" x14ac:dyDescent="0.3"/>
    <row r="725" customFormat="1" ht="15" customHeight="1" x14ac:dyDescent="0.3"/>
    <row r="726" customFormat="1" ht="15" customHeight="1" x14ac:dyDescent="0.3"/>
    <row r="727" customFormat="1" ht="15" customHeight="1" x14ac:dyDescent="0.3"/>
    <row r="728" customFormat="1" ht="15" customHeight="1" x14ac:dyDescent="0.3"/>
    <row r="729" customFormat="1" ht="15" customHeight="1" x14ac:dyDescent="0.3"/>
    <row r="730" customFormat="1" ht="15" customHeight="1" x14ac:dyDescent="0.3"/>
    <row r="731" customFormat="1" ht="15" customHeight="1" x14ac:dyDescent="0.3"/>
    <row r="732" customFormat="1" ht="15" customHeight="1" x14ac:dyDescent="0.3"/>
    <row r="733" customFormat="1" ht="15" customHeight="1" x14ac:dyDescent="0.3"/>
    <row r="734" customFormat="1" ht="15" customHeight="1" x14ac:dyDescent="0.3"/>
    <row r="735" customFormat="1" ht="15" customHeight="1" x14ac:dyDescent="0.3"/>
    <row r="736" customFormat="1" ht="15" customHeight="1" x14ac:dyDescent="0.3"/>
    <row r="737" customFormat="1" ht="15" customHeight="1" x14ac:dyDescent="0.3"/>
    <row r="738" customFormat="1" ht="15" customHeight="1" x14ac:dyDescent="0.3"/>
    <row r="739" customFormat="1" ht="15" customHeight="1" x14ac:dyDescent="0.3"/>
    <row r="740" customFormat="1" ht="15" customHeight="1" x14ac:dyDescent="0.3"/>
    <row r="741" customFormat="1" ht="15" customHeight="1" x14ac:dyDescent="0.3"/>
    <row r="742" customFormat="1" ht="15" customHeight="1" x14ac:dyDescent="0.3"/>
    <row r="743" customFormat="1" ht="15" customHeight="1" x14ac:dyDescent="0.3"/>
    <row r="744" customFormat="1" ht="15" customHeight="1" x14ac:dyDescent="0.3"/>
    <row r="745" customFormat="1" ht="15" customHeight="1" x14ac:dyDescent="0.3"/>
    <row r="746" customFormat="1" ht="15" customHeight="1" x14ac:dyDescent="0.3"/>
    <row r="747" customFormat="1" ht="15" customHeight="1" x14ac:dyDescent="0.3"/>
    <row r="748" customFormat="1" ht="15" customHeight="1" x14ac:dyDescent="0.3"/>
    <row r="749" customFormat="1" ht="15" customHeight="1" x14ac:dyDescent="0.3"/>
    <row r="750" customFormat="1" ht="15" customHeight="1" x14ac:dyDescent="0.3"/>
    <row r="751" customFormat="1" ht="15" customHeight="1" x14ac:dyDescent="0.3"/>
    <row r="752" customFormat="1" ht="15" customHeight="1" x14ac:dyDescent="0.3"/>
    <row r="753" customFormat="1" ht="15" customHeight="1" x14ac:dyDescent="0.3"/>
    <row r="754" customFormat="1" ht="15" customHeight="1" x14ac:dyDescent="0.3"/>
    <row r="755" customFormat="1" ht="15" customHeight="1" x14ac:dyDescent="0.3"/>
    <row r="756" customFormat="1" ht="15" customHeight="1" x14ac:dyDescent="0.3"/>
    <row r="757" customFormat="1" ht="15" customHeight="1" x14ac:dyDescent="0.3"/>
    <row r="758" customFormat="1" ht="15" customHeight="1" x14ac:dyDescent="0.3"/>
    <row r="759" customFormat="1" ht="15" customHeight="1" x14ac:dyDescent="0.3"/>
    <row r="760" customFormat="1" ht="15" customHeight="1" x14ac:dyDescent="0.3"/>
    <row r="761" customFormat="1" ht="15" customHeight="1" x14ac:dyDescent="0.3"/>
    <row r="762" customFormat="1" ht="15" customHeight="1" x14ac:dyDescent="0.3"/>
    <row r="763" customFormat="1" ht="15" customHeight="1" x14ac:dyDescent="0.3"/>
    <row r="764" customFormat="1" ht="15" customHeight="1" x14ac:dyDescent="0.3"/>
    <row r="765" customFormat="1" ht="15" customHeight="1" x14ac:dyDescent="0.3"/>
    <row r="766" customFormat="1" ht="15" customHeight="1" x14ac:dyDescent="0.3"/>
    <row r="767" customFormat="1" ht="15" customHeight="1" x14ac:dyDescent="0.3"/>
    <row r="768" customFormat="1" ht="15" customHeight="1" x14ac:dyDescent="0.3"/>
    <row r="769" customFormat="1" ht="15" customHeight="1" x14ac:dyDescent="0.3"/>
    <row r="770" customFormat="1" ht="15" customHeight="1" x14ac:dyDescent="0.3"/>
    <row r="771" customFormat="1" ht="15" customHeight="1" x14ac:dyDescent="0.3"/>
    <row r="772" customFormat="1" ht="15" customHeight="1" x14ac:dyDescent="0.3"/>
    <row r="773" customFormat="1" ht="15" customHeight="1" x14ac:dyDescent="0.3"/>
    <row r="774" customFormat="1" ht="15" customHeight="1" x14ac:dyDescent="0.3"/>
    <row r="775" customFormat="1" ht="15" customHeight="1" x14ac:dyDescent="0.3"/>
    <row r="776" customFormat="1" ht="15" customHeight="1" x14ac:dyDescent="0.3"/>
    <row r="777" customFormat="1" ht="15" customHeight="1" x14ac:dyDescent="0.3"/>
    <row r="778" customFormat="1" ht="15" customHeight="1" x14ac:dyDescent="0.3"/>
    <row r="779" customFormat="1" ht="15" customHeight="1" x14ac:dyDescent="0.3"/>
    <row r="780" customFormat="1" ht="15" customHeight="1" x14ac:dyDescent="0.3"/>
    <row r="781" customFormat="1" ht="15" customHeight="1" x14ac:dyDescent="0.3"/>
    <row r="782" customFormat="1" ht="15" customHeight="1" x14ac:dyDescent="0.3"/>
    <row r="783" customFormat="1" ht="15" customHeight="1" x14ac:dyDescent="0.3"/>
    <row r="784" customFormat="1" ht="15" customHeight="1" x14ac:dyDescent="0.3"/>
    <row r="785" customFormat="1" ht="15" customHeight="1" x14ac:dyDescent="0.3"/>
    <row r="786" customFormat="1" ht="15" customHeight="1" x14ac:dyDescent="0.3"/>
    <row r="787" customFormat="1" ht="15" customHeight="1" x14ac:dyDescent="0.3"/>
    <row r="788" customFormat="1" ht="15" customHeight="1" x14ac:dyDescent="0.3"/>
    <row r="789" customFormat="1" ht="15" customHeight="1" x14ac:dyDescent="0.3"/>
    <row r="790" customFormat="1" ht="15" customHeight="1" x14ac:dyDescent="0.3"/>
    <row r="791" customFormat="1" ht="15" customHeight="1" x14ac:dyDescent="0.3"/>
    <row r="792" customFormat="1" ht="15" customHeight="1" x14ac:dyDescent="0.3"/>
    <row r="793" customFormat="1" ht="15" customHeight="1" x14ac:dyDescent="0.3"/>
    <row r="794" customFormat="1" ht="15" customHeight="1" x14ac:dyDescent="0.3"/>
    <row r="795" customFormat="1" ht="15" customHeight="1" x14ac:dyDescent="0.3"/>
    <row r="796" customFormat="1" ht="15" customHeight="1" x14ac:dyDescent="0.3"/>
    <row r="797" customFormat="1" ht="15" customHeight="1" x14ac:dyDescent="0.3"/>
    <row r="798" customFormat="1" ht="15" customHeight="1" x14ac:dyDescent="0.3"/>
    <row r="799" customFormat="1" ht="15" customHeight="1" x14ac:dyDescent="0.3"/>
    <row r="800" customFormat="1" ht="15" customHeight="1" x14ac:dyDescent="0.3"/>
    <row r="801" customFormat="1" ht="15" customHeight="1" x14ac:dyDescent="0.3"/>
    <row r="802" customFormat="1" ht="15" customHeight="1" x14ac:dyDescent="0.3"/>
    <row r="803" customFormat="1" ht="15" customHeight="1" x14ac:dyDescent="0.3"/>
    <row r="804" customFormat="1" ht="15" customHeight="1" x14ac:dyDescent="0.3"/>
    <row r="805" customFormat="1" ht="15" customHeight="1" x14ac:dyDescent="0.3"/>
    <row r="806" customFormat="1" ht="15" customHeight="1" x14ac:dyDescent="0.3"/>
    <row r="807" customFormat="1" ht="15" customHeight="1" x14ac:dyDescent="0.3"/>
    <row r="808" customFormat="1" ht="15" customHeight="1" x14ac:dyDescent="0.3"/>
    <row r="809" customFormat="1" ht="15" customHeight="1" x14ac:dyDescent="0.3"/>
    <row r="810" customFormat="1" ht="15" customHeight="1" x14ac:dyDescent="0.3"/>
    <row r="811" customFormat="1" ht="15" customHeight="1" x14ac:dyDescent="0.3"/>
    <row r="812" customFormat="1" ht="15" customHeight="1" x14ac:dyDescent="0.3"/>
    <row r="813" customFormat="1" ht="15" customHeight="1" x14ac:dyDescent="0.3"/>
    <row r="814" customFormat="1" ht="15" customHeight="1" x14ac:dyDescent="0.3"/>
    <row r="815" customFormat="1" ht="15" customHeight="1" x14ac:dyDescent="0.3"/>
    <row r="816" customFormat="1" ht="15" customHeight="1" x14ac:dyDescent="0.3"/>
    <row r="817" customFormat="1" ht="15" customHeight="1" x14ac:dyDescent="0.3"/>
    <row r="818" customFormat="1" ht="15" customHeight="1" x14ac:dyDescent="0.3"/>
    <row r="819" customFormat="1" ht="15" customHeight="1" x14ac:dyDescent="0.3"/>
    <row r="820" customFormat="1" ht="15" customHeight="1" x14ac:dyDescent="0.3"/>
    <row r="821" customFormat="1" ht="15" customHeight="1" x14ac:dyDescent="0.3"/>
    <row r="822" customFormat="1" ht="15" customHeight="1" x14ac:dyDescent="0.3"/>
    <row r="823" customFormat="1" ht="15" customHeight="1" x14ac:dyDescent="0.3"/>
    <row r="824" customFormat="1" ht="15" customHeight="1" x14ac:dyDescent="0.3"/>
    <row r="825" customFormat="1" ht="15" customHeight="1" x14ac:dyDescent="0.3"/>
    <row r="826" customFormat="1" ht="15" customHeight="1" x14ac:dyDescent="0.3"/>
    <row r="827" customFormat="1" ht="15" customHeight="1" x14ac:dyDescent="0.3"/>
    <row r="828" customFormat="1" ht="15" customHeight="1" x14ac:dyDescent="0.3"/>
    <row r="829" customFormat="1" ht="15" customHeight="1" x14ac:dyDescent="0.3"/>
    <row r="830" customFormat="1" ht="15" customHeight="1" x14ac:dyDescent="0.3"/>
    <row r="831" customFormat="1" ht="15" customHeight="1" x14ac:dyDescent="0.3"/>
    <row r="832" customFormat="1" ht="15" customHeight="1" x14ac:dyDescent="0.3"/>
    <row r="833" customFormat="1" ht="15" customHeight="1" x14ac:dyDescent="0.3"/>
    <row r="834" customFormat="1" ht="15" customHeight="1" x14ac:dyDescent="0.3"/>
    <row r="835" customFormat="1" ht="15" customHeight="1" x14ac:dyDescent="0.3"/>
    <row r="836" customFormat="1" ht="15" customHeight="1" x14ac:dyDescent="0.3"/>
    <row r="837" customFormat="1" ht="15" customHeight="1" x14ac:dyDescent="0.3"/>
    <row r="838" customFormat="1" ht="15" customHeight="1" x14ac:dyDescent="0.3"/>
    <row r="839" customFormat="1" ht="15" customHeight="1" x14ac:dyDescent="0.3"/>
    <row r="840" customFormat="1" ht="15" customHeight="1" x14ac:dyDescent="0.3"/>
    <row r="841" customFormat="1" ht="15" customHeight="1" x14ac:dyDescent="0.3"/>
    <row r="842" customFormat="1" ht="15" customHeight="1" x14ac:dyDescent="0.3"/>
    <row r="843" customFormat="1" ht="15" customHeight="1" x14ac:dyDescent="0.3"/>
    <row r="844" customFormat="1" ht="15" customHeight="1" x14ac:dyDescent="0.3"/>
    <row r="845" customFormat="1" ht="15" customHeight="1" x14ac:dyDescent="0.3"/>
    <row r="846" customFormat="1" ht="15" customHeight="1" x14ac:dyDescent="0.3"/>
    <row r="847" customFormat="1" ht="15" customHeight="1" x14ac:dyDescent="0.3"/>
    <row r="848" customFormat="1" ht="15" customHeight="1" x14ac:dyDescent="0.3"/>
    <row r="849" customFormat="1" ht="15" customHeight="1" x14ac:dyDescent="0.3"/>
    <row r="850" customFormat="1" ht="15" customHeight="1" x14ac:dyDescent="0.3"/>
    <row r="851" customFormat="1" ht="15" customHeight="1" x14ac:dyDescent="0.3"/>
    <row r="852" customFormat="1" ht="15" customHeight="1" x14ac:dyDescent="0.3"/>
    <row r="853" customFormat="1" ht="15" customHeight="1" x14ac:dyDescent="0.3"/>
    <row r="854" customFormat="1" ht="15" customHeight="1" x14ac:dyDescent="0.3"/>
    <row r="855" customFormat="1" ht="15" customHeight="1" x14ac:dyDescent="0.3"/>
    <row r="856" customFormat="1" ht="15" customHeight="1" x14ac:dyDescent="0.3"/>
    <row r="857" customFormat="1" ht="15" customHeight="1" x14ac:dyDescent="0.3"/>
    <row r="858" customFormat="1" ht="15" customHeight="1" x14ac:dyDescent="0.3"/>
    <row r="859" customFormat="1" ht="15" customHeight="1" x14ac:dyDescent="0.3"/>
    <row r="860" customFormat="1" ht="15" customHeight="1" x14ac:dyDescent="0.3"/>
    <row r="861" customFormat="1" ht="15" customHeight="1" x14ac:dyDescent="0.3"/>
    <row r="862" customFormat="1" ht="15" customHeight="1" x14ac:dyDescent="0.3"/>
    <row r="863" customFormat="1" ht="15" customHeight="1" x14ac:dyDescent="0.3"/>
    <row r="864" customFormat="1" ht="15" customHeight="1" x14ac:dyDescent="0.3"/>
    <row r="865" customFormat="1" ht="15" customHeight="1" x14ac:dyDescent="0.3"/>
    <row r="866" customFormat="1" ht="15" customHeight="1" x14ac:dyDescent="0.3"/>
    <row r="867" customFormat="1" ht="15" customHeight="1" x14ac:dyDescent="0.3"/>
    <row r="868" customFormat="1" ht="15" customHeight="1" x14ac:dyDescent="0.3"/>
    <row r="869" customFormat="1" ht="15" customHeight="1" x14ac:dyDescent="0.3"/>
    <row r="870" customFormat="1" ht="15" customHeight="1" x14ac:dyDescent="0.3"/>
    <row r="871" customFormat="1" ht="15" customHeight="1" x14ac:dyDescent="0.3"/>
    <row r="872" customFormat="1" ht="15" customHeight="1" x14ac:dyDescent="0.3"/>
    <row r="873" customFormat="1" ht="15" customHeight="1" x14ac:dyDescent="0.3"/>
    <row r="874" customFormat="1" ht="15" customHeight="1" x14ac:dyDescent="0.3"/>
    <row r="875" customFormat="1" ht="15" customHeight="1" x14ac:dyDescent="0.3"/>
    <row r="876" customFormat="1" ht="15" customHeight="1" x14ac:dyDescent="0.3"/>
    <row r="877" customFormat="1" ht="15" customHeight="1" x14ac:dyDescent="0.3"/>
    <row r="878" customFormat="1" ht="15" customHeight="1" x14ac:dyDescent="0.3"/>
    <row r="879" customFormat="1" ht="15" customHeight="1" x14ac:dyDescent="0.3"/>
    <row r="880" customFormat="1" ht="15" customHeight="1" x14ac:dyDescent="0.3"/>
    <row r="881" customFormat="1" ht="15" customHeight="1" x14ac:dyDescent="0.3"/>
    <row r="882" customFormat="1" ht="15" customHeight="1" x14ac:dyDescent="0.3"/>
    <row r="883" customFormat="1" ht="15" customHeight="1" x14ac:dyDescent="0.3"/>
    <row r="884" customFormat="1" ht="15" customHeight="1" x14ac:dyDescent="0.3"/>
    <row r="885" customFormat="1" ht="15" customHeight="1" x14ac:dyDescent="0.3"/>
    <row r="886" customFormat="1" ht="15" customHeight="1" x14ac:dyDescent="0.3"/>
    <row r="887" customFormat="1" ht="15" customHeight="1" x14ac:dyDescent="0.3"/>
    <row r="888" customFormat="1" ht="15" customHeight="1" x14ac:dyDescent="0.3"/>
    <row r="889" customFormat="1" ht="15" customHeight="1" x14ac:dyDescent="0.3"/>
    <row r="890" customFormat="1" ht="15" customHeight="1" x14ac:dyDescent="0.3"/>
    <row r="891" customFormat="1" ht="15" customHeight="1" x14ac:dyDescent="0.3"/>
    <row r="892" customFormat="1" ht="15" customHeight="1" x14ac:dyDescent="0.3"/>
    <row r="893" customFormat="1" ht="15" customHeight="1" x14ac:dyDescent="0.3"/>
    <row r="894" customFormat="1" ht="15" customHeight="1" x14ac:dyDescent="0.3"/>
    <row r="895" customFormat="1" ht="15" customHeight="1" x14ac:dyDescent="0.3"/>
    <row r="896" customFormat="1" ht="15" customHeight="1" x14ac:dyDescent="0.3"/>
    <row r="897" customFormat="1" ht="15" customHeight="1" x14ac:dyDescent="0.3"/>
    <row r="898" customFormat="1" ht="15" customHeight="1" x14ac:dyDescent="0.3"/>
    <row r="899" customFormat="1" ht="15" customHeight="1" x14ac:dyDescent="0.3"/>
    <row r="900" customFormat="1" ht="15" customHeight="1" x14ac:dyDescent="0.3"/>
    <row r="901" customFormat="1" ht="15" customHeight="1" x14ac:dyDescent="0.3"/>
    <row r="902" customFormat="1" ht="15" customHeight="1" x14ac:dyDescent="0.3"/>
    <row r="903" customFormat="1" ht="15" customHeight="1" x14ac:dyDescent="0.3"/>
    <row r="904" customFormat="1" ht="15" customHeight="1" x14ac:dyDescent="0.3"/>
    <row r="905" customFormat="1" ht="15" customHeight="1" x14ac:dyDescent="0.3"/>
    <row r="906" customFormat="1" ht="15" customHeight="1" x14ac:dyDescent="0.3"/>
    <row r="907" customFormat="1" ht="15" customHeight="1" x14ac:dyDescent="0.3"/>
    <row r="908" customFormat="1" ht="15" customHeight="1" x14ac:dyDescent="0.3"/>
    <row r="909" customFormat="1" ht="15" customHeight="1" x14ac:dyDescent="0.3"/>
    <row r="910" customFormat="1" ht="15" customHeight="1" x14ac:dyDescent="0.3"/>
    <row r="911" customFormat="1" ht="15" customHeight="1" x14ac:dyDescent="0.3"/>
    <row r="912" customFormat="1" ht="15" customHeight="1" x14ac:dyDescent="0.3"/>
    <row r="913" customFormat="1" ht="15" customHeight="1" x14ac:dyDescent="0.3"/>
    <row r="914" customFormat="1" ht="15" customHeight="1" x14ac:dyDescent="0.3"/>
    <row r="915" customFormat="1" ht="15" customHeight="1" x14ac:dyDescent="0.3"/>
    <row r="916" customFormat="1" ht="15" customHeight="1" x14ac:dyDescent="0.3"/>
    <row r="917" customFormat="1" ht="15" customHeight="1" x14ac:dyDescent="0.3"/>
    <row r="918" customFormat="1" ht="15" customHeight="1" x14ac:dyDescent="0.3"/>
    <row r="919" customFormat="1" ht="15" customHeight="1" x14ac:dyDescent="0.3"/>
    <row r="920" customFormat="1" ht="15" customHeight="1" x14ac:dyDescent="0.3"/>
    <row r="921" customFormat="1" ht="15" customHeight="1" x14ac:dyDescent="0.3"/>
    <row r="922" customFormat="1" ht="15" customHeight="1" x14ac:dyDescent="0.3"/>
    <row r="923" customFormat="1" ht="15" customHeight="1" x14ac:dyDescent="0.3"/>
    <row r="924" customFormat="1" ht="15" customHeight="1" x14ac:dyDescent="0.3"/>
    <row r="925" customFormat="1" ht="15" customHeight="1" x14ac:dyDescent="0.3"/>
    <row r="926" customFormat="1" ht="15" customHeight="1" x14ac:dyDescent="0.3"/>
    <row r="927" customFormat="1" ht="15" customHeight="1" x14ac:dyDescent="0.3"/>
    <row r="928" customFormat="1" ht="15" customHeight="1" x14ac:dyDescent="0.3"/>
    <row r="929" customFormat="1" ht="15" customHeight="1" x14ac:dyDescent="0.3"/>
    <row r="930" customFormat="1" ht="15" customHeight="1" x14ac:dyDescent="0.3"/>
    <row r="931" customFormat="1" ht="15" customHeight="1" x14ac:dyDescent="0.3"/>
    <row r="932" customFormat="1" ht="15" customHeight="1" x14ac:dyDescent="0.3"/>
    <row r="933" customFormat="1" ht="15" customHeight="1" x14ac:dyDescent="0.3"/>
    <row r="934" customFormat="1" ht="15" customHeight="1" x14ac:dyDescent="0.3"/>
    <row r="935" customFormat="1" ht="15" customHeight="1" x14ac:dyDescent="0.3"/>
    <row r="936" customFormat="1" ht="15" customHeight="1" x14ac:dyDescent="0.3"/>
    <row r="937" customFormat="1" ht="15" customHeight="1" x14ac:dyDescent="0.3"/>
    <row r="938" customFormat="1" ht="15" customHeight="1" x14ac:dyDescent="0.3"/>
    <row r="939" customFormat="1" ht="15" customHeight="1" x14ac:dyDescent="0.3"/>
    <row r="940" customFormat="1" ht="15" customHeight="1" x14ac:dyDescent="0.3"/>
    <row r="941" customFormat="1" ht="15" customHeight="1" x14ac:dyDescent="0.3"/>
    <row r="942" customFormat="1" ht="15" customHeight="1" x14ac:dyDescent="0.3"/>
    <row r="943" customFormat="1" ht="15" customHeight="1" x14ac:dyDescent="0.3"/>
    <row r="944" customFormat="1" ht="15" customHeight="1" x14ac:dyDescent="0.3"/>
    <row r="945" customFormat="1" ht="15" customHeight="1" x14ac:dyDescent="0.3"/>
    <row r="946" customFormat="1" ht="15" customHeight="1" x14ac:dyDescent="0.3"/>
    <row r="947" customFormat="1" ht="15" customHeight="1" x14ac:dyDescent="0.3"/>
    <row r="948" customFormat="1" ht="15" customHeight="1" x14ac:dyDescent="0.3"/>
    <row r="949" customFormat="1" ht="15" customHeight="1" x14ac:dyDescent="0.3"/>
    <row r="950" customFormat="1" ht="15" customHeight="1" x14ac:dyDescent="0.3"/>
    <row r="951" customFormat="1" ht="15" customHeight="1" x14ac:dyDescent="0.3"/>
    <row r="952" customFormat="1" ht="15" customHeight="1" x14ac:dyDescent="0.3"/>
    <row r="953" customFormat="1" ht="15" customHeight="1" x14ac:dyDescent="0.3"/>
    <row r="954" customFormat="1" ht="15" customHeight="1" x14ac:dyDescent="0.3"/>
    <row r="955" customFormat="1" ht="15" customHeight="1" x14ac:dyDescent="0.3"/>
    <row r="956" customFormat="1" ht="15" customHeight="1" x14ac:dyDescent="0.3"/>
    <row r="957" customFormat="1" ht="15" customHeight="1" x14ac:dyDescent="0.3"/>
    <row r="958" customFormat="1" ht="15" customHeight="1" x14ac:dyDescent="0.3"/>
    <row r="959" customFormat="1" ht="15" customHeight="1" x14ac:dyDescent="0.3"/>
    <row r="960" customFormat="1" ht="15" customHeight="1" x14ac:dyDescent="0.3"/>
    <row r="961" customFormat="1" ht="15" customHeight="1" x14ac:dyDescent="0.3"/>
    <row r="962" customFormat="1" ht="15" customHeight="1" x14ac:dyDescent="0.3"/>
    <row r="963" customFormat="1" ht="15" customHeight="1" x14ac:dyDescent="0.3"/>
    <row r="964" customFormat="1" ht="15" customHeight="1" x14ac:dyDescent="0.3"/>
    <row r="965" customFormat="1" ht="15" customHeight="1" x14ac:dyDescent="0.3"/>
    <row r="966" customFormat="1" ht="15" customHeight="1" x14ac:dyDescent="0.3"/>
    <row r="967" customFormat="1" ht="15" customHeight="1" x14ac:dyDescent="0.3"/>
    <row r="968" customFormat="1" ht="15" customHeight="1" x14ac:dyDescent="0.3"/>
    <row r="969" customFormat="1" ht="15" customHeight="1" x14ac:dyDescent="0.3"/>
    <row r="970" customFormat="1" ht="15" customHeight="1" x14ac:dyDescent="0.3"/>
    <row r="971" customFormat="1" ht="15" customHeight="1" x14ac:dyDescent="0.3"/>
    <row r="972" customFormat="1" ht="15" customHeight="1" x14ac:dyDescent="0.3"/>
    <row r="973" customFormat="1" ht="15" customHeight="1" x14ac:dyDescent="0.3"/>
    <row r="974" customFormat="1" ht="15" customHeight="1" x14ac:dyDescent="0.3"/>
    <row r="975" customFormat="1" ht="15" customHeight="1" x14ac:dyDescent="0.3"/>
    <row r="976" customFormat="1" ht="15" customHeight="1" x14ac:dyDescent="0.3"/>
    <row r="977" customFormat="1" ht="15" customHeight="1" x14ac:dyDescent="0.3"/>
    <row r="978" customFormat="1" ht="15" customHeight="1" x14ac:dyDescent="0.3"/>
    <row r="979" customFormat="1" ht="15" customHeight="1" x14ac:dyDescent="0.3"/>
    <row r="980" customFormat="1" ht="15" customHeight="1" x14ac:dyDescent="0.3"/>
    <row r="981" customFormat="1" ht="15" customHeight="1" x14ac:dyDescent="0.3"/>
    <row r="982" customFormat="1" ht="15" customHeight="1" x14ac:dyDescent="0.3"/>
    <row r="983" customFormat="1" ht="15" customHeight="1" x14ac:dyDescent="0.3"/>
    <row r="984" customFormat="1" ht="15" customHeight="1" x14ac:dyDescent="0.3"/>
    <row r="985" customFormat="1" ht="15" customHeight="1" x14ac:dyDescent="0.3"/>
    <row r="986" customFormat="1" ht="15" customHeight="1" x14ac:dyDescent="0.3"/>
    <row r="987" customFormat="1" ht="15" customHeight="1" x14ac:dyDescent="0.3"/>
    <row r="988" customFormat="1" ht="15" customHeight="1" x14ac:dyDescent="0.3"/>
    <row r="989" customFormat="1" ht="15" customHeight="1" x14ac:dyDescent="0.3"/>
    <row r="990" customFormat="1" ht="15" customHeight="1" x14ac:dyDescent="0.3"/>
    <row r="991" customFormat="1" ht="15" customHeight="1" x14ac:dyDescent="0.3"/>
    <row r="992" customFormat="1" ht="15" customHeight="1" x14ac:dyDescent="0.3"/>
    <row r="993" customFormat="1" ht="15" customHeight="1" x14ac:dyDescent="0.3"/>
    <row r="994" customFormat="1" ht="15" customHeight="1" x14ac:dyDescent="0.3"/>
    <row r="995" customFormat="1" ht="15" customHeight="1" x14ac:dyDescent="0.3"/>
    <row r="996" customFormat="1" ht="15" customHeight="1" x14ac:dyDescent="0.3"/>
    <row r="997" customFormat="1" ht="15" customHeight="1" x14ac:dyDescent="0.3"/>
    <row r="998" customFormat="1" ht="15" customHeight="1" x14ac:dyDescent="0.3"/>
    <row r="999" customFormat="1" ht="15" customHeight="1" x14ac:dyDescent="0.3"/>
    <row r="1000" customFormat="1" ht="15" customHeight="1" x14ac:dyDescent="0.3"/>
    <row r="1001" customFormat="1" ht="15" customHeight="1" x14ac:dyDescent="0.3"/>
    <row r="1002" customFormat="1" ht="15" customHeight="1" x14ac:dyDescent="0.3"/>
    <row r="1003" customFormat="1" ht="15" customHeight="1" x14ac:dyDescent="0.3"/>
    <row r="1004" customFormat="1" ht="15" customHeight="1" x14ac:dyDescent="0.3"/>
    <row r="1005" customFormat="1" ht="15" customHeight="1" x14ac:dyDescent="0.3"/>
    <row r="1006" customFormat="1" ht="15" customHeight="1" x14ac:dyDescent="0.3"/>
    <row r="1007" customFormat="1" ht="15" customHeight="1" x14ac:dyDescent="0.3"/>
    <row r="1008" customFormat="1" ht="15" customHeight="1" x14ac:dyDescent="0.3"/>
    <row r="1009" customFormat="1" ht="15" customHeight="1" x14ac:dyDescent="0.3"/>
    <row r="1010" customFormat="1" ht="15" customHeight="1" x14ac:dyDescent="0.3"/>
    <row r="1011" customFormat="1" ht="15" customHeight="1" x14ac:dyDescent="0.3"/>
    <row r="1012" customFormat="1" ht="15" customHeight="1" x14ac:dyDescent="0.3"/>
    <row r="1013" customFormat="1" ht="15" customHeight="1" x14ac:dyDescent="0.3"/>
    <row r="1014" customFormat="1" ht="15" customHeight="1" x14ac:dyDescent="0.3"/>
    <row r="1015" customFormat="1" ht="15" customHeight="1" x14ac:dyDescent="0.3"/>
    <row r="1016" customFormat="1" ht="15" customHeight="1" x14ac:dyDescent="0.3"/>
    <row r="1017" customFormat="1" ht="15" customHeight="1" x14ac:dyDescent="0.3"/>
    <row r="1018" customFormat="1" ht="15" customHeight="1" x14ac:dyDescent="0.3"/>
    <row r="1019" customFormat="1" ht="15" customHeight="1" x14ac:dyDescent="0.3"/>
    <row r="1020" customFormat="1" ht="15" customHeight="1" x14ac:dyDescent="0.3"/>
    <row r="1021" customFormat="1" ht="15" customHeight="1" x14ac:dyDescent="0.3"/>
    <row r="1022" customFormat="1" ht="15" customHeight="1" x14ac:dyDescent="0.3"/>
    <row r="1023" customFormat="1" ht="15" customHeight="1" x14ac:dyDescent="0.3"/>
    <row r="1024" customFormat="1" ht="15" customHeight="1" x14ac:dyDescent="0.3"/>
    <row r="1025" customFormat="1" ht="15" customHeight="1" x14ac:dyDescent="0.3"/>
    <row r="1026" customFormat="1" ht="15" customHeight="1" x14ac:dyDescent="0.3"/>
    <row r="1027" customFormat="1" ht="15" customHeight="1" x14ac:dyDescent="0.3"/>
    <row r="1028" customFormat="1" ht="15" customHeight="1" x14ac:dyDescent="0.3"/>
    <row r="1029" customFormat="1" ht="15" customHeight="1" x14ac:dyDescent="0.3"/>
    <row r="1030" customFormat="1" ht="15" customHeight="1" x14ac:dyDescent="0.3"/>
    <row r="1031" customFormat="1" ht="15" customHeight="1" x14ac:dyDescent="0.3"/>
    <row r="1032" customFormat="1" ht="15" customHeight="1" x14ac:dyDescent="0.3"/>
    <row r="1033" customFormat="1" ht="15" customHeight="1" x14ac:dyDescent="0.3"/>
    <row r="1034" customFormat="1" ht="15" customHeight="1" x14ac:dyDescent="0.3"/>
    <row r="1035" customFormat="1" ht="15" customHeight="1" x14ac:dyDescent="0.3"/>
    <row r="1036" customFormat="1" ht="15" customHeight="1" x14ac:dyDescent="0.3"/>
    <row r="1037" customFormat="1" ht="15" customHeight="1" x14ac:dyDescent="0.3"/>
    <row r="1038" customFormat="1" ht="15" customHeight="1" x14ac:dyDescent="0.3"/>
    <row r="1039" customFormat="1" ht="15" customHeight="1" x14ac:dyDescent="0.3"/>
    <row r="1040" customFormat="1" ht="15" customHeight="1" x14ac:dyDescent="0.3"/>
    <row r="1041" customFormat="1" ht="15" customHeight="1" x14ac:dyDescent="0.3"/>
    <row r="1042" customFormat="1" ht="15" customHeight="1" x14ac:dyDescent="0.3"/>
    <row r="1043" customFormat="1" ht="15" customHeight="1" x14ac:dyDescent="0.3"/>
    <row r="1044" customFormat="1" ht="15" customHeight="1" x14ac:dyDescent="0.3"/>
    <row r="1045" customFormat="1" ht="15" customHeight="1" x14ac:dyDescent="0.3"/>
    <row r="1046" customFormat="1" ht="15" customHeight="1" x14ac:dyDescent="0.3"/>
    <row r="1047" customFormat="1" ht="15" customHeight="1" x14ac:dyDescent="0.3"/>
    <row r="1048" customFormat="1" ht="15" customHeight="1" x14ac:dyDescent="0.3"/>
    <row r="1049" customFormat="1" ht="15" customHeight="1" x14ac:dyDescent="0.3"/>
    <row r="1050" customFormat="1" ht="15" customHeight="1" x14ac:dyDescent="0.3"/>
    <row r="1051" customFormat="1" ht="15" customHeight="1" x14ac:dyDescent="0.3"/>
    <row r="1052" customFormat="1" ht="15" customHeight="1" x14ac:dyDescent="0.3"/>
    <row r="1053" customFormat="1" ht="15" customHeight="1" x14ac:dyDescent="0.3"/>
    <row r="1054" customFormat="1" ht="15" customHeight="1" x14ac:dyDescent="0.3"/>
    <row r="1055" customFormat="1" ht="15" customHeight="1" x14ac:dyDescent="0.3"/>
    <row r="1056" customFormat="1" ht="15" customHeight="1" x14ac:dyDescent="0.3"/>
    <row r="1057" customFormat="1" ht="15" customHeight="1" x14ac:dyDescent="0.3"/>
    <row r="1058" customFormat="1" ht="15" customHeight="1" x14ac:dyDescent="0.3"/>
    <row r="1059" customFormat="1" ht="15" customHeight="1" x14ac:dyDescent="0.3"/>
    <row r="1060" customFormat="1" ht="15" customHeight="1" x14ac:dyDescent="0.3"/>
    <row r="1061" customFormat="1" ht="15" customHeight="1" x14ac:dyDescent="0.3"/>
    <row r="1062" customFormat="1" ht="15" customHeight="1" x14ac:dyDescent="0.3"/>
    <row r="1063" customFormat="1" ht="15" customHeight="1" x14ac:dyDescent="0.3"/>
    <row r="1064" customFormat="1" ht="15" customHeight="1" x14ac:dyDescent="0.3"/>
    <row r="1065" customFormat="1" ht="15" customHeight="1" x14ac:dyDescent="0.3"/>
    <row r="1066" customFormat="1" ht="15" customHeight="1" x14ac:dyDescent="0.3"/>
    <row r="1067" customFormat="1" ht="15" customHeight="1" x14ac:dyDescent="0.3"/>
    <row r="1068" customFormat="1" ht="15" customHeight="1" x14ac:dyDescent="0.3"/>
    <row r="1069" customFormat="1" ht="15" customHeight="1" x14ac:dyDescent="0.3"/>
    <row r="1070" customFormat="1" ht="15" customHeight="1" x14ac:dyDescent="0.3"/>
    <row r="1071" customFormat="1" ht="15" customHeight="1" x14ac:dyDescent="0.3"/>
    <row r="1072" customFormat="1" ht="15" customHeight="1" x14ac:dyDescent="0.3"/>
    <row r="1073" customFormat="1" ht="15" customHeight="1" x14ac:dyDescent="0.3"/>
    <row r="1074" customFormat="1" ht="15" customHeight="1" x14ac:dyDescent="0.3"/>
    <row r="1075" customFormat="1" ht="15" customHeight="1" x14ac:dyDescent="0.3"/>
    <row r="1076" customFormat="1" ht="15" customHeight="1" x14ac:dyDescent="0.3"/>
    <row r="1077" customFormat="1" ht="15" customHeight="1" x14ac:dyDescent="0.3"/>
    <row r="1078" customFormat="1" ht="15" customHeight="1" x14ac:dyDescent="0.3"/>
    <row r="1079" customFormat="1" ht="15" customHeight="1" x14ac:dyDescent="0.3"/>
    <row r="1080" customFormat="1" ht="15" customHeight="1" x14ac:dyDescent="0.3"/>
    <row r="1081" customFormat="1" ht="15" customHeight="1" x14ac:dyDescent="0.3"/>
    <row r="1082" customFormat="1" ht="15" customHeight="1" x14ac:dyDescent="0.3"/>
    <row r="1083" customFormat="1" ht="15" customHeight="1" x14ac:dyDescent="0.3"/>
    <row r="1084" customFormat="1" ht="15" customHeight="1" x14ac:dyDescent="0.3"/>
    <row r="1085" customFormat="1" ht="15" customHeight="1" x14ac:dyDescent="0.3"/>
    <row r="1086" customFormat="1" ht="15" customHeight="1" x14ac:dyDescent="0.3"/>
    <row r="1087" customFormat="1" ht="15" customHeight="1" x14ac:dyDescent="0.3"/>
    <row r="1088" customFormat="1" ht="15" customHeight="1" x14ac:dyDescent="0.3"/>
    <row r="1089" customFormat="1" ht="15" customHeight="1" x14ac:dyDescent="0.3"/>
    <row r="1090" customFormat="1" ht="15" customHeight="1" x14ac:dyDescent="0.3"/>
    <row r="1091" customFormat="1" ht="15" customHeight="1" x14ac:dyDescent="0.3"/>
    <row r="1092" customFormat="1" ht="15" customHeight="1" x14ac:dyDescent="0.3"/>
    <row r="1093" customFormat="1" ht="15" customHeight="1" x14ac:dyDescent="0.3"/>
    <row r="1094" customFormat="1" ht="15" customHeight="1" x14ac:dyDescent="0.3"/>
    <row r="1095" customFormat="1" ht="15" customHeight="1" x14ac:dyDescent="0.3"/>
    <row r="1096" customFormat="1" ht="15" customHeight="1" x14ac:dyDescent="0.3"/>
    <row r="1097" customFormat="1" ht="15" customHeight="1" x14ac:dyDescent="0.3"/>
    <row r="1098" customFormat="1" ht="15" customHeight="1" x14ac:dyDescent="0.3"/>
    <row r="1099" customFormat="1" ht="15" customHeight="1" x14ac:dyDescent="0.3"/>
    <row r="1100" customFormat="1" ht="15" customHeight="1" x14ac:dyDescent="0.3"/>
    <row r="1101" customFormat="1" ht="15" customHeight="1" x14ac:dyDescent="0.3"/>
    <row r="1102" customFormat="1" ht="15" customHeight="1" x14ac:dyDescent="0.3"/>
    <row r="1103" customFormat="1" ht="15" customHeight="1" x14ac:dyDescent="0.3"/>
    <row r="1104" customFormat="1" ht="15" customHeight="1" x14ac:dyDescent="0.3"/>
    <row r="1105" customFormat="1" ht="15" customHeight="1" x14ac:dyDescent="0.3"/>
    <row r="1106" customFormat="1" ht="15" customHeight="1" x14ac:dyDescent="0.3"/>
    <row r="1107" customFormat="1" ht="15" customHeight="1" x14ac:dyDescent="0.3"/>
    <row r="1108" customFormat="1" ht="15" customHeight="1" x14ac:dyDescent="0.3"/>
    <row r="1109" customFormat="1" ht="15" customHeight="1" x14ac:dyDescent="0.3"/>
    <row r="1110" customFormat="1" ht="15" customHeight="1" x14ac:dyDescent="0.3"/>
    <row r="1111" customFormat="1" ht="15" customHeight="1" x14ac:dyDescent="0.3"/>
    <row r="1112" customFormat="1" ht="15" customHeight="1" x14ac:dyDescent="0.3"/>
    <row r="1113" customFormat="1" ht="15" customHeight="1" x14ac:dyDescent="0.3"/>
    <row r="1114" customFormat="1" ht="15" customHeight="1" x14ac:dyDescent="0.3"/>
    <row r="1115" customFormat="1" ht="15" customHeight="1" x14ac:dyDescent="0.3"/>
    <row r="1116" customFormat="1" ht="15" customHeight="1" x14ac:dyDescent="0.3"/>
    <row r="1117" customFormat="1" ht="15" customHeight="1" x14ac:dyDescent="0.3"/>
    <row r="1118" customFormat="1" ht="15" customHeight="1" x14ac:dyDescent="0.3"/>
    <row r="1119" customFormat="1" ht="15" customHeight="1" x14ac:dyDescent="0.3"/>
    <row r="1120" customFormat="1" ht="15" customHeight="1" x14ac:dyDescent="0.3"/>
    <row r="1121" customFormat="1" ht="15" customHeight="1" x14ac:dyDescent="0.3"/>
    <row r="1122" customFormat="1" ht="15" customHeight="1" x14ac:dyDescent="0.3"/>
    <row r="1123" customFormat="1" ht="15" customHeight="1" x14ac:dyDescent="0.3"/>
    <row r="1124" customFormat="1" ht="15" customHeight="1" x14ac:dyDescent="0.3"/>
    <row r="1125" customFormat="1" ht="15" customHeight="1" x14ac:dyDescent="0.3"/>
    <row r="1126" customFormat="1" ht="15" customHeight="1" x14ac:dyDescent="0.3"/>
    <row r="1127" customFormat="1" ht="15" customHeight="1" x14ac:dyDescent="0.3"/>
    <row r="1128" customFormat="1" ht="15" customHeight="1" x14ac:dyDescent="0.3"/>
    <row r="1129" customFormat="1" ht="15" customHeight="1" x14ac:dyDescent="0.3"/>
    <row r="1130" customFormat="1" ht="15" customHeight="1" x14ac:dyDescent="0.3"/>
    <row r="1131" customFormat="1" ht="15" customHeight="1" x14ac:dyDescent="0.3"/>
    <row r="1132" customFormat="1" ht="15" customHeight="1" x14ac:dyDescent="0.3"/>
    <row r="1133" customFormat="1" ht="15" customHeight="1" x14ac:dyDescent="0.3"/>
    <row r="1134" customFormat="1" ht="15" customHeight="1" x14ac:dyDescent="0.3"/>
    <row r="1135" customFormat="1" ht="15" customHeight="1" x14ac:dyDescent="0.3"/>
    <row r="1136" customFormat="1" ht="15" customHeight="1" x14ac:dyDescent="0.3"/>
    <row r="1137" customFormat="1" ht="15" customHeight="1" x14ac:dyDescent="0.3"/>
    <row r="1138" customFormat="1" ht="15" customHeight="1" x14ac:dyDescent="0.3"/>
    <row r="1139" customFormat="1" ht="15" customHeight="1" x14ac:dyDescent="0.3"/>
    <row r="1140" customFormat="1" ht="15" customHeight="1" x14ac:dyDescent="0.3"/>
    <row r="1141" customFormat="1" ht="15" customHeight="1" x14ac:dyDescent="0.3"/>
    <row r="1142" customFormat="1" ht="15" customHeight="1" x14ac:dyDescent="0.3"/>
    <row r="1143" customFormat="1" ht="15" customHeight="1" x14ac:dyDescent="0.3"/>
    <row r="1144" customFormat="1" ht="15" customHeight="1" x14ac:dyDescent="0.3"/>
    <row r="1145" customFormat="1" ht="15" customHeight="1" x14ac:dyDescent="0.3"/>
    <row r="1146" customFormat="1" ht="15" customHeight="1" x14ac:dyDescent="0.3"/>
    <row r="1147" customFormat="1" ht="15" customHeight="1" x14ac:dyDescent="0.3"/>
    <row r="1148" customFormat="1" ht="15" customHeight="1" x14ac:dyDescent="0.3"/>
    <row r="1149" customFormat="1" ht="15" customHeight="1" x14ac:dyDescent="0.3"/>
    <row r="1150" customFormat="1" ht="15" customHeight="1" x14ac:dyDescent="0.3"/>
    <row r="1151" customFormat="1" ht="15" customHeight="1" x14ac:dyDescent="0.3"/>
    <row r="1152" customFormat="1" ht="15" customHeight="1" x14ac:dyDescent="0.3"/>
    <row r="1153" customFormat="1" ht="15" customHeight="1" x14ac:dyDescent="0.3"/>
    <row r="1154" customFormat="1" ht="15" customHeight="1" x14ac:dyDescent="0.3"/>
    <row r="1155" customFormat="1" ht="15" customHeight="1" x14ac:dyDescent="0.3"/>
    <row r="1156" customFormat="1" ht="15" customHeight="1" x14ac:dyDescent="0.3"/>
    <row r="1157" customFormat="1" ht="15" customHeight="1" x14ac:dyDescent="0.3"/>
    <row r="1158" customFormat="1" ht="15" customHeight="1" x14ac:dyDescent="0.3"/>
    <row r="1159" customFormat="1" ht="15" customHeight="1" x14ac:dyDescent="0.3"/>
    <row r="1160" customFormat="1" ht="15" customHeight="1" x14ac:dyDescent="0.3"/>
    <row r="1161" customFormat="1" ht="15" customHeight="1" x14ac:dyDescent="0.3"/>
    <row r="1162" customFormat="1" ht="15" customHeight="1" x14ac:dyDescent="0.3"/>
    <row r="1163" customFormat="1" ht="15" customHeight="1" x14ac:dyDescent="0.3"/>
    <row r="1164" customFormat="1" ht="15" customHeight="1" x14ac:dyDescent="0.3"/>
    <row r="1165" customFormat="1" ht="15" customHeight="1" x14ac:dyDescent="0.3"/>
    <row r="1166" customFormat="1" ht="15" customHeight="1" x14ac:dyDescent="0.3"/>
    <row r="1167" customFormat="1" ht="15" customHeight="1" x14ac:dyDescent="0.3"/>
    <row r="1168" customFormat="1" ht="15" customHeight="1" x14ac:dyDescent="0.3"/>
    <row r="1169" customFormat="1" ht="15" customHeight="1" x14ac:dyDescent="0.3"/>
    <row r="1170" customFormat="1" ht="15" customHeight="1" x14ac:dyDescent="0.3"/>
    <row r="1171" customFormat="1" ht="15" customHeight="1" x14ac:dyDescent="0.3"/>
    <row r="1172" customFormat="1" ht="15" customHeight="1" x14ac:dyDescent="0.3"/>
    <row r="1173" customFormat="1" ht="15" customHeight="1" x14ac:dyDescent="0.3"/>
    <row r="1174" customFormat="1" ht="15" customHeight="1" x14ac:dyDescent="0.3"/>
    <row r="1175" customFormat="1" ht="15" customHeight="1" x14ac:dyDescent="0.3"/>
    <row r="1176" customFormat="1" ht="15" customHeight="1" x14ac:dyDescent="0.3"/>
    <row r="1177" customFormat="1" ht="15" customHeight="1" x14ac:dyDescent="0.3"/>
    <row r="1178" customFormat="1" ht="15" customHeight="1" x14ac:dyDescent="0.3"/>
    <row r="1179" customFormat="1" ht="15" customHeight="1" x14ac:dyDescent="0.3"/>
    <row r="1180" customFormat="1" ht="15" customHeight="1" x14ac:dyDescent="0.3"/>
    <row r="1181" customFormat="1" ht="15" customHeight="1" x14ac:dyDescent="0.3"/>
    <row r="1182" customFormat="1" ht="15" customHeight="1" x14ac:dyDescent="0.3"/>
    <row r="1183" customFormat="1" ht="15" customHeight="1" x14ac:dyDescent="0.3"/>
    <row r="1184" customFormat="1" ht="15" customHeight="1" x14ac:dyDescent="0.3"/>
    <row r="1185" customFormat="1" ht="15" customHeight="1" x14ac:dyDescent="0.3"/>
    <row r="1186" customFormat="1" ht="15" customHeight="1" x14ac:dyDescent="0.3"/>
    <row r="1187" customFormat="1" ht="15" customHeight="1" x14ac:dyDescent="0.3"/>
    <row r="1188" customFormat="1" ht="15" customHeight="1" x14ac:dyDescent="0.3"/>
    <row r="1189" customFormat="1" ht="15" customHeight="1" x14ac:dyDescent="0.3"/>
    <row r="1190" customFormat="1" ht="15" customHeight="1" x14ac:dyDescent="0.3"/>
    <row r="1191" customFormat="1" ht="15" customHeight="1" x14ac:dyDescent="0.3"/>
    <row r="1192" customFormat="1" ht="15" customHeight="1" x14ac:dyDescent="0.3"/>
    <row r="1193" customFormat="1" ht="15" customHeight="1" x14ac:dyDescent="0.3"/>
    <row r="1194" customFormat="1" ht="15" customHeight="1" x14ac:dyDescent="0.3"/>
    <row r="1195" customFormat="1" ht="15" customHeight="1" x14ac:dyDescent="0.3"/>
    <row r="1196" customFormat="1" ht="15" customHeight="1" x14ac:dyDescent="0.3"/>
    <row r="1197" customFormat="1" ht="15" customHeight="1" x14ac:dyDescent="0.3"/>
    <row r="1198" customFormat="1" ht="15" customHeight="1" x14ac:dyDescent="0.3"/>
    <row r="1199" customFormat="1" ht="15" customHeight="1" x14ac:dyDescent="0.3"/>
    <row r="1200" customFormat="1" ht="15" customHeight="1" x14ac:dyDescent="0.3"/>
    <row r="1201" customFormat="1" ht="15" customHeight="1" x14ac:dyDescent="0.3"/>
    <row r="1202" customFormat="1" ht="15" customHeight="1" x14ac:dyDescent="0.3"/>
    <row r="1203" customFormat="1" ht="15" customHeight="1" x14ac:dyDescent="0.3"/>
    <row r="1204" customFormat="1" ht="15" customHeight="1" x14ac:dyDescent="0.3"/>
    <row r="1205" customFormat="1" ht="15" customHeight="1" x14ac:dyDescent="0.3"/>
    <row r="1206" customFormat="1" ht="15" customHeight="1" x14ac:dyDescent="0.3"/>
    <row r="1207" customFormat="1" ht="15" customHeight="1" x14ac:dyDescent="0.3"/>
    <row r="1208" customFormat="1" ht="15" customHeight="1" x14ac:dyDescent="0.3"/>
    <row r="1209" customFormat="1" ht="15" customHeight="1" x14ac:dyDescent="0.3"/>
    <row r="1210" customFormat="1" ht="15" customHeight="1" x14ac:dyDescent="0.3"/>
    <row r="1211" customFormat="1" ht="15" customHeight="1" x14ac:dyDescent="0.3"/>
    <row r="1212" customFormat="1" ht="15" customHeight="1" x14ac:dyDescent="0.3"/>
    <row r="1213" customFormat="1" ht="15" customHeight="1" x14ac:dyDescent="0.3"/>
    <row r="1214" customFormat="1" ht="15" customHeight="1" x14ac:dyDescent="0.3"/>
    <row r="1215" customFormat="1" ht="15" customHeight="1" x14ac:dyDescent="0.3"/>
    <row r="1216" customFormat="1" ht="15" customHeight="1" x14ac:dyDescent="0.3"/>
    <row r="1217" customFormat="1" ht="15" customHeight="1" x14ac:dyDescent="0.3"/>
    <row r="1218" customFormat="1" ht="15" customHeight="1" x14ac:dyDescent="0.3"/>
    <row r="1219" customFormat="1" ht="15" customHeight="1" x14ac:dyDescent="0.3"/>
    <row r="1220" customFormat="1" ht="15" customHeight="1" x14ac:dyDescent="0.3"/>
    <row r="1221" customFormat="1" ht="15" customHeight="1" x14ac:dyDescent="0.3"/>
    <row r="1222" customFormat="1" ht="15" customHeight="1" x14ac:dyDescent="0.3"/>
    <row r="1223" customFormat="1" ht="15" customHeight="1" x14ac:dyDescent="0.3"/>
    <row r="1224" customFormat="1" ht="15" customHeight="1" x14ac:dyDescent="0.3"/>
    <row r="1225" customFormat="1" ht="15" customHeight="1" x14ac:dyDescent="0.3"/>
    <row r="1226" customFormat="1" ht="15" customHeight="1" x14ac:dyDescent="0.3"/>
    <row r="1227" customFormat="1" ht="15" customHeight="1" x14ac:dyDescent="0.3"/>
    <row r="1228" customFormat="1" ht="15" customHeight="1" x14ac:dyDescent="0.3"/>
    <row r="1229" customFormat="1" ht="15" customHeight="1" x14ac:dyDescent="0.3"/>
    <row r="1230" customFormat="1" ht="15" customHeight="1" x14ac:dyDescent="0.3"/>
    <row r="1231" customFormat="1" ht="15" customHeight="1" x14ac:dyDescent="0.3"/>
    <row r="1232" customFormat="1" ht="15" customHeight="1" x14ac:dyDescent="0.3"/>
    <row r="1233" customFormat="1" ht="15" customHeight="1" x14ac:dyDescent="0.3"/>
    <row r="1234" customFormat="1" ht="15" customHeight="1" x14ac:dyDescent="0.3"/>
    <row r="1235" customFormat="1" ht="15" customHeight="1" x14ac:dyDescent="0.3"/>
    <row r="1236" customFormat="1" ht="15" customHeight="1" x14ac:dyDescent="0.3"/>
    <row r="1237" customFormat="1" ht="15" customHeight="1" x14ac:dyDescent="0.3"/>
    <row r="1238" customFormat="1" ht="15" customHeight="1" x14ac:dyDescent="0.3"/>
    <row r="1239" customFormat="1" ht="15" customHeight="1" x14ac:dyDescent="0.3"/>
    <row r="1240" customFormat="1" ht="15" customHeight="1" x14ac:dyDescent="0.3"/>
    <row r="1241" customFormat="1" ht="15" customHeight="1" x14ac:dyDescent="0.3"/>
    <row r="1242" customFormat="1" ht="15" customHeight="1" x14ac:dyDescent="0.3"/>
    <row r="1243" customFormat="1" ht="15" customHeight="1" x14ac:dyDescent="0.3"/>
    <row r="1244" customFormat="1" ht="15" customHeight="1" x14ac:dyDescent="0.3"/>
    <row r="1245" customFormat="1" ht="15" customHeight="1" x14ac:dyDescent="0.3"/>
    <row r="1246" customFormat="1" ht="15" customHeight="1" x14ac:dyDescent="0.3"/>
    <row r="1247" customFormat="1" ht="15" customHeight="1" x14ac:dyDescent="0.3"/>
    <row r="1248" customFormat="1" ht="15" customHeight="1" x14ac:dyDescent="0.3"/>
    <row r="1249" customFormat="1" ht="15" customHeight="1" x14ac:dyDescent="0.3"/>
    <row r="1250" customFormat="1" ht="15" customHeight="1" x14ac:dyDescent="0.3"/>
    <row r="1251" customFormat="1" ht="15" customHeight="1" x14ac:dyDescent="0.3"/>
    <row r="1252" customFormat="1" ht="15" customHeight="1" x14ac:dyDescent="0.3"/>
    <row r="1253" customFormat="1" ht="15" customHeight="1" x14ac:dyDescent="0.3"/>
    <row r="1254" customFormat="1" ht="15" customHeight="1" x14ac:dyDescent="0.3"/>
    <row r="1255" customFormat="1" ht="15" customHeight="1" x14ac:dyDescent="0.3"/>
    <row r="1256" customFormat="1" ht="15" customHeight="1" x14ac:dyDescent="0.3"/>
    <row r="1257" customFormat="1" ht="15" customHeight="1" x14ac:dyDescent="0.3"/>
    <row r="1258" customFormat="1" ht="15" customHeight="1" x14ac:dyDescent="0.3"/>
    <row r="1259" customFormat="1" ht="15" customHeight="1" x14ac:dyDescent="0.3"/>
    <row r="1260" customFormat="1" ht="15" customHeight="1" x14ac:dyDescent="0.3"/>
    <row r="1261" customFormat="1" ht="15" customHeight="1" x14ac:dyDescent="0.3"/>
    <row r="1262" customFormat="1" ht="15" customHeight="1" x14ac:dyDescent="0.3"/>
    <row r="1263" customFormat="1" ht="15" customHeight="1" x14ac:dyDescent="0.3"/>
    <row r="1264" customFormat="1" ht="15" customHeight="1" x14ac:dyDescent="0.3"/>
    <row r="1265" customFormat="1" ht="15" customHeight="1" x14ac:dyDescent="0.3"/>
    <row r="1266" customFormat="1" ht="15" customHeight="1" x14ac:dyDescent="0.3"/>
    <row r="1267" customFormat="1" ht="15" customHeight="1" x14ac:dyDescent="0.3"/>
    <row r="1268" customFormat="1" ht="15" customHeight="1" x14ac:dyDescent="0.3"/>
    <row r="1269" customFormat="1" ht="15" customHeight="1" x14ac:dyDescent="0.3"/>
    <row r="1270" customFormat="1" ht="15" customHeight="1" x14ac:dyDescent="0.3"/>
    <row r="1271" customFormat="1" ht="15" customHeight="1" x14ac:dyDescent="0.3"/>
    <row r="1272" customFormat="1" ht="15" customHeight="1" x14ac:dyDescent="0.3"/>
    <row r="1273" customFormat="1" ht="15" customHeight="1" x14ac:dyDescent="0.3"/>
    <row r="1274" customFormat="1" ht="15" customHeight="1" x14ac:dyDescent="0.3"/>
    <row r="1275" customFormat="1" ht="15" customHeight="1" x14ac:dyDescent="0.3"/>
    <row r="1276" customFormat="1" ht="15" customHeight="1" x14ac:dyDescent="0.3"/>
    <row r="1277" customFormat="1" ht="15" customHeight="1" x14ac:dyDescent="0.3"/>
    <row r="1278" customFormat="1" ht="15" customHeight="1" x14ac:dyDescent="0.3"/>
    <row r="1279" customFormat="1" ht="15" customHeight="1" x14ac:dyDescent="0.3"/>
    <row r="1280" customFormat="1" ht="15" customHeight="1" x14ac:dyDescent="0.3"/>
    <row r="1281" customFormat="1" ht="15" customHeight="1" x14ac:dyDescent="0.3"/>
    <row r="1282" customFormat="1" ht="15" customHeight="1" x14ac:dyDescent="0.3"/>
    <row r="1283" customFormat="1" ht="15" customHeight="1" x14ac:dyDescent="0.3"/>
    <row r="1284" customFormat="1" ht="15" customHeight="1" x14ac:dyDescent="0.3"/>
    <row r="1285" customFormat="1" ht="15" customHeight="1" x14ac:dyDescent="0.3"/>
    <row r="1286" customFormat="1" ht="15" customHeight="1" x14ac:dyDescent="0.3"/>
    <row r="1287" customFormat="1" ht="15" customHeight="1" x14ac:dyDescent="0.3"/>
    <row r="1288" customFormat="1" ht="15" customHeight="1" x14ac:dyDescent="0.3"/>
    <row r="1289" customFormat="1" ht="15" customHeight="1" x14ac:dyDescent="0.3"/>
    <row r="1290" customFormat="1" ht="15" customHeight="1" x14ac:dyDescent="0.3"/>
    <row r="1291" customFormat="1" ht="15" customHeight="1" x14ac:dyDescent="0.3"/>
    <row r="1292" customFormat="1" ht="15" customHeight="1" x14ac:dyDescent="0.3"/>
    <row r="1293" customFormat="1" ht="15" customHeight="1" x14ac:dyDescent="0.3"/>
    <row r="1294" customFormat="1" ht="15" customHeight="1" x14ac:dyDescent="0.3"/>
    <row r="1295" customFormat="1" ht="15" customHeight="1" x14ac:dyDescent="0.3"/>
    <row r="1296" customFormat="1" ht="15" customHeight="1" x14ac:dyDescent="0.3"/>
    <row r="1297" customFormat="1" ht="15" customHeight="1" x14ac:dyDescent="0.3"/>
    <row r="1298" customFormat="1" ht="15" customHeight="1" x14ac:dyDescent="0.3"/>
    <row r="1299" customFormat="1" ht="15" customHeight="1" x14ac:dyDescent="0.3"/>
    <row r="1300" customFormat="1" ht="15" customHeight="1" x14ac:dyDescent="0.3"/>
    <row r="1301" customFormat="1" ht="15" customHeight="1" x14ac:dyDescent="0.3"/>
    <row r="1302" customFormat="1" ht="15" customHeight="1" x14ac:dyDescent="0.3"/>
    <row r="1303" customFormat="1" ht="15" customHeight="1" x14ac:dyDescent="0.3"/>
    <row r="1304" customFormat="1" ht="15" customHeight="1" x14ac:dyDescent="0.3"/>
    <row r="1305" customFormat="1" ht="15" customHeight="1" x14ac:dyDescent="0.3"/>
    <row r="1306" customFormat="1" ht="15" customHeight="1" x14ac:dyDescent="0.3"/>
    <row r="1307" customFormat="1" ht="15" customHeight="1" x14ac:dyDescent="0.3"/>
    <row r="1308" customFormat="1" ht="15" customHeight="1" x14ac:dyDescent="0.3"/>
    <row r="1309" customFormat="1" ht="15" customHeight="1" x14ac:dyDescent="0.3"/>
    <row r="1310" customFormat="1" ht="15" customHeight="1" x14ac:dyDescent="0.3"/>
    <row r="1311" customFormat="1" ht="15" customHeight="1" x14ac:dyDescent="0.3"/>
    <row r="1312" customFormat="1" ht="15" customHeight="1" x14ac:dyDescent="0.3"/>
    <row r="1313" customFormat="1" ht="15" customHeight="1" x14ac:dyDescent="0.3"/>
    <row r="1314" customFormat="1" ht="15" customHeight="1" x14ac:dyDescent="0.3"/>
    <row r="1315" customFormat="1" ht="15" customHeight="1" x14ac:dyDescent="0.3"/>
    <row r="1316" customFormat="1" ht="15" customHeight="1" x14ac:dyDescent="0.3"/>
    <row r="1317" customFormat="1" ht="15" customHeight="1" x14ac:dyDescent="0.3"/>
    <row r="1318" customFormat="1" ht="15" customHeight="1" x14ac:dyDescent="0.3"/>
    <row r="1319" customFormat="1" ht="15" customHeight="1" x14ac:dyDescent="0.3"/>
    <row r="1320" customFormat="1" ht="15" customHeight="1" x14ac:dyDescent="0.3"/>
    <row r="1321" customFormat="1" ht="15" customHeight="1" x14ac:dyDescent="0.3"/>
    <row r="1322" customFormat="1" ht="15" customHeight="1" x14ac:dyDescent="0.3"/>
    <row r="1323" customFormat="1" ht="15" customHeight="1" x14ac:dyDescent="0.3"/>
    <row r="1324" customFormat="1" ht="15" customHeight="1" x14ac:dyDescent="0.3"/>
    <row r="1325" customFormat="1" ht="15" customHeight="1" x14ac:dyDescent="0.3"/>
    <row r="1326" customFormat="1" ht="15" customHeight="1" x14ac:dyDescent="0.3"/>
    <row r="1327" customFormat="1" ht="15" customHeight="1" x14ac:dyDescent="0.3"/>
    <row r="1328" customFormat="1" ht="15" customHeight="1" x14ac:dyDescent="0.3"/>
    <row r="1329" customFormat="1" ht="15" customHeight="1" x14ac:dyDescent="0.3"/>
    <row r="1330" customFormat="1" ht="15" customHeight="1" x14ac:dyDescent="0.3"/>
    <row r="1331" customFormat="1" ht="15" customHeight="1" x14ac:dyDescent="0.3"/>
    <row r="1332" customFormat="1" ht="15" customHeight="1" x14ac:dyDescent="0.3"/>
    <row r="1333" customFormat="1" ht="15" customHeight="1" x14ac:dyDescent="0.3"/>
    <row r="1334" customFormat="1" ht="15" customHeight="1" x14ac:dyDescent="0.3"/>
    <row r="1335" customFormat="1" ht="15" customHeight="1" x14ac:dyDescent="0.3"/>
    <row r="1336" customFormat="1" ht="15" customHeight="1" x14ac:dyDescent="0.3"/>
    <row r="1337" customFormat="1" ht="15" customHeight="1" x14ac:dyDescent="0.3"/>
    <row r="1338" customFormat="1" ht="15" customHeight="1" x14ac:dyDescent="0.3"/>
    <row r="1339" customFormat="1" ht="15" customHeight="1" x14ac:dyDescent="0.3"/>
    <row r="1340" customFormat="1" ht="15" customHeight="1" x14ac:dyDescent="0.3"/>
    <row r="1341" customFormat="1" ht="15" customHeight="1" x14ac:dyDescent="0.3"/>
    <row r="1342" customFormat="1" ht="15" customHeight="1" x14ac:dyDescent="0.3"/>
    <row r="1343" customFormat="1" ht="15" customHeight="1" x14ac:dyDescent="0.3"/>
    <row r="1344" customFormat="1" ht="15" customHeight="1" x14ac:dyDescent="0.3"/>
    <row r="1345" customFormat="1" ht="15" customHeight="1" x14ac:dyDescent="0.3"/>
    <row r="1346" customFormat="1" ht="15" customHeight="1" x14ac:dyDescent="0.3"/>
    <row r="1347" customFormat="1" ht="15" customHeight="1" x14ac:dyDescent="0.3"/>
    <row r="1348" customFormat="1" ht="15" customHeight="1" x14ac:dyDescent="0.3"/>
    <row r="1349" customFormat="1" ht="15" customHeight="1" x14ac:dyDescent="0.3"/>
    <row r="1350" customFormat="1" ht="15" customHeight="1" x14ac:dyDescent="0.3"/>
    <row r="1351" customFormat="1" ht="15" customHeight="1" x14ac:dyDescent="0.3"/>
    <row r="1352" customFormat="1" ht="15" customHeight="1" x14ac:dyDescent="0.3"/>
    <row r="1353" customFormat="1" ht="15" customHeight="1" x14ac:dyDescent="0.3"/>
    <row r="1354" customFormat="1" ht="15" customHeight="1" x14ac:dyDescent="0.3"/>
    <row r="1355" customFormat="1" ht="15" customHeight="1" x14ac:dyDescent="0.3"/>
    <row r="1356" customFormat="1" ht="15" customHeight="1" x14ac:dyDescent="0.3"/>
    <row r="1357" customFormat="1" ht="15" customHeight="1" x14ac:dyDescent="0.3"/>
    <row r="1358" customFormat="1" ht="15" customHeight="1" x14ac:dyDescent="0.3"/>
    <row r="1359" customFormat="1" ht="15" customHeight="1" x14ac:dyDescent="0.3"/>
    <row r="1360" customFormat="1" ht="15" customHeight="1" x14ac:dyDescent="0.3"/>
    <row r="1361" customFormat="1" ht="15" customHeight="1" x14ac:dyDescent="0.3"/>
    <row r="1362" customFormat="1" ht="15" customHeight="1" x14ac:dyDescent="0.3"/>
    <row r="1363" customFormat="1" ht="15" customHeight="1" x14ac:dyDescent="0.3"/>
    <row r="1364" customFormat="1" ht="15" customHeight="1" x14ac:dyDescent="0.3"/>
    <row r="1365" customFormat="1" ht="15" customHeight="1" x14ac:dyDescent="0.3"/>
    <row r="1366" customFormat="1" ht="15" customHeight="1" x14ac:dyDescent="0.3"/>
    <row r="1367" customFormat="1" ht="15" customHeight="1" x14ac:dyDescent="0.3"/>
    <row r="1368" customFormat="1" ht="15" customHeight="1" x14ac:dyDescent="0.3"/>
    <row r="1369" customFormat="1" ht="15" customHeight="1" x14ac:dyDescent="0.3"/>
    <row r="1370" customFormat="1" ht="15" customHeight="1" x14ac:dyDescent="0.3"/>
    <row r="1371" customFormat="1" ht="15" customHeight="1" x14ac:dyDescent="0.3"/>
    <row r="1372" customFormat="1" ht="15" customHeight="1" x14ac:dyDescent="0.3"/>
    <row r="1373" customFormat="1" ht="15" customHeight="1" x14ac:dyDescent="0.3"/>
    <row r="1374" customFormat="1" ht="15" customHeight="1" x14ac:dyDescent="0.3"/>
    <row r="1375" customFormat="1" ht="15" customHeight="1" x14ac:dyDescent="0.3"/>
    <row r="1376" customFormat="1" ht="15" customHeight="1" x14ac:dyDescent="0.3"/>
    <row r="1377" customFormat="1" ht="15" customHeight="1" x14ac:dyDescent="0.3"/>
    <row r="1378" customFormat="1" ht="15" customHeight="1" x14ac:dyDescent="0.3"/>
    <row r="1379" customFormat="1" ht="15" customHeight="1" x14ac:dyDescent="0.3"/>
    <row r="1380" customFormat="1" ht="15" customHeight="1" x14ac:dyDescent="0.3"/>
    <row r="1381" customFormat="1" ht="15" customHeight="1" x14ac:dyDescent="0.3"/>
    <row r="1382" customFormat="1" ht="15" customHeight="1" x14ac:dyDescent="0.3"/>
    <row r="1383" customFormat="1" ht="15" customHeight="1" x14ac:dyDescent="0.3"/>
    <row r="1384" customFormat="1" ht="15" customHeight="1" x14ac:dyDescent="0.3"/>
    <row r="1385" customFormat="1" ht="15" customHeight="1" x14ac:dyDescent="0.3"/>
    <row r="1386" customFormat="1" ht="15" customHeight="1" x14ac:dyDescent="0.3"/>
    <row r="1387" customFormat="1" ht="15" customHeight="1" x14ac:dyDescent="0.3"/>
    <row r="1388" customFormat="1" ht="15" customHeight="1" x14ac:dyDescent="0.3"/>
    <row r="1389" customFormat="1" ht="15" customHeight="1" x14ac:dyDescent="0.3"/>
    <row r="1390" customFormat="1" ht="15" customHeight="1" x14ac:dyDescent="0.3"/>
    <row r="1391" customFormat="1" ht="15" customHeight="1" x14ac:dyDescent="0.3"/>
    <row r="1392" customFormat="1" ht="15" customHeight="1" x14ac:dyDescent="0.3"/>
    <row r="1393" customFormat="1" ht="15" customHeight="1" x14ac:dyDescent="0.3"/>
    <row r="1394" customFormat="1" ht="15" customHeight="1" x14ac:dyDescent="0.3"/>
    <row r="1395" customFormat="1" ht="15" customHeight="1" x14ac:dyDescent="0.3"/>
    <row r="1396" customFormat="1" ht="15" customHeight="1" x14ac:dyDescent="0.3"/>
    <row r="1397" customFormat="1" ht="15" customHeight="1" x14ac:dyDescent="0.3"/>
    <row r="1398" customFormat="1" ht="15" customHeight="1" x14ac:dyDescent="0.3"/>
    <row r="1399" customFormat="1" ht="15" customHeight="1" x14ac:dyDescent="0.3"/>
    <row r="1400" customFormat="1" ht="15" customHeight="1" x14ac:dyDescent="0.3"/>
    <row r="1401" customFormat="1" ht="15" customHeight="1" x14ac:dyDescent="0.3"/>
    <row r="1402" customFormat="1" ht="15" customHeight="1" x14ac:dyDescent="0.3"/>
    <row r="1403" customFormat="1" ht="15" customHeight="1" x14ac:dyDescent="0.3"/>
    <row r="1404" customFormat="1" ht="15" customHeight="1" x14ac:dyDescent="0.3"/>
    <row r="1405" customFormat="1" ht="15" customHeight="1" x14ac:dyDescent="0.3"/>
    <row r="1406" customFormat="1" ht="15" customHeight="1" x14ac:dyDescent="0.3"/>
    <row r="1407" customFormat="1" ht="15" customHeight="1" x14ac:dyDescent="0.3"/>
    <row r="1408" customFormat="1" ht="15" customHeight="1" x14ac:dyDescent="0.3"/>
    <row r="1409" customFormat="1" ht="15" customHeight="1" x14ac:dyDescent="0.3"/>
    <row r="1410" customFormat="1" ht="15" customHeight="1" x14ac:dyDescent="0.3"/>
    <row r="1411" customFormat="1" ht="15" customHeight="1" x14ac:dyDescent="0.3"/>
    <row r="1412" customFormat="1" ht="15" customHeight="1" x14ac:dyDescent="0.3"/>
    <row r="1413" customFormat="1" ht="15" customHeight="1" x14ac:dyDescent="0.3"/>
    <row r="1414" customFormat="1" ht="15" customHeight="1" x14ac:dyDescent="0.3"/>
    <row r="1415" customFormat="1" ht="15" customHeight="1" x14ac:dyDescent="0.3"/>
    <row r="1416" customFormat="1" ht="15" customHeight="1" x14ac:dyDescent="0.3"/>
    <row r="1417" customFormat="1" ht="15" customHeight="1" x14ac:dyDescent="0.3"/>
    <row r="1418" customFormat="1" ht="15" customHeight="1" x14ac:dyDescent="0.3"/>
    <row r="1419" customFormat="1" ht="15" customHeight="1" x14ac:dyDescent="0.3"/>
    <row r="1420" customFormat="1" ht="15" customHeight="1" x14ac:dyDescent="0.3"/>
    <row r="1421" customFormat="1" ht="15" customHeight="1" x14ac:dyDescent="0.3"/>
    <row r="1422" customFormat="1" ht="15" customHeight="1" x14ac:dyDescent="0.3"/>
    <row r="1423" customFormat="1" ht="15" customHeight="1" x14ac:dyDescent="0.3"/>
    <row r="1424" customFormat="1" ht="15" customHeight="1" x14ac:dyDescent="0.3"/>
    <row r="1425" customFormat="1" ht="15" customHeight="1" x14ac:dyDescent="0.3"/>
    <row r="1426" customFormat="1" ht="15" customHeight="1" x14ac:dyDescent="0.3"/>
    <row r="1427" customFormat="1" ht="15" customHeight="1" x14ac:dyDescent="0.3"/>
    <row r="1428" customFormat="1" ht="15" customHeight="1" x14ac:dyDescent="0.3"/>
    <row r="1429" customFormat="1" ht="15" customHeight="1" x14ac:dyDescent="0.3"/>
    <row r="1430" customFormat="1" ht="15" customHeight="1" x14ac:dyDescent="0.3"/>
    <row r="1431" customFormat="1" ht="15" customHeight="1" x14ac:dyDescent="0.3"/>
    <row r="1432" customFormat="1" ht="15" customHeight="1" x14ac:dyDescent="0.3"/>
    <row r="1433" customFormat="1" ht="15" customHeight="1" x14ac:dyDescent="0.3"/>
    <row r="1434" customFormat="1" ht="15" customHeight="1" x14ac:dyDescent="0.3"/>
    <row r="1435" customFormat="1" ht="15" customHeight="1" x14ac:dyDescent="0.3"/>
    <row r="1436" customFormat="1" ht="15" customHeight="1" x14ac:dyDescent="0.3"/>
    <row r="1437" customFormat="1" ht="15" customHeight="1" x14ac:dyDescent="0.3"/>
    <row r="1438" customFormat="1" ht="15" customHeight="1" x14ac:dyDescent="0.3"/>
    <row r="1439" customFormat="1" ht="15" customHeight="1" x14ac:dyDescent="0.3"/>
    <row r="1440" customFormat="1" ht="15" customHeight="1" x14ac:dyDescent="0.3"/>
    <row r="1441" customFormat="1" ht="15" customHeight="1" x14ac:dyDescent="0.3"/>
    <row r="1442" customFormat="1" ht="15" customHeight="1" x14ac:dyDescent="0.3"/>
    <row r="1443" customFormat="1" ht="15" customHeight="1" x14ac:dyDescent="0.3"/>
    <row r="1444" customFormat="1" ht="15" customHeight="1" x14ac:dyDescent="0.3"/>
    <row r="1445" customFormat="1" ht="15" customHeight="1" x14ac:dyDescent="0.3"/>
    <row r="1446" customFormat="1" ht="15" customHeight="1" x14ac:dyDescent="0.3"/>
    <row r="1447" customFormat="1" ht="15" customHeight="1" x14ac:dyDescent="0.3"/>
    <row r="1448" customFormat="1" ht="15" customHeight="1" x14ac:dyDescent="0.3"/>
    <row r="1449" customFormat="1" ht="15" customHeight="1" x14ac:dyDescent="0.3"/>
    <row r="1450" customFormat="1" ht="15" customHeight="1" x14ac:dyDescent="0.3"/>
    <row r="1451" customFormat="1" ht="15" customHeight="1" x14ac:dyDescent="0.3"/>
    <row r="1452" customFormat="1" ht="15" customHeight="1" x14ac:dyDescent="0.3"/>
    <row r="1453" customFormat="1" ht="15" customHeight="1" x14ac:dyDescent="0.3"/>
    <row r="1454" customFormat="1" ht="15" customHeight="1" x14ac:dyDescent="0.3"/>
    <row r="1455" customFormat="1" ht="15" customHeight="1" x14ac:dyDescent="0.3"/>
    <row r="1456" customFormat="1" ht="15" customHeight="1" x14ac:dyDescent="0.3"/>
    <row r="1457" customFormat="1" ht="15" customHeight="1" x14ac:dyDescent="0.3"/>
    <row r="1458" customFormat="1" ht="15" customHeight="1" x14ac:dyDescent="0.3"/>
    <row r="1459" customFormat="1" ht="15" customHeight="1" x14ac:dyDescent="0.3"/>
    <row r="1460" customFormat="1" ht="15" customHeight="1" x14ac:dyDescent="0.3"/>
    <row r="1461" customFormat="1" ht="15" customHeight="1" x14ac:dyDescent="0.3"/>
    <row r="1462" customFormat="1" ht="15" customHeight="1" x14ac:dyDescent="0.3"/>
    <row r="1463" customFormat="1" ht="15" customHeight="1" x14ac:dyDescent="0.3"/>
    <row r="1464" customFormat="1" ht="15" customHeight="1" x14ac:dyDescent="0.3"/>
    <row r="1465" customFormat="1" ht="15" customHeight="1" x14ac:dyDescent="0.3"/>
    <row r="1466" customFormat="1" ht="15" customHeight="1" x14ac:dyDescent="0.3"/>
    <row r="1467" customFormat="1" ht="15" customHeight="1" x14ac:dyDescent="0.3"/>
    <row r="1468" customFormat="1" ht="15" customHeight="1" x14ac:dyDescent="0.3"/>
    <row r="1469" customFormat="1" ht="15" customHeight="1" x14ac:dyDescent="0.3"/>
    <row r="1470" customFormat="1" ht="15" customHeight="1" x14ac:dyDescent="0.3"/>
    <row r="1471" customFormat="1" ht="15" customHeight="1" x14ac:dyDescent="0.3"/>
    <row r="1472" customFormat="1" ht="15" customHeight="1" x14ac:dyDescent="0.3"/>
    <row r="1473" customFormat="1" ht="15" customHeight="1" x14ac:dyDescent="0.3"/>
    <row r="1474" customFormat="1" ht="15" customHeight="1" x14ac:dyDescent="0.3"/>
    <row r="1475" customFormat="1" ht="15" customHeight="1" x14ac:dyDescent="0.3"/>
    <row r="1476" customFormat="1" ht="15" customHeight="1" x14ac:dyDescent="0.3"/>
    <row r="1477" customFormat="1" ht="15" customHeight="1" x14ac:dyDescent="0.3"/>
    <row r="1478" customFormat="1" ht="15" customHeight="1" x14ac:dyDescent="0.3"/>
    <row r="1479" customFormat="1" ht="15" customHeight="1" x14ac:dyDescent="0.3"/>
    <row r="1480" customFormat="1" ht="15" customHeight="1" x14ac:dyDescent="0.3"/>
    <row r="1481" customFormat="1" ht="15" customHeight="1" x14ac:dyDescent="0.3"/>
    <row r="1482" customFormat="1" ht="15" customHeight="1" x14ac:dyDescent="0.3"/>
    <row r="1483" customFormat="1" ht="15" customHeight="1" x14ac:dyDescent="0.3"/>
    <row r="1484" customFormat="1" ht="15" customHeight="1" x14ac:dyDescent="0.3"/>
    <row r="1485" customFormat="1" ht="15" customHeight="1" x14ac:dyDescent="0.3"/>
    <row r="1486" customFormat="1" ht="15" customHeight="1" x14ac:dyDescent="0.3"/>
    <row r="1487" customFormat="1" ht="15" customHeight="1" x14ac:dyDescent="0.3"/>
    <row r="1488" customFormat="1" ht="15" customHeight="1" x14ac:dyDescent="0.3"/>
    <row r="1489" customFormat="1" ht="15" customHeight="1" x14ac:dyDescent="0.3"/>
    <row r="1490" customFormat="1" ht="15" customHeight="1" x14ac:dyDescent="0.3"/>
    <row r="1491" customFormat="1" ht="15" customHeight="1" x14ac:dyDescent="0.3"/>
    <row r="1492" customFormat="1" ht="15" customHeight="1" x14ac:dyDescent="0.3"/>
    <row r="1493" customFormat="1" ht="15" customHeight="1" x14ac:dyDescent="0.3"/>
    <row r="1494" customFormat="1" ht="15" customHeight="1" x14ac:dyDescent="0.3"/>
    <row r="1495" customFormat="1" ht="15" customHeight="1" x14ac:dyDescent="0.3"/>
    <row r="1496" customFormat="1" ht="15" customHeight="1" x14ac:dyDescent="0.3"/>
    <row r="1497" customFormat="1" ht="15" customHeight="1" x14ac:dyDescent="0.3"/>
    <row r="1498" customFormat="1" ht="15" customHeight="1" x14ac:dyDescent="0.3"/>
    <row r="1499" customFormat="1" ht="15" customHeight="1" x14ac:dyDescent="0.3"/>
    <row r="1500" customFormat="1" ht="15" customHeight="1" x14ac:dyDescent="0.3"/>
    <row r="1501" customFormat="1" ht="15" customHeight="1" x14ac:dyDescent="0.3"/>
    <row r="1502" customFormat="1" ht="15" customHeight="1" x14ac:dyDescent="0.3"/>
    <row r="1503" customFormat="1" ht="15" customHeight="1" x14ac:dyDescent="0.3"/>
    <row r="1504" customFormat="1" ht="15" customHeight="1" x14ac:dyDescent="0.3"/>
    <row r="1505" customFormat="1" ht="15" customHeight="1" x14ac:dyDescent="0.3"/>
    <row r="1506" customFormat="1" ht="15" customHeight="1" x14ac:dyDescent="0.3"/>
    <row r="1507" customFormat="1" ht="15" customHeight="1" x14ac:dyDescent="0.3"/>
    <row r="1508" customFormat="1" ht="15" customHeight="1" x14ac:dyDescent="0.3"/>
    <row r="1509" customFormat="1" ht="15" customHeight="1" x14ac:dyDescent="0.3"/>
    <row r="1510" customFormat="1" ht="15" customHeight="1" x14ac:dyDescent="0.3"/>
    <row r="1511" customFormat="1" ht="15" customHeight="1" x14ac:dyDescent="0.3"/>
    <row r="1512" customFormat="1" ht="15" customHeight="1" x14ac:dyDescent="0.3"/>
    <row r="1513" customFormat="1" ht="15" customHeight="1" x14ac:dyDescent="0.3"/>
    <row r="1514" customFormat="1" ht="15" customHeight="1" x14ac:dyDescent="0.3"/>
    <row r="1515" customFormat="1" ht="15" customHeight="1" x14ac:dyDescent="0.3"/>
    <row r="1516" customFormat="1" ht="15" customHeight="1" x14ac:dyDescent="0.3"/>
    <row r="1517" customFormat="1" ht="15" customHeight="1" x14ac:dyDescent="0.3"/>
    <row r="1518" customFormat="1" ht="15" customHeight="1" x14ac:dyDescent="0.3"/>
    <row r="1519" customFormat="1" ht="15" customHeight="1" x14ac:dyDescent="0.3"/>
    <row r="1520" customFormat="1" ht="15" customHeight="1" x14ac:dyDescent="0.3"/>
    <row r="1521" customFormat="1" ht="15" customHeight="1" x14ac:dyDescent="0.3"/>
    <row r="1522" customFormat="1" ht="15" customHeight="1" x14ac:dyDescent="0.3"/>
    <row r="1523" customFormat="1" ht="15" customHeight="1" x14ac:dyDescent="0.3"/>
    <row r="1524" customFormat="1" ht="15" customHeight="1" x14ac:dyDescent="0.3"/>
    <row r="1525" customFormat="1" ht="15" customHeight="1" x14ac:dyDescent="0.3"/>
    <row r="1526" customFormat="1" ht="15" customHeight="1" x14ac:dyDescent="0.3"/>
    <row r="1527" customFormat="1" ht="15" customHeight="1" x14ac:dyDescent="0.3"/>
    <row r="1528" customFormat="1" ht="15" customHeight="1" x14ac:dyDescent="0.3"/>
    <row r="1529" customFormat="1" ht="15" customHeight="1" x14ac:dyDescent="0.3"/>
    <row r="1530" customFormat="1" ht="15" customHeight="1" x14ac:dyDescent="0.3"/>
    <row r="1531" customFormat="1" ht="15" customHeight="1" x14ac:dyDescent="0.3"/>
    <row r="1532" customFormat="1" ht="15" customHeight="1" x14ac:dyDescent="0.3"/>
    <row r="1533" customFormat="1" ht="15" customHeight="1" x14ac:dyDescent="0.3"/>
    <row r="1534" customFormat="1" ht="15" customHeight="1" x14ac:dyDescent="0.3"/>
    <row r="1535" customFormat="1" ht="15" customHeight="1" x14ac:dyDescent="0.3"/>
    <row r="1536" customFormat="1" ht="15" customHeight="1" x14ac:dyDescent="0.3"/>
    <row r="1537" customFormat="1" ht="15" customHeight="1" x14ac:dyDescent="0.3"/>
    <row r="1538" customFormat="1" ht="15" customHeight="1" x14ac:dyDescent="0.3"/>
    <row r="1539" customFormat="1" ht="15" customHeight="1" x14ac:dyDescent="0.3"/>
    <row r="1540" customFormat="1" ht="15" customHeight="1" x14ac:dyDescent="0.3"/>
    <row r="1541" customFormat="1" ht="15" customHeight="1" x14ac:dyDescent="0.3"/>
    <row r="1542" customFormat="1" ht="15" customHeight="1" x14ac:dyDescent="0.3"/>
    <row r="1543" customFormat="1" ht="15" customHeight="1" x14ac:dyDescent="0.3"/>
    <row r="1544" customFormat="1" ht="15" customHeight="1" x14ac:dyDescent="0.3"/>
    <row r="1545" customFormat="1" ht="15" customHeight="1" x14ac:dyDescent="0.3"/>
    <row r="1546" customFormat="1" ht="15" customHeight="1" x14ac:dyDescent="0.3"/>
    <row r="1547" customFormat="1" ht="15" customHeight="1" x14ac:dyDescent="0.3"/>
    <row r="1548" customFormat="1" ht="15" customHeight="1" x14ac:dyDescent="0.3"/>
    <row r="1549" customFormat="1" ht="15" customHeight="1" x14ac:dyDescent="0.3"/>
    <row r="1550" customFormat="1" ht="15" customHeight="1" x14ac:dyDescent="0.3"/>
    <row r="1551" customFormat="1" ht="15" customHeight="1" x14ac:dyDescent="0.3"/>
    <row r="1552" customFormat="1" ht="15" customHeight="1" x14ac:dyDescent="0.3"/>
    <row r="1553" customFormat="1" ht="15" customHeight="1" x14ac:dyDescent="0.3"/>
    <row r="1554" customFormat="1" ht="15" customHeight="1" x14ac:dyDescent="0.3"/>
    <row r="1555" customFormat="1" ht="15" customHeight="1" x14ac:dyDescent="0.3"/>
    <row r="1556" customFormat="1" ht="15" customHeight="1" x14ac:dyDescent="0.3"/>
    <row r="1557" customFormat="1" ht="15" customHeight="1" x14ac:dyDescent="0.3"/>
    <row r="1558" customFormat="1" ht="15" customHeight="1" x14ac:dyDescent="0.3"/>
    <row r="1559" customFormat="1" ht="15" customHeight="1" x14ac:dyDescent="0.3"/>
    <row r="1560" customFormat="1" ht="15" customHeight="1" x14ac:dyDescent="0.3"/>
    <row r="1561" customFormat="1" ht="15" customHeight="1" x14ac:dyDescent="0.3"/>
    <row r="1562" customFormat="1" ht="15" customHeight="1" x14ac:dyDescent="0.3"/>
    <row r="1563" customFormat="1" ht="15" customHeight="1" x14ac:dyDescent="0.3"/>
    <row r="1564" customFormat="1" ht="15" customHeight="1" x14ac:dyDescent="0.3"/>
    <row r="1565" customFormat="1" ht="15" customHeight="1" x14ac:dyDescent="0.3"/>
    <row r="1566" customFormat="1" ht="15" customHeight="1" x14ac:dyDescent="0.3"/>
    <row r="1567" customFormat="1" ht="15" customHeight="1" x14ac:dyDescent="0.3"/>
    <row r="1568" customFormat="1" ht="15" customHeight="1" x14ac:dyDescent="0.3"/>
    <row r="1569" customFormat="1" ht="15" customHeight="1" x14ac:dyDescent="0.3"/>
    <row r="1570" customFormat="1" ht="15" customHeight="1" x14ac:dyDescent="0.3"/>
    <row r="1571" customFormat="1" ht="15" customHeight="1" x14ac:dyDescent="0.3"/>
    <row r="1572" customFormat="1" ht="15" customHeight="1" x14ac:dyDescent="0.3"/>
    <row r="1573" customFormat="1" ht="15" customHeight="1" x14ac:dyDescent="0.3"/>
    <row r="1574" customFormat="1" ht="15" customHeight="1" x14ac:dyDescent="0.3"/>
    <row r="1575" customFormat="1" ht="15" customHeight="1" x14ac:dyDescent="0.3"/>
    <row r="1576" customFormat="1" ht="15" customHeight="1" x14ac:dyDescent="0.3"/>
    <row r="1577" customFormat="1" ht="15" customHeight="1" x14ac:dyDescent="0.3"/>
    <row r="1578" customFormat="1" ht="15" customHeight="1" x14ac:dyDescent="0.3"/>
    <row r="1579" customFormat="1" ht="15" customHeight="1" x14ac:dyDescent="0.3"/>
    <row r="1580" customFormat="1" ht="15" customHeight="1" x14ac:dyDescent="0.3"/>
    <row r="1581" customFormat="1" ht="15" customHeight="1" x14ac:dyDescent="0.3"/>
    <row r="1582" customFormat="1" ht="15" customHeight="1" x14ac:dyDescent="0.3"/>
    <row r="1583" customFormat="1" ht="15" customHeight="1" x14ac:dyDescent="0.3"/>
    <row r="1584" customFormat="1" ht="15" customHeight="1" x14ac:dyDescent="0.3"/>
    <row r="1585" customFormat="1" ht="15" customHeight="1" x14ac:dyDescent="0.3"/>
    <row r="1586" customFormat="1" ht="15" customHeight="1" x14ac:dyDescent="0.3"/>
    <row r="1587" customFormat="1" ht="15" customHeight="1" x14ac:dyDescent="0.3"/>
    <row r="1588" customFormat="1" ht="15" customHeight="1" x14ac:dyDescent="0.3"/>
    <row r="1589" customFormat="1" ht="15" customHeight="1" x14ac:dyDescent="0.3"/>
    <row r="1590" customFormat="1" ht="15" customHeight="1" x14ac:dyDescent="0.3"/>
    <row r="1591" customFormat="1" ht="15" customHeight="1" x14ac:dyDescent="0.3"/>
    <row r="1592" customFormat="1" ht="15" customHeight="1" x14ac:dyDescent="0.3"/>
    <row r="1593" customFormat="1" ht="15" customHeight="1" x14ac:dyDescent="0.3"/>
    <row r="1594" customFormat="1" ht="15" customHeight="1" x14ac:dyDescent="0.3"/>
    <row r="1595" customFormat="1" ht="15" customHeight="1" x14ac:dyDescent="0.3"/>
    <row r="1596" customFormat="1" ht="15" customHeight="1" x14ac:dyDescent="0.3"/>
    <row r="1597" customFormat="1" ht="15" customHeight="1" x14ac:dyDescent="0.3"/>
    <row r="1598" customFormat="1" ht="15" customHeight="1" x14ac:dyDescent="0.3"/>
    <row r="1599" customFormat="1" ht="15" customHeight="1" x14ac:dyDescent="0.3"/>
    <row r="1600" customFormat="1" ht="15" customHeight="1" x14ac:dyDescent="0.3"/>
    <row r="1601" customFormat="1" ht="15" customHeight="1" x14ac:dyDescent="0.3"/>
  </sheetData>
  <pageMargins left="0.7" right="0.7" top="0.75" bottom="0.75" header="0" footer="0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738"/>
  <sheetViews>
    <sheetView workbookViewId="0">
      <pane ySplit="1" topLeftCell="A2454" activePane="bottomLeft" state="frozen"/>
      <selection pane="bottomLeft" activeCell="B2464" sqref="B2464"/>
    </sheetView>
  </sheetViews>
  <sheetFormatPr baseColWidth="10" defaultColWidth="12.6640625" defaultRowHeight="15" customHeight="1" x14ac:dyDescent="0.3"/>
  <cols>
    <col min="1" max="1" width="20.44140625" customWidth="1"/>
    <col min="2" max="2" width="17.44140625" customWidth="1"/>
  </cols>
  <sheetData>
    <row r="1" spans="1:2" ht="14.4" x14ac:dyDescent="0.3">
      <c r="A1" s="14" t="s">
        <v>321</v>
      </c>
      <c r="B1" s="15" t="s">
        <v>322</v>
      </c>
    </row>
    <row r="2" spans="1:2" ht="14.4" x14ac:dyDescent="0.3">
      <c r="A2" s="1" t="s">
        <v>1197</v>
      </c>
      <c r="B2" s="16">
        <v>14500000</v>
      </c>
    </row>
    <row r="3" spans="1:2" ht="14.4" x14ac:dyDescent="0.3">
      <c r="A3" s="1" t="s">
        <v>2344</v>
      </c>
      <c r="B3" s="16">
        <v>15000000</v>
      </c>
    </row>
    <row r="4" spans="1:2" ht="14.4" x14ac:dyDescent="0.3">
      <c r="A4" s="1" t="s">
        <v>2343</v>
      </c>
      <c r="B4" s="16">
        <v>17700000</v>
      </c>
    </row>
    <row r="5" spans="1:2" ht="14.4" x14ac:dyDescent="0.3">
      <c r="A5" s="1" t="s">
        <v>2342</v>
      </c>
      <c r="B5" s="16">
        <v>20500000</v>
      </c>
    </row>
    <row r="6" spans="1:2" ht="14.4" x14ac:dyDescent="0.3">
      <c r="A6" s="1" t="s">
        <v>2341</v>
      </c>
      <c r="B6" s="16">
        <v>11000000</v>
      </c>
    </row>
    <row r="7" spans="1:2" ht="14.4" x14ac:dyDescent="0.3">
      <c r="A7" s="1" t="s">
        <v>2340</v>
      </c>
      <c r="B7" s="16">
        <v>11700000</v>
      </c>
    </row>
    <row r="8" spans="1:2" ht="14.4" x14ac:dyDescent="0.3">
      <c r="A8" s="1" t="s">
        <v>2339</v>
      </c>
      <c r="B8" s="16">
        <v>6500000</v>
      </c>
    </row>
    <row r="9" spans="1:2" ht="14.4" x14ac:dyDescent="0.3">
      <c r="A9" s="1" t="s">
        <v>2338</v>
      </c>
      <c r="B9" s="16">
        <v>8000000</v>
      </c>
    </row>
    <row r="10" spans="1:2" ht="14.4" x14ac:dyDescent="0.3">
      <c r="A10" s="1" t="s">
        <v>2337</v>
      </c>
      <c r="B10" s="16">
        <v>8000000</v>
      </c>
    </row>
    <row r="11" spans="1:2" ht="14.4" x14ac:dyDescent="0.3">
      <c r="A11" s="1" t="s">
        <v>2336</v>
      </c>
      <c r="B11" s="16">
        <v>7700000</v>
      </c>
    </row>
    <row r="12" spans="1:2" ht="14.4" x14ac:dyDescent="0.3">
      <c r="A12" s="1" t="s">
        <v>2335</v>
      </c>
      <c r="B12" s="16">
        <v>16000000</v>
      </c>
    </row>
    <row r="13" spans="1:2" ht="14.4" x14ac:dyDescent="0.3">
      <c r="A13" s="1" t="s">
        <v>2334</v>
      </c>
      <c r="B13" s="16">
        <v>14800000</v>
      </c>
    </row>
    <row r="14" spans="1:2" ht="14.4" x14ac:dyDescent="0.3">
      <c r="A14" s="1" t="s">
        <v>2333</v>
      </c>
      <c r="B14" s="16">
        <v>6200000</v>
      </c>
    </row>
    <row r="15" spans="1:2" ht="14.4" x14ac:dyDescent="0.3">
      <c r="A15" s="1" t="s">
        <v>2332</v>
      </c>
      <c r="B15" s="16">
        <v>9000000</v>
      </c>
    </row>
    <row r="16" spans="1:2" ht="14.4" x14ac:dyDescent="0.3">
      <c r="A16" s="1" t="s">
        <v>874</v>
      </c>
      <c r="B16" s="16">
        <v>14300000</v>
      </c>
    </row>
    <row r="17" spans="1:2" ht="14.4" x14ac:dyDescent="0.3">
      <c r="A17" s="1" t="s">
        <v>2331</v>
      </c>
      <c r="B17" s="16">
        <v>6500000</v>
      </c>
    </row>
    <row r="18" spans="1:2" ht="14.4" x14ac:dyDescent="0.3">
      <c r="A18" s="1" t="s">
        <v>2330</v>
      </c>
      <c r="B18" s="16">
        <v>10000000</v>
      </c>
    </row>
    <row r="19" spans="1:2" ht="14.4" x14ac:dyDescent="0.3">
      <c r="A19" s="1" t="s">
        <v>2329</v>
      </c>
      <c r="B19" s="16">
        <v>16000000</v>
      </c>
    </row>
    <row r="20" spans="1:2" ht="14.4" x14ac:dyDescent="0.3">
      <c r="A20" s="1" t="s">
        <v>2328</v>
      </c>
      <c r="B20" s="16">
        <v>17000000</v>
      </c>
    </row>
    <row r="21" spans="1:2" ht="14.4" x14ac:dyDescent="0.3">
      <c r="A21" s="1" t="s">
        <v>136</v>
      </c>
      <c r="B21" s="16">
        <v>15500000</v>
      </c>
    </row>
    <row r="22" spans="1:2" ht="14.4" x14ac:dyDescent="0.3">
      <c r="A22" s="1" t="s">
        <v>2327</v>
      </c>
      <c r="B22" s="16">
        <v>11500000</v>
      </c>
    </row>
    <row r="23" spans="1:2" ht="14.4" x14ac:dyDescent="0.3">
      <c r="A23" s="1" t="s">
        <v>2326</v>
      </c>
      <c r="B23" s="16">
        <v>6500000</v>
      </c>
    </row>
    <row r="24" spans="1:2" ht="14.4" x14ac:dyDescent="0.3">
      <c r="A24" s="1" t="s">
        <v>2325</v>
      </c>
      <c r="B24" s="16">
        <v>5500000</v>
      </c>
    </row>
    <row r="25" spans="1:2" ht="14.4" x14ac:dyDescent="0.3">
      <c r="A25" s="1" t="s">
        <v>2324</v>
      </c>
      <c r="B25" s="16">
        <v>24000000</v>
      </c>
    </row>
    <row r="26" spans="1:2" ht="14.4" x14ac:dyDescent="0.3">
      <c r="A26" s="1" t="s">
        <v>2323</v>
      </c>
      <c r="B26" s="16">
        <v>12500000</v>
      </c>
    </row>
    <row r="27" spans="1:2" ht="14.4" x14ac:dyDescent="0.3">
      <c r="A27" s="1" t="s">
        <v>2322</v>
      </c>
      <c r="B27" s="16">
        <v>12000000</v>
      </c>
    </row>
    <row r="28" spans="1:2" ht="14.4" x14ac:dyDescent="0.3">
      <c r="A28" s="1" t="s">
        <v>136</v>
      </c>
      <c r="B28" s="16">
        <v>15500000</v>
      </c>
    </row>
    <row r="29" spans="1:2" ht="14.4" x14ac:dyDescent="0.3">
      <c r="A29" s="1" t="s">
        <v>2321</v>
      </c>
      <c r="B29" s="16">
        <v>6000000</v>
      </c>
    </row>
    <row r="30" spans="1:2" ht="14.4" x14ac:dyDescent="0.3">
      <c r="A30" s="1" t="s">
        <v>2320</v>
      </c>
      <c r="B30" s="16">
        <v>12500000</v>
      </c>
    </row>
    <row r="31" spans="1:2" ht="14.4" x14ac:dyDescent="0.3">
      <c r="A31" s="1" t="s">
        <v>2319</v>
      </c>
      <c r="B31" s="16">
        <v>6000000</v>
      </c>
    </row>
    <row r="32" spans="1:2" ht="14.4" x14ac:dyDescent="0.3">
      <c r="A32" s="1" t="s">
        <v>2318</v>
      </c>
      <c r="B32" s="16">
        <v>18000000</v>
      </c>
    </row>
    <row r="33" spans="1:2" ht="14.4" x14ac:dyDescent="0.3">
      <c r="A33" s="1" t="s">
        <v>2317</v>
      </c>
      <c r="B33" s="16">
        <v>16000000</v>
      </c>
    </row>
    <row r="34" spans="1:2" ht="14.4" x14ac:dyDescent="0.3">
      <c r="A34" s="1" t="s">
        <v>2316</v>
      </c>
      <c r="B34" s="16">
        <v>16250000</v>
      </c>
    </row>
    <row r="35" spans="1:2" ht="14.4" x14ac:dyDescent="0.3">
      <c r="A35" s="1" t="s">
        <v>2315</v>
      </c>
      <c r="B35" s="16">
        <v>13000000</v>
      </c>
    </row>
    <row r="36" spans="1:2" ht="14.4" x14ac:dyDescent="0.3">
      <c r="A36" s="1" t="s">
        <v>2314</v>
      </c>
      <c r="B36" s="16">
        <v>7200000</v>
      </c>
    </row>
    <row r="37" spans="1:2" ht="14.4" x14ac:dyDescent="0.3">
      <c r="A37" s="1" t="s">
        <v>2313</v>
      </c>
      <c r="B37" s="16">
        <v>15500000</v>
      </c>
    </row>
    <row r="38" spans="1:2" ht="14.4" x14ac:dyDescent="0.3">
      <c r="A38" s="1" t="s">
        <v>2312</v>
      </c>
      <c r="B38" s="16">
        <v>6800000</v>
      </c>
    </row>
    <row r="39" spans="1:2" ht="14.4" x14ac:dyDescent="0.3">
      <c r="A39" s="1" t="s">
        <v>1262</v>
      </c>
      <c r="B39" s="16">
        <v>18000000</v>
      </c>
    </row>
    <row r="40" spans="1:2" ht="14.4" x14ac:dyDescent="0.3">
      <c r="A40" s="1" t="s">
        <v>2311</v>
      </c>
      <c r="B40" s="16">
        <v>8500000</v>
      </c>
    </row>
    <row r="41" spans="1:2" ht="14.4" x14ac:dyDescent="0.3">
      <c r="A41" s="1" t="s">
        <v>2310</v>
      </c>
      <c r="B41" s="16">
        <v>6600000</v>
      </c>
    </row>
    <row r="42" spans="1:2" ht="14.4" x14ac:dyDescent="0.3">
      <c r="A42" s="1" t="s">
        <v>2309</v>
      </c>
      <c r="B42" s="16">
        <v>10700000</v>
      </c>
    </row>
    <row r="43" spans="1:2" ht="14.4" x14ac:dyDescent="0.3">
      <c r="A43" s="1" t="s">
        <v>2308</v>
      </c>
      <c r="B43" s="16">
        <v>9000000</v>
      </c>
    </row>
    <row r="44" spans="1:2" ht="14.4" x14ac:dyDescent="0.3">
      <c r="A44" s="1" t="s">
        <v>2307</v>
      </c>
      <c r="B44" s="16">
        <v>5000000</v>
      </c>
    </row>
    <row r="45" spans="1:2" ht="14.4" x14ac:dyDescent="0.3">
      <c r="A45" s="1" t="s">
        <v>2306</v>
      </c>
      <c r="B45" s="16">
        <v>14500000</v>
      </c>
    </row>
    <row r="46" spans="1:2" ht="14.4" x14ac:dyDescent="0.3">
      <c r="A46" s="1" t="s">
        <v>2305</v>
      </c>
      <c r="B46" s="16">
        <v>20000000</v>
      </c>
    </row>
    <row r="47" spans="1:2" ht="14.4" x14ac:dyDescent="0.3">
      <c r="A47" s="1" t="s">
        <v>1487</v>
      </c>
      <c r="B47" s="16">
        <v>12100000</v>
      </c>
    </row>
    <row r="48" spans="1:2" ht="14.4" x14ac:dyDescent="0.3">
      <c r="A48" s="1" t="s">
        <v>2304</v>
      </c>
      <c r="B48" s="16">
        <v>11800000</v>
      </c>
    </row>
    <row r="49" spans="1:2" ht="14.4" x14ac:dyDescent="0.3">
      <c r="A49" s="1" t="s">
        <v>2303</v>
      </c>
      <c r="B49" s="16">
        <v>9000000</v>
      </c>
    </row>
    <row r="50" spans="1:2" ht="14.4" x14ac:dyDescent="0.3">
      <c r="A50" s="1" t="s">
        <v>2302</v>
      </c>
      <c r="B50" s="16">
        <v>6000000</v>
      </c>
    </row>
    <row r="51" spans="1:2" ht="14.4" x14ac:dyDescent="0.3">
      <c r="A51" s="1" t="s">
        <v>2301</v>
      </c>
      <c r="B51" s="16">
        <v>6800000</v>
      </c>
    </row>
    <row r="52" spans="1:2" ht="14.4" x14ac:dyDescent="0.3">
      <c r="A52" s="1" t="s">
        <v>2300</v>
      </c>
      <c r="B52" s="16">
        <v>15000000</v>
      </c>
    </row>
    <row r="53" spans="1:2" ht="14.4" x14ac:dyDescent="0.3">
      <c r="A53" s="1" t="s">
        <v>2299</v>
      </c>
      <c r="B53" s="16">
        <v>6500000</v>
      </c>
    </row>
    <row r="54" spans="1:2" ht="14.4" x14ac:dyDescent="0.3">
      <c r="A54" s="1" t="s">
        <v>2298</v>
      </c>
      <c r="B54" s="16">
        <v>28000000</v>
      </c>
    </row>
    <row r="55" spans="1:2" ht="14.4" x14ac:dyDescent="0.3">
      <c r="A55" s="1" t="s">
        <v>2297</v>
      </c>
      <c r="B55" s="16">
        <v>8000000</v>
      </c>
    </row>
    <row r="56" spans="1:2" ht="14.4" x14ac:dyDescent="0.3">
      <c r="A56" s="1" t="s">
        <v>2296</v>
      </c>
      <c r="B56" s="16">
        <v>8500000</v>
      </c>
    </row>
    <row r="57" spans="1:2" ht="14.4" x14ac:dyDescent="0.3">
      <c r="A57" s="1" t="s">
        <v>2294</v>
      </c>
      <c r="B57" s="16">
        <v>15000000</v>
      </c>
    </row>
    <row r="58" spans="1:2" ht="14.4" x14ac:dyDescent="0.3">
      <c r="A58" s="1" t="s">
        <v>2295</v>
      </c>
      <c r="B58" s="16">
        <v>11000000</v>
      </c>
    </row>
    <row r="59" spans="1:2" ht="14.4" x14ac:dyDescent="0.3">
      <c r="A59" s="1" t="s">
        <v>2293</v>
      </c>
      <c r="B59" s="16">
        <v>6000000</v>
      </c>
    </row>
    <row r="60" spans="1:2" ht="14.4" x14ac:dyDescent="0.3">
      <c r="A60" s="1" t="s">
        <v>2292</v>
      </c>
      <c r="B60" s="16">
        <v>13000000</v>
      </c>
    </row>
    <row r="61" spans="1:2" ht="14.4" x14ac:dyDescent="0.3">
      <c r="A61" s="1" t="s">
        <v>2291</v>
      </c>
      <c r="B61" s="16">
        <v>7000000</v>
      </c>
    </row>
    <row r="62" spans="1:2" ht="14.4" x14ac:dyDescent="0.3">
      <c r="A62" s="1" t="s">
        <v>2290</v>
      </c>
      <c r="B62" s="16">
        <v>8500000</v>
      </c>
    </row>
    <row r="63" spans="1:2" ht="14.4" x14ac:dyDescent="0.3">
      <c r="A63" s="1" t="s">
        <v>2289</v>
      </c>
      <c r="B63" s="16">
        <v>9000000</v>
      </c>
    </row>
    <row r="64" spans="1:2" ht="14.4" x14ac:dyDescent="0.3">
      <c r="A64" s="1" t="s">
        <v>2288</v>
      </c>
      <c r="B64" s="16">
        <v>8000000</v>
      </c>
    </row>
    <row r="65" spans="1:2" ht="14.4" x14ac:dyDescent="0.3">
      <c r="A65" s="1" t="s">
        <v>2287</v>
      </c>
      <c r="B65" s="16">
        <v>10000000</v>
      </c>
    </row>
    <row r="66" spans="1:2" ht="14.4" x14ac:dyDescent="0.3">
      <c r="A66" s="1" t="s">
        <v>2286</v>
      </c>
      <c r="B66" s="16">
        <v>9000000</v>
      </c>
    </row>
    <row r="67" spans="1:2" ht="14.4" x14ac:dyDescent="0.3">
      <c r="A67" s="1" t="s">
        <v>2285</v>
      </c>
      <c r="B67" s="16">
        <v>7750000</v>
      </c>
    </row>
    <row r="68" spans="1:2" ht="14.4" x14ac:dyDescent="0.3">
      <c r="A68" s="1" t="s">
        <v>2284</v>
      </c>
      <c r="B68" s="16">
        <v>16500000</v>
      </c>
    </row>
    <row r="69" spans="1:2" ht="14.4" x14ac:dyDescent="0.3">
      <c r="A69" s="1" t="s">
        <v>2283</v>
      </c>
      <c r="B69" s="16">
        <v>7000000</v>
      </c>
    </row>
    <row r="70" spans="1:2" ht="14.4" x14ac:dyDescent="0.3">
      <c r="A70" s="1" t="s">
        <v>2282</v>
      </c>
      <c r="B70" s="16">
        <v>13500000</v>
      </c>
    </row>
    <row r="71" spans="1:2" ht="14.4" x14ac:dyDescent="0.3">
      <c r="A71" s="1" t="s">
        <v>2281</v>
      </c>
      <c r="B71" s="16">
        <v>10700000</v>
      </c>
    </row>
    <row r="72" spans="1:2" ht="14.4" x14ac:dyDescent="0.3">
      <c r="A72" s="1" t="s">
        <v>2280</v>
      </c>
      <c r="B72" s="16">
        <v>20000000</v>
      </c>
    </row>
    <row r="73" spans="1:2" ht="14.4" x14ac:dyDescent="0.3">
      <c r="A73" s="1" t="s">
        <v>2279</v>
      </c>
      <c r="B73" s="16">
        <v>5800000</v>
      </c>
    </row>
    <row r="74" spans="1:2" ht="14.4" x14ac:dyDescent="0.3">
      <c r="A74" s="1" t="s">
        <v>2278</v>
      </c>
      <c r="B74" s="16">
        <v>6700000</v>
      </c>
    </row>
    <row r="75" spans="1:2" ht="14.4" x14ac:dyDescent="0.3">
      <c r="A75" s="1" t="s">
        <v>2277</v>
      </c>
      <c r="B75" s="16">
        <v>5100000</v>
      </c>
    </row>
    <row r="76" spans="1:2" ht="14.4" x14ac:dyDescent="0.3">
      <c r="A76" s="1" t="s">
        <v>2276</v>
      </c>
      <c r="B76" s="16">
        <v>27400000</v>
      </c>
    </row>
    <row r="77" spans="1:2" ht="14.4" x14ac:dyDescent="0.3">
      <c r="A77" s="1" t="s">
        <v>2275</v>
      </c>
      <c r="B77" s="16">
        <v>18000000</v>
      </c>
    </row>
    <row r="78" spans="1:2" ht="14.4" x14ac:dyDescent="0.3">
      <c r="A78" s="1" t="s">
        <v>2274</v>
      </c>
      <c r="B78" s="16">
        <v>15900000</v>
      </c>
    </row>
    <row r="79" spans="1:2" ht="14.4" x14ac:dyDescent="0.3">
      <c r="A79" s="1" t="s">
        <v>2273</v>
      </c>
      <c r="B79" s="16">
        <v>8300000</v>
      </c>
    </row>
    <row r="80" spans="1:2" ht="14.4" x14ac:dyDescent="0.3">
      <c r="A80" s="1" t="s">
        <v>2272</v>
      </c>
      <c r="B80" s="16">
        <v>14500000</v>
      </c>
    </row>
    <row r="81" spans="1:2" ht="14.4" x14ac:dyDescent="0.3">
      <c r="A81" s="1" t="s">
        <v>2271</v>
      </c>
      <c r="B81" s="16">
        <v>8000000</v>
      </c>
    </row>
    <row r="82" spans="1:2" ht="14.4" x14ac:dyDescent="0.3">
      <c r="A82" s="1" t="s">
        <v>2270</v>
      </c>
      <c r="B82" s="16">
        <v>7700000</v>
      </c>
    </row>
    <row r="83" spans="1:2" ht="14.4" x14ac:dyDescent="0.3">
      <c r="A83" s="1" t="s">
        <v>2269</v>
      </c>
      <c r="B83" s="16">
        <v>13000000</v>
      </c>
    </row>
    <row r="84" spans="1:2" ht="14.4" x14ac:dyDescent="0.3">
      <c r="A84" s="1" t="s">
        <v>2268</v>
      </c>
      <c r="B84" s="16">
        <v>18000000</v>
      </c>
    </row>
    <row r="85" spans="1:2" ht="14.4" x14ac:dyDescent="0.3">
      <c r="A85" s="1" t="s">
        <v>2267</v>
      </c>
      <c r="B85" s="16">
        <v>23000000</v>
      </c>
    </row>
    <row r="86" spans="1:2" ht="14.4" x14ac:dyDescent="0.3">
      <c r="A86" s="1" t="s">
        <v>2266</v>
      </c>
      <c r="B86" s="16">
        <v>13500000</v>
      </c>
    </row>
    <row r="87" spans="1:2" ht="14.4" x14ac:dyDescent="0.3">
      <c r="A87" s="1" t="s">
        <v>2265</v>
      </c>
      <c r="B87" s="16">
        <v>12000000</v>
      </c>
    </row>
    <row r="88" spans="1:2" ht="14.4" x14ac:dyDescent="0.3">
      <c r="A88" s="1" t="s">
        <v>2264</v>
      </c>
      <c r="B88" s="16">
        <v>8500000</v>
      </c>
    </row>
    <row r="89" spans="1:2" ht="14.4" x14ac:dyDescent="0.3">
      <c r="A89" s="1" t="s">
        <v>2263</v>
      </c>
      <c r="B89" s="16">
        <v>16500000</v>
      </c>
    </row>
    <row r="90" spans="1:2" ht="14.4" x14ac:dyDescent="0.3">
      <c r="A90" s="1" t="s">
        <v>2188</v>
      </c>
      <c r="B90" s="16">
        <v>25000000</v>
      </c>
    </row>
    <row r="91" spans="1:2" ht="14.4" x14ac:dyDescent="0.3">
      <c r="A91" s="1" t="s">
        <v>2262</v>
      </c>
      <c r="B91" s="16">
        <v>29000000</v>
      </c>
    </row>
    <row r="92" spans="1:2" ht="14.4" x14ac:dyDescent="0.3">
      <c r="A92" s="1" t="s">
        <v>2261</v>
      </c>
      <c r="B92" s="16">
        <v>5300000</v>
      </c>
    </row>
    <row r="93" spans="1:2" ht="14.4" x14ac:dyDescent="0.3">
      <c r="A93" s="1" t="s">
        <v>2260</v>
      </c>
      <c r="B93" s="16">
        <v>8800000</v>
      </c>
    </row>
    <row r="94" spans="1:2" ht="14.4" x14ac:dyDescent="0.3">
      <c r="A94" s="1" t="s">
        <v>2259</v>
      </c>
      <c r="B94" s="16">
        <v>8000000</v>
      </c>
    </row>
    <row r="95" spans="1:2" ht="14.4" x14ac:dyDescent="0.3">
      <c r="A95" s="1" t="s">
        <v>2258</v>
      </c>
      <c r="B95" s="16">
        <v>14000000</v>
      </c>
    </row>
    <row r="96" spans="1:2" ht="14.4" x14ac:dyDescent="0.3">
      <c r="A96" s="1" t="s">
        <v>2257</v>
      </c>
      <c r="B96" s="16">
        <v>12800000</v>
      </c>
    </row>
    <row r="97" spans="1:2" ht="14.4" x14ac:dyDescent="0.3">
      <c r="A97" s="1" t="s">
        <v>2256</v>
      </c>
      <c r="B97" s="16">
        <v>9750000</v>
      </c>
    </row>
    <row r="98" spans="1:2" ht="14.4" x14ac:dyDescent="0.3">
      <c r="A98" s="1" t="s">
        <v>2255</v>
      </c>
      <c r="B98" s="16">
        <v>7000000</v>
      </c>
    </row>
    <row r="99" spans="1:2" ht="14.4" x14ac:dyDescent="0.3">
      <c r="A99" s="1" t="s">
        <v>2253</v>
      </c>
      <c r="B99" s="16">
        <v>5200000</v>
      </c>
    </row>
    <row r="100" spans="1:2" ht="14.4" x14ac:dyDescent="0.3">
      <c r="A100" s="1" t="s">
        <v>2254</v>
      </c>
      <c r="B100" s="16">
        <v>8000000</v>
      </c>
    </row>
    <row r="101" spans="1:2" ht="14.4" x14ac:dyDescent="0.3">
      <c r="A101" s="1" t="s">
        <v>2252</v>
      </c>
      <c r="B101" s="16">
        <v>12000000</v>
      </c>
    </row>
    <row r="102" spans="1:2" ht="14.4" x14ac:dyDescent="0.3">
      <c r="A102" s="1" t="s">
        <v>2251</v>
      </c>
      <c r="B102" s="16">
        <v>6500000</v>
      </c>
    </row>
    <row r="103" spans="1:2" ht="14.4" x14ac:dyDescent="0.3">
      <c r="A103" s="1" t="s">
        <v>2250</v>
      </c>
      <c r="B103" s="16">
        <v>7350000</v>
      </c>
    </row>
    <row r="104" spans="1:2" ht="14.4" x14ac:dyDescent="0.3">
      <c r="A104" s="1" t="s">
        <v>2249</v>
      </c>
      <c r="B104" s="16">
        <v>11400000</v>
      </c>
    </row>
    <row r="105" spans="1:2" ht="14.4" x14ac:dyDescent="0.3">
      <c r="A105" s="1" t="s">
        <v>2248</v>
      </c>
      <c r="B105" s="16">
        <v>6000000</v>
      </c>
    </row>
    <row r="106" spans="1:2" ht="14.4" x14ac:dyDescent="0.3">
      <c r="A106" s="1" t="s">
        <v>2247</v>
      </c>
      <c r="B106" s="16">
        <v>14000000</v>
      </c>
    </row>
    <row r="107" spans="1:2" ht="14.4" x14ac:dyDescent="0.3">
      <c r="A107" s="1" t="s">
        <v>2246</v>
      </c>
      <c r="B107" s="16">
        <v>4200000</v>
      </c>
    </row>
    <row r="108" spans="1:2" ht="14.4" x14ac:dyDescent="0.3">
      <c r="A108" s="1" t="s">
        <v>2245</v>
      </c>
      <c r="B108" s="16">
        <v>14000000</v>
      </c>
    </row>
    <row r="109" spans="1:2" ht="14.4" x14ac:dyDescent="0.3">
      <c r="A109" s="1" t="s">
        <v>2244</v>
      </c>
      <c r="B109" s="16">
        <v>12990000</v>
      </c>
    </row>
    <row r="110" spans="1:2" ht="14.4" x14ac:dyDescent="0.3">
      <c r="A110" s="1" t="s">
        <v>2243</v>
      </c>
      <c r="B110" s="16">
        <v>8900000</v>
      </c>
    </row>
    <row r="111" spans="1:2" ht="14.4" x14ac:dyDescent="0.3">
      <c r="A111" s="1" t="s">
        <v>2242</v>
      </c>
      <c r="B111" s="16">
        <v>31300000</v>
      </c>
    </row>
    <row r="112" spans="1:2" ht="14.4" x14ac:dyDescent="0.3">
      <c r="A112" s="1" t="s">
        <v>2241</v>
      </c>
      <c r="B112" s="16">
        <v>15500000</v>
      </c>
    </row>
    <row r="113" spans="1:2" ht="14.4" x14ac:dyDescent="0.3">
      <c r="A113" s="1" t="s">
        <v>2240</v>
      </c>
      <c r="B113" s="16">
        <v>17000000</v>
      </c>
    </row>
    <row r="114" spans="1:2" ht="14.4" x14ac:dyDescent="0.3">
      <c r="A114" s="1" t="s">
        <v>2239</v>
      </c>
      <c r="B114" s="16">
        <v>10000000</v>
      </c>
    </row>
    <row r="115" spans="1:2" ht="14.4" x14ac:dyDescent="0.3">
      <c r="A115" s="1" t="s">
        <v>2238</v>
      </c>
      <c r="B115" s="16">
        <v>12500000</v>
      </c>
    </row>
    <row r="116" spans="1:2" ht="14.4" x14ac:dyDescent="0.3">
      <c r="A116" s="1" t="s">
        <v>2237</v>
      </c>
      <c r="B116" s="16">
        <v>15500000</v>
      </c>
    </row>
    <row r="117" spans="1:2" ht="14.4" x14ac:dyDescent="0.3">
      <c r="A117" s="1" t="s">
        <v>2236</v>
      </c>
      <c r="B117" s="16">
        <v>17000000</v>
      </c>
    </row>
    <row r="118" spans="1:2" ht="14.4" x14ac:dyDescent="0.3">
      <c r="A118" s="1" t="s">
        <v>2235</v>
      </c>
      <c r="B118" s="16">
        <v>6300000</v>
      </c>
    </row>
    <row r="119" spans="1:2" ht="14.4" x14ac:dyDescent="0.3">
      <c r="A119" s="1" t="s">
        <v>97</v>
      </c>
      <c r="B119" s="16">
        <v>18000000</v>
      </c>
    </row>
    <row r="120" spans="1:2" ht="14.4" x14ac:dyDescent="0.3">
      <c r="A120" s="1" t="s">
        <v>2234</v>
      </c>
      <c r="B120" s="16">
        <v>17000000</v>
      </c>
    </row>
    <row r="121" spans="1:2" ht="14.4" x14ac:dyDescent="0.3">
      <c r="A121" s="1" t="s">
        <v>2233</v>
      </c>
      <c r="B121" s="16">
        <v>17800000</v>
      </c>
    </row>
    <row r="122" spans="1:2" ht="14.4" x14ac:dyDescent="0.3">
      <c r="A122" s="1" t="s">
        <v>2232</v>
      </c>
      <c r="B122" s="16">
        <v>10000000</v>
      </c>
    </row>
    <row r="123" spans="1:2" ht="14.4" x14ac:dyDescent="0.3">
      <c r="A123" s="1" t="s">
        <v>2231</v>
      </c>
      <c r="B123" s="16">
        <v>15000000</v>
      </c>
    </row>
    <row r="124" spans="1:2" ht="14.4" x14ac:dyDescent="0.3">
      <c r="A124" s="1" t="s">
        <v>2230</v>
      </c>
      <c r="B124" s="16">
        <v>16000000</v>
      </c>
    </row>
    <row r="125" spans="1:2" ht="14.4" x14ac:dyDescent="0.3">
      <c r="A125" s="1" t="s">
        <v>2229</v>
      </c>
      <c r="B125" s="16">
        <v>28500000</v>
      </c>
    </row>
    <row r="126" spans="1:2" ht="14.4" x14ac:dyDescent="0.3">
      <c r="A126" s="1" t="s">
        <v>2228</v>
      </c>
      <c r="B126" s="16">
        <v>13000000</v>
      </c>
    </row>
    <row r="127" spans="1:2" ht="14.4" x14ac:dyDescent="0.3">
      <c r="A127" s="1" t="s">
        <v>2227</v>
      </c>
      <c r="B127" s="16">
        <v>15000000</v>
      </c>
    </row>
    <row r="128" spans="1:2" ht="14.4" x14ac:dyDescent="0.3">
      <c r="A128" s="1" t="s">
        <v>2226</v>
      </c>
      <c r="B128" s="16">
        <v>10000000</v>
      </c>
    </row>
    <row r="129" spans="1:2" ht="14.4" x14ac:dyDescent="0.3">
      <c r="A129" s="1" t="s">
        <v>2225</v>
      </c>
      <c r="B129" s="16">
        <v>14500000</v>
      </c>
    </row>
    <row r="130" spans="1:2" ht="14.4" x14ac:dyDescent="0.3">
      <c r="A130" s="1" t="s">
        <v>2224</v>
      </c>
      <c r="B130" s="16">
        <v>14500000</v>
      </c>
    </row>
    <row r="131" spans="1:2" ht="14.4" x14ac:dyDescent="0.3">
      <c r="A131" s="1" t="s">
        <v>2223</v>
      </c>
      <c r="B131" s="16">
        <v>13000000</v>
      </c>
    </row>
    <row r="132" spans="1:2" ht="14.4" x14ac:dyDescent="0.3">
      <c r="A132" s="1" t="s">
        <v>2222</v>
      </c>
      <c r="B132" s="16">
        <v>9000000</v>
      </c>
    </row>
    <row r="133" spans="1:2" ht="14.4" x14ac:dyDescent="0.3">
      <c r="A133" s="1" t="s">
        <v>2221</v>
      </c>
      <c r="B133" s="16">
        <v>12000000</v>
      </c>
    </row>
    <row r="134" spans="1:2" ht="14.4" x14ac:dyDescent="0.3">
      <c r="A134" s="1" t="s">
        <v>1497</v>
      </c>
      <c r="B134" s="16">
        <v>27000000</v>
      </c>
    </row>
    <row r="135" spans="1:2" ht="14.4" x14ac:dyDescent="0.3">
      <c r="A135" s="1" t="s">
        <v>2220</v>
      </c>
      <c r="B135" s="16">
        <v>9900000</v>
      </c>
    </row>
    <row r="136" spans="1:2" ht="14.4" x14ac:dyDescent="0.3">
      <c r="A136" s="1" t="s">
        <v>2219</v>
      </c>
      <c r="B136" s="16">
        <v>12100000</v>
      </c>
    </row>
    <row r="137" spans="1:2" ht="14.4" x14ac:dyDescent="0.3">
      <c r="A137" s="1" t="s">
        <v>2218</v>
      </c>
      <c r="B137" s="16">
        <v>9700000</v>
      </c>
    </row>
    <row r="138" spans="1:2" ht="14.4" x14ac:dyDescent="0.3">
      <c r="A138" s="1" t="s">
        <v>2217</v>
      </c>
      <c r="B138" s="16">
        <v>9000000</v>
      </c>
    </row>
    <row r="139" spans="1:2" ht="14.4" x14ac:dyDescent="0.3">
      <c r="A139" s="1" t="s">
        <v>2216</v>
      </c>
      <c r="B139" s="16">
        <v>7000000</v>
      </c>
    </row>
    <row r="140" spans="1:2" ht="14.4" x14ac:dyDescent="0.3">
      <c r="A140" s="1" t="s">
        <v>2214</v>
      </c>
      <c r="B140" s="16">
        <v>12800000</v>
      </c>
    </row>
    <row r="141" spans="1:2" ht="14.4" x14ac:dyDescent="0.3">
      <c r="A141" s="1" t="s">
        <v>2215</v>
      </c>
      <c r="B141" s="16">
        <v>11000000</v>
      </c>
    </row>
    <row r="142" spans="1:2" ht="14.4" x14ac:dyDescent="0.3">
      <c r="A142" s="1" t="s">
        <v>2213</v>
      </c>
      <c r="B142" s="16">
        <v>7000000</v>
      </c>
    </row>
    <row r="143" spans="1:2" ht="14.4" x14ac:dyDescent="0.3">
      <c r="A143" s="1" t="s">
        <v>2212</v>
      </c>
      <c r="B143" s="16">
        <v>27500000</v>
      </c>
    </row>
    <row r="144" spans="1:2" ht="14.4" x14ac:dyDescent="0.3">
      <c r="A144" s="1" t="s">
        <v>2211</v>
      </c>
      <c r="B144" s="16">
        <v>7700000</v>
      </c>
    </row>
    <row r="145" spans="1:2" ht="14.4" x14ac:dyDescent="0.3">
      <c r="A145" s="1" t="s">
        <v>2210</v>
      </c>
      <c r="B145" s="16">
        <v>14000000</v>
      </c>
    </row>
    <row r="146" spans="1:2" ht="14.4" x14ac:dyDescent="0.3">
      <c r="A146" s="1" t="s">
        <v>2209</v>
      </c>
      <c r="B146" s="16">
        <v>25000000</v>
      </c>
    </row>
    <row r="147" spans="1:2" ht="14.4" x14ac:dyDescent="0.3">
      <c r="A147" s="1" t="s">
        <v>2208</v>
      </c>
      <c r="B147" s="16">
        <v>5750000</v>
      </c>
    </row>
    <row r="148" spans="1:2" ht="14.4" x14ac:dyDescent="0.3">
      <c r="A148" s="1" t="s">
        <v>1400</v>
      </c>
      <c r="B148" s="16">
        <v>14000000</v>
      </c>
    </row>
    <row r="149" spans="1:2" ht="14.4" x14ac:dyDescent="0.3">
      <c r="A149" s="1" t="s">
        <v>2207</v>
      </c>
      <c r="B149" s="16">
        <v>6000000</v>
      </c>
    </row>
    <row r="150" spans="1:2" ht="14.4" x14ac:dyDescent="0.3">
      <c r="A150" s="1" t="s">
        <v>2206</v>
      </c>
      <c r="B150" s="16">
        <v>6800000</v>
      </c>
    </row>
    <row r="151" spans="1:2" ht="14.4" x14ac:dyDescent="0.3">
      <c r="A151" s="1" t="s">
        <v>2205</v>
      </c>
      <c r="B151" s="16">
        <v>7200000</v>
      </c>
    </row>
    <row r="152" spans="1:2" ht="14.4" x14ac:dyDescent="0.3">
      <c r="A152" s="1" t="s">
        <v>2204</v>
      </c>
      <c r="B152" s="16">
        <v>12000000</v>
      </c>
    </row>
    <row r="153" spans="1:2" ht="14.4" x14ac:dyDescent="0.3">
      <c r="A153" s="1" t="s">
        <v>2203</v>
      </c>
      <c r="B153" s="16">
        <v>29024100</v>
      </c>
    </row>
    <row r="154" spans="1:2" ht="14.4" x14ac:dyDescent="0.3">
      <c r="A154" s="1" t="s">
        <v>2202</v>
      </c>
      <c r="B154" s="16">
        <v>5700000</v>
      </c>
    </row>
    <row r="155" spans="1:2" ht="14.4" x14ac:dyDescent="0.3">
      <c r="A155" s="1" t="s">
        <v>2201</v>
      </c>
      <c r="B155" s="16">
        <v>11500000</v>
      </c>
    </row>
    <row r="156" spans="1:2" ht="14.4" x14ac:dyDescent="0.3">
      <c r="A156" s="1" t="s">
        <v>2200</v>
      </c>
      <c r="B156" s="16">
        <v>9500000</v>
      </c>
    </row>
    <row r="157" spans="1:2" ht="14.4" x14ac:dyDescent="0.3">
      <c r="A157" s="1" t="s">
        <v>2199</v>
      </c>
      <c r="B157" s="16">
        <v>6500000</v>
      </c>
    </row>
    <row r="158" spans="1:2" ht="14.4" x14ac:dyDescent="0.3">
      <c r="A158" s="1" t="s">
        <v>2198</v>
      </c>
      <c r="B158" s="16">
        <v>6200000</v>
      </c>
    </row>
    <row r="159" spans="1:2" ht="14.4" x14ac:dyDescent="0.3">
      <c r="A159" s="1" t="s">
        <v>2197</v>
      </c>
      <c r="B159" s="16">
        <v>7000000</v>
      </c>
    </row>
    <row r="160" spans="1:2" ht="14.4" x14ac:dyDescent="0.3">
      <c r="A160" s="1" t="s">
        <v>2196</v>
      </c>
      <c r="B160" s="16">
        <v>5300000</v>
      </c>
    </row>
    <row r="161" spans="1:2" ht="14.4" x14ac:dyDescent="0.3">
      <c r="A161" s="1" t="s">
        <v>2195</v>
      </c>
      <c r="B161" s="16">
        <v>5000000</v>
      </c>
    </row>
    <row r="162" spans="1:2" ht="14.4" x14ac:dyDescent="0.3">
      <c r="A162" s="1" t="s">
        <v>2194</v>
      </c>
      <c r="B162" s="16">
        <v>22000000</v>
      </c>
    </row>
    <row r="163" spans="1:2" ht="14.4" x14ac:dyDescent="0.3">
      <c r="A163" s="1" t="s">
        <v>294</v>
      </c>
      <c r="B163" s="16">
        <v>12000000</v>
      </c>
    </row>
    <row r="164" spans="1:2" ht="14.4" x14ac:dyDescent="0.3">
      <c r="A164" s="1" t="s">
        <v>2193</v>
      </c>
      <c r="B164" s="16">
        <v>8000000</v>
      </c>
    </row>
    <row r="165" spans="1:2" ht="14.4" x14ac:dyDescent="0.3">
      <c r="A165" s="1" t="s">
        <v>2192</v>
      </c>
      <c r="B165" s="16">
        <v>12900000</v>
      </c>
    </row>
    <row r="166" spans="1:2" ht="14.4" x14ac:dyDescent="0.3">
      <c r="A166" s="1" t="s">
        <v>2191</v>
      </c>
      <c r="B166" s="16">
        <v>7000000</v>
      </c>
    </row>
    <row r="167" spans="1:2" ht="14.4" x14ac:dyDescent="0.3">
      <c r="A167" s="1" t="s">
        <v>2190</v>
      </c>
      <c r="B167" s="16">
        <v>9000000</v>
      </c>
    </row>
    <row r="168" spans="1:2" ht="14.4" x14ac:dyDescent="0.3">
      <c r="A168" s="1" t="s">
        <v>2189</v>
      </c>
      <c r="B168" s="16">
        <v>13000000</v>
      </c>
    </row>
    <row r="169" spans="1:2" ht="14.4" x14ac:dyDescent="0.3">
      <c r="A169" s="1" t="s">
        <v>2187</v>
      </c>
      <c r="B169" s="16">
        <v>18000000</v>
      </c>
    </row>
    <row r="170" spans="1:2" ht="14.4" x14ac:dyDescent="0.3">
      <c r="A170" s="1" t="s">
        <v>2186</v>
      </c>
      <c r="B170" s="16">
        <v>17500000</v>
      </c>
    </row>
    <row r="171" spans="1:2" ht="14.4" x14ac:dyDescent="0.3">
      <c r="A171" s="1" t="s">
        <v>2185</v>
      </c>
      <c r="B171" s="16">
        <v>14500000</v>
      </c>
    </row>
    <row r="172" spans="1:2" ht="14.4" x14ac:dyDescent="0.3">
      <c r="A172" s="1" t="s">
        <v>2184</v>
      </c>
      <c r="B172" s="16">
        <v>6200000</v>
      </c>
    </row>
    <row r="173" spans="1:2" ht="14.4" x14ac:dyDescent="0.3">
      <c r="A173" s="1" t="s">
        <v>2183</v>
      </c>
      <c r="B173" s="16">
        <v>25100000</v>
      </c>
    </row>
    <row r="174" spans="1:2" ht="14.4" x14ac:dyDescent="0.3">
      <c r="A174" s="1" t="s">
        <v>2182</v>
      </c>
      <c r="B174" s="16">
        <v>9000000</v>
      </c>
    </row>
    <row r="175" spans="1:2" ht="14.4" x14ac:dyDescent="0.3">
      <c r="A175" s="1" t="s">
        <v>2181</v>
      </c>
      <c r="B175" s="16">
        <v>14000000</v>
      </c>
    </row>
    <row r="176" spans="1:2" ht="14.4" x14ac:dyDescent="0.3">
      <c r="A176" s="1" t="s">
        <v>2180</v>
      </c>
      <c r="B176" s="16">
        <v>6200000</v>
      </c>
    </row>
    <row r="177" spans="1:2" ht="14.4" x14ac:dyDescent="0.3">
      <c r="A177" s="1" t="s">
        <v>1010</v>
      </c>
      <c r="B177" s="16">
        <v>38500000</v>
      </c>
    </row>
    <row r="178" spans="1:2" ht="14.4" x14ac:dyDescent="0.3">
      <c r="A178" s="1" t="s">
        <v>2179</v>
      </c>
      <c r="B178" s="16">
        <v>14000000</v>
      </c>
    </row>
    <row r="179" spans="1:2" ht="14.4" x14ac:dyDescent="0.3">
      <c r="A179" s="1" t="s">
        <v>2178</v>
      </c>
      <c r="B179" s="16">
        <v>20500000</v>
      </c>
    </row>
    <row r="180" spans="1:2" ht="14.4" x14ac:dyDescent="0.3">
      <c r="A180" s="1" t="s">
        <v>2177</v>
      </c>
      <c r="B180" s="16">
        <v>7500000</v>
      </c>
    </row>
    <row r="181" spans="1:2" ht="14.4" x14ac:dyDescent="0.3">
      <c r="A181" s="1" t="s">
        <v>2176</v>
      </c>
      <c r="B181" s="16">
        <v>17000000</v>
      </c>
    </row>
    <row r="182" spans="1:2" ht="14.4" x14ac:dyDescent="0.3">
      <c r="A182" s="1" t="s">
        <v>2175</v>
      </c>
      <c r="B182" s="16">
        <v>20500000</v>
      </c>
    </row>
    <row r="183" spans="1:2" ht="14.4" x14ac:dyDescent="0.3">
      <c r="A183" s="1" t="s">
        <v>2174</v>
      </c>
      <c r="B183" s="16">
        <v>16000000</v>
      </c>
    </row>
    <row r="184" spans="1:2" ht="14.4" x14ac:dyDescent="0.3">
      <c r="A184" s="1" t="s">
        <v>2173</v>
      </c>
      <c r="B184" s="16">
        <v>6700000</v>
      </c>
    </row>
    <row r="185" spans="1:2" ht="14.4" x14ac:dyDescent="0.3">
      <c r="A185" s="1" t="s">
        <v>2172</v>
      </c>
      <c r="B185" s="16">
        <v>13000000</v>
      </c>
    </row>
    <row r="186" spans="1:2" ht="14.4" x14ac:dyDescent="0.3">
      <c r="A186" s="1" t="s">
        <v>2171</v>
      </c>
      <c r="B186" s="16">
        <v>14900000</v>
      </c>
    </row>
    <row r="187" spans="1:2" ht="14.4" x14ac:dyDescent="0.3">
      <c r="A187" s="1" t="s">
        <v>2170</v>
      </c>
      <c r="B187" s="16">
        <v>13236000</v>
      </c>
    </row>
    <row r="188" spans="1:2" ht="14.4" x14ac:dyDescent="0.3">
      <c r="A188" s="1" t="s">
        <v>2169</v>
      </c>
      <c r="B188" s="16">
        <v>9700000</v>
      </c>
    </row>
    <row r="189" spans="1:2" ht="14.4" x14ac:dyDescent="0.3">
      <c r="A189" s="1" t="s">
        <v>2168</v>
      </c>
      <c r="B189" s="16">
        <v>16000000</v>
      </c>
    </row>
    <row r="190" spans="1:2" ht="14.4" x14ac:dyDescent="0.3">
      <c r="A190" s="1" t="s">
        <v>2167</v>
      </c>
      <c r="B190" s="16">
        <v>7100000</v>
      </c>
    </row>
    <row r="191" spans="1:2" ht="14.4" x14ac:dyDescent="0.3">
      <c r="A191" s="1" t="s">
        <v>2166</v>
      </c>
      <c r="B191" s="16">
        <v>13270000</v>
      </c>
    </row>
    <row r="192" spans="1:2" ht="14.4" x14ac:dyDescent="0.3">
      <c r="A192" s="1" t="s">
        <v>2165</v>
      </c>
      <c r="B192" s="16">
        <v>8000000</v>
      </c>
    </row>
    <row r="193" spans="1:2" ht="14.4" x14ac:dyDescent="0.3">
      <c r="A193" s="1" t="s">
        <v>2164</v>
      </c>
      <c r="B193" s="16">
        <v>21000000</v>
      </c>
    </row>
    <row r="194" spans="1:2" ht="14.4" x14ac:dyDescent="0.3">
      <c r="A194" s="1" t="s">
        <v>2163</v>
      </c>
      <c r="B194" s="16">
        <v>5500000</v>
      </c>
    </row>
    <row r="195" spans="1:2" ht="14.4" x14ac:dyDescent="0.3">
      <c r="A195" s="1" t="s">
        <v>2162</v>
      </c>
      <c r="B195" s="16">
        <v>17000000</v>
      </c>
    </row>
    <row r="196" spans="1:2" ht="14.4" x14ac:dyDescent="0.3">
      <c r="A196" s="1" t="s">
        <v>2161</v>
      </c>
      <c r="B196" s="16">
        <v>9000000</v>
      </c>
    </row>
    <row r="197" spans="1:2" ht="14.4" x14ac:dyDescent="0.3">
      <c r="A197" s="1" t="s">
        <v>2160</v>
      </c>
      <c r="B197" s="16">
        <v>6100000</v>
      </c>
    </row>
    <row r="198" spans="1:2" ht="14.4" x14ac:dyDescent="0.3">
      <c r="A198" s="1" t="s">
        <v>2159</v>
      </c>
      <c r="B198" s="16">
        <v>7300000</v>
      </c>
    </row>
    <row r="199" spans="1:2" ht="14.4" x14ac:dyDescent="0.3">
      <c r="A199" s="1" t="s">
        <v>2158</v>
      </c>
      <c r="B199" s="16">
        <v>10500000</v>
      </c>
    </row>
    <row r="200" spans="1:2" ht="14.4" x14ac:dyDescent="0.3">
      <c r="A200" s="1" t="s">
        <v>2157</v>
      </c>
      <c r="B200" s="16">
        <v>20000000</v>
      </c>
    </row>
    <row r="201" spans="1:2" ht="14.4" x14ac:dyDescent="0.3">
      <c r="A201" s="1" t="s">
        <v>1146</v>
      </c>
      <c r="B201" s="16">
        <v>11500000</v>
      </c>
    </row>
    <row r="202" spans="1:2" ht="14.4" x14ac:dyDescent="0.3">
      <c r="A202" s="1" t="s">
        <v>2156</v>
      </c>
      <c r="B202" s="16">
        <v>16800000</v>
      </c>
    </row>
    <row r="203" spans="1:2" ht="14.4" x14ac:dyDescent="0.3">
      <c r="A203" s="1" t="s">
        <v>2155</v>
      </c>
      <c r="B203" s="16">
        <v>8700000</v>
      </c>
    </row>
    <row r="204" spans="1:2" ht="14.4" x14ac:dyDescent="0.3">
      <c r="A204" s="1" t="s">
        <v>2154</v>
      </c>
      <c r="B204" s="16">
        <v>6500000</v>
      </c>
    </row>
    <row r="205" spans="1:2" ht="14.4" x14ac:dyDescent="0.3">
      <c r="A205" s="1" t="s">
        <v>2153</v>
      </c>
      <c r="B205" s="16">
        <v>15000000</v>
      </c>
    </row>
    <row r="206" spans="1:2" ht="14.4" x14ac:dyDescent="0.3">
      <c r="A206" s="1" t="s">
        <v>2152</v>
      </c>
      <c r="B206" s="16">
        <v>7000000</v>
      </c>
    </row>
    <row r="207" spans="1:2" ht="14.4" x14ac:dyDescent="0.3">
      <c r="A207" s="1" t="s">
        <v>2151</v>
      </c>
      <c r="B207" s="16">
        <v>5100000</v>
      </c>
    </row>
    <row r="208" spans="1:2" ht="14.4" x14ac:dyDescent="0.3">
      <c r="A208" s="1" t="s">
        <v>2150</v>
      </c>
      <c r="B208" s="16">
        <v>6000000</v>
      </c>
    </row>
    <row r="209" spans="1:2" ht="14.4" x14ac:dyDescent="0.3">
      <c r="A209" s="1" t="s">
        <v>2149</v>
      </c>
      <c r="B209" s="16">
        <v>7500000</v>
      </c>
    </row>
    <row r="210" spans="1:2" ht="14.4" x14ac:dyDescent="0.3">
      <c r="A210" s="1" t="s">
        <v>2148</v>
      </c>
      <c r="B210" s="16">
        <v>8990000</v>
      </c>
    </row>
    <row r="211" spans="1:2" ht="14.4" x14ac:dyDescent="0.3">
      <c r="A211" s="1" t="s">
        <v>2147</v>
      </c>
      <c r="B211" s="16">
        <v>21500000</v>
      </c>
    </row>
    <row r="212" spans="1:2" ht="14.4" x14ac:dyDescent="0.3">
      <c r="A212" s="1" t="s">
        <v>2146</v>
      </c>
      <c r="B212" s="16">
        <v>7700000</v>
      </c>
    </row>
    <row r="213" spans="1:2" ht="14.4" x14ac:dyDescent="0.3">
      <c r="A213" s="1" t="s">
        <v>2145</v>
      </c>
      <c r="B213" s="16">
        <v>21000000</v>
      </c>
    </row>
    <row r="214" spans="1:2" ht="14.4" x14ac:dyDescent="0.3">
      <c r="A214" s="1" t="s">
        <v>2144</v>
      </c>
      <c r="B214" s="16">
        <v>14500000</v>
      </c>
    </row>
    <row r="215" spans="1:2" ht="14.4" x14ac:dyDescent="0.3">
      <c r="A215" s="1" t="s">
        <v>2143</v>
      </c>
      <c r="B215" s="16">
        <v>21700000</v>
      </c>
    </row>
    <row r="216" spans="1:2" ht="14.4" x14ac:dyDescent="0.3">
      <c r="A216" s="1" t="s">
        <v>2142</v>
      </c>
      <c r="B216" s="16">
        <v>30000000</v>
      </c>
    </row>
    <row r="217" spans="1:2" ht="14.4" x14ac:dyDescent="0.3">
      <c r="A217" s="1" t="s">
        <v>2141</v>
      </c>
      <c r="B217" s="16">
        <v>17000000</v>
      </c>
    </row>
    <row r="218" spans="1:2" ht="14.4" x14ac:dyDescent="0.3">
      <c r="A218" s="1" t="s">
        <v>2140</v>
      </c>
      <c r="B218" s="16">
        <v>7000000</v>
      </c>
    </row>
    <row r="219" spans="1:2" ht="14.4" x14ac:dyDescent="0.3">
      <c r="A219" s="1" t="s">
        <v>2139</v>
      </c>
      <c r="B219" s="16">
        <v>22000000</v>
      </c>
    </row>
    <row r="220" spans="1:2" ht="14.4" x14ac:dyDescent="0.3">
      <c r="A220" s="1" t="s">
        <v>2138</v>
      </c>
      <c r="B220" s="16">
        <v>11800000</v>
      </c>
    </row>
    <row r="221" spans="1:2" ht="14.4" x14ac:dyDescent="0.3">
      <c r="A221" s="1" t="s">
        <v>2137</v>
      </c>
      <c r="B221" s="16">
        <v>20000000</v>
      </c>
    </row>
    <row r="222" spans="1:2" ht="14.4" x14ac:dyDescent="0.3">
      <c r="A222" s="1" t="s">
        <v>2136</v>
      </c>
      <c r="B222" s="16">
        <v>10000000</v>
      </c>
    </row>
    <row r="223" spans="1:2" ht="14.4" x14ac:dyDescent="0.3">
      <c r="A223" s="1" t="s">
        <v>2135</v>
      </c>
      <c r="B223" s="16">
        <v>7500000</v>
      </c>
    </row>
    <row r="224" spans="1:2" ht="14.4" x14ac:dyDescent="0.3">
      <c r="A224" s="1" t="s">
        <v>2134</v>
      </c>
      <c r="B224" s="16">
        <v>17000000</v>
      </c>
    </row>
    <row r="225" spans="1:2" ht="14.4" x14ac:dyDescent="0.3">
      <c r="A225" s="1" t="s">
        <v>2133</v>
      </c>
      <c r="B225" s="16">
        <v>11000000</v>
      </c>
    </row>
    <row r="226" spans="1:2" ht="14.4" x14ac:dyDescent="0.3">
      <c r="A226" s="1" t="s">
        <v>2131</v>
      </c>
      <c r="B226" s="16">
        <v>21900000</v>
      </c>
    </row>
    <row r="227" spans="1:2" ht="14.4" x14ac:dyDescent="0.3">
      <c r="A227" s="1" t="s">
        <v>2132</v>
      </c>
      <c r="B227" s="16">
        <v>9000000</v>
      </c>
    </row>
    <row r="228" spans="1:2" ht="14.4" x14ac:dyDescent="0.3">
      <c r="A228" s="1" t="s">
        <v>2130</v>
      </c>
      <c r="B228" s="16">
        <v>9500000</v>
      </c>
    </row>
    <row r="229" spans="1:2" ht="14.4" x14ac:dyDescent="0.3">
      <c r="A229" s="1" t="s">
        <v>2128</v>
      </c>
      <c r="B229" s="16">
        <v>10000000</v>
      </c>
    </row>
    <row r="230" spans="1:2" ht="14.4" x14ac:dyDescent="0.3">
      <c r="A230" s="1" t="s">
        <v>2129</v>
      </c>
      <c r="B230" s="16">
        <v>6400000</v>
      </c>
    </row>
    <row r="231" spans="1:2" ht="14.4" x14ac:dyDescent="0.3">
      <c r="A231" s="1" t="s">
        <v>2127</v>
      </c>
      <c r="B231" s="16">
        <v>16000000</v>
      </c>
    </row>
    <row r="232" spans="1:2" ht="14.4" x14ac:dyDescent="0.3">
      <c r="A232" s="1" t="s">
        <v>2126</v>
      </c>
      <c r="B232" s="16">
        <v>5500000</v>
      </c>
    </row>
    <row r="233" spans="1:2" ht="14.4" x14ac:dyDescent="0.3">
      <c r="A233" s="1" t="s">
        <v>2125</v>
      </c>
      <c r="B233" s="16">
        <v>8400000</v>
      </c>
    </row>
    <row r="234" spans="1:2" ht="14.4" x14ac:dyDescent="0.3">
      <c r="A234" s="1" t="s">
        <v>2124</v>
      </c>
      <c r="B234" s="16">
        <v>11450000</v>
      </c>
    </row>
    <row r="235" spans="1:2" ht="14.4" x14ac:dyDescent="0.3">
      <c r="A235" s="1" t="s">
        <v>2123</v>
      </c>
      <c r="B235" s="16">
        <v>8300000</v>
      </c>
    </row>
    <row r="236" spans="1:2" ht="14.4" x14ac:dyDescent="0.3">
      <c r="A236" s="1" t="s">
        <v>2122</v>
      </c>
      <c r="B236" s="16">
        <v>10520000</v>
      </c>
    </row>
    <row r="237" spans="1:2" ht="14.4" x14ac:dyDescent="0.3">
      <c r="A237" s="1" t="s">
        <v>2121</v>
      </c>
      <c r="B237" s="16">
        <v>7000000</v>
      </c>
    </row>
    <row r="238" spans="1:2" ht="14.4" x14ac:dyDescent="0.3">
      <c r="A238" s="1" t="s">
        <v>2120</v>
      </c>
      <c r="B238" s="16">
        <v>20000000</v>
      </c>
    </row>
    <row r="239" spans="1:2" ht="14.4" x14ac:dyDescent="0.3">
      <c r="A239" s="1" t="s">
        <v>2119</v>
      </c>
      <c r="B239" s="16">
        <v>7700000</v>
      </c>
    </row>
    <row r="240" spans="1:2" ht="14.4" x14ac:dyDescent="0.3">
      <c r="A240" s="1" t="s">
        <v>2118</v>
      </c>
      <c r="B240" s="16">
        <v>11200000</v>
      </c>
    </row>
    <row r="241" spans="1:2" ht="14.4" x14ac:dyDescent="0.3">
      <c r="A241" s="1" t="s">
        <v>2117</v>
      </c>
      <c r="B241" s="16">
        <v>17500000</v>
      </c>
    </row>
    <row r="242" spans="1:2" ht="14.4" x14ac:dyDescent="0.3">
      <c r="A242" s="1" t="s">
        <v>2116</v>
      </c>
      <c r="B242" s="16">
        <v>14000000</v>
      </c>
    </row>
    <row r="243" spans="1:2" ht="14.4" x14ac:dyDescent="0.3">
      <c r="A243" s="1" t="s">
        <v>2115</v>
      </c>
      <c r="B243" s="16">
        <v>7500000</v>
      </c>
    </row>
    <row r="244" spans="1:2" ht="14.4" x14ac:dyDescent="0.3">
      <c r="A244" s="1" t="s">
        <v>2114</v>
      </c>
      <c r="B244" s="16">
        <v>16500000</v>
      </c>
    </row>
    <row r="245" spans="1:2" ht="14.4" x14ac:dyDescent="0.3">
      <c r="A245" s="1" t="s">
        <v>2113</v>
      </c>
      <c r="B245" s="16">
        <v>11500000</v>
      </c>
    </row>
    <row r="246" spans="1:2" ht="14.4" x14ac:dyDescent="0.3">
      <c r="A246" s="1" t="s">
        <v>2112</v>
      </c>
      <c r="B246" s="16">
        <v>8000000</v>
      </c>
    </row>
    <row r="247" spans="1:2" ht="14.4" x14ac:dyDescent="0.3">
      <c r="A247" s="1" t="s">
        <v>2111</v>
      </c>
      <c r="B247" s="16">
        <v>15300000</v>
      </c>
    </row>
    <row r="248" spans="1:2" ht="14.4" x14ac:dyDescent="0.3">
      <c r="A248" s="1" t="s">
        <v>2110</v>
      </c>
      <c r="B248" s="16">
        <v>6500000</v>
      </c>
    </row>
    <row r="249" spans="1:2" ht="14.4" x14ac:dyDescent="0.3">
      <c r="A249" s="1" t="s">
        <v>2109</v>
      </c>
      <c r="B249" s="16">
        <v>13500000</v>
      </c>
    </row>
    <row r="250" spans="1:2" ht="14.4" x14ac:dyDescent="0.3">
      <c r="A250" s="1" t="s">
        <v>2108</v>
      </c>
      <c r="B250" s="16">
        <v>10500000</v>
      </c>
    </row>
    <row r="251" spans="1:2" ht="14.4" x14ac:dyDescent="0.3">
      <c r="A251" s="1" t="s">
        <v>2107</v>
      </c>
      <c r="B251" s="16">
        <v>10200000</v>
      </c>
    </row>
    <row r="252" spans="1:2" ht="14.4" x14ac:dyDescent="0.3">
      <c r="A252" s="1" t="s">
        <v>2106</v>
      </c>
      <c r="B252" s="16">
        <v>9130000</v>
      </c>
    </row>
    <row r="253" spans="1:2" ht="14.4" x14ac:dyDescent="0.3">
      <c r="A253" s="1" t="s">
        <v>2105</v>
      </c>
      <c r="B253" s="16">
        <v>8000000</v>
      </c>
    </row>
    <row r="254" spans="1:2" ht="14.4" x14ac:dyDescent="0.3">
      <c r="A254" s="1" t="s">
        <v>2090</v>
      </c>
      <c r="B254" s="16">
        <v>19000000</v>
      </c>
    </row>
    <row r="255" spans="1:2" ht="14.4" x14ac:dyDescent="0.3">
      <c r="A255" s="1" t="s">
        <v>2104</v>
      </c>
      <c r="B255" s="16">
        <v>6000000</v>
      </c>
    </row>
    <row r="256" spans="1:2" ht="14.4" x14ac:dyDescent="0.3">
      <c r="A256" s="1" t="s">
        <v>2103</v>
      </c>
      <c r="B256" s="16">
        <v>24000000</v>
      </c>
    </row>
    <row r="257" spans="1:2" ht="14.4" x14ac:dyDescent="0.3">
      <c r="A257" s="1" t="s">
        <v>1974</v>
      </c>
      <c r="B257" s="16">
        <v>11500000</v>
      </c>
    </row>
    <row r="258" spans="1:2" ht="14.4" x14ac:dyDescent="0.3">
      <c r="A258" s="1" t="s">
        <v>2102</v>
      </c>
      <c r="B258" s="16">
        <v>5500000</v>
      </c>
    </row>
    <row r="259" spans="1:2" ht="14.4" x14ac:dyDescent="0.3">
      <c r="A259" s="1" t="s">
        <v>2098</v>
      </c>
      <c r="B259" s="16">
        <v>6300000</v>
      </c>
    </row>
    <row r="260" spans="1:2" ht="14.4" x14ac:dyDescent="0.3">
      <c r="A260" s="1" t="s">
        <v>2101</v>
      </c>
      <c r="B260" s="16">
        <v>9700000</v>
      </c>
    </row>
    <row r="261" spans="1:2" ht="14.4" x14ac:dyDescent="0.3">
      <c r="A261" s="1" t="s">
        <v>2099</v>
      </c>
      <c r="B261" s="16">
        <v>8000000</v>
      </c>
    </row>
    <row r="262" spans="1:2" ht="14.4" x14ac:dyDescent="0.3">
      <c r="A262" s="1" t="s">
        <v>2100</v>
      </c>
      <c r="B262" s="16">
        <v>5500000</v>
      </c>
    </row>
    <row r="263" spans="1:2" ht="14.4" x14ac:dyDescent="0.3">
      <c r="A263" s="1" t="s">
        <v>2097</v>
      </c>
      <c r="B263" s="16">
        <v>19700000</v>
      </c>
    </row>
    <row r="264" spans="1:2" ht="14.4" x14ac:dyDescent="0.3">
      <c r="A264" s="1" t="s">
        <v>2096</v>
      </c>
      <c r="B264" s="16">
        <v>13200000</v>
      </c>
    </row>
    <row r="265" spans="1:2" ht="14.4" x14ac:dyDescent="0.3">
      <c r="A265" s="1" t="s">
        <v>2095</v>
      </c>
      <c r="B265" s="16">
        <v>9000000</v>
      </c>
    </row>
    <row r="266" spans="1:2" ht="14.4" x14ac:dyDescent="0.3">
      <c r="A266" s="1" t="s">
        <v>2094</v>
      </c>
      <c r="B266" s="16">
        <v>4400000</v>
      </c>
    </row>
    <row r="267" spans="1:2" ht="14.4" x14ac:dyDescent="0.3">
      <c r="A267" s="1" t="s">
        <v>2093</v>
      </c>
      <c r="B267" s="16">
        <v>10000000</v>
      </c>
    </row>
    <row r="268" spans="1:2" ht="14.4" x14ac:dyDescent="0.3">
      <c r="A268" s="1" t="s">
        <v>2092</v>
      </c>
      <c r="B268" s="16">
        <v>14000000</v>
      </c>
    </row>
    <row r="269" spans="1:2" ht="14.4" x14ac:dyDescent="0.3">
      <c r="A269" s="1" t="s">
        <v>2091</v>
      </c>
      <c r="B269" s="16">
        <v>18000000</v>
      </c>
    </row>
    <row r="270" spans="1:2" ht="14.4" x14ac:dyDescent="0.3">
      <c r="A270" s="1" t="s">
        <v>2088</v>
      </c>
      <c r="B270" s="16">
        <v>8000000</v>
      </c>
    </row>
    <row r="271" spans="1:2" ht="14.4" x14ac:dyDescent="0.3">
      <c r="A271" s="1" t="s">
        <v>2089</v>
      </c>
      <c r="B271" s="16">
        <v>24700000</v>
      </c>
    </row>
    <row r="272" spans="1:2" ht="14.4" x14ac:dyDescent="0.3">
      <c r="A272" s="1" t="s">
        <v>2087</v>
      </c>
      <c r="B272" s="16">
        <v>4000000</v>
      </c>
    </row>
    <row r="273" spans="1:2" ht="14.4" x14ac:dyDescent="0.3">
      <c r="A273" s="1" t="s">
        <v>2086</v>
      </c>
      <c r="B273" s="16">
        <v>10300000</v>
      </c>
    </row>
    <row r="274" spans="1:2" ht="14.4" x14ac:dyDescent="0.3">
      <c r="A274" s="1" t="s">
        <v>2085</v>
      </c>
      <c r="B274" s="16">
        <v>10500000</v>
      </c>
    </row>
    <row r="275" spans="1:2" ht="14.4" x14ac:dyDescent="0.3">
      <c r="A275" s="1" t="s">
        <v>2084</v>
      </c>
      <c r="B275" s="16">
        <v>12200000</v>
      </c>
    </row>
    <row r="276" spans="1:2" ht="14.4" x14ac:dyDescent="0.3">
      <c r="A276" s="1" t="s">
        <v>2083</v>
      </c>
      <c r="B276" s="16">
        <v>4500000</v>
      </c>
    </row>
    <row r="277" spans="1:2" ht="14.4" x14ac:dyDescent="0.3">
      <c r="A277" s="1" t="s">
        <v>2082</v>
      </c>
      <c r="B277" s="16">
        <v>7200000</v>
      </c>
    </row>
    <row r="278" spans="1:2" ht="14.4" x14ac:dyDescent="0.3">
      <c r="A278" s="1" t="s">
        <v>2081</v>
      </c>
      <c r="B278" s="16">
        <v>9000000</v>
      </c>
    </row>
    <row r="279" spans="1:2" ht="14.4" x14ac:dyDescent="0.3">
      <c r="A279" s="1" t="s">
        <v>2080</v>
      </c>
      <c r="B279" s="16">
        <v>8000000</v>
      </c>
    </row>
    <row r="280" spans="1:2" ht="14.4" x14ac:dyDescent="0.3">
      <c r="A280" s="1" t="s">
        <v>2079</v>
      </c>
      <c r="B280" s="16">
        <v>16200000</v>
      </c>
    </row>
    <row r="281" spans="1:2" ht="14.4" x14ac:dyDescent="0.3">
      <c r="A281" s="1" t="s">
        <v>2078</v>
      </c>
      <c r="B281" s="16">
        <v>14200000</v>
      </c>
    </row>
    <row r="282" spans="1:2" ht="14.4" x14ac:dyDescent="0.3">
      <c r="A282" s="1" t="s">
        <v>2077</v>
      </c>
      <c r="B282" s="16">
        <v>10300000</v>
      </c>
    </row>
    <row r="283" spans="1:2" ht="14.4" x14ac:dyDescent="0.3">
      <c r="A283" s="1" t="s">
        <v>2076</v>
      </c>
      <c r="B283" s="16">
        <v>8800000</v>
      </c>
    </row>
    <row r="284" spans="1:2" ht="14.4" x14ac:dyDescent="0.3">
      <c r="A284" s="1" t="s">
        <v>2075</v>
      </c>
      <c r="B284" s="16">
        <v>8500000</v>
      </c>
    </row>
    <row r="285" spans="1:2" ht="14.4" x14ac:dyDescent="0.3">
      <c r="A285" s="1" t="s">
        <v>598</v>
      </c>
      <c r="B285" s="16">
        <v>6150000</v>
      </c>
    </row>
    <row r="286" spans="1:2" ht="14.4" x14ac:dyDescent="0.3">
      <c r="A286" s="1" t="s">
        <v>2074</v>
      </c>
      <c r="B286" s="16">
        <v>24250000</v>
      </c>
    </row>
    <row r="287" spans="1:2" ht="14.4" x14ac:dyDescent="0.3">
      <c r="A287" s="1" t="s">
        <v>2073</v>
      </c>
      <c r="B287" s="16">
        <v>5800000</v>
      </c>
    </row>
    <row r="288" spans="1:2" ht="14.4" x14ac:dyDescent="0.3">
      <c r="A288" s="1" t="s">
        <v>2072</v>
      </c>
      <c r="B288" s="16">
        <v>22000000</v>
      </c>
    </row>
    <row r="289" spans="1:2" ht="14.4" x14ac:dyDescent="0.3">
      <c r="A289" s="1" t="s">
        <v>2071</v>
      </c>
      <c r="B289" s="16">
        <v>6500000</v>
      </c>
    </row>
    <row r="290" spans="1:2" ht="14.4" x14ac:dyDescent="0.3">
      <c r="A290" s="1" t="s">
        <v>2070</v>
      </c>
      <c r="B290" s="16">
        <v>15000000</v>
      </c>
    </row>
    <row r="291" spans="1:2" ht="14.4" x14ac:dyDescent="0.3">
      <c r="A291" s="1" t="s">
        <v>2069</v>
      </c>
      <c r="B291" s="16">
        <v>19500000</v>
      </c>
    </row>
    <row r="292" spans="1:2" ht="14.4" x14ac:dyDescent="0.3">
      <c r="A292" s="1" t="s">
        <v>2068</v>
      </c>
      <c r="B292" s="16">
        <v>22300000</v>
      </c>
    </row>
    <row r="293" spans="1:2" ht="14.4" x14ac:dyDescent="0.3">
      <c r="A293" s="1" t="s">
        <v>2067</v>
      </c>
      <c r="B293" s="16">
        <v>11500000</v>
      </c>
    </row>
    <row r="294" spans="1:2" ht="14.4" x14ac:dyDescent="0.3">
      <c r="A294" s="1" t="s">
        <v>2066</v>
      </c>
      <c r="B294" s="16">
        <v>17500000</v>
      </c>
    </row>
    <row r="295" spans="1:2" ht="14.4" x14ac:dyDescent="0.3">
      <c r="A295" s="1" t="s">
        <v>2065</v>
      </c>
      <c r="B295" s="16">
        <v>7500000</v>
      </c>
    </row>
    <row r="296" spans="1:2" ht="14.4" x14ac:dyDescent="0.3">
      <c r="A296" s="1" t="s">
        <v>2064</v>
      </c>
      <c r="B296" s="16">
        <v>14200000</v>
      </c>
    </row>
    <row r="297" spans="1:2" ht="14.4" x14ac:dyDescent="0.3">
      <c r="A297" s="1" t="s">
        <v>2063</v>
      </c>
      <c r="B297" s="16">
        <v>8600000</v>
      </c>
    </row>
    <row r="298" spans="1:2" ht="14.4" x14ac:dyDescent="0.3">
      <c r="A298" s="1" t="s">
        <v>2062</v>
      </c>
      <c r="B298" s="16">
        <v>8500000</v>
      </c>
    </row>
    <row r="299" spans="1:2" ht="14.4" x14ac:dyDescent="0.3">
      <c r="A299" s="1" t="s">
        <v>2061</v>
      </c>
      <c r="B299" s="16">
        <v>17000000</v>
      </c>
    </row>
    <row r="300" spans="1:2" ht="14.4" x14ac:dyDescent="0.3">
      <c r="A300" s="1" t="s">
        <v>2060</v>
      </c>
      <c r="B300" s="16">
        <v>4300000</v>
      </c>
    </row>
    <row r="301" spans="1:2" ht="14.4" x14ac:dyDescent="0.3">
      <c r="A301" s="1" t="s">
        <v>2053</v>
      </c>
      <c r="B301" s="16">
        <v>11500000</v>
      </c>
    </row>
    <row r="302" spans="1:2" ht="14.4" x14ac:dyDescent="0.3">
      <c r="A302" s="1" t="s">
        <v>2059</v>
      </c>
      <c r="B302" s="16">
        <v>6800000</v>
      </c>
    </row>
    <row r="303" spans="1:2" ht="14.4" x14ac:dyDescent="0.3">
      <c r="A303" s="1" t="s">
        <v>2058</v>
      </c>
      <c r="B303" s="16">
        <v>8200000</v>
      </c>
    </row>
    <row r="304" spans="1:2" ht="14.4" x14ac:dyDescent="0.3">
      <c r="A304" s="1" t="s">
        <v>2057</v>
      </c>
      <c r="B304" s="16">
        <v>6000000</v>
      </c>
    </row>
    <row r="305" spans="1:2" ht="14.4" x14ac:dyDescent="0.3">
      <c r="A305" s="1" t="s">
        <v>2055</v>
      </c>
      <c r="B305" s="16">
        <v>16350000</v>
      </c>
    </row>
    <row r="306" spans="1:2" ht="14.4" x14ac:dyDescent="0.3">
      <c r="A306" s="1" t="s">
        <v>2056</v>
      </c>
      <c r="B306" s="16">
        <v>16000000</v>
      </c>
    </row>
    <row r="307" spans="1:2" ht="14.4" x14ac:dyDescent="0.3">
      <c r="A307" s="1" t="s">
        <v>2054</v>
      </c>
      <c r="B307" s="16">
        <v>9900000</v>
      </c>
    </row>
    <row r="308" spans="1:2" ht="14.4" x14ac:dyDescent="0.3">
      <c r="A308" s="1" t="s">
        <v>2052</v>
      </c>
      <c r="B308" s="16">
        <v>14500000</v>
      </c>
    </row>
    <row r="309" spans="1:2" ht="14.4" x14ac:dyDescent="0.3">
      <c r="A309" s="1" t="s">
        <v>2051</v>
      </c>
      <c r="B309" s="16">
        <v>13500000</v>
      </c>
    </row>
    <row r="310" spans="1:2" ht="14.4" x14ac:dyDescent="0.3">
      <c r="A310" s="1" t="s">
        <v>2050</v>
      </c>
      <c r="B310" s="16">
        <v>7500000</v>
      </c>
    </row>
    <row r="311" spans="1:2" ht="14.4" x14ac:dyDescent="0.3">
      <c r="A311" s="1" t="s">
        <v>2049</v>
      </c>
      <c r="B311" s="16">
        <v>14000000</v>
      </c>
    </row>
    <row r="312" spans="1:2" ht="14.4" x14ac:dyDescent="0.3">
      <c r="A312" s="1" t="s">
        <v>2048</v>
      </c>
      <c r="B312" s="16">
        <v>7000000</v>
      </c>
    </row>
    <row r="313" spans="1:2" ht="14.4" x14ac:dyDescent="0.3">
      <c r="A313" s="1" t="s">
        <v>2047</v>
      </c>
      <c r="B313" s="16">
        <v>15000000</v>
      </c>
    </row>
    <row r="314" spans="1:2" ht="14.4" x14ac:dyDescent="0.3">
      <c r="A314" s="1" t="s">
        <v>2046</v>
      </c>
      <c r="B314" s="16">
        <v>9500000</v>
      </c>
    </row>
    <row r="315" spans="1:2" ht="14.4" x14ac:dyDescent="0.3">
      <c r="A315" s="1" t="s">
        <v>398</v>
      </c>
      <c r="B315" s="16">
        <v>9500000</v>
      </c>
    </row>
    <row r="316" spans="1:2" ht="14.4" x14ac:dyDescent="0.3">
      <c r="A316" s="1" t="s">
        <v>2045</v>
      </c>
      <c r="B316" s="16">
        <v>6750000</v>
      </c>
    </row>
    <row r="317" spans="1:2" ht="14.4" x14ac:dyDescent="0.3">
      <c r="A317" s="1" t="s">
        <v>2044</v>
      </c>
      <c r="B317" s="16">
        <v>6000000</v>
      </c>
    </row>
    <row r="318" spans="1:2" ht="14.4" x14ac:dyDescent="0.3">
      <c r="A318" s="1" t="s">
        <v>2043</v>
      </c>
      <c r="B318" s="16">
        <v>8200000</v>
      </c>
    </row>
    <row r="319" spans="1:2" ht="14.4" x14ac:dyDescent="0.3">
      <c r="A319" s="1" t="s">
        <v>1016</v>
      </c>
      <c r="B319" s="16">
        <v>11000000</v>
      </c>
    </row>
    <row r="320" spans="1:2" ht="14.4" x14ac:dyDescent="0.3">
      <c r="A320" s="1" t="s">
        <v>2042</v>
      </c>
      <c r="B320" s="16">
        <v>15000000</v>
      </c>
    </row>
    <row r="321" spans="1:2" ht="14.4" x14ac:dyDescent="0.3">
      <c r="A321" s="1" t="s">
        <v>2041</v>
      </c>
      <c r="B321" s="16">
        <v>14000000</v>
      </c>
    </row>
    <row r="322" spans="1:2" ht="14.4" x14ac:dyDescent="0.3">
      <c r="A322" s="1" t="s">
        <v>2040</v>
      </c>
      <c r="B322" s="16">
        <v>7000000</v>
      </c>
    </row>
    <row r="323" spans="1:2" ht="14.4" x14ac:dyDescent="0.3">
      <c r="A323" s="1" t="s">
        <v>2039</v>
      </c>
      <c r="B323" s="16">
        <v>9100000</v>
      </c>
    </row>
    <row r="324" spans="1:2" ht="14.4" x14ac:dyDescent="0.3">
      <c r="A324" s="1" t="s">
        <v>2038</v>
      </c>
      <c r="B324" s="16">
        <v>5000000</v>
      </c>
    </row>
    <row r="325" spans="1:2" ht="14.4" x14ac:dyDescent="0.3">
      <c r="A325" s="1" t="s">
        <v>2037</v>
      </c>
      <c r="B325" s="16">
        <v>10000000</v>
      </c>
    </row>
    <row r="326" spans="1:2" ht="14.4" x14ac:dyDescent="0.3">
      <c r="A326" s="1" t="s">
        <v>2036</v>
      </c>
      <c r="B326" s="16">
        <v>14500000</v>
      </c>
    </row>
    <row r="327" spans="1:2" ht="14.4" x14ac:dyDescent="0.3">
      <c r="A327" s="1" t="s">
        <v>2035</v>
      </c>
      <c r="B327" s="16">
        <v>12500000</v>
      </c>
    </row>
    <row r="328" spans="1:2" ht="14.4" x14ac:dyDescent="0.3">
      <c r="A328" s="1" t="s">
        <v>2034</v>
      </c>
      <c r="B328" s="16">
        <v>9800000</v>
      </c>
    </row>
    <row r="329" spans="1:2" ht="14.4" x14ac:dyDescent="0.3">
      <c r="A329" s="1" t="s">
        <v>2033</v>
      </c>
      <c r="B329" s="16">
        <v>11000000</v>
      </c>
    </row>
    <row r="330" spans="1:2" ht="14.4" x14ac:dyDescent="0.3">
      <c r="A330" s="1" t="s">
        <v>2032</v>
      </c>
      <c r="B330" s="16">
        <v>12000000</v>
      </c>
    </row>
    <row r="331" spans="1:2" ht="14.4" x14ac:dyDescent="0.3">
      <c r="A331" s="1" t="s">
        <v>2031</v>
      </c>
      <c r="B331" s="16">
        <v>8200000</v>
      </c>
    </row>
    <row r="332" spans="1:2" ht="14.4" x14ac:dyDescent="0.3">
      <c r="A332" s="1" t="s">
        <v>2030</v>
      </c>
      <c r="B332" s="16">
        <v>5800000</v>
      </c>
    </row>
    <row r="333" spans="1:2" ht="14.4" x14ac:dyDescent="0.3">
      <c r="A333" s="1" t="s">
        <v>2029</v>
      </c>
      <c r="B333" s="16">
        <v>11500000</v>
      </c>
    </row>
    <row r="334" spans="1:2" ht="14.4" x14ac:dyDescent="0.3">
      <c r="A334" s="1" t="s">
        <v>2027</v>
      </c>
      <c r="B334" s="16">
        <v>6200000</v>
      </c>
    </row>
    <row r="335" spans="1:2" ht="14.4" x14ac:dyDescent="0.3">
      <c r="A335" s="1" t="s">
        <v>2028</v>
      </c>
      <c r="B335" s="16">
        <v>9500000</v>
      </c>
    </row>
    <row r="336" spans="1:2" ht="14.4" x14ac:dyDescent="0.3">
      <c r="A336" s="1" t="s">
        <v>2026</v>
      </c>
      <c r="B336" s="16">
        <v>23000000</v>
      </c>
    </row>
    <row r="337" spans="1:2" ht="14.4" x14ac:dyDescent="0.3">
      <c r="A337" s="1" t="s">
        <v>708</v>
      </c>
      <c r="B337" s="16">
        <v>14500000</v>
      </c>
    </row>
    <row r="338" spans="1:2" ht="14.4" x14ac:dyDescent="0.3">
      <c r="A338" s="1" t="s">
        <v>2025</v>
      </c>
      <c r="B338" s="16">
        <v>7200000</v>
      </c>
    </row>
    <row r="339" spans="1:2" ht="14.4" x14ac:dyDescent="0.3">
      <c r="A339" s="1" t="s">
        <v>2024</v>
      </c>
      <c r="B339" s="16">
        <v>5700000</v>
      </c>
    </row>
    <row r="340" spans="1:2" ht="14.4" x14ac:dyDescent="0.3">
      <c r="A340" s="1" t="s">
        <v>2023</v>
      </c>
      <c r="B340" s="16">
        <v>12300000</v>
      </c>
    </row>
    <row r="341" spans="1:2" ht="14.4" x14ac:dyDescent="0.3">
      <c r="A341" s="1" t="s">
        <v>2022</v>
      </c>
      <c r="B341" s="16">
        <v>37300000</v>
      </c>
    </row>
    <row r="342" spans="1:2" ht="14.4" x14ac:dyDescent="0.3">
      <c r="A342" s="1" t="s">
        <v>2021</v>
      </c>
      <c r="B342" s="16">
        <v>12000000</v>
      </c>
    </row>
    <row r="343" spans="1:2" ht="14.4" x14ac:dyDescent="0.3">
      <c r="A343" s="1" t="s">
        <v>2019</v>
      </c>
      <c r="B343" s="16">
        <v>7000000</v>
      </c>
    </row>
    <row r="344" spans="1:2" ht="14.4" x14ac:dyDescent="0.3">
      <c r="A344" s="1" t="s">
        <v>2020</v>
      </c>
      <c r="B344" s="16">
        <v>8300000</v>
      </c>
    </row>
    <row r="345" spans="1:2" ht="14.4" x14ac:dyDescent="0.3">
      <c r="A345" s="1" t="s">
        <v>2018</v>
      </c>
      <c r="B345" s="16">
        <v>12150000</v>
      </c>
    </row>
    <row r="346" spans="1:2" ht="14.4" x14ac:dyDescent="0.3">
      <c r="A346" s="1" t="s">
        <v>2017</v>
      </c>
      <c r="B346" s="16">
        <v>10200000</v>
      </c>
    </row>
    <row r="347" spans="1:2" ht="14.4" x14ac:dyDescent="0.3">
      <c r="A347" s="1" t="s">
        <v>2016</v>
      </c>
      <c r="B347" s="16">
        <v>16300000</v>
      </c>
    </row>
    <row r="348" spans="1:2" ht="14.4" x14ac:dyDescent="0.3">
      <c r="A348" s="1" t="s">
        <v>2015</v>
      </c>
      <c r="B348" s="16">
        <v>20000000</v>
      </c>
    </row>
    <row r="349" spans="1:2" ht="14.4" x14ac:dyDescent="0.3">
      <c r="A349" s="1" t="s">
        <v>2014</v>
      </c>
      <c r="B349" s="16">
        <v>13500000</v>
      </c>
    </row>
    <row r="350" spans="1:2" ht="14.4" x14ac:dyDescent="0.3">
      <c r="A350" s="1" t="s">
        <v>2013</v>
      </c>
      <c r="B350" s="16">
        <v>7200000</v>
      </c>
    </row>
    <row r="351" spans="1:2" ht="14.4" x14ac:dyDescent="0.3">
      <c r="A351" s="1" t="s">
        <v>2012</v>
      </c>
      <c r="B351" s="16">
        <v>12500000</v>
      </c>
    </row>
    <row r="352" spans="1:2" ht="14.4" x14ac:dyDescent="0.3">
      <c r="A352" s="1" t="s">
        <v>1830</v>
      </c>
      <c r="B352" s="16">
        <v>13000000</v>
      </c>
    </row>
    <row r="353" spans="1:2" ht="14.4" x14ac:dyDescent="0.3">
      <c r="A353" s="1" t="s">
        <v>2010</v>
      </c>
      <c r="B353" s="16">
        <v>6500000</v>
      </c>
    </row>
    <row r="354" spans="1:2" ht="14.4" x14ac:dyDescent="0.3">
      <c r="A354" s="1" t="s">
        <v>2011</v>
      </c>
      <c r="B354" s="16">
        <v>7100000</v>
      </c>
    </row>
    <row r="355" spans="1:2" ht="14.4" x14ac:dyDescent="0.3">
      <c r="A355" s="1" t="s">
        <v>2009</v>
      </c>
      <c r="B355" s="16">
        <v>10000000</v>
      </c>
    </row>
    <row r="356" spans="1:2" ht="14.4" x14ac:dyDescent="0.3">
      <c r="A356" s="1" t="s">
        <v>2008</v>
      </c>
      <c r="B356" s="16">
        <v>9250000</v>
      </c>
    </row>
    <row r="357" spans="1:2" ht="14.4" x14ac:dyDescent="0.3">
      <c r="A357" s="1" t="s">
        <v>1236</v>
      </c>
      <c r="B357" s="16">
        <v>10200000</v>
      </c>
    </row>
    <row r="358" spans="1:2" ht="14.4" x14ac:dyDescent="0.3">
      <c r="A358" s="1" t="s">
        <v>2007</v>
      </c>
      <c r="B358" s="16">
        <v>29000000</v>
      </c>
    </row>
    <row r="359" spans="1:2" ht="14.4" x14ac:dyDescent="0.3">
      <c r="A359" s="1" t="s">
        <v>2006</v>
      </c>
      <c r="B359" s="16">
        <v>5900000</v>
      </c>
    </row>
    <row r="360" spans="1:2" ht="14.4" x14ac:dyDescent="0.3">
      <c r="A360" s="1" t="s">
        <v>2005</v>
      </c>
      <c r="B360" s="16">
        <v>21500000</v>
      </c>
    </row>
    <row r="361" spans="1:2" ht="14.4" x14ac:dyDescent="0.3">
      <c r="A361" s="1" t="s">
        <v>2004</v>
      </c>
      <c r="B361" s="16">
        <v>13500000</v>
      </c>
    </row>
    <row r="362" spans="1:2" ht="14.4" x14ac:dyDescent="0.3">
      <c r="A362" s="1" t="s">
        <v>2003</v>
      </c>
      <c r="B362" s="16">
        <v>7200000</v>
      </c>
    </row>
    <row r="363" spans="1:2" ht="14.4" x14ac:dyDescent="0.3">
      <c r="A363" s="1" t="s">
        <v>2002</v>
      </c>
      <c r="B363" s="16">
        <v>18500000</v>
      </c>
    </row>
    <row r="364" spans="1:2" ht="14.4" x14ac:dyDescent="0.3">
      <c r="A364" s="1" t="s">
        <v>2001</v>
      </c>
      <c r="B364" s="16">
        <v>10300000</v>
      </c>
    </row>
    <row r="365" spans="1:2" ht="14.4" x14ac:dyDescent="0.3">
      <c r="A365" s="1" t="s">
        <v>2000</v>
      </c>
      <c r="B365" s="16">
        <v>9700000</v>
      </c>
    </row>
    <row r="366" spans="1:2" ht="14.4" x14ac:dyDescent="0.3">
      <c r="A366" s="1" t="s">
        <v>1999</v>
      </c>
      <c r="B366" s="16">
        <v>13500000</v>
      </c>
    </row>
    <row r="367" spans="1:2" ht="14.4" x14ac:dyDescent="0.3">
      <c r="A367" s="1" t="s">
        <v>1998</v>
      </c>
      <c r="B367" s="16">
        <v>11000000</v>
      </c>
    </row>
    <row r="368" spans="1:2" ht="14.4" x14ac:dyDescent="0.3">
      <c r="A368" s="1" t="s">
        <v>1997</v>
      </c>
      <c r="B368" s="16">
        <v>12000000</v>
      </c>
    </row>
    <row r="369" spans="1:2" ht="14.4" x14ac:dyDescent="0.3">
      <c r="A369" s="1" t="s">
        <v>1996</v>
      </c>
      <c r="B369" s="16">
        <v>22500000</v>
      </c>
    </row>
    <row r="370" spans="1:2" ht="14.4" x14ac:dyDescent="0.3">
      <c r="A370" s="1" t="s">
        <v>1995</v>
      </c>
      <c r="B370" s="16">
        <v>9000000</v>
      </c>
    </row>
    <row r="371" spans="1:2" ht="14.4" x14ac:dyDescent="0.3">
      <c r="A371" s="1" t="s">
        <v>1994</v>
      </c>
      <c r="B371" s="16">
        <v>22200000</v>
      </c>
    </row>
    <row r="372" spans="1:2" ht="14.4" x14ac:dyDescent="0.3">
      <c r="A372" s="1" t="s">
        <v>1993</v>
      </c>
      <c r="B372" s="16">
        <v>12000000</v>
      </c>
    </row>
    <row r="373" spans="1:2" ht="14.4" x14ac:dyDescent="0.3">
      <c r="A373" s="1" t="s">
        <v>1992</v>
      </c>
      <c r="B373" s="16">
        <v>10300000</v>
      </c>
    </row>
    <row r="374" spans="1:2" ht="14.4" x14ac:dyDescent="0.3">
      <c r="A374" s="1" t="s">
        <v>1991</v>
      </c>
      <c r="B374" s="16">
        <v>17500000</v>
      </c>
    </row>
    <row r="375" spans="1:2" ht="14.4" x14ac:dyDescent="0.3">
      <c r="A375" s="1" t="s">
        <v>1990</v>
      </c>
      <c r="B375" s="16">
        <v>16000000</v>
      </c>
    </row>
    <row r="376" spans="1:2" ht="14.4" x14ac:dyDescent="0.3">
      <c r="A376" s="1" t="s">
        <v>1989</v>
      </c>
      <c r="B376" s="16">
        <v>14500000</v>
      </c>
    </row>
    <row r="377" spans="1:2" ht="14.4" x14ac:dyDescent="0.3">
      <c r="A377" s="1" t="s">
        <v>1988</v>
      </c>
      <c r="B377" s="16">
        <v>16500000</v>
      </c>
    </row>
    <row r="378" spans="1:2" ht="14.4" x14ac:dyDescent="0.3">
      <c r="A378" s="1" t="s">
        <v>1847</v>
      </c>
      <c r="B378" s="16">
        <v>38000000</v>
      </c>
    </row>
    <row r="379" spans="1:2" ht="14.4" x14ac:dyDescent="0.3">
      <c r="A379" s="1" t="s">
        <v>1987</v>
      </c>
      <c r="B379" s="16">
        <v>18000000</v>
      </c>
    </row>
    <row r="380" spans="1:2" ht="14.4" x14ac:dyDescent="0.3">
      <c r="A380" s="1" t="s">
        <v>1986</v>
      </c>
      <c r="B380" s="16">
        <v>8500000</v>
      </c>
    </row>
    <row r="381" spans="1:2" ht="14.4" x14ac:dyDescent="0.3">
      <c r="A381" s="1" t="s">
        <v>1985</v>
      </c>
      <c r="B381" s="16">
        <v>8800000</v>
      </c>
    </row>
    <row r="382" spans="1:2" ht="14.4" x14ac:dyDescent="0.3">
      <c r="A382" s="1" t="s">
        <v>1984</v>
      </c>
      <c r="B382" s="16">
        <v>11500000</v>
      </c>
    </row>
    <row r="383" spans="1:2" ht="14.4" x14ac:dyDescent="0.3">
      <c r="A383" s="1" t="s">
        <v>1983</v>
      </c>
      <c r="B383" s="16">
        <v>7000000</v>
      </c>
    </row>
    <row r="384" spans="1:2" ht="14.4" x14ac:dyDescent="0.3">
      <c r="A384" s="1" t="s">
        <v>1982</v>
      </c>
      <c r="B384" s="16">
        <v>10000000</v>
      </c>
    </row>
    <row r="385" spans="1:2" ht="14.4" x14ac:dyDescent="0.3">
      <c r="A385" s="1" t="s">
        <v>1981</v>
      </c>
      <c r="B385" s="16">
        <v>8900000</v>
      </c>
    </row>
    <row r="386" spans="1:2" ht="14.4" x14ac:dyDescent="0.3">
      <c r="A386" s="1" t="s">
        <v>1980</v>
      </c>
      <c r="B386" s="16">
        <v>18000000</v>
      </c>
    </row>
    <row r="387" spans="1:2" ht="14.4" x14ac:dyDescent="0.3">
      <c r="A387" s="1" t="s">
        <v>1979</v>
      </c>
      <c r="B387" s="16">
        <v>15000000</v>
      </c>
    </row>
    <row r="388" spans="1:2" ht="14.4" x14ac:dyDescent="0.3">
      <c r="A388" s="1" t="s">
        <v>1978</v>
      </c>
      <c r="B388" s="16">
        <v>19700000</v>
      </c>
    </row>
    <row r="389" spans="1:2" ht="14.4" x14ac:dyDescent="0.3">
      <c r="A389" s="1" t="s">
        <v>1977</v>
      </c>
      <c r="B389" s="16">
        <v>8400000</v>
      </c>
    </row>
    <row r="390" spans="1:2" ht="14.4" x14ac:dyDescent="0.3">
      <c r="A390" s="1" t="s">
        <v>1975</v>
      </c>
      <c r="B390" s="16">
        <v>11000000</v>
      </c>
    </row>
    <row r="391" spans="1:2" ht="14.4" x14ac:dyDescent="0.3">
      <c r="A391" s="1" t="s">
        <v>1976</v>
      </c>
      <c r="B391" s="16">
        <v>15500000</v>
      </c>
    </row>
    <row r="392" spans="1:2" ht="14.4" x14ac:dyDescent="0.3">
      <c r="A392" s="1" t="s">
        <v>1973</v>
      </c>
      <c r="B392" s="16">
        <v>12200000</v>
      </c>
    </row>
    <row r="393" spans="1:2" ht="14.4" x14ac:dyDescent="0.3">
      <c r="A393" s="1" t="s">
        <v>1972</v>
      </c>
      <c r="B393" s="16">
        <v>15000000</v>
      </c>
    </row>
    <row r="394" spans="1:2" ht="14.4" x14ac:dyDescent="0.3">
      <c r="A394" s="1" t="s">
        <v>1971</v>
      </c>
      <c r="B394" s="16">
        <v>10500000</v>
      </c>
    </row>
    <row r="395" spans="1:2" ht="14.4" x14ac:dyDescent="0.3">
      <c r="A395" s="1" t="s">
        <v>1970</v>
      </c>
      <c r="B395" s="16">
        <v>9000000</v>
      </c>
    </row>
    <row r="396" spans="1:2" ht="14.4" x14ac:dyDescent="0.3">
      <c r="A396" s="1" t="s">
        <v>1969</v>
      </c>
      <c r="B396" s="16">
        <v>8000000</v>
      </c>
    </row>
    <row r="397" spans="1:2" ht="14.4" x14ac:dyDescent="0.3">
      <c r="A397" s="1" t="s">
        <v>1968</v>
      </c>
      <c r="B397" s="16">
        <v>19000000</v>
      </c>
    </row>
    <row r="398" spans="1:2" ht="14.4" x14ac:dyDescent="0.3">
      <c r="A398" s="1" t="s">
        <v>1967</v>
      </c>
      <c r="B398" s="16">
        <v>5500000</v>
      </c>
    </row>
    <row r="399" spans="1:2" ht="14.4" x14ac:dyDescent="0.3">
      <c r="A399" s="1" t="s">
        <v>1966</v>
      </c>
      <c r="B399" s="16">
        <v>10000000</v>
      </c>
    </row>
    <row r="400" spans="1:2" ht="14.4" x14ac:dyDescent="0.3">
      <c r="A400" s="1" t="s">
        <v>1965</v>
      </c>
      <c r="B400" s="16">
        <v>7700000</v>
      </c>
    </row>
    <row r="401" spans="1:2" ht="14.4" x14ac:dyDescent="0.3">
      <c r="A401" s="1" t="s">
        <v>1963</v>
      </c>
      <c r="B401" s="16">
        <v>10000000</v>
      </c>
    </row>
    <row r="402" spans="1:2" ht="14.4" x14ac:dyDescent="0.3">
      <c r="A402" s="1" t="s">
        <v>1964</v>
      </c>
      <c r="B402" s="16">
        <v>13000000</v>
      </c>
    </row>
    <row r="403" spans="1:2" ht="14.4" x14ac:dyDescent="0.3">
      <c r="A403" s="1" t="s">
        <v>1962</v>
      </c>
      <c r="B403" s="16">
        <v>15900000</v>
      </c>
    </row>
    <row r="404" spans="1:2" ht="14.4" x14ac:dyDescent="0.3">
      <c r="A404" s="1" t="s">
        <v>1961</v>
      </c>
      <c r="B404" s="16">
        <v>27000000</v>
      </c>
    </row>
    <row r="405" spans="1:2" ht="14.4" x14ac:dyDescent="0.3">
      <c r="A405" s="1" t="s">
        <v>1960</v>
      </c>
      <c r="B405" s="16">
        <v>5000000</v>
      </c>
    </row>
    <row r="406" spans="1:2" ht="14.4" x14ac:dyDescent="0.3">
      <c r="A406" s="1" t="s">
        <v>1959</v>
      </c>
      <c r="B406" s="16">
        <v>9840000</v>
      </c>
    </row>
    <row r="407" spans="1:2" ht="14.4" x14ac:dyDescent="0.3">
      <c r="A407" s="1" t="s">
        <v>1958</v>
      </c>
      <c r="B407" s="16">
        <v>11500000</v>
      </c>
    </row>
    <row r="408" spans="1:2" ht="14.4" x14ac:dyDescent="0.3">
      <c r="A408" s="1" t="s">
        <v>1956</v>
      </c>
      <c r="B408" s="16">
        <v>9000000</v>
      </c>
    </row>
    <row r="409" spans="1:2" ht="14.4" x14ac:dyDescent="0.3">
      <c r="A409" s="1" t="s">
        <v>1957</v>
      </c>
      <c r="B409" s="16">
        <v>17500000</v>
      </c>
    </row>
    <row r="410" spans="1:2" ht="14.4" x14ac:dyDescent="0.3">
      <c r="A410" s="1" t="s">
        <v>1955</v>
      </c>
      <c r="B410" s="16">
        <v>15000000</v>
      </c>
    </row>
    <row r="411" spans="1:2" ht="14.4" x14ac:dyDescent="0.3">
      <c r="A411" s="1" t="s">
        <v>1954</v>
      </c>
      <c r="B411" s="16">
        <v>6800000</v>
      </c>
    </row>
    <row r="412" spans="1:2" ht="14.4" x14ac:dyDescent="0.3">
      <c r="A412" s="1" t="s">
        <v>1953</v>
      </c>
      <c r="B412" s="16">
        <v>21000000</v>
      </c>
    </row>
    <row r="413" spans="1:2" ht="14.4" x14ac:dyDescent="0.3">
      <c r="A413" s="1" t="s">
        <v>1952</v>
      </c>
      <c r="B413" s="16">
        <v>17850000</v>
      </c>
    </row>
    <row r="414" spans="1:2" ht="14.4" x14ac:dyDescent="0.3">
      <c r="A414" s="1" t="s">
        <v>1951</v>
      </c>
      <c r="B414" s="16">
        <v>13200000</v>
      </c>
    </row>
    <row r="415" spans="1:2" ht="14.4" x14ac:dyDescent="0.3">
      <c r="A415" s="1" t="s">
        <v>1950</v>
      </c>
      <c r="B415" s="16">
        <v>8000000</v>
      </c>
    </row>
    <row r="416" spans="1:2" ht="14.4" x14ac:dyDescent="0.3">
      <c r="A416" s="1" t="s">
        <v>1949</v>
      </c>
      <c r="B416" s="16">
        <v>6650000</v>
      </c>
    </row>
    <row r="417" spans="1:2" ht="14.4" x14ac:dyDescent="0.3">
      <c r="A417" s="1" t="s">
        <v>1948</v>
      </c>
      <c r="B417" s="16">
        <v>9000000</v>
      </c>
    </row>
    <row r="418" spans="1:2" ht="14.4" x14ac:dyDescent="0.3">
      <c r="A418" s="1" t="s">
        <v>1947</v>
      </c>
      <c r="B418" s="16">
        <v>6000000</v>
      </c>
    </row>
    <row r="419" spans="1:2" ht="14.4" x14ac:dyDescent="0.3">
      <c r="A419" s="1" t="s">
        <v>1946</v>
      </c>
      <c r="B419" s="16">
        <v>18100000</v>
      </c>
    </row>
    <row r="420" spans="1:2" ht="14.4" x14ac:dyDescent="0.3">
      <c r="A420" s="1" t="s">
        <v>1945</v>
      </c>
      <c r="B420" s="16">
        <v>5000000</v>
      </c>
    </row>
    <row r="421" spans="1:2" ht="14.4" x14ac:dyDescent="0.3">
      <c r="A421" s="1" t="s">
        <v>1944</v>
      </c>
      <c r="B421" s="16">
        <v>9000000</v>
      </c>
    </row>
    <row r="422" spans="1:2" ht="14.4" x14ac:dyDescent="0.3">
      <c r="A422" s="1" t="s">
        <v>1943</v>
      </c>
      <c r="B422" s="16">
        <v>4900000</v>
      </c>
    </row>
    <row r="423" spans="1:2" ht="14.4" x14ac:dyDescent="0.3">
      <c r="A423" s="1" t="s">
        <v>1942</v>
      </c>
      <c r="B423" s="16">
        <v>6200000</v>
      </c>
    </row>
    <row r="424" spans="1:2" ht="14.4" x14ac:dyDescent="0.3">
      <c r="A424" s="1" t="s">
        <v>1941</v>
      </c>
      <c r="B424" s="16">
        <v>24000000</v>
      </c>
    </row>
    <row r="425" spans="1:2" ht="14.4" x14ac:dyDescent="0.3">
      <c r="A425" s="1" t="s">
        <v>1940</v>
      </c>
      <c r="B425" s="16">
        <v>22000000</v>
      </c>
    </row>
    <row r="426" spans="1:2" ht="14.4" x14ac:dyDescent="0.3">
      <c r="A426" s="1" t="s">
        <v>1938</v>
      </c>
      <c r="B426" s="16">
        <v>14000000</v>
      </c>
    </row>
    <row r="427" spans="1:2" ht="14.4" x14ac:dyDescent="0.3">
      <c r="A427" s="1" t="s">
        <v>1939</v>
      </c>
      <c r="B427" s="16">
        <v>10500000</v>
      </c>
    </row>
    <row r="428" spans="1:2" ht="14.4" x14ac:dyDescent="0.3">
      <c r="A428" s="1" t="s">
        <v>1937</v>
      </c>
      <c r="B428" s="16">
        <v>4900000</v>
      </c>
    </row>
    <row r="429" spans="1:2" ht="14.4" x14ac:dyDescent="0.3">
      <c r="A429" s="1" t="s">
        <v>1936</v>
      </c>
      <c r="B429" s="16">
        <v>14500000</v>
      </c>
    </row>
    <row r="430" spans="1:2" ht="14.4" x14ac:dyDescent="0.3">
      <c r="A430" s="1" t="s">
        <v>1935</v>
      </c>
      <c r="B430" s="16">
        <v>10200000</v>
      </c>
    </row>
    <row r="431" spans="1:2" ht="14.4" x14ac:dyDescent="0.3">
      <c r="A431" s="1" t="s">
        <v>1934</v>
      </c>
      <c r="B431" s="16">
        <v>9500000</v>
      </c>
    </row>
    <row r="432" spans="1:2" ht="14.4" x14ac:dyDescent="0.3">
      <c r="A432" s="1" t="s">
        <v>1933</v>
      </c>
      <c r="B432" s="16">
        <v>9000000</v>
      </c>
    </row>
    <row r="433" spans="1:2" ht="14.4" x14ac:dyDescent="0.3">
      <c r="A433" s="1" t="s">
        <v>1932</v>
      </c>
      <c r="B433" s="16">
        <v>10500000</v>
      </c>
    </row>
    <row r="434" spans="1:2" ht="14.4" x14ac:dyDescent="0.3">
      <c r="A434" s="1" t="s">
        <v>440</v>
      </c>
      <c r="B434" s="16">
        <v>11200000</v>
      </c>
    </row>
    <row r="435" spans="1:2" ht="14.4" x14ac:dyDescent="0.3">
      <c r="A435" s="1" t="s">
        <v>1931</v>
      </c>
      <c r="B435" s="16">
        <v>6000000</v>
      </c>
    </row>
    <row r="436" spans="1:2" ht="14.4" x14ac:dyDescent="0.3">
      <c r="A436" s="1" t="s">
        <v>1930</v>
      </c>
      <c r="B436" s="16">
        <v>3500000</v>
      </c>
    </row>
    <row r="437" spans="1:2" ht="14.4" x14ac:dyDescent="0.3">
      <c r="A437" s="1" t="s">
        <v>1921</v>
      </c>
      <c r="B437" s="16">
        <v>7000000</v>
      </c>
    </row>
    <row r="438" spans="1:2" ht="14.4" x14ac:dyDescent="0.3">
      <c r="A438" s="1" t="s">
        <v>105</v>
      </c>
      <c r="B438" s="16">
        <v>18000000</v>
      </c>
    </row>
    <row r="439" spans="1:2" ht="14.4" x14ac:dyDescent="0.3">
      <c r="A439" s="1" t="s">
        <v>1929</v>
      </c>
      <c r="B439" s="16">
        <v>32886100</v>
      </c>
    </row>
    <row r="440" spans="1:2" ht="14.4" x14ac:dyDescent="0.3">
      <c r="A440" s="1" t="s">
        <v>1928</v>
      </c>
      <c r="B440" s="16">
        <v>12300000</v>
      </c>
    </row>
    <row r="441" spans="1:2" ht="14.4" x14ac:dyDescent="0.3">
      <c r="A441" s="1" t="s">
        <v>1927</v>
      </c>
      <c r="B441" s="16">
        <v>4350000</v>
      </c>
    </row>
    <row r="442" spans="1:2" ht="14.4" x14ac:dyDescent="0.3">
      <c r="A442" s="1" t="s">
        <v>1926</v>
      </c>
      <c r="B442" s="16">
        <v>28000000</v>
      </c>
    </row>
    <row r="443" spans="1:2" ht="14.4" x14ac:dyDescent="0.3">
      <c r="A443" s="1" t="s">
        <v>1925</v>
      </c>
      <c r="B443" s="16">
        <v>9000000</v>
      </c>
    </row>
    <row r="444" spans="1:2" ht="14.4" x14ac:dyDescent="0.3">
      <c r="A444" s="1" t="s">
        <v>1924</v>
      </c>
      <c r="B444" s="16">
        <v>8250000</v>
      </c>
    </row>
    <row r="445" spans="1:2" ht="14.4" x14ac:dyDescent="0.3">
      <c r="A445" s="1" t="s">
        <v>1923</v>
      </c>
      <c r="B445" s="16">
        <v>12300000</v>
      </c>
    </row>
    <row r="446" spans="1:2" ht="14.4" x14ac:dyDescent="0.3">
      <c r="A446" s="1" t="s">
        <v>1922</v>
      </c>
      <c r="B446" s="16">
        <v>6500000</v>
      </c>
    </row>
    <row r="447" spans="1:2" ht="14.4" x14ac:dyDescent="0.3">
      <c r="A447" s="1" t="s">
        <v>1920</v>
      </c>
      <c r="B447" s="16">
        <v>19000000</v>
      </c>
    </row>
    <row r="448" spans="1:2" ht="14.4" x14ac:dyDescent="0.3">
      <c r="A448" s="1" t="s">
        <v>1919</v>
      </c>
      <c r="B448" s="16">
        <v>8000000</v>
      </c>
    </row>
    <row r="449" spans="1:2" ht="14.4" x14ac:dyDescent="0.3">
      <c r="A449" s="1" t="s">
        <v>1918</v>
      </c>
      <c r="B449" s="16">
        <v>18000000</v>
      </c>
    </row>
    <row r="450" spans="1:2" ht="14.4" x14ac:dyDescent="0.3">
      <c r="A450" s="1" t="s">
        <v>1917</v>
      </c>
      <c r="B450" s="16">
        <v>4000000</v>
      </c>
    </row>
    <row r="451" spans="1:2" ht="14.4" x14ac:dyDescent="0.3">
      <c r="A451" s="1" t="s">
        <v>1916</v>
      </c>
      <c r="B451" s="16">
        <v>4300000</v>
      </c>
    </row>
    <row r="452" spans="1:2" ht="14.4" x14ac:dyDescent="0.3">
      <c r="A452" s="1" t="s">
        <v>1915</v>
      </c>
      <c r="B452" s="16">
        <v>12000000</v>
      </c>
    </row>
    <row r="453" spans="1:2" ht="14.4" x14ac:dyDescent="0.3">
      <c r="A453" s="1" t="s">
        <v>1914</v>
      </c>
      <c r="B453" s="16">
        <v>9000000</v>
      </c>
    </row>
    <row r="454" spans="1:2" ht="14.4" x14ac:dyDescent="0.3">
      <c r="A454" s="1" t="s">
        <v>1913</v>
      </c>
      <c r="B454" s="16">
        <v>10200000</v>
      </c>
    </row>
    <row r="455" spans="1:2" ht="14.4" x14ac:dyDescent="0.3">
      <c r="A455" s="1" t="s">
        <v>1912</v>
      </c>
      <c r="B455" s="16">
        <v>4000000</v>
      </c>
    </row>
    <row r="456" spans="1:2" ht="14.4" x14ac:dyDescent="0.3">
      <c r="A456" s="1" t="s">
        <v>1911</v>
      </c>
      <c r="B456" s="16">
        <v>8700000</v>
      </c>
    </row>
    <row r="457" spans="1:2" ht="14.4" x14ac:dyDescent="0.3">
      <c r="A457" s="1" t="s">
        <v>1910</v>
      </c>
      <c r="B457" s="16">
        <v>4600000</v>
      </c>
    </row>
    <row r="458" spans="1:2" ht="14.4" x14ac:dyDescent="0.3">
      <c r="A458" s="1" t="s">
        <v>1909</v>
      </c>
      <c r="B458" s="16">
        <v>6000000</v>
      </c>
    </row>
    <row r="459" spans="1:2" ht="14.4" x14ac:dyDescent="0.3">
      <c r="A459" s="1" t="s">
        <v>1908</v>
      </c>
      <c r="B459" s="16">
        <v>8300000</v>
      </c>
    </row>
    <row r="460" spans="1:2" ht="14.4" x14ac:dyDescent="0.3">
      <c r="A460" s="1" t="s">
        <v>1907</v>
      </c>
      <c r="B460" s="16">
        <v>6000000</v>
      </c>
    </row>
    <row r="461" spans="1:2" ht="14.4" x14ac:dyDescent="0.3">
      <c r="A461" s="1" t="s">
        <v>1906</v>
      </c>
      <c r="B461" s="16">
        <v>5150000</v>
      </c>
    </row>
    <row r="462" spans="1:2" ht="14.4" x14ac:dyDescent="0.3">
      <c r="A462" s="1" t="s">
        <v>1905</v>
      </c>
      <c r="B462" s="16">
        <v>7500000</v>
      </c>
    </row>
    <row r="463" spans="1:2" ht="14.4" x14ac:dyDescent="0.3">
      <c r="A463" s="1" t="s">
        <v>1904</v>
      </c>
      <c r="B463" s="16">
        <v>7700000</v>
      </c>
    </row>
    <row r="464" spans="1:2" ht="14.4" x14ac:dyDescent="0.3">
      <c r="A464" s="1" t="s">
        <v>1903</v>
      </c>
      <c r="B464" s="16">
        <v>10200000</v>
      </c>
    </row>
    <row r="465" spans="1:2" ht="14.4" x14ac:dyDescent="0.3">
      <c r="A465" s="1" t="s">
        <v>1902</v>
      </c>
      <c r="B465" s="16">
        <v>43000000</v>
      </c>
    </row>
    <row r="466" spans="1:2" ht="14.4" x14ac:dyDescent="0.3">
      <c r="A466" s="1" t="s">
        <v>1900</v>
      </c>
      <c r="B466" s="16">
        <v>8000000</v>
      </c>
    </row>
    <row r="467" spans="1:2" ht="14.4" x14ac:dyDescent="0.3">
      <c r="A467" s="1" t="s">
        <v>1901</v>
      </c>
      <c r="B467" s="16">
        <v>6300000</v>
      </c>
    </row>
    <row r="468" spans="1:2" ht="14.4" x14ac:dyDescent="0.3">
      <c r="A468" s="1" t="s">
        <v>1899</v>
      </c>
      <c r="B468" s="16">
        <v>8400000</v>
      </c>
    </row>
    <row r="469" spans="1:2" ht="14.4" x14ac:dyDescent="0.3">
      <c r="A469" s="1" t="s">
        <v>1898</v>
      </c>
      <c r="B469" s="16">
        <v>11800000</v>
      </c>
    </row>
    <row r="470" spans="1:2" ht="14.4" x14ac:dyDescent="0.3">
      <c r="A470" s="1" t="s">
        <v>1897</v>
      </c>
      <c r="B470" s="16">
        <v>11000000</v>
      </c>
    </row>
    <row r="471" spans="1:2" ht="14.4" x14ac:dyDescent="0.3">
      <c r="A471" s="1" t="s">
        <v>1896</v>
      </c>
      <c r="B471" s="16">
        <v>14000000</v>
      </c>
    </row>
    <row r="472" spans="1:2" ht="14.4" x14ac:dyDescent="0.3">
      <c r="A472" s="1" t="s">
        <v>1895</v>
      </c>
      <c r="B472" s="16">
        <v>6800000</v>
      </c>
    </row>
    <row r="473" spans="1:2" ht="14.4" x14ac:dyDescent="0.3">
      <c r="A473" s="1" t="s">
        <v>1894</v>
      </c>
      <c r="B473" s="16">
        <v>19000000</v>
      </c>
    </row>
    <row r="474" spans="1:2" ht="14.4" x14ac:dyDescent="0.3">
      <c r="A474" s="1" t="s">
        <v>1893</v>
      </c>
      <c r="B474" s="16">
        <v>12000000</v>
      </c>
    </row>
    <row r="475" spans="1:2" ht="14.4" x14ac:dyDescent="0.3">
      <c r="A475" s="1" t="s">
        <v>1892</v>
      </c>
      <c r="B475" s="16">
        <v>13000000</v>
      </c>
    </row>
    <row r="476" spans="1:2" ht="14.4" x14ac:dyDescent="0.3">
      <c r="A476" s="1" t="s">
        <v>1891</v>
      </c>
      <c r="B476" s="16">
        <v>10200000</v>
      </c>
    </row>
    <row r="477" spans="1:2" ht="14.4" x14ac:dyDescent="0.3">
      <c r="A477" s="1" t="s">
        <v>1890</v>
      </c>
      <c r="B477" s="16">
        <v>11000000</v>
      </c>
    </row>
    <row r="478" spans="1:2" ht="14.4" x14ac:dyDescent="0.3">
      <c r="A478" s="1" t="s">
        <v>1888</v>
      </c>
      <c r="B478" s="16">
        <v>12500000</v>
      </c>
    </row>
    <row r="479" spans="1:2" ht="14.4" x14ac:dyDescent="0.3">
      <c r="A479" s="1" t="s">
        <v>1889</v>
      </c>
      <c r="B479" s="16">
        <v>16000000</v>
      </c>
    </row>
    <row r="480" spans="1:2" ht="14.4" x14ac:dyDescent="0.3">
      <c r="A480" s="1" t="s">
        <v>1855</v>
      </c>
      <c r="B480" s="16">
        <v>32000000</v>
      </c>
    </row>
    <row r="481" spans="1:2" ht="14.4" x14ac:dyDescent="0.3">
      <c r="A481" s="1" t="s">
        <v>1887</v>
      </c>
      <c r="B481" s="16">
        <v>22500000</v>
      </c>
    </row>
    <row r="482" spans="1:2" ht="14.4" x14ac:dyDescent="0.3">
      <c r="A482" s="1" t="s">
        <v>1886</v>
      </c>
      <c r="B482" s="16">
        <v>7100000</v>
      </c>
    </row>
    <row r="483" spans="1:2" ht="14.4" x14ac:dyDescent="0.3">
      <c r="A483" s="1" t="s">
        <v>1884</v>
      </c>
      <c r="B483" s="16">
        <v>21000000</v>
      </c>
    </row>
    <row r="484" spans="1:2" ht="14.4" x14ac:dyDescent="0.3">
      <c r="A484" s="1" t="s">
        <v>1885</v>
      </c>
      <c r="B484" s="16">
        <v>18350000</v>
      </c>
    </row>
    <row r="485" spans="1:2" ht="14.4" x14ac:dyDescent="0.3">
      <c r="A485" s="1" t="s">
        <v>1883</v>
      </c>
      <c r="B485" s="16">
        <v>3700000</v>
      </c>
    </row>
    <row r="486" spans="1:2" ht="14.4" x14ac:dyDescent="0.3">
      <c r="A486" s="1" t="s">
        <v>1882</v>
      </c>
      <c r="B486" s="16">
        <v>10000000</v>
      </c>
    </row>
    <row r="487" spans="1:2" ht="14.4" x14ac:dyDescent="0.3">
      <c r="A487" s="1" t="s">
        <v>1881</v>
      </c>
      <c r="B487" s="16">
        <v>11500000</v>
      </c>
    </row>
    <row r="488" spans="1:2" ht="14.4" x14ac:dyDescent="0.3">
      <c r="A488" s="1" t="s">
        <v>1880</v>
      </c>
      <c r="B488" s="16">
        <v>29000000</v>
      </c>
    </row>
    <row r="489" spans="1:2" ht="14.4" x14ac:dyDescent="0.3">
      <c r="A489" s="1" t="s">
        <v>1879</v>
      </c>
      <c r="B489" s="16">
        <v>17000000</v>
      </c>
    </row>
    <row r="490" spans="1:2" ht="14.4" x14ac:dyDescent="0.3">
      <c r="A490" s="1" t="s">
        <v>1878</v>
      </c>
      <c r="B490" s="16">
        <v>13000000</v>
      </c>
    </row>
    <row r="491" spans="1:2" ht="14.4" x14ac:dyDescent="0.3">
      <c r="A491" s="1" t="s">
        <v>1877</v>
      </c>
      <c r="B491" s="16">
        <v>19300000</v>
      </c>
    </row>
    <row r="492" spans="1:2" ht="14.4" x14ac:dyDescent="0.3">
      <c r="A492" s="1" t="s">
        <v>1876</v>
      </c>
      <c r="B492" s="16">
        <v>7000000</v>
      </c>
    </row>
    <row r="493" spans="1:2" ht="14.4" x14ac:dyDescent="0.3">
      <c r="A493" s="1" t="s">
        <v>1625</v>
      </c>
      <c r="B493" s="16">
        <v>19500000</v>
      </c>
    </row>
    <row r="494" spans="1:2" ht="14.4" x14ac:dyDescent="0.3">
      <c r="A494" s="1" t="s">
        <v>1875</v>
      </c>
      <c r="B494" s="16">
        <v>9500000</v>
      </c>
    </row>
    <row r="495" spans="1:2" ht="14.4" x14ac:dyDescent="0.3">
      <c r="A495" s="1" t="s">
        <v>1874</v>
      </c>
      <c r="B495" s="16">
        <v>13000000</v>
      </c>
    </row>
    <row r="496" spans="1:2" ht="14.4" x14ac:dyDescent="0.3">
      <c r="A496" s="1" t="s">
        <v>1873</v>
      </c>
      <c r="B496" s="16">
        <v>1</v>
      </c>
    </row>
    <row r="497" spans="1:2" ht="14.4" x14ac:dyDescent="0.3">
      <c r="A497" s="1" t="s">
        <v>1868</v>
      </c>
      <c r="B497" s="16">
        <v>9000000</v>
      </c>
    </row>
    <row r="498" spans="1:2" ht="14.4" x14ac:dyDescent="0.3">
      <c r="A498" s="1" t="s">
        <v>1872</v>
      </c>
      <c r="B498" s="16">
        <v>10000000</v>
      </c>
    </row>
    <row r="499" spans="1:2" ht="14.4" x14ac:dyDescent="0.3">
      <c r="A499" s="1" t="s">
        <v>1871</v>
      </c>
      <c r="B499" s="16">
        <v>7500000</v>
      </c>
    </row>
    <row r="500" spans="1:2" ht="14.4" x14ac:dyDescent="0.3">
      <c r="A500" s="1" t="s">
        <v>1869</v>
      </c>
      <c r="B500" s="16">
        <v>13000000</v>
      </c>
    </row>
    <row r="501" spans="1:2" ht="14.4" x14ac:dyDescent="0.3">
      <c r="A501" s="1" t="s">
        <v>1870</v>
      </c>
      <c r="B501" s="16">
        <v>8500000</v>
      </c>
    </row>
    <row r="502" spans="1:2" ht="14.4" x14ac:dyDescent="0.3">
      <c r="A502" s="1" t="s">
        <v>1867</v>
      </c>
      <c r="B502" s="16">
        <v>11800000</v>
      </c>
    </row>
    <row r="503" spans="1:2" ht="14.4" x14ac:dyDescent="0.3">
      <c r="A503" s="1" t="s">
        <v>1866</v>
      </c>
      <c r="B503" s="16">
        <v>6000000</v>
      </c>
    </row>
    <row r="504" spans="1:2" ht="14.4" x14ac:dyDescent="0.3">
      <c r="A504" s="1" t="s">
        <v>1865</v>
      </c>
      <c r="B504" s="16">
        <v>14000000</v>
      </c>
    </row>
    <row r="505" spans="1:2" ht="14.4" x14ac:dyDescent="0.3">
      <c r="A505" s="1" t="s">
        <v>1864</v>
      </c>
      <c r="B505" s="16">
        <v>10700000</v>
      </c>
    </row>
    <row r="506" spans="1:2" ht="14.4" x14ac:dyDescent="0.3">
      <c r="A506" s="1" t="s">
        <v>1863</v>
      </c>
      <c r="B506" s="16">
        <v>19500000</v>
      </c>
    </row>
    <row r="507" spans="1:2" ht="14.4" x14ac:dyDescent="0.3">
      <c r="A507" s="1" t="s">
        <v>1862</v>
      </c>
      <c r="B507" s="16">
        <v>18000000</v>
      </c>
    </row>
    <row r="508" spans="1:2" ht="14.4" x14ac:dyDescent="0.3">
      <c r="A508" s="1" t="s">
        <v>1861</v>
      </c>
      <c r="B508" s="16">
        <v>9500000</v>
      </c>
    </row>
    <row r="509" spans="1:2" ht="14.4" x14ac:dyDescent="0.3">
      <c r="A509" s="1" t="s">
        <v>1860</v>
      </c>
      <c r="B509" s="16">
        <v>8000000</v>
      </c>
    </row>
    <row r="510" spans="1:2" ht="14.4" x14ac:dyDescent="0.3">
      <c r="A510" s="1" t="s">
        <v>1859</v>
      </c>
      <c r="B510" s="16">
        <v>4400000</v>
      </c>
    </row>
    <row r="511" spans="1:2" ht="14.4" x14ac:dyDescent="0.3">
      <c r="A511" s="1" t="s">
        <v>1849</v>
      </c>
      <c r="B511" s="16">
        <v>13500000</v>
      </c>
    </row>
    <row r="512" spans="1:2" ht="14.4" x14ac:dyDescent="0.3">
      <c r="A512" s="1" t="s">
        <v>1858</v>
      </c>
      <c r="B512" s="16">
        <v>26990000</v>
      </c>
    </row>
    <row r="513" spans="1:2" ht="14.4" x14ac:dyDescent="0.3">
      <c r="A513" s="1" t="s">
        <v>1857</v>
      </c>
      <c r="B513" s="16">
        <v>5840000</v>
      </c>
    </row>
    <row r="514" spans="1:2" ht="14.4" x14ac:dyDescent="0.3">
      <c r="A514" s="1" t="s">
        <v>1856</v>
      </c>
      <c r="B514" s="16">
        <v>7200000</v>
      </c>
    </row>
    <row r="515" spans="1:2" ht="14.4" x14ac:dyDescent="0.3">
      <c r="A515" s="1" t="s">
        <v>1854</v>
      </c>
      <c r="B515" s="16">
        <v>12500000</v>
      </c>
    </row>
    <row r="516" spans="1:2" ht="14.4" x14ac:dyDescent="0.3">
      <c r="A516" s="1" t="s">
        <v>1853</v>
      </c>
      <c r="B516" s="16">
        <v>5650000</v>
      </c>
    </row>
    <row r="517" spans="1:2" ht="14.4" x14ac:dyDescent="0.3">
      <c r="A517" s="1" t="s">
        <v>1852</v>
      </c>
      <c r="B517" s="16">
        <v>14500000</v>
      </c>
    </row>
    <row r="518" spans="1:2" ht="14.4" x14ac:dyDescent="0.3">
      <c r="A518" s="1" t="s">
        <v>1851</v>
      </c>
      <c r="B518" s="16">
        <v>7000000</v>
      </c>
    </row>
    <row r="519" spans="1:2" ht="14.4" x14ac:dyDescent="0.3">
      <c r="A519" s="1" t="s">
        <v>1850</v>
      </c>
      <c r="B519" s="16">
        <v>7800000</v>
      </c>
    </row>
    <row r="520" spans="1:2" ht="14.4" x14ac:dyDescent="0.3">
      <c r="A520" s="1" t="s">
        <v>1848</v>
      </c>
      <c r="B520" s="16">
        <v>30000000</v>
      </c>
    </row>
    <row r="521" spans="1:2" ht="14.4" x14ac:dyDescent="0.3">
      <c r="A521" s="1" t="s">
        <v>1846</v>
      </c>
      <c r="B521" s="16">
        <v>13100000</v>
      </c>
    </row>
    <row r="522" spans="1:2" ht="14.4" x14ac:dyDescent="0.3">
      <c r="A522" s="1" t="s">
        <v>1845</v>
      </c>
      <c r="B522" s="16">
        <v>7500000</v>
      </c>
    </row>
    <row r="523" spans="1:2" ht="14.4" x14ac:dyDescent="0.3">
      <c r="A523" s="1" t="s">
        <v>1844</v>
      </c>
      <c r="B523" s="16">
        <v>11000000</v>
      </c>
    </row>
    <row r="524" spans="1:2" ht="14.4" x14ac:dyDescent="0.3">
      <c r="A524" s="1" t="s">
        <v>1843</v>
      </c>
      <c r="B524" s="16">
        <v>24000000</v>
      </c>
    </row>
    <row r="525" spans="1:2" ht="14.4" x14ac:dyDescent="0.3">
      <c r="A525" s="1" t="s">
        <v>1842</v>
      </c>
      <c r="B525" s="16">
        <v>14000000</v>
      </c>
    </row>
    <row r="526" spans="1:2" ht="14.4" x14ac:dyDescent="0.3">
      <c r="A526" s="1" t="s">
        <v>1841</v>
      </c>
      <c r="B526" s="16">
        <v>10500000</v>
      </c>
    </row>
    <row r="527" spans="1:2" ht="14.4" x14ac:dyDescent="0.3">
      <c r="A527" s="1" t="s">
        <v>1840</v>
      </c>
      <c r="B527" s="16">
        <v>14300000</v>
      </c>
    </row>
    <row r="528" spans="1:2" ht="14.4" x14ac:dyDescent="0.3">
      <c r="A528" s="1" t="s">
        <v>1839</v>
      </c>
      <c r="B528" s="16">
        <v>7800000</v>
      </c>
    </row>
    <row r="529" spans="1:2" ht="14.4" x14ac:dyDescent="0.3">
      <c r="A529" s="1" t="s">
        <v>1838</v>
      </c>
      <c r="B529" s="16">
        <v>8000000</v>
      </c>
    </row>
    <row r="530" spans="1:2" ht="14.4" x14ac:dyDescent="0.3">
      <c r="A530" s="1" t="s">
        <v>1832</v>
      </c>
      <c r="B530" s="16">
        <v>22000000</v>
      </c>
    </row>
    <row r="531" spans="1:2" ht="14.4" x14ac:dyDescent="0.3">
      <c r="A531" s="1" t="s">
        <v>1837</v>
      </c>
      <c r="B531" s="16">
        <v>4700000</v>
      </c>
    </row>
    <row r="532" spans="1:2" ht="14.4" x14ac:dyDescent="0.3">
      <c r="A532" s="1" t="s">
        <v>1836</v>
      </c>
      <c r="B532" s="16">
        <v>7500000</v>
      </c>
    </row>
    <row r="533" spans="1:2" ht="14.4" x14ac:dyDescent="0.3">
      <c r="A533" s="1" t="s">
        <v>1835</v>
      </c>
      <c r="B533" s="16">
        <v>25000000</v>
      </c>
    </row>
    <row r="534" spans="1:2" ht="14.4" x14ac:dyDescent="0.3">
      <c r="A534" s="1" t="s">
        <v>1834</v>
      </c>
      <c r="B534" s="16">
        <v>12000000</v>
      </c>
    </row>
    <row r="535" spans="1:2" ht="14.4" x14ac:dyDescent="0.3">
      <c r="A535" s="1" t="s">
        <v>1833</v>
      </c>
      <c r="B535" s="16">
        <v>38000000</v>
      </c>
    </row>
    <row r="536" spans="1:2" ht="14.4" x14ac:dyDescent="0.3">
      <c r="A536" s="1" t="s">
        <v>1831</v>
      </c>
      <c r="B536" s="16">
        <v>18000000</v>
      </c>
    </row>
    <row r="537" spans="1:2" ht="14.4" x14ac:dyDescent="0.3">
      <c r="A537" s="1" t="s">
        <v>1830</v>
      </c>
      <c r="B537" s="16">
        <v>14990000</v>
      </c>
    </row>
    <row r="538" spans="1:2" ht="14.4" x14ac:dyDescent="0.3">
      <c r="A538" s="1" t="s">
        <v>1829</v>
      </c>
      <c r="B538" s="16">
        <v>4800000</v>
      </c>
    </row>
    <row r="539" spans="1:2" ht="14.4" x14ac:dyDescent="0.3">
      <c r="A539" s="1" t="s">
        <v>1828</v>
      </c>
      <c r="B539" s="16">
        <v>10300000</v>
      </c>
    </row>
    <row r="540" spans="1:2" ht="14.4" x14ac:dyDescent="0.3">
      <c r="A540" s="1" t="s">
        <v>1827</v>
      </c>
      <c r="B540" s="16">
        <v>12500000</v>
      </c>
    </row>
    <row r="541" spans="1:2" ht="14.4" x14ac:dyDescent="0.3">
      <c r="A541" s="1" t="s">
        <v>1826</v>
      </c>
      <c r="B541" s="16">
        <v>12500000</v>
      </c>
    </row>
    <row r="542" spans="1:2" ht="14.4" x14ac:dyDescent="0.3">
      <c r="A542" s="1" t="s">
        <v>1825</v>
      </c>
      <c r="B542" s="16">
        <v>8200000</v>
      </c>
    </row>
    <row r="543" spans="1:2" ht="14.4" x14ac:dyDescent="0.3">
      <c r="A543" s="1" t="s">
        <v>1824</v>
      </c>
      <c r="B543" s="16">
        <v>18500000</v>
      </c>
    </row>
    <row r="544" spans="1:2" ht="14.4" x14ac:dyDescent="0.3">
      <c r="A544" s="1" t="s">
        <v>1823</v>
      </c>
      <c r="B544" s="16">
        <v>12500000</v>
      </c>
    </row>
    <row r="545" spans="1:2" ht="14.4" x14ac:dyDescent="0.3">
      <c r="A545" s="1" t="s">
        <v>1822</v>
      </c>
      <c r="B545" s="16">
        <v>17000000</v>
      </c>
    </row>
    <row r="546" spans="1:2" ht="14.4" x14ac:dyDescent="0.3">
      <c r="A546" s="1" t="s">
        <v>1821</v>
      </c>
      <c r="B546" s="16">
        <v>27000000</v>
      </c>
    </row>
    <row r="547" spans="1:2" ht="14.4" x14ac:dyDescent="0.3">
      <c r="A547" s="1" t="s">
        <v>1820</v>
      </c>
      <c r="B547" s="16">
        <v>13000000</v>
      </c>
    </row>
    <row r="548" spans="1:2" ht="14.4" x14ac:dyDescent="0.3">
      <c r="A548" s="1" t="s">
        <v>1819</v>
      </c>
      <c r="B548" s="16">
        <v>5500000</v>
      </c>
    </row>
    <row r="549" spans="1:2" ht="14.4" x14ac:dyDescent="0.3">
      <c r="A549" s="1" t="s">
        <v>1818</v>
      </c>
      <c r="B549" s="16">
        <v>12000000</v>
      </c>
    </row>
    <row r="550" spans="1:2" ht="14.4" x14ac:dyDescent="0.3">
      <c r="A550" s="1" t="s">
        <v>1817</v>
      </c>
      <c r="B550" s="16">
        <v>8300000</v>
      </c>
    </row>
    <row r="551" spans="1:2" ht="14.4" x14ac:dyDescent="0.3">
      <c r="A551" s="1" t="s">
        <v>1816</v>
      </c>
      <c r="B551" s="16">
        <v>10500000</v>
      </c>
    </row>
    <row r="552" spans="1:2" ht="14.4" x14ac:dyDescent="0.3">
      <c r="A552" s="1" t="s">
        <v>1815</v>
      </c>
      <c r="B552" s="16">
        <v>9000000</v>
      </c>
    </row>
    <row r="553" spans="1:2" ht="14.4" x14ac:dyDescent="0.3">
      <c r="A553" s="1" t="s">
        <v>1814</v>
      </c>
      <c r="B553" s="16">
        <v>36000000</v>
      </c>
    </row>
    <row r="554" spans="1:2" ht="14.4" x14ac:dyDescent="0.3">
      <c r="A554" s="1" t="s">
        <v>1813</v>
      </c>
      <c r="B554" s="16">
        <v>5500000</v>
      </c>
    </row>
    <row r="555" spans="1:2" ht="14.4" x14ac:dyDescent="0.3">
      <c r="A555" s="1" t="s">
        <v>1812</v>
      </c>
      <c r="B555" s="16">
        <v>14300000</v>
      </c>
    </row>
    <row r="556" spans="1:2" ht="14.4" x14ac:dyDescent="0.3">
      <c r="A556" s="1" t="s">
        <v>1811</v>
      </c>
      <c r="B556" s="16">
        <v>7000000</v>
      </c>
    </row>
    <row r="557" spans="1:2" ht="14.4" x14ac:dyDescent="0.3">
      <c r="A557" s="1" t="s">
        <v>1810</v>
      </c>
      <c r="B557" s="16">
        <v>7650000</v>
      </c>
    </row>
    <row r="558" spans="1:2" ht="14.4" x14ac:dyDescent="0.3">
      <c r="A558" s="1" t="s">
        <v>1809</v>
      </c>
      <c r="B558" s="16">
        <v>14500000</v>
      </c>
    </row>
    <row r="559" spans="1:2" ht="14.4" x14ac:dyDescent="0.3">
      <c r="A559" s="1" t="s">
        <v>1808</v>
      </c>
      <c r="B559" s="16">
        <v>9000000</v>
      </c>
    </row>
    <row r="560" spans="1:2" ht="14.4" x14ac:dyDescent="0.3">
      <c r="A560" s="1" t="s">
        <v>1807</v>
      </c>
      <c r="B560" s="16">
        <v>11800000</v>
      </c>
    </row>
    <row r="561" spans="1:2" ht="14.4" x14ac:dyDescent="0.3">
      <c r="A561" s="1" t="s">
        <v>1806</v>
      </c>
      <c r="B561" s="16">
        <v>14500000</v>
      </c>
    </row>
    <row r="562" spans="1:2" ht="14.4" x14ac:dyDescent="0.3">
      <c r="A562" s="1" t="s">
        <v>1805</v>
      </c>
      <c r="B562" s="16">
        <v>9500000</v>
      </c>
    </row>
    <row r="563" spans="1:2" ht="14.4" x14ac:dyDescent="0.3">
      <c r="A563" s="1" t="s">
        <v>1804</v>
      </c>
      <c r="B563" s="16">
        <v>10000000</v>
      </c>
    </row>
    <row r="564" spans="1:2" ht="14.4" x14ac:dyDescent="0.3">
      <c r="A564" s="1" t="s">
        <v>1803</v>
      </c>
      <c r="B564" s="16">
        <v>9700000</v>
      </c>
    </row>
    <row r="565" spans="1:2" ht="14.4" x14ac:dyDescent="0.3">
      <c r="A565" s="1" t="s">
        <v>1802</v>
      </c>
      <c r="B565" s="16">
        <v>8200000</v>
      </c>
    </row>
    <row r="566" spans="1:2" ht="14.4" x14ac:dyDescent="0.3">
      <c r="A566" s="1" t="s">
        <v>1801</v>
      </c>
      <c r="B566" s="16">
        <v>14500000</v>
      </c>
    </row>
    <row r="567" spans="1:2" ht="14.4" x14ac:dyDescent="0.3">
      <c r="A567" s="1" t="s">
        <v>1800</v>
      </c>
      <c r="B567" s="16">
        <v>11000000</v>
      </c>
    </row>
    <row r="568" spans="1:2" ht="14.4" x14ac:dyDescent="0.3">
      <c r="A568" s="1" t="s">
        <v>374</v>
      </c>
      <c r="B568" s="16">
        <v>11000000</v>
      </c>
    </row>
    <row r="569" spans="1:2" ht="14.4" x14ac:dyDescent="0.3">
      <c r="A569" s="1" t="s">
        <v>1799</v>
      </c>
      <c r="B569" s="16">
        <v>10000000</v>
      </c>
    </row>
    <row r="570" spans="1:2" ht="14.4" x14ac:dyDescent="0.3">
      <c r="A570" s="1" t="s">
        <v>1798</v>
      </c>
      <c r="B570" s="16">
        <v>6000000</v>
      </c>
    </row>
    <row r="571" spans="1:2" ht="14.4" x14ac:dyDescent="0.3">
      <c r="A571" s="1" t="s">
        <v>1797</v>
      </c>
      <c r="B571" s="16">
        <v>9500000</v>
      </c>
    </row>
    <row r="572" spans="1:2" ht="14.4" x14ac:dyDescent="0.3">
      <c r="A572" s="1" t="s">
        <v>1360</v>
      </c>
      <c r="B572" s="16">
        <v>9700000</v>
      </c>
    </row>
    <row r="573" spans="1:2" ht="14.4" x14ac:dyDescent="0.3">
      <c r="A573" s="1" t="s">
        <v>1796</v>
      </c>
      <c r="B573" s="16">
        <v>22000000</v>
      </c>
    </row>
    <row r="574" spans="1:2" ht="14.4" x14ac:dyDescent="0.3">
      <c r="A574" s="1" t="s">
        <v>1795</v>
      </c>
      <c r="B574" s="16">
        <v>14500000</v>
      </c>
    </row>
    <row r="575" spans="1:2" ht="14.4" x14ac:dyDescent="0.3">
      <c r="A575" s="1" t="s">
        <v>1794</v>
      </c>
      <c r="B575" s="16">
        <v>12200000</v>
      </c>
    </row>
    <row r="576" spans="1:2" ht="14.4" x14ac:dyDescent="0.3">
      <c r="A576" s="1" t="s">
        <v>1793</v>
      </c>
      <c r="B576" s="16">
        <v>11000000</v>
      </c>
    </row>
    <row r="577" spans="1:2" ht="14.4" x14ac:dyDescent="0.3">
      <c r="A577" s="1" t="s">
        <v>1792</v>
      </c>
      <c r="B577" s="16">
        <v>8000000</v>
      </c>
    </row>
    <row r="578" spans="1:2" ht="14.4" x14ac:dyDescent="0.3">
      <c r="A578" s="1" t="s">
        <v>1791</v>
      </c>
      <c r="B578" s="16">
        <v>10500000</v>
      </c>
    </row>
    <row r="579" spans="1:2" ht="14.4" x14ac:dyDescent="0.3">
      <c r="A579" s="1" t="s">
        <v>1790</v>
      </c>
      <c r="B579" s="16">
        <v>16500000</v>
      </c>
    </row>
    <row r="580" spans="1:2" ht="14.4" x14ac:dyDescent="0.3">
      <c r="A580" s="1" t="s">
        <v>1789</v>
      </c>
      <c r="B580" s="16">
        <v>14500000</v>
      </c>
    </row>
    <row r="581" spans="1:2" ht="14.4" x14ac:dyDescent="0.3">
      <c r="A581" s="1" t="s">
        <v>1788</v>
      </c>
      <c r="B581" s="16">
        <v>5300000</v>
      </c>
    </row>
    <row r="582" spans="1:2" ht="14.4" x14ac:dyDescent="0.3">
      <c r="A582" s="1" t="s">
        <v>1787</v>
      </c>
      <c r="B582" s="16">
        <v>8300000</v>
      </c>
    </row>
    <row r="583" spans="1:2" ht="14.4" x14ac:dyDescent="0.3">
      <c r="A583" s="1" t="s">
        <v>1786</v>
      </c>
      <c r="B583" s="16">
        <v>6000000</v>
      </c>
    </row>
    <row r="584" spans="1:2" ht="14.4" x14ac:dyDescent="0.3">
      <c r="A584" s="1" t="s">
        <v>1785</v>
      </c>
      <c r="B584" s="16">
        <v>6000000</v>
      </c>
    </row>
    <row r="585" spans="1:2" ht="14.4" x14ac:dyDescent="0.3">
      <c r="A585" s="1" t="s">
        <v>1784</v>
      </c>
      <c r="B585" s="16">
        <v>4500000</v>
      </c>
    </row>
    <row r="586" spans="1:2" ht="14.4" x14ac:dyDescent="0.3">
      <c r="A586" s="1" t="s">
        <v>1783</v>
      </c>
      <c r="B586" s="16">
        <v>22500000</v>
      </c>
    </row>
    <row r="587" spans="1:2" ht="14.4" x14ac:dyDescent="0.3">
      <c r="A587" s="1" t="s">
        <v>1782</v>
      </c>
      <c r="B587" s="16">
        <v>9000000</v>
      </c>
    </row>
    <row r="588" spans="1:2" ht="14.4" x14ac:dyDescent="0.3">
      <c r="A588" s="1" t="s">
        <v>1781</v>
      </c>
      <c r="B588" s="16">
        <v>6300000</v>
      </c>
    </row>
    <row r="589" spans="1:2" ht="14.4" x14ac:dyDescent="0.3">
      <c r="A589" s="1" t="s">
        <v>1780</v>
      </c>
      <c r="B589" s="16">
        <v>5350000</v>
      </c>
    </row>
    <row r="590" spans="1:2" ht="14.4" x14ac:dyDescent="0.3">
      <c r="A590" s="1" t="s">
        <v>1779</v>
      </c>
      <c r="B590" s="16">
        <v>4600000</v>
      </c>
    </row>
    <row r="591" spans="1:2" ht="14.4" x14ac:dyDescent="0.3">
      <c r="A591" s="1" t="s">
        <v>1778</v>
      </c>
      <c r="B591" s="16">
        <v>6500000</v>
      </c>
    </row>
    <row r="592" spans="1:2" ht="14.4" x14ac:dyDescent="0.3">
      <c r="A592" s="1" t="s">
        <v>1777</v>
      </c>
      <c r="B592" s="16">
        <v>8000000</v>
      </c>
    </row>
    <row r="593" spans="1:2" ht="14.4" x14ac:dyDescent="0.3">
      <c r="A593" s="1" t="s">
        <v>1776</v>
      </c>
      <c r="B593" s="16">
        <v>14000000</v>
      </c>
    </row>
    <row r="594" spans="1:2" ht="14.4" x14ac:dyDescent="0.3">
      <c r="A594" s="1" t="s">
        <v>1775</v>
      </c>
      <c r="B594" s="16">
        <v>9500000</v>
      </c>
    </row>
    <row r="595" spans="1:2" ht="14.4" x14ac:dyDescent="0.3">
      <c r="A595" s="1" t="s">
        <v>1774</v>
      </c>
      <c r="B595" s="16">
        <v>25000000</v>
      </c>
    </row>
    <row r="596" spans="1:2" ht="14.4" x14ac:dyDescent="0.3">
      <c r="A596" s="1" t="s">
        <v>1773</v>
      </c>
      <c r="B596" s="16">
        <v>7000000</v>
      </c>
    </row>
    <row r="597" spans="1:2" ht="14.4" x14ac:dyDescent="0.3">
      <c r="A597" s="1" t="s">
        <v>1772</v>
      </c>
      <c r="B597" s="16">
        <v>6500000</v>
      </c>
    </row>
    <row r="598" spans="1:2" ht="14.4" x14ac:dyDescent="0.3">
      <c r="A598" s="1" t="s">
        <v>1771</v>
      </c>
      <c r="B598" s="16">
        <v>10800000</v>
      </c>
    </row>
    <row r="599" spans="1:2" ht="14.4" x14ac:dyDescent="0.3">
      <c r="A599" s="1" t="s">
        <v>1770</v>
      </c>
      <c r="B599" s="16">
        <v>10500000</v>
      </c>
    </row>
    <row r="600" spans="1:2" ht="14.4" x14ac:dyDescent="0.3">
      <c r="A600" s="1" t="s">
        <v>1769</v>
      </c>
      <c r="B600" s="16">
        <v>14000000</v>
      </c>
    </row>
    <row r="601" spans="1:2" ht="14.4" x14ac:dyDescent="0.3">
      <c r="A601" s="1" t="s">
        <v>1768</v>
      </c>
      <c r="B601" s="16">
        <v>20000000</v>
      </c>
    </row>
    <row r="602" spans="1:2" ht="14.4" x14ac:dyDescent="0.3">
      <c r="A602" s="1" t="s">
        <v>1767</v>
      </c>
      <c r="B602" s="16">
        <v>10000000</v>
      </c>
    </row>
    <row r="603" spans="1:2" ht="14.4" x14ac:dyDescent="0.3">
      <c r="A603" s="1" t="s">
        <v>1766</v>
      </c>
      <c r="B603" s="16">
        <v>5200000</v>
      </c>
    </row>
    <row r="604" spans="1:2" ht="14.4" x14ac:dyDescent="0.3">
      <c r="A604" s="1" t="s">
        <v>1765</v>
      </c>
      <c r="B604" s="16">
        <v>10000000</v>
      </c>
    </row>
    <row r="605" spans="1:2" ht="14.4" x14ac:dyDescent="0.3">
      <c r="A605" s="1" t="s">
        <v>1764</v>
      </c>
      <c r="B605" s="16">
        <v>12500000</v>
      </c>
    </row>
    <row r="606" spans="1:2" ht="14.4" x14ac:dyDescent="0.3">
      <c r="A606" s="1" t="s">
        <v>1763</v>
      </c>
      <c r="B606" s="16">
        <v>11500000</v>
      </c>
    </row>
    <row r="607" spans="1:2" ht="14.4" x14ac:dyDescent="0.3">
      <c r="A607" s="1" t="s">
        <v>924</v>
      </c>
      <c r="B607" s="16">
        <v>17000000</v>
      </c>
    </row>
    <row r="608" spans="1:2" ht="14.4" x14ac:dyDescent="0.3">
      <c r="A608" s="1" t="s">
        <v>1762</v>
      </c>
      <c r="B608" s="16">
        <v>22500000</v>
      </c>
    </row>
    <row r="609" spans="1:2" ht="14.4" x14ac:dyDescent="0.3">
      <c r="A609" s="1" t="s">
        <v>1761</v>
      </c>
      <c r="B609" s="16">
        <v>11800000</v>
      </c>
    </row>
    <row r="610" spans="1:2" ht="14.4" x14ac:dyDescent="0.3">
      <c r="A610" s="1" t="s">
        <v>1760</v>
      </c>
      <c r="B610" s="16">
        <v>8500000</v>
      </c>
    </row>
    <row r="611" spans="1:2" ht="14.4" x14ac:dyDescent="0.3">
      <c r="A611" s="1" t="s">
        <v>1759</v>
      </c>
      <c r="B611" s="16">
        <v>16000000</v>
      </c>
    </row>
    <row r="612" spans="1:2" ht="14.4" x14ac:dyDescent="0.3">
      <c r="A612" s="1" t="s">
        <v>1758</v>
      </c>
      <c r="B612" s="16">
        <v>22500000</v>
      </c>
    </row>
    <row r="613" spans="1:2" ht="14.4" x14ac:dyDescent="0.3">
      <c r="A613" s="1" t="s">
        <v>1757</v>
      </c>
      <c r="B613" s="16">
        <v>8990000</v>
      </c>
    </row>
    <row r="614" spans="1:2" ht="14.4" x14ac:dyDescent="0.3">
      <c r="A614" s="1" t="s">
        <v>1756</v>
      </c>
      <c r="B614" s="16">
        <v>39500000</v>
      </c>
    </row>
    <row r="615" spans="1:2" ht="14.4" x14ac:dyDescent="0.3">
      <c r="A615" s="1" t="s">
        <v>1755</v>
      </c>
      <c r="B615" s="16">
        <v>6000000</v>
      </c>
    </row>
    <row r="616" spans="1:2" ht="14.4" x14ac:dyDescent="0.3">
      <c r="A616" s="1" t="s">
        <v>1754</v>
      </c>
      <c r="B616" s="16">
        <v>7500000</v>
      </c>
    </row>
    <row r="617" spans="1:2" ht="14.4" x14ac:dyDescent="0.3">
      <c r="A617" s="1" t="s">
        <v>1753</v>
      </c>
      <c r="B617" s="16">
        <v>19000000</v>
      </c>
    </row>
    <row r="618" spans="1:2" ht="14.4" x14ac:dyDescent="0.3">
      <c r="A618" s="1" t="s">
        <v>1752</v>
      </c>
      <c r="B618" s="16">
        <v>7000000</v>
      </c>
    </row>
    <row r="619" spans="1:2" ht="14.4" x14ac:dyDescent="0.3">
      <c r="A619" s="1" t="s">
        <v>1751</v>
      </c>
      <c r="B619" s="16">
        <v>9800000</v>
      </c>
    </row>
    <row r="620" spans="1:2" ht="14.4" x14ac:dyDescent="0.3">
      <c r="A620" s="1" t="s">
        <v>1750</v>
      </c>
      <c r="B620" s="16">
        <v>13500000</v>
      </c>
    </row>
    <row r="621" spans="1:2" ht="14.4" x14ac:dyDescent="0.3">
      <c r="A621" s="1" t="s">
        <v>1749</v>
      </c>
      <c r="B621" s="16">
        <v>5000000</v>
      </c>
    </row>
    <row r="622" spans="1:2" ht="14.4" x14ac:dyDescent="0.3">
      <c r="A622" s="1" t="s">
        <v>1748</v>
      </c>
      <c r="B622" s="16">
        <v>4600000</v>
      </c>
    </row>
    <row r="623" spans="1:2" ht="14.4" x14ac:dyDescent="0.3">
      <c r="A623" s="1" t="s">
        <v>1747</v>
      </c>
      <c r="B623" s="16">
        <v>6000000</v>
      </c>
    </row>
    <row r="624" spans="1:2" ht="14.4" x14ac:dyDescent="0.3">
      <c r="A624" s="1" t="s">
        <v>1746</v>
      </c>
      <c r="B624" s="16">
        <v>9300000</v>
      </c>
    </row>
    <row r="625" spans="1:2" ht="14.4" x14ac:dyDescent="0.3">
      <c r="A625" s="1" t="s">
        <v>1745</v>
      </c>
      <c r="B625" s="16">
        <v>14000000</v>
      </c>
    </row>
    <row r="626" spans="1:2" ht="14.4" x14ac:dyDescent="0.3">
      <c r="A626" s="1" t="s">
        <v>1744</v>
      </c>
      <c r="B626" s="16">
        <v>6000000</v>
      </c>
    </row>
    <row r="627" spans="1:2" ht="14.4" x14ac:dyDescent="0.3">
      <c r="A627" s="1" t="s">
        <v>1743</v>
      </c>
      <c r="B627" s="16">
        <v>17000000</v>
      </c>
    </row>
    <row r="628" spans="1:2" ht="14.4" x14ac:dyDescent="0.3">
      <c r="A628" s="1" t="s">
        <v>1742</v>
      </c>
      <c r="B628" s="16">
        <v>9800000</v>
      </c>
    </row>
    <row r="629" spans="1:2" ht="14.4" x14ac:dyDescent="0.3">
      <c r="A629" s="1" t="s">
        <v>1741</v>
      </c>
      <c r="B629" s="16">
        <v>4800000</v>
      </c>
    </row>
    <row r="630" spans="1:2" ht="14.4" x14ac:dyDescent="0.3">
      <c r="A630" s="1" t="s">
        <v>1740</v>
      </c>
      <c r="B630" s="16">
        <v>10000000</v>
      </c>
    </row>
    <row r="631" spans="1:2" ht="14.4" x14ac:dyDescent="0.3">
      <c r="A631" s="1" t="s">
        <v>1739</v>
      </c>
      <c r="B631" s="16">
        <v>6800000</v>
      </c>
    </row>
    <row r="632" spans="1:2" ht="14.4" x14ac:dyDescent="0.3">
      <c r="A632" s="1" t="s">
        <v>1738</v>
      </c>
      <c r="B632" s="16">
        <v>24000000</v>
      </c>
    </row>
    <row r="633" spans="1:2" ht="14.4" x14ac:dyDescent="0.3">
      <c r="A633" s="1" t="s">
        <v>1737</v>
      </c>
      <c r="B633" s="16">
        <v>11300000</v>
      </c>
    </row>
    <row r="634" spans="1:2" ht="14.4" x14ac:dyDescent="0.3">
      <c r="A634" s="1" t="s">
        <v>1736</v>
      </c>
      <c r="B634" s="16">
        <v>18000000</v>
      </c>
    </row>
    <row r="635" spans="1:2" ht="14.4" x14ac:dyDescent="0.3">
      <c r="A635" s="1" t="s">
        <v>1735</v>
      </c>
      <c r="B635" s="16">
        <v>15200000</v>
      </c>
    </row>
    <row r="636" spans="1:2" ht="14.4" x14ac:dyDescent="0.3">
      <c r="A636" s="1" t="s">
        <v>1160</v>
      </c>
      <c r="B636" s="16">
        <v>8000000</v>
      </c>
    </row>
    <row r="637" spans="1:2" ht="14.4" x14ac:dyDescent="0.3">
      <c r="A637" s="1" t="s">
        <v>1734</v>
      </c>
      <c r="B637" s="16">
        <v>4000000</v>
      </c>
    </row>
    <row r="638" spans="1:2" ht="14.4" x14ac:dyDescent="0.3">
      <c r="A638" s="1" t="s">
        <v>1733</v>
      </c>
      <c r="B638" s="16">
        <v>11500000</v>
      </c>
    </row>
    <row r="639" spans="1:2" ht="14.4" x14ac:dyDescent="0.3">
      <c r="A639" s="1" t="s">
        <v>1732</v>
      </c>
      <c r="B639" s="16">
        <v>15000000</v>
      </c>
    </row>
    <row r="640" spans="1:2" ht="14.4" x14ac:dyDescent="0.3">
      <c r="A640" s="1" t="s">
        <v>1731</v>
      </c>
      <c r="B640" s="16">
        <v>11000000</v>
      </c>
    </row>
    <row r="641" spans="1:2" ht="14.4" x14ac:dyDescent="0.3">
      <c r="A641" s="1" t="s">
        <v>1730</v>
      </c>
      <c r="B641" s="16">
        <v>13000000</v>
      </c>
    </row>
    <row r="642" spans="1:2" ht="14.4" x14ac:dyDescent="0.3">
      <c r="A642" s="1" t="s">
        <v>1729</v>
      </c>
      <c r="B642" s="16">
        <v>6500000</v>
      </c>
    </row>
    <row r="643" spans="1:2" ht="14.4" x14ac:dyDescent="0.3">
      <c r="A643" s="1" t="s">
        <v>1728</v>
      </c>
      <c r="B643" s="16">
        <v>31750000</v>
      </c>
    </row>
    <row r="644" spans="1:2" ht="14.4" x14ac:dyDescent="0.3">
      <c r="A644" s="1" t="s">
        <v>1727</v>
      </c>
      <c r="B644" s="16">
        <v>7500000</v>
      </c>
    </row>
    <row r="645" spans="1:2" ht="14.4" x14ac:dyDescent="0.3">
      <c r="A645" s="1" t="s">
        <v>1726</v>
      </c>
      <c r="B645" s="16">
        <v>12700000</v>
      </c>
    </row>
    <row r="646" spans="1:2" ht="14.4" x14ac:dyDescent="0.3">
      <c r="A646" s="1" t="s">
        <v>1725</v>
      </c>
      <c r="B646" s="16">
        <v>8800000</v>
      </c>
    </row>
    <row r="647" spans="1:2" ht="14.4" x14ac:dyDescent="0.3">
      <c r="A647" s="1" t="s">
        <v>1724</v>
      </c>
      <c r="B647" s="16">
        <v>9400000</v>
      </c>
    </row>
    <row r="648" spans="1:2" ht="14.4" x14ac:dyDescent="0.3">
      <c r="A648" s="1" t="s">
        <v>1723</v>
      </c>
      <c r="B648" s="16">
        <v>7500000</v>
      </c>
    </row>
    <row r="649" spans="1:2" ht="14.4" x14ac:dyDescent="0.3">
      <c r="A649" s="1" t="s">
        <v>1722</v>
      </c>
      <c r="B649" s="16">
        <v>8500000</v>
      </c>
    </row>
    <row r="650" spans="1:2" ht="14.4" x14ac:dyDescent="0.3">
      <c r="A650" s="1" t="s">
        <v>1721</v>
      </c>
      <c r="B650" s="16">
        <v>12000000</v>
      </c>
    </row>
    <row r="651" spans="1:2" ht="14.4" x14ac:dyDescent="0.3">
      <c r="A651" s="1" t="s">
        <v>1720</v>
      </c>
      <c r="B651" s="16">
        <v>5500000</v>
      </c>
    </row>
    <row r="652" spans="1:2" ht="14.4" x14ac:dyDescent="0.3">
      <c r="A652" s="1" t="s">
        <v>1719</v>
      </c>
      <c r="B652" s="16">
        <v>10000000</v>
      </c>
    </row>
    <row r="653" spans="1:2" ht="14.4" x14ac:dyDescent="0.3">
      <c r="A653" s="1" t="s">
        <v>1718</v>
      </c>
      <c r="B653" s="16">
        <v>22000000</v>
      </c>
    </row>
    <row r="654" spans="1:2" ht="14.4" x14ac:dyDescent="0.3">
      <c r="A654" s="1" t="s">
        <v>1717</v>
      </c>
      <c r="B654" s="16">
        <v>13500000</v>
      </c>
    </row>
    <row r="655" spans="1:2" ht="14.4" x14ac:dyDescent="0.3">
      <c r="A655" s="1" t="s">
        <v>1716</v>
      </c>
      <c r="B655" s="16">
        <v>20000000</v>
      </c>
    </row>
    <row r="656" spans="1:2" ht="14.4" x14ac:dyDescent="0.3">
      <c r="A656" s="1" t="s">
        <v>1715</v>
      </c>
      <c r="B656" s="16">
        <v>5350000</v>
      </c>
    </row>
    <row r="657" spans="1:2" ht="14.4" x14ac:dyDescent="0.3">
      <c r="A657" s="1" t="s">
        <v>1714</v>
      </c>
      <c r="B657" s="16">
        <v>11500000</v>
      </c>
    </row>
    <row r="658" spans="1:2" ht="14.4" x14ac:dyDescent="0.3">
      <c r="A658" s="1" t="s">
        <v>1713</v>
      </c>
      <c r="B658" s="16">
        <v>36500000</v>
      </c>
    </row>
    <row r="659" spans="1:2" ht="14.4" x14ac:dyDescent="0.3">
      <c r="A659" s="1" t="s">
        <v>1654</v>
      </c>
      <c r="B659" s="16">
        <v>17700000</v>
      </c>
    </row>
    <row r="660" spans="1:2" ht="14.4" x14ac:dyDescent="0.3">
      <c r="A660" s="1" t="s">
        <v>1712</v>
      </c>
      <c r="B660" s="16">
        <v>9900000</v>
      </c>
    </row>
    <row r="661" spans="1:2" ht="14.4" x14ac:dyDescent="0.3">
      <c r="A661" s="1" t="s">
        <v>1711</v>
      </c>
      <c r="B661" s="16">
        <v>18000000</v>
      </c>
    </row>
    <row r="662" spans="1:2" ht="14.4" x14ac:dyDescent="0.3">
      <c r="A662" s="1" t="s">
        <v>1710</v>
      </c>
      <c r="B662" s="16">
        <v>10500000</v>
      </c>
    </row>
    <row r="663" spans="1:2" ht="14.4" x14ac:dyDescent="0.3">
      <c r="A663" s="1" t="s">
        <v>1709</v>
      </c>
      <c r="B663" s="16">
        <v>7500000</v>
      </c>
    </row>
    <row r="664" spans="1:2" ht="14.4" x14ac:dyDescent="0.3">
      <c r="A664" s="1" t="s">
        <v>1708</v>
      </c>
      <c r="B664" s="16">
        <v>45000000</v>
      </c>
    </row>
    <row r="665" spans="1:2" ht="14.4" x14ac:dyDescent="0.3">
      <c r="A665" s="1" t="s">
        <v>1707</v>
      </c>
      <c r="B665" s="16">
        <v>6500000</v>
      </c>
    </row>
    <row r="666" spans="1:2" ht="14.4" x14ac:dyDescent="0.3">
      <c r="A666" s="1" t="s">
        <v>1706</v>
      </c>
      <c r="B666" s="16">
        <v>11000000</v>
      </c>
    </row>
    <row r="667" spans="1:2" ht="14.4" x14ac:dyDescent="0.3">
      <c r="A667" s="1" t="s">
        <v>1705</v>
      </c>
      <c r="B667" s="16">
        <v>14100000</v>
      </c>
    </row>
    <row r="668" spans="1:2" ht="14.4" x14ac:dyDescent="0.3">
      <c r="A668" s="1" t="s">
        <v>1704</v>
      </c>
      <c r="B668" s="16">
        <v>4600000</v>
      </c>
    </row>
    <row r="669" spans="1:2" ht="14.4" x14ac:dyDescent="0.3">
      <c r="A669" s="1" t="s">
        <v>1703</v>
      </c>
      <c r="B669" s="16">
        <v>12500000</v>
      </c>
    </row>
    <row r="670" spans="1:2" ht="14.4" x14ac:dyDescent="0.3">
      <c r="A670" s="1" t="s">
        <v>1701</v>
      </c>
      <c r="B670" s="16">
        <v>9000000</v>
      </c>
    </row>
    <row r="671" spans="1:2" ht="14.4" x14ac:dyDescent="0.3">
      <c r="A671" s="1" t="s">
        <v>1702</v>
      </c>
      <c r="B671" s="16">
        <v>10200000</v>
      </c>
    </row>
    <row r="672" spans="1:2" ht="14.4" x14ac:dyDescent="0.3">
      <c r="A672" s="1" t="s">
        <v>1700</v>
      </c>
      <c r="B672" s="16">
        <v>19000000</v>
      </c>
    </row>
    <row r="673" spans="1:2" ht="14.4" x14ac:dyDescent="0.3">
      <c r="A673" s="1" t="s">
        <v>1699</v>
      </c>
      <c r="B673" s="16">
        <v>12200000</v>
      </c>
    </row>
    <row r="674" spans="1:2" ht="14.4" x14ac:dyDescent="0.3">
      <c r="A674" s="1" t="s">
        <v>1698</v>
      </c>
      <c r="B674" s="16">
        <v>7800000</v>
      </c>
    </row>
    <row r="675" spans="1:2" ht="14.4" x14ac:dyDescent="0.3">
      <c r="A675" s="1" t="s">
        <v>1697</v>
      </c>
      <c r="B675" s="16">
        <v>6000000</v>
      </c>
    </row>
    <row r="676" spans="1:2" ht="14.4" x14ac:dyDescent="0.3">
      <c r="A676" s="1" t="s">
        <v>1696</v>
      </c>
      <c r="B676" s="16">
        <v>8500000</v>
      </c>
    </row>
    <row r="677" spans="1:2" ht="14.4" x14ac:dyDescent="0.3">
      <c r="A677" s="1" t="s">
        <v>1695</v>
      </c>
      <c r="B677" s="16">
        <v>18500000</v>
      </c>
    </row>
    <row r="678" spans="1:2" ht="14.4" x14ac:dyDescent="0.3">
      <c r="A678" s="1" t="s">
        <v>1694</v>
      </c>
      <c r="B678" s="16">
        <v>6500000</v>
      </c>
    </row>
    <row r="679" spans="1:2" ht="14.4" x14ac:dyDescent="0.3">
      <c r="A679" s="1" t="s">
        <v>1657</v>
      </c>
      <c r="B679" s="16">
        <v>21250000</v>
      </c>
    </row>
    <row r="680" spans="1:2" ht="14.4" x14ac:dyDescent="0.3">
      <c r="A680" s="1" t="s">
        <v>1693</v>
      </c>
      <c r="B680" s="16">
        <v>32000000</v>
      </c>
    </row>
    <row r="681" spans="1:2" ht="14.4" x14ac:dyDescent="0.3">
      <c r="A681" s="1" t="s">
        <v>1142</v>
      </c>
      <c r="B681" s="16">
        <v>30200000</v>
      </c>
    </row>
    <row r="682" spans="1:2" ht="14.4" x14ac:dyDescent="0.3">
      <c r="A682" s="1" t="s">
        <v>1692</v>
      </c>
      <c r="B682" s="16">
        <v>21500000</v>
      </c>
    </row>
    <row r="683" spans="1:2" ht="14.4" x14ac:dyDescent="0.3">
      <c r="A683" s="1" t="s">
        <v>1691</v>
      </c>
      <c r="B683" s="16">
        <v>16100000</v>
      </c>
    </row>
    <row r="684" spans="1:2" ht="14.4" x14ac:dyDescent="0.3">
      <c r="A684" s="1" t="s">
        <v>1690</v>
      </c>
      <c r="B684" s="16">
        <v>18000000</v>
      </c>
    </row>
    <row r="685" spans="1:2" ht="14.4" x14ac:dyDescent="0.3">
      <c r="A685" s="1" t="s">
        <v>1689</v>
      </c>
      <c r="B685" s="16">
        <v>7500000</v>
      </c>
    </row>
    <row r="686" spans="1:2" ht="14.4" x14ac:dyDescent="0.3">
      <c r="A686" s="1" t="s">
        <v>1688</v>
      </c>
      <c r="B686" s="16">
        <v>28500000</v>
      </c>
    </row>
    <row r="687" spans="1:2" ht="14.4" x14ac:dyDescent="0.3">
      <c r="A687" s="1" t="s">
        <v>1687</v>
      </c>
      <c r="B687" s="16">
        <v>10000000</v>
      </c>
    </row>
    <row r="688" spans="1:2" ht="14.4" x14ac:dyDescent="0.3">
      <c r="A688" s="1" t="s">
        <v>1686</v>
      </c>
      <c r="B688" s="16">
        <v>9700000</v>
      </c>
    </row>
    <row r="689" spans="1:2" ht="14.4" x14ac:dyDescent="0.3">
      <c r="A689" s="1" t="s">
        <v>1685</v>
      </c>
      <c r="B689" s="16">
        <v>7500000</v>
      </c>
    </row>
    <row r="690" spans="1:2" ht="14.4" x14ac:dyDescent="0.3">
      <c r="A690" s="1" t="s">
        <v>1684</v>
      </c>
      <c r="B690" s="16">
        <v>23800000</v>
      </c>
    </row>
    <row r="691" spans="1:2" ht="14.4" x14ac:dyDescent="0.3">
      <c r="A691" s="1" t="s">
        <v>1683</v>
      </c>
      <c r="B691" s="16">
        <v>17000000</v>
      </c>
    </row>
    <row r="692" spans="1:2" ht="14.4" x14ac:dyDescent="0.3">
      <c r="A692" s="1" t="s">
        <v>1682</v>
      </c>
      <c r="B692" s="16">
        <v>6500000</v>
      </c>
    </row>
    <row r="693" spans="1:2" ht="14.4" x14ac:dyDescent="0.3">
      <c r="A693" s="1" t="s">
        <v>1681</v>
      </c>
      <c r="B693" s="16">
        <v>11500000</v>
      </c>
    </row>
    <row r="694" spans="1:2" ht="14.4" x14ac:dyDescent="0.3">
      <c r="A694" s="1" t="s">
        <v>1680</v>
      </c>
      <c r="B694" s="16">
        <v>9700000</v>
      </c>
    </row>
    <row r="695" spans="1:2" ht="14.4" x14ac:dyDescent="0.3">
      <c r="A695" s="1" t="s">
        <v>1658</v>
      </c>
      <c r="B695" s="16">
        <v>32500000</v>
      </c>
    </row>
    <row r="696" spans="1:2" ht="14.4" x14ac:dyDescent="0.3">
      <c r="A696" s="1" t="s">
        <v>1675</v>
      </c>
      <c r="B696" s="16">
        <v>13000000</v>
      </c>
    </row>
    <row r="697" spans="1:2" ht="14.4" x14ac:dyDescent="0.3">
      <c r="A697" s="1" t="s">
        <v>1673</v>
      </c>
      <c r="B697" s="16">
        <v>11000000</v>
      </c>
    </row>
    <row r="698" spans="1:2" ht="14.4" x14ac:dyDescent="0.3">
      <c r="A698" s="1" t="s">
        <v>1659</v>
      </c>
      <c r="B698" s="16">
        <v>12000000</v>
      </c>
    </row>
    <row r="699" spans="1:2" ht="14.4" x14ac:dyDescent="0.3">
      <c r="A699" s="1" t="s">
        <v>1661</v>
      </c>
      <c r="B699" s="16">
        <v>9000000</v>
      </c>
    </row>
    <row r="700" spans="1:2" ht="14.4" x14ac:dyDescent="0.3">
      <c r="A700" s="1" t="s">
        <v>1679</v>
      </c>
      <c r="B700" s="16">
        <v>4900000</v>
      </c>
    </row>
    <row r="701" spans="1:2" ht="14.4" x14ac:dyDescent="0.3">
      <c r="A701" s="1" t="s">
        <v>1674</v>
      </c>
      <c r="B701" s="16">
        <v>7500000</v>
      </c>
    </row>
    <row r="702" spans="1:2" ht="14.4" x14ac:dyDescent="0.3">
      <c r="A702" s="1" t="s">
        <v>1678</v>
      </c>
      <c r="B702" s="16">
        <v>6200000</v>
      </c>
    </row>
    <row r="703" spans="1:2" ht="14.4" x14ac:dyDescent="0.3">
      <c r="A703" s="1" t="s">
        <v>1677</v>
      </c>
      <c r="B703" s="16">
        <v>13500000</v>
      </c>
    </row>
    <row r="704" spans="1:2" ht="14.4" x14ac:dyDescent="0.3">
      <c r="A704" s="1" t="s">
        <v>1676</v>
      </c>
      <c r="B704" s="16">
        <v>5000000</v>
      </c>
    </row>
    <row r="705" spans="1:2" ht="14.4" x14ac:dyDescent="0.3">
      <c r="A705" s="1" t="s">
        <v>1672</v>
      </c>
      <c r="B705" s="16">
        <v>18000000</v>
      </c>
    </row>
    <row r="706" spans="1:2" ht="14.4" x14ac:dyDescent="0.3">
      <c r="A706" s="1" t="s">
        <v>1671</v>
      </c>
      <c r="B706" s="16">
        <v>5250000</v>
      </c>
    </row>
    <row r="707" spans="1:2" ht="14.4" x14ac:dyDescent="0.3">
      <c r="A707" s="1" t="s">
        <v>1670</v>
      </c>
      <c r="B707" s="16">
        <v>17000000</v>
      </c>
    </row>
    <row r="708" spans="1:2" ht="14.4" x14ac:dyDescent="0.3">
      <c r="A708" s="1" t="s">
        <v>1669</v>
      </c>
      <c r="B708" s="16">
        <v>15200000</v>
      </c>
    </row>
    <row r="709" spans="1:2" ht="14.4" x14ac:dyDescent="0.3">
      <c r="A709" s="1" t="s">
        <v>1668</v>
      </c>
      <c r="B709" s="16">
        <v>10500000</v>
      </c>
    </row>
    <row r="710" spans="1:2" ht="14.4" x14ac:dyDescent="0.3">
      <c r="A710" s="1" t="s">
        <v>1667</v>
      </c>
      <c r="B710" s="16">
        <v>15000000</v>
      </c>
    </row>
    <row r="711" spans="1:2" ht="14.4" x14ac:dyDescent="0.3">
      <c r="A711" s="1" t="s">
        <v>1660</v>
      </c>
      <c r="B711" s="16">
        <v>5800000</v>
      </c>
    </row>
    <row r="712" spans="1:2" ht="14.4" x14ac:dyDescent="0.3">
      <c r="A712" s="1" t="s">
        <v>1652</v>
      </c>
      <c r="B712" s="16">
        <v>11200000</v>
      </c>
    </row>
    <row r="713" spans="1:2" ht="14.4" x14ac:dyDescent="0.3">
      <c r="A713" s="1" t="s">
        <v>1666</v>
      </c>
      <c r="B713" s="16">
        <v>6500000</v>
      </c>
    </row>
    <row r="714" spans="1:2" ht="14.4" x14ac:dyDescent="0.3">
      <c r="A714" s="1" t="s">
        <v>1665</v>
      </c>
      <c r="B714" s="16">
        <v>25000000</v>
      </c>
    </row>
    <row r="715" spans="1:2" ht="14.4" x14ac:dyDescent="0.3">
      <c r="A715" s="1" t="s">
        <v>1664</v>
      </c>
      <c r="B715" s="16">
        <v>12500000</v>
      </c>
    </row>
    <row r="716" spans="1:2" ht="14.4" x14ac:dyDescent="0.3">
      <c r="A716" s="1" t="s">
        <v>1663</v>
      </c>
      <c r="B716" s="16">
        <v>31000000</v>
      </c>
    </row>
    <row r="717" spans="1:2" ht="14.4" x14ac:dyDescent="0.3">
      <c r="A717" s="1" t="s">
        <v>1662</v>
      </c>
      <c r="B717" s="16">
        <v>5700000</v>
      </c>
    </row>
    <row r="718" spans="1:2" ht="14.4" x14ac:dyDescent="0.3">
      <c r="A718" s="1" t="s">
        <v>1656</v>
      </c>
      <c r="B718" s="16">
        <v>10000000</v>
      </c>
    </row>
    <row r="719" spans="1:2" ht="14.4" x14ac:dyDescent="0.3">
      <c r="A719" s="1" t="s">
        <v>1655</v>
      </c>
      <c r="B719" s="16">
        <v>10500000</v>
      </c>
    </row>
    <row r="720" spans="1:2" ht="14.4" x14ac:dyDescent="0.3">
      <c r="A720" s="1" t="s">
        <v>1653</v>
      </c>
      <c r="B720" s="16">
        <v>9400000</v>
      </c>
    </row>
    <row r="721" spans="1:2" ht="14.4" x14ac:dyDescent="0.3">
      <c r="A721" s="1" t="s">
        <v>1651</v>
      </c>
      <c r="B721" s="16">
        <v>7500000</v>
      </c>
    </row>
    <row r="722" spans="1:2" ht="14.4" x14ac:dyDescent="0.3">
      <c r="A722" s="1" t="s">
        <v>1650</v>
      </c>
      <c r="B722" s="16">
        <v>10500000</v>
      </c>
    </row>
    <row r="723" spans="1:2" ht="14.4" x14ac:dyDescent="0.3">
      <c r="A723" s="1" t="s">
        <v>1649</v>
      </c>
      <c r="B723" s="16">
        <v>7100000</v>
      </c>
    </row>
    <row r="724" spans="1:2" ht="14.4" x14ac:dyDescent="0.3">
      <c r="A724" s="1" t="s">
        <v>1648</v>
      </c>
      <c r="B724" s="16">
        <v>17300000</v>
      </c>
    </row>
    <row r="725" spans="1:2" ht="14.4" x14ac:dyDescent="0.3">
      <c r="A725" s="1" t="s">
        <v>1647</v>
      </c>
      <c r="B725" s="16">
        <v>6500000</v>
      </c>
    </row>
    <row r="726" spans="1:2" ht="14.4" x14ac:dyDescent="0.3">
      <c r="A726" s="1" t="s">
        <v>1646</v>
      </c>
      <c r="B726" s="16">
        <v>7400000</v>
      </c>
    </row>
    <row r="727" spans="1:2" ht="14.4" x14ac:dyDescent="0.3">
      <c r="A727" s="1" t="s">
        <v>1645</v>
      </c>
      <c r="B727" s="16">
        <v>6500000</v>
      </c>
    </row>
    <row r="728" spans="1:2" ht="14.4" x14ac:dyDescent="0.3">
      <c r="A728" s="1" t="s">
        <v>1644</v>
      </c>
      <c r="B728" s="16">
        <v>15500000</v>
      </c>
    </row>
    <row r="729" spans="1:2" ht="14.4" x14ac:dyDescent="0.3">
      <c r="A729" s="1" t="s">
        <v>1643</v>
      </c>
      <c r="B729" s="16">
        <v>25500000</v>
      </c>
    </row>
    <row r="730" spans="1:2" ht="14.4" x14ac:dyDescent="0.3">
      <c r="A730" s="1" t="s">
        <v>1642</v>
      </c>
      <c r="B730" s="16">
        <v>12800000</v>
      </c>
    </row>
    <row r="731" spans="1:2" ht="14.4" x14ac:dyDescent="0.3">
      <c r="A731" s="1" t="s">
        <v>1641</v>
      </c>
      <c r="B731" s="16">
        <v>19000000</v>
      </c>
    </row>
    <row r="732" spans="1:2" ht="14.4" x14ac:dyDescent="0.3">
      <c r="A732" s="1" t="s">
        <v>1640</v>
      </c>
      <c r="B732" s="16">
        <v>5700000</v>
      </c>
    </row>
    <row r="733" spans="1:2" ht="14.4" x14ac:dyDescent="0.3">
      <c r="A733" s="1" t="s">
        <v>1639</v>
      </c>
      <c r="B733" s="16">
        <v>18000000</v>
      </c>
    </row>
    <row r="734" spans="1:2" ht="14.4" x14ac:dyDescent="0.3">
      <c r="A734" s="1" t="s">
        <v>1638</v>
      </c>
      <c r="B734" s="16">
        <v>8500000</v>
      </c>
    </row>
    <row r="735" spans="1:2" ht="14.4" x14ac:dyDescent="0.3">
      <c r="A735" s="1" t="s">
        <v>1637</v>
      </c>
      <c r="B735" s="16">
        <v>26455000</v>
      </c>
    </row>
    <row r="736" spans="1:2" ht="14.4" x14ac:dyDescent="0.3">
      <c r="A736" s="1" t="s">
        <v>1636</v>
      </c>
      <c r="B736" s="16">
        <v>9100000</v>
      </c>
    </row>
    <row r="737" spans="1:2" ht="14.4" x14ac:dyDescent="0.3">
      <c r="A737" s="1" t="s">
        <v>1635</v>
      </c>
      <c r="B737" s="16">
        <v>19000000</v>
      </c>
    </row>
    <row r="738" spans="1:2" ht="14.4" x14ac:dyDescent="0.3">
      <c r="A738" s="1" t="s">
        <v>314</v>
      </c>
      <c r="B738" s="16">
        <v>28500000</v>
      </c>
    </row>
    <row r="739" spans="1:2" ht="14.4" x14ac:dyDescent="0.3">
      <c r="A739" s="1" t="s">
        <v>1634</v>
      </c>
      <c r="B739" s="16">
        <v>8000000</v>
      </c>
    </row>
    <row r="740" spans="1:2" ht="14.4" x14ac:dyDescent="0.3">
      <c r="A740" s="1" t="s">
        <v>1633</v>
      </c>
      <c r="B740" s="16">
        <v>7000000</v>
      </c>
    </row>
    <row r="741" spans="1:2" ht="14.4" x14ac:dyDescent="0.3">
      <c r="A741" s="1" t="s">
        <v>1632</v>
      </c>
      <c r="B741" s="16">
        <v>15000000</v>
      </c>
    </row>
    <row r="742" spans="1:2" ht="14.4" x14ac:dyDescent="0.3">
      <c r="A742" s="1" t="s">
        <v>1037</v>
      </c>
      <c r="B742" s="16">
        <v>36386100</v>
      </c>
    </row>
    <row r="743" spans="1:2" ht="14.4" x14ac:dyDescent="0.3">
      <c r="A743" s="1" t="s">
        <v>1631</v>
      </c>
      <c r="B743" s="16">
        <v>10500000</v>
      </c>
    </row>
    <row r="744" spans="1:2" ht="14.4" x14ac:dyDescent="0.3">
      <c r="A744" s="1" t="s">
        <v>1630</v>
      </c>
      <c r="B744" s="16">
        <v>28500000</v>
      </c>
    </row>
    <row r="745" spans="1:2" ht="14.4" x14ac:dyDescent="0.3">
      <c r="A745" s="1" t="s">
        <v>1629</v>
      </c>
      <c r="B745" s="16">
        <v>10150000</v>
      </c>
    </row>
    <row r="746" spans="1:2" ht="14.4" x14ac:dyDescent="0.3">
      <c r="A746" s="1" t="s">
        <v>1628</v>
      </c>
      <c r="B746" s="16">
        <v>12300000</v>
      </c>
    </row>
    <row r="747" spans="1:2" ht="14.4" x14ac:dyDescent="0.3">
      <c r="A747" s="1" t="s">
        <v>1627</v>
      </c>
      <c r="B747" s="16">
        <v>8000000</v>
      </c>
    </row>
    <row r="748" spans="1:2" ht="14.4" x14ac:dyDescent="0.3">
      <c r="A748" s="1" t="s">
        <v>1626</v>
      </c>
      <c r="B748" s="16">
        <v>7700000</v>
      </c>
    </row>
    <row r="749" spans="1:2" ht="14.4" x14ac:dyDescent="0.3">
      <c r="A749" s="1" t="s">
        <v>1625</v>
      </c>
      <c r="B749" s="16">
        <v>19000000</v>
      </c>
    </row>
    <row r="750" spans="1:2" ht="14.4" x14ac:dyDescent="0.3">
      <c r="A750" s="1" t="s">
        <v>1623</v>
      </c>
      <c r="B750" s="16">
        <v>17950000</v>
      </c>
    </row>
    <row r="751" spans="1:2" ht="14.4" x14ac:dyDescent="0.3">
      <c r="A751" s="1" t="s">
        <v>1624</v>
      </c>
      <c r="B751" s="16">
        <v>5500000</v>
      </c>
    </row>
    <row r="752" spans="1:2" ht="14.4" x14ac:dyDescent="0.3">
      <c r="A752" s="1" t="s">
        <v>1622</v>
      </c>
      <c r="B752" s="16">
        <v>13500000</v>
      </c>
    </row>
    <row r="753" spans="1:2" ht="14.4" x14ac:dyDescent="0.3">
      <c r="A753" s="1" t="s">
        <v>1621</v>
      </c>
      <c r="B753" s="16">
        <v>16500000</v>
      </c>
    </row>
    <row r="754" spans="1:2" ht="14.4" x14ac:dyDescent="0.3">
      <c r="A754" s="1" t="s">
        <v>1620</v>
      </c>
      <c r="B754" s="16">
        <v>12500000</v>
      </c>
    </row>
    <row r="755" spans="1:2" ht="14.4" x14ac:dyDescent="0.3">
      <c r="A755" s="1" t="s">
        <v>1619</v>
      </c>
      <c r="B755" s="16">
        <v>7000000</v>
      </c>
    </row>
    <row r="756" spans="1:2" ht="14.4" x14ac:dyDescent="0.3">
      <c r="A756" s="1" t="s">
        <v>1618</v>
      </c>
      <c r="B756" s="16">
        <v>11000000</v>
      </c>
    </row>
    <row r="757" spans="1:2" ht="14.4" x14ac:dyDescent="0.3">
      <c r="A757" s="1" t="s">
        <v>1617</v>
      </c>
      <c r="B757" s="16">
        <v>13000000</v>
      </c>
    </row>
    <row r="758" spans="1:2" ht="14.4" x14ac:dyDescent="0.3">
      <c r="A758" s="1" t="s">
        <v>1616</v>
      </c>
      <c r="B758" s="16">
        <v>26500000</v>
      </c>
    </row>
    <row r="759" spans="1:2" ht="14.4" x14ac:dyDescent="0.3">
      <c r="A759" s="1" t="s">
        <v>1615</v>
      </c>
      <c r="B759" s="16">
        <v>11500000</v>
      </c>
    </row>
    <row r="760" spans="1:2" ht="14.4" x14ac:dyDescent="0.3">
      <c r="A760" s="1" t="s">
        <v>1614</v>
      </c>
      <c r="B760" s="16">
        <v>11500000</v>
      </c>
    </row>
    <row r="761" spans="1:2" ht="14.4" x14ac:dyDescent="0.3">
      <c r="A761" s="1" t="s">
        <v>1613</v>
      </c>
      <c r="B761" s="16">
        <v>11500000</v>
      </c>
    </row>
    <row r="762" spans="1:2" ht="14.4" x14ac:dyDescent="0.3">
      <c r="A762" s="1" t="s">
        <v>1612</v>
      </c>
      <c r="B762" s="16">
        <v>13000000</v>
      </c>
    </row>
    <row r="763" spans="1:2" ht="14.4" x14ac:dyDescent="0.3">
      <c r="A763" s="1" t="s">
        <v>1611</v>
      </c>
      <c r="B763" s="16">
        <v>5200000</v>
      </c>
    </row>
    <row r="764" spans="1:2" ht="14.4" x14ac:dyDescent="0.3">
      <c r="A764" s="1" t="s">
        <v>95</v>
      </c>
      <c r="B764" s="16">
        <v>33990000</v>
      </c>
    </row>
    <row r="765" spans="1:2" ht="14.4" x14ac:dyDescent="0.3">
      <c r="A765" s="1" t="s">
        <v>1609</v>
      </c>
      <c r="B765" s="16">
        <v>5500000</v>
      </c>
    </row>
    <row r="766" spans="1:2" ht="14.4" x14ac:dyDescent="0.3">
      <c r="A766" s="1" t="s">
        <v>1610</v>
      </c>
      <c r="B766" s="16">
        <v>6100000</v>
      </c>
    </row>
    <row r="767" spans="1:2" ht="14.4" x14ac:dyDescent="0.3">
      <c r="A767" s="1" t="s">
        <v>1608</v>
      </c>
      <c r="B767" s="16">
        <v>7000000</v>
      </c>
    </row>
    <row r="768" spans="1:2" ht="14.4" x14ac:dyDescent="0.3">
      <c r="A768" s="1" t="s">
        <v>1607</v>
      </c>
      <c r="B768" s="16">
        <v>5500000</v>
      </c>
    </row>
    <row r="769" spans="1:2" ht="14.4" x14ac:dyDescent="0.3">
      <c r="A769" s="1" t="s">
        <v>1606</v>
      </c>
      <c r="B769" s="16">
        <v>12000000</v>
      </c>
    </row>
    <row r="770" spans="1:2" ht="14.4" x14ac:dyDescent="0.3">
      <c r="A770" s="1" t="s">
        <v>700</v>
      </c>
      <c r="B770" s="16">
        <v>10900000</v>
      </c>
    </row>
    <row r="771" spans="1:2" ht="14.4" x14ac:dyDescent="0.3">
      <c r="A771" s="1" t="s">
        <v>1605</v>
      </c>
      <c r="B771" s="16">
        <v>5000000</v>
      </c>
    </row>
    <row r="772" spans="1:2" ht="14.4" x14ac:dyDescent="0.3">
      <c r="A772" s="1" t="s">
        <v>1604</v>
      </c>
      <c r="B772" s="16">
        <v>13500000</v>
      </c>
    </row>
    <row r="773" spans="1:2" ht="14.4" x14ac:dyDescent="0.3">
      <c r="A773" s="1" t="s">
        <v>1603</v>
      </c>
      <c r="B773" s="16">
        <v>7900000</v>
      </c>
    </row>
    <row r="774" spans="1:2" ht="14.4" x14ac:dyDescent="0.3">
      <c r="A774" s="1" t="s">
        <v>1602</v>
      </c>
      <c r="B774" s="16">
        <v>10000000</v>
      </c>
    </row>
    <row r="775" spans="1:2" ht="14.4" x14ac:dyDescent="0.3">
      <c r="A775" s="1" t="s">
        <v>1601</v>
      </c>
      <c r="B775" s="16">
        <v>4500000</v>
      </c>
    </row>
    <row r="776" spans="1:2" ht="14.4" x14ac:dyDescent="0.3">
      <c r="A776" s="1" t="s">
        <v>1600</v>
      </c>
      <c r="B776" s="16">
        <v>9500000</v>
      </c>
    </row>
    <row r="777" spans="1:2" ht="14.4" x14ac:dyDescent="0.3">
      <c r="A777" s="1" t="s">
        <v>1599</v>
      </c>
      <c r="B777" s="16">
        <v>14300000</v>
      </c>
    </row>
    <row r="778" spans="1:2" ht="14.4" x14ac:dyDescent="0.3">
      <c r="A778" s="1" t="s">
        <v>1598</v>
      </c>
      <c r="B778" s="16">
        <v>15000000</v>
      </c>
    </row>
    <row r="779" spans="1:2" ht="14.4" x14ac:dyDescent="0.3">
      <c r="A779" s="1" t="s">
        <v>1597</v>
      </c>
      <c r="B779" s="16">
        <v>9500000</v>
      </c>
    </row>
    <row r="780" spans="1:2" ht="14.4" x14ac:dyDescent="0.3">
      <c r="A780" s="1" t="s">
        <v>1581</v>
      </c>
      <c r="B780" s="16">
        <v>26000000</v>
      </c>
    </row>
    <row r="781" spans="1:2" ht="14.4" x14ac:dyDescent="0.3">
      <c r="A781" s="1" t="s">
        <v>1596</v>
      </c>
      <c r="B781" s="16">
        <v>6000000</v>
      </c>
    </row>
    <row r="782" spans="1:2" ht="14.4" x14ac:dyDescent="0.3">
      <c r="A782" s="1" t="s">
        <v>1595</v>
      </c>
      <c r="B782" s="16">
        <v>10500000</v>
      </c>
    </row>
    <row r="783" spans="1:2" ht="14.4" x14ac:dyDescent="0.3">
      <c r="A783" s="1" t="s">
        <v>1594</v>
      </c>
      <c r="B783" s="16">
        <v>9500000</v>
      </c>
    </row>
    <row r="784" spans="1:2" ht="14.4" x14ac:dyDescent="0.3">
      <c r="A784" s="1" t="s">
        <v>1593</v>
      </c>
      <c r="B784" s="16">
        <v>8300000</v>
      </c>
    </row>
    <row r="785" spans="1:2" ht="14.4" x14ac:dyDescent="0.3">
      <c r="A785" s="1" t="s">
        <v>1592</v>
      </c>
      <c r="B785" s="16">
        <v>5000000</v>
      </c>
    </row>
    <row r="786" spans="1:2" ht="14.4" x14ac:dyDescent="0.3">
      <c r="A786" s="1" t="s">
        <v>1591</v>
      </c>
      <c r="B786" s="16">
        <v>12000000</v>
      </c>
    </row>
    <row r="787" spans="1:2" ht="14.4" x14ac:dyDescent="0.3">
      <c r="A787" s="1" t="s">
        <v>779</v>
      </c>
      <c r="B787" s="16">
        <v>12000000</v>
      </c>
    </row>
    <row r="788" spans="1:2" ht="14.4" x14ac:dyDescent="0.3">
      <c r="A788" s="1" t="s">
        <v>1590</v>
      </c>
      <c r="B788" s="16">
        <v>7000000</v>
      </c>
    </row>
    <row r="789" spans="1:2" ht="14.4" x14ac:dyDescent="0.3">
      <c r="A789" s="1" t="s">
        <v>1589</v>
      </c>
      <c r="B789" s="16">
        <v>5300000</v>
      </c>
    </row>
    <row r="790" spans="1:2" ht="14.4" x14ac:dyDescent="0.3">
      <c r="A790" s="1" t="s">
        <v>1582</v>
      </c>
      <c r="B790" s="16">
        <v>10000000</v>
      </c>
    </row>
    <row r="791" spans="1:2" ht="14.4" x14ac:dyDescent="0.3">
      <c r="A791" s="1" t="s">
        <v>1588</v>
      </c>
      <c r="B791" s="16">
        <v>5000000</v>
      </c>
    </row>
    <row r="792" spans="1:2" ht="14.4" x14ac:dyDescent="0.3">
      <c r="A792" s="1" t="s">
        <v>1587</v>
      </c>
      <c r="B792" s="16">
        <v>16500000</v>
      </c>
    </row>
    <row r="793" spans="1:2" ht="14.4" x14ac:dyDescent="0.3">
      <c r="A793" s="1" t="s">
        <v>1586</v>
      </c>
      <c r="B793" s="16">
        <v>8300000</v>
      </c>
    </row>
    <row r="794" spans="1:2" ht="14.4" x14ac:dyDescent="0.3">
      <c r="A794" s="1" t="s">
        <v>1585</v>
      </c>
      <c r="B794" s="16">
        <v>13000000</v>
      </c>
    </row>
    <row r="795" spans="1:2" ht="14.4" x14ac:dyDescent="0.3">
      <c r="A795" s="1" t="s">
        <v>1584</v>
      </c>
      <c r="B795" s="16">
        <v>16000000</v>
      </c>
    </row>
    <row r="796" spans="1:2" ht="14.4" x14ac:dyDescent="0.3">
      <c r="A796" s="1" t="s">
        <v>1583</v>
      </c>
      <c r="B796" s="16">
        <v>8000000</v>
      </c>
    </row>
    <row r="797" spans="1:2" ht="14.4" x14ac:dyDescent="0.3">
      <c r="A797" s="1" t="s">
        <v>1580</v>
      </c>
      <c r="B797" s="16">
        <v>16800000</v>
      </c>
    </row>
    <row r="798" spans="1:2" ht="14.4" x14ac:dyDescent="0.3">
      <c r="A798" s="1" t="s">
        <v>1579</v>
      </c>
      <c r="B798" s="16">
        <v>11500000</v>
      </c>
    </row>
    <row r="799" spans="1:2" ht="14.4" x14ac:dyDescent="0.3">
      <c r="A799" s="1" t="s">
        <v>1578</v>
      </c>
      <c r="B799" s="16">
        <v>11500000</v>
      </c>
    </row>
    <row r="800" spans="1:2" ht="14.4" x14ac:dyDescent="0.3">
      <c r="A800" s="1" t="s">
        <v>1577</v>
      </c>
      <c r="B800" s="16">
        <v>7700000</v>
      </c>
    </row>
    <row r="801" spans="1:2" ht="14.4" x14ac:dyDescent="0.3">
      <c r="A801" s="1" t="s">
        <v>1571</v>
      </c>
      <c r="B801" s="16">
        <v>15000000</v>
      </c>
    </row>
    <row r="802" spans="1:2" ht="14.4" x14ac:dyDescent="0.3">
      <c r="A802" s="1" t="s">
        <v>1572</v>
      </c>
      <c r="B802" s="16">
        <v>8500000</v>
      </c>
    </row>
    <row r="803" spans="1:2" ht="14.4" x14ac:dyDescent="0.3">
      <c r="A803" s="1" t="s">
        <v>1576</v>
      </c>
      <c r="B803" s="16">
        <v>11600000</v>
      </c>
    </row>
    <row r="804" spans="1:2" ht="14.4" x14ac:dyDescent="0.3">
      <c r="A804" s="1" t="s">
        <v>1575</v>
      </c>
      <c r="B804" s="16">
        <v>8700000</v>
      </c>
    </row>
    <row r="805" spans="1:2" ht="14.4" x14ac:dyDescent="0.3">
      <c r="A805" s="1" t="s">
        <v>1574</v>
      </c>
      <c r="B805" s="16">
        <v>6500000</v>
      </c>
    </row>
    <row r="806" spans="1:2" ht="14.4" x14ac:dyDescent="0.3">
      <c r="A806" s="1" t="s">
        <v>1573</v>
      </c>
      <c r="B806" s="16">
        <v>7000000</v>
      </c>
    </row>
    <row r="807" spans="1:2" ht="14.4" x14ac:dyDescent="0.3">
      <c r="A807" s="1" t="s">
        <v>1570</v>
      </c>
      <c r="B807" s="16">
        <v>10000000</v>
      </c>
    </row>
    <row r="808" spans="1:2" ht="14.4" x14ac:dyDescent="0.3">
      <c r="A808" s="1" t="s">
        <v>1569</v>
      </c>
      <c r="B808" s="16">
        <v>3800000</v>
      </c>
    </row>
    <row r="809" spans="1:2" ht="14.4" x14ac:dyDescent="0.3">
      <c r="A809" s="1" t="s">
        <v>1568</v>
      </c>
      <c r="B809" s="16">
        <v>11000000</v>
      </c>
    </row>
    <row r="810" spans="1:2" ht="14.4" x14ac:dyDescent="0.3">
      <c r="A810" s="1" t="s">
        <v>1567</v>
      </c>
      <c r="B810" s="16">
        <v>6800000</v>
      </c>
    </row>
    <row r="811" spans="1:2" ht="14.4" x14ac:dyDescent="0.3">
      <c r="A811" s="1" t="s">
        <v>1566</v>
      </c>
      <c r="B811" s="16">
        <v>4500000</v>
      </c>
    </row>
    <row r="812" spans="1:2" ht="14.4" x14ac:dyDescent="0.3">
      <c r="A812" s="1" t="s">
        <v>1565</v>
      </c>
      <c r="B812" s="16">
        <v>24723805</v>
      </c>
    </row>
    <row r="813" spans="1:2" ht="14.4" x14ac:dyDescent="0.3">
      <c r="A813" s="1" t="s">
        <v>1564</v>
      </c>
      <c r="B813" s="16">
        <v>7500000</v>
      </c>
    </row>
    <row r="814" spans="1:2" ht="14.4" x14ac:dyDescent="0.3">
      <c r="A814" s="1" t="s">
        <v>1563</v>
      </c>
      <c r="B814" s="16">
        <v>12500000</v>
      </c>
    </row>
    <row r="815" spans="1:2" ht="14.4" x14ac:dyDescent="0.3">
      <c r="A815" s="1" t="s">
        <v>1562</v>
      </c>
      <c r="B815" s="16">
        <v>12500000</v>
      </c>
    </row>
    <row r="816" spans="1:2" ht="14.4" x14ac:dyDescent="0.3">
      <c r="A816" s="1" t="s">
        <v>1561</v>
      </c>
      <c r="B816" s="16">
        <v>10000000</v>
      </c>
    </row>
    <row r="817" spans="1:2" ht="14.4" x14ac:dyDescent="0.3">
      <c r="A817" s="1" t="s">
        <v>1560</v>
      </c>
      <c r="B817" s="16">
        <v>5800000</v>
      </c>
    </row>
    <row r="818" spans="1:2" ht="14.4" x14ac:dyDescent="0.3">
      <c r="A818" s="1" t="s">
        <v>1559</v>
      </c>
      <c r="B818" s="16">
        <v>30000000</v>
      </c>
    </row>
    <row r="819" spans="1:2" ht="14.4" x14ac:dyDescent="0.3">
      <c r="A819" s="1" t="s">
        <v>1558</v>
      </c>
      <c r="B819" s="16">
        <v>5900000</v>
      </c>
    </row>
    <row r="820" spans="1:2" ht="14.4" x14ac:dyDescent="0.3">
      <c r="A820" s="1" t="s">
        <v>1557</v>
      </c>
      <c r="B820" s="16">
        <v>12000000</v>
      </c>
    </row>
    <row r="821" spans="1:2" ht="14.4" x14ac:dyDescent="0.3">
      <c r="A821" s="1" t="s">
        <v>1556</v>
      </c>
      <c r="B821" s="16">
        <v>4510000</v>
      </c>
    </row>
    <row r="822" spans="1:2" ht="14.4" x14ac:dyDescent="0.3">
      <c r="A822" s="1" t="s">
        <v>1555</v>
      </c>
      <c r="B822" s="16">
        <v>9500000</v>
      </c>
    </row>
    <row r="823" spans="1:2" ht="14.4" x14ac:dyDescent="0.3">
      <c r="A823" s="1" t="s">
        <v>1554</v>
      </c>
      <c r="B823" s="16">
        <v>8400000</v>
      </c>
    </row>
    <row r="824" spans="1:2" ht="14.4" x14ac:dyDescent="0.3">
      <c r="A824" s="1" t="s">
        <v>1553</v>
      </c>
      <c r="B824" s="16">
        <v>10500000</v>
      </c>
    </row>
    <row r="825" spans="1:2" ht="14.4" x14ac:dyDescent="0.3">
      <c r="A825" s="1" t="s">
        <v>1552</v>
      </c>
      <c r="B825" s="16">
        <v>13500000</v>
      </c>
    </row>
    <row r="826" spans="1:2" ht="14.4" x14ac:dyDescent="0.3">
      <c r="A826" s="1" t="s">
        <v>1551</v>
      </c>
      <c r="B826" s="16">
        <v>7300000</v>
      </c>
    </row>
    <row r="827" spans="1:2" ht="14.4" x14ac:dyDescent="0.3">
      <c r="A827" s="1" t="s">
        <v>1550</v>
      </c>
      <c r="B827" s="16">
        <v>18600000</v>
      </c>
    </row>
    <row r="828" spans="1:2" ht="14.4" x14ac:dyDescent="0.3">
      <c r="A828" s="1" t="s">
        <v>1549</v>
      </c>
      <c r="B828" s="16">
        <v>9500000</v>
      </c>
    </row>
    <row r="829" spans="1:2" ht="14.4" x14ac:dyDescent="0.3">
      <c r="A829" s="1" t="s">
        <v>1548</v>
      </c>
      <c r="B829" s="16">
        <v>19000000</v>
      </c>
    </row>
    <row r="830" spans="1:2" ht="14.4" x14ac:dyDescent="0.3">
      <c r="A830" s="1" t="s">
        <v>1547</v>
      </c>
      <c r="B830" s="16">
        <v>13000000</v>
      </c>
    </row>
    <row r="831" spans="1:2" ht="14.4" x14ac:dyDescent="0.3">
      <c r="A831" s="1" t="s">
        <v>1546</v>
      </c>
      <c r="B831" s="16">
        <v>14500000</v>
      </c>
    </row>
    <row r="832" spans="1:2" ht="14.4" x14ac:dyDescent="0.3">
      <c r="A832" s="1" t="s">
        <v>1545</v>
      </c>
      <c r="B832" s="16">
        <v>5350000</v>
      </c>
    </row>
    <row r="833" spans="1:2" ht="14.4" x14ac:dyDescent="0.3">
      <c r="A833" s="1" t="s">
        <v>1544</v>
      </c>
      <c r="B833" s="16">
        <v>31000000</v>
      </c>
    </row>
    <row r="834" spans="1:2" ht="14.4" x14ac:dyDescent="0.3">
      <c r="A834" s="1" t="s">
        <v>1542</v>
      </c>
      <c r="B834" s="16">
        <v>5700000</v>
      </c>
    </row>
    <row r="835" spans="1:2" ht="14.4" x14ac:dyDescent="0.3">
      <c r="A835" s="1" t="s">
        <v>1543</v>
      </c>
      <c r="B835" s="16">
        <v>8650000</v>
      </c>
    </row>
    <row r="836" spans="1:2" ht="14.4" x14ac:dyDescent="0.3">
      <c r="A836" s="1" t="s">
        <v>1541</v>
      </c>
      <c r="B836" s="16">
        <v>21000000</v>
      </c>
    </row>
    <row r="837" spans="1:2" ht="14.4" x14ac:dyDescent="0.3">
      <c r="A837" s="1" t="s">
        <v>1307</v>
      </c>
      <c r="B837" s="16">
        <v>9000000</v>
      </c>
    </row>
    <row r="838" spans="1:2" ht="14.4" x14ac:dyDescent="0.3">
      <c r="A838" s="1" t="s">
        <v>1540</v>
      </c>
      <c r="B838" s="16">
        <v>11500000</v>
      </c>
    </row>
    <row r="839" spans="1:2" ht="14.4" x14ac:dyDescent="0.3">
      <c r="A839" s="1" t="s">
        <v>1539</v>
      </c>
      <c r="B839" s="16">
        <v>10000000</v>
      </c>
    </row>
    <row r="840" spans="1:2" ht="14.4" x14ac:dyDescent="0.3">
      <c r="A840" s="1" t="s">
        <v>1538</v>
      </c>
      <c r="B840" s="16">
        <v>4430000</v>
      </c>
    </row>
    <row r="841" spans="1:2" ht="14.4" x14ac:dyDescent="0.3">
      <c r="A841" s="1" t="s">
        <v>1537</v>
      </c>
      <c r="B841" s="16">
        <v>5500000</v>
      </c>
    </row>
    <row r="842" spans="1:2" ht="14.4" x14ac:dyDescent="0.3">
      <c r="A842" s="1" t="s">
        <v>1536</v>
      </c>
      <c r="B842" s="16">
        <v>9200000</v>
      </c>
    </row>
    <row r="843" spans="1:2" ht="14.4" x14ac:dyDescent="0.3">
      <c r="A843" s="1" t="s">
        <v>1535</v>
      </c>
      <c r="B843" s="16">
        <v>19000000</v>
      </c>
    </row>
    <row r="844" spans="1:2" ht="14.4" x14ac:dyDescent="0.3">
      <c r="A844" s="1" t="s">
        <v>1534</v>
      </c>
      <c r="B844" s="16">
        <v>7500000</v>
      </c>
    </row>
    <row r="845" spans="1:2" ht="14.4" x14ac:dyDescent="0.3">
      <c r="A845" s="1" t="s">
        <v>1533</v>
      </c>
      <c r="B845" s="16">
        <v>10000000</v>
      </c>
    </row>
    <row r="846" spans="1:2" ht="14.4" x14ac:dyDescent="0.3">
      <c r="A846" s="1" t="s">
        <v>1532</v>
      </c>
      <c r="B846" s="16">
        <v>10000000</v>
      </c>
    </row>
    <row r="847" spans="1:2" ht="14.4" x14ac:dyDescent="0.3">
      <c r="A847" s="1" t="s">
        <v>1531</v>
      </c>
      <c r="B847" s="16">
        <v>7000000</v>
      </c>
    </row>
    <row r="848" spans="1:2" ht="14.4" x14ac:dyDescent="0.3">
      <c r="A848" s="1" t="s">
        <v>1530</v>
      </c>
      <c r="B848" s="16">
        <v>7000000</v>
      </c>
    </row>
    <row r="849" spans="1:2" ht="14.4" x14ac:dyDescent="0.3">
      <c r="A849" s="1" t="s">
        <v>1529</v>
      </c>
      <c r="B849" s="16">
        <v>4800000</v>
      </c>
    </row>
    <row r="850" spans="1:2" ht="14.4" x14ac:dyDescent="0.3">
      <c r="A850" s="1" t="s">
        <v>1528</v>
      </c>
      <c r="B850" s="16">
        <v>4700000</v>
      </c>
    </row>
    <row r="851" spans="1:2" ht="14.4" x14ac:dyDescent="0.3">
      <c r="A851" s="1" t="s">
        <v>1527</v>
      </c>
      <c r="B851" s="16">
        <v>12500000</v>
      </c>
    </row>
    <row r="852" spans="1:2" ht="14.4" x14ac:dyDescent="0.3">
      <c r="A852" s="1" t="s">
        <v>1526</v>
      </c>
      <c r="B852" s="16">
        <v>5200000</v>
      </c>
    </row>
    <row r="853" spans="1:2" ht="14.4" x14ac:dyDescent="0.3">
      <c r="A853" s="1" t="s">
        <v>1525</v>
      </c>
      <c r="B853" s="16">
        <v>8000000</v>
      </c>
    </row>
    <row r="854" spans="1:2" ht="14.4" x14ac:dyDescent="0.3">
      <c r="A854" s="1" t="s">
        <v>1524</v>
      </c>
      <c r="B854" s="16">
        <v>15000000</v>
      </c>
    </row>
    <row r="855" spans="1:2" ht="14.4" x14ac:dyDescent="0.3">
      <c r="A855" s="1" t="s">
        <v>1523</v>
      </c>
      <c r="B855" s="16">
        <v>12000000</v>
      </c>
    </row>
    <row r="856" spans="1:2" ht="14.4" x14ac:dyDescent="0.3">
      <c r="A856" s="1" t="s">
        <v>1522</v>
      </c>
      <c r="B856" s="16">
        <v>9000000</v>
      </c>
    </row>
    <row r="857" spans="1:2" ht="14.4" x14ac:dyDescent="0.3">
      <c r="A857" s="1" t="s">
        <v>1521</v>
      </c>
      <c r="B857" s="16">
        <v>6500000</v>
      </c>
    </row>
    <row r="858" spans="1:2" ht="14.4" x14ac:dyDescent="0.3">
      <c r="A858" s="1" t="s">
        <v>1520</v>
      </c>
      <c r="B858" s="16">
        <v>6500000</v>
      </c>
    </row>
    <row r="859" spans="1:2" ht="14.4" x14ac:dyDescent="0.3">
      <c r="A859" s="1" t="s">
        <v>1519</v>
      </c>
      <c r="B859" s="16">
        <v>12400000</v>
      </c>
    </row>
    <row r="860" spans="1:2" ht="14.4" x14ac:dyDescent="0.3">
      <c r="A860" s="1" t="s">
        <v>1518</v>
      </c>
      <c r="B860" s="16">
        <v>5500000</v>
      </c>
    </row>
    <row r="861" spans="1:2" ht="14.4" x14ac:dyDescent="0.3">
      <c r="A861" s="1" t="s">
        <v>1517</v>
      </c>
      <c r="B861" s="16">
        <v>9500000</v>
      </c>
    </row>
    <row r="862" spans="1:2" ht="14.4" x14ac:dyDescent="0.3">
      <c r="A862" s="1" t="s">
        <v>1516</v>
      </c>
      <c r="B862" s="16">
        <v>5800000</v>
      </c>
    </row>
    <row r="863" spans="1:2" ht="14.4" x14ac:dyDescent="0.3">
      <c r="A863" s="1" t="s">
        <v>1515</v>
      </c>
      <c r="B863" s="16">
        <v>20000000</v>
      </c>
    </row>
    <row r="864" spans="1:2" ht="14.4" x14ac:dyDescent="0.3">
      <c r="A864" s="1" t="s">
        <v>1514</v>
      </c>
      <c r="B864" s="16">
        <v>15500000</v>
      </c>
    </row>
    <row r="865" spans="1:2" ht="14.4" x14ac:dyDescent="0.3">
      <c r="A865" s="1" t="s">
        <v>1513</v>
      </c>
      <c r="B865" s="16">
        <v>14250000</v>
      </c>
    </row>
    <row r="866" spans="1:2" ht="14.4" x14ac:dyDescent="0.3">
      <c r="A866" s="1" t="s">
        <v>1512</v>
      </c>
      <c r="B866" s="16">
        <v>15000000</v>
      </c>
    </row>
    <row r="867" spans="1:2" ht="14.4" x14ac:dyDescent="0.3">
      <c r="A867" s="1" t="s">
        <v>1511</v>
      </c>
      <c r="B867" s="16">
        <v>11000000</v>
      </c>
    </row>
    <row r="868" spans="1:2" ht="14.4" x14ac:dyDescent="0.3">
      <c r="A868" s="1" t="s">
        <v>1510</v>
      </c>
      <c r="B868" s="16">
        <v>11000000</v>
      </c>
    </row>
    <row r="869" spans="1:2" ht="14.4" x14ac:dyDescent="0.3">
      <c r="A869" s="1" t="s">
        <v>1509</v>
      </c>
      <c r="B869" s="16">
        <v>4000000</v>
      </c>
    </row>
    <row r="870" spans="1:2" ht="14.4" x14ac:dyDescent="0.3">
      <c r="A870" s="1" t="s">
        <v>1508</v>
      </c>
      <c r="B870" s="16">
        <v>7500000</v>
      </c>
    </row>
    <row r="871" spans="1:2" ht="14.4" x14ac:dyDescent="0.3">
      <c r="A871" s="1" t="s">
        <v>1507</v>
      </c>
      <c r="B871" s="16">
        <v>20700000</v>
      </c>
    </row>
    <row r="872" spans="1:2" ht="14.4" x14ac:dyDescent="0.3">
      <c r="A872" s="1" t="s">
        <v>1506</v>
      </c>
      <c r="B872" s="16">
        <v>14350000</v>
      </c>
    </row>
    <row r="873" spans="1:2" ht="14.4" x14ac:dyDescent="0.3">
      <c r="A873" s="1" t="s">
        <v>1505</v>
      </c>
      <c r="B873" s="16">
        <v>12500000</v>
      </c>
    </row>
    <row r="874" spans="1:2" ht="14.4" x14ac:dyDescent="0.3">
      <c r="A874" s="1" t="s">
        <v>1504</v>
      </c>
      <c r="B874" s="16">
        <v>9500000</v>
      </c>
    </row>
    <row r="875" spans="1:2" ht="14.4" x14ac:dyDescent="0.3">
      <c r="A875" s="1" t="s">
        <v>1503</v>
      </c>
      <c r="B875" s="16">
        <v>6420000</v>
      </c>
    </row>
    <row r="876" spans="1:2" ht="14.4" x14ac:dyDescent="0.3">
      <c r="A876" s="1" t="s">
        <v>1502</v>
      </c>
      <c r="B876" s="16">
        <v>6700000</v>
      </c>
    </row>
    <row r="877" spans="1:2" ht="14.4" x14ac:dyDescent="0.3">
      <c r="A877" s="1" t="s">
        <v>1501</v>
      </c>
      <c r="B877" s="16">
        <v>17500000</v>
      </c>
    </row>
    <row r="878" spans="1:2" ht="14.4" x14ac:dyDescent="0.3">
      <c r="A878" s="1" t="s">
        <v>1500</v>
      </c>
      <c r="B878" s="16">
        <v>19000000</v>
      </c>
    </row>
    <row r="879" spans="1:2" ht="14.4" x14ac:dyDescent="0.3">
      <c r="A879" s="1" t="s">
        <v>1498</v>
      </c>
      <c r="B879" s="16">
        <v>12000000</v>
      </c>
    </row>
    <row r="880" spans="1:2" ht="14.4" x14ac:dyDescent="0.3">
      <c r="A880" s="1" t="s">
        <v>1499</v>
      </c>
      <c r="B880" s="16">
        <v>30000000</v>
      </c>
    </row>
    <row r="881" spans="1:2" ht="14.4" x14ac:dyDescent="0.3">
      <c r="A881" s="1" t="s">
        <v>1497</v>
      </c>
      <c r="B881" s="16">
        <v>22000000</v>
      </c>
    </row>
    <row r="882" spans="1:2" ht="14.4" x14ac:dyDescent="0.3">
      <c r="A882" s="1" t="s">
        <v>1496</v>
      </c>
      <c r="B882" s="16">
        <v>16300000</v>
      </c>
    </row>
    <row r="883" spans="1:2" ht="14.4" x14ac:dyDescent="0.3">
      <c r="A883" s="1" t="s">
        <v>1495</v>
      </c>
      <c r="B883" s="16">
        <v>7500000</v>
      </c>
    </row>
    <row r="884" spans="1:2" ht="14.4" x14ac:dyDescent="0.3">
      <c r="A884" s="1" t="s">
        <v>1494</v>
      </c>
      <c r="B884" s="16">
        <v>12000000</v>
      </c>
    </row>
    <row r="885" spans="1:2" ht="14.4" x14ac:dyDescent="0.3">
      <c r="A885" s="1" t="s">
        <v>1493</v>
      </c>
      <c r="B885" s="16">
        <v>10000000</v>
      </c>
    </row>
    <row r="886" spans="1:2" ht="14.4" x14ac:dyDescent="0.3">
      <c r="A886" s="1" t="s">
        <v>1492</v>
      </c>
      <c r="B886" s="16">
        <v>13000000</v>
      </c>
    </row>
    <row r="887" spans="1:2" ht="14.4" x14ac:dyDescent="0.3">
      <c r="A887" s="1" t="s">
        <v>1491</v>
      </c>
      <c r="B887" s="16">
        <v>13500000</v>
      </c>
    </row>
    <row r="888" spans="1:2" ht="14.4" x14ac:dyDescent="0.3">
      <c r="A888" s="1" t="s">
        <v>1490</v>
      </c>
      <c r="B888" s="16">
        <v>21700000</v>
      </c>
    </row>
    <row r="889" spans="1:2" ht="14.4" x14ac:dyDescent="0.3">
      <c r="A889" s="1" t="s">
        <v>1483</v>
      </c>
      <c r="B889" s="16">
        <v>9400000</v>
      </c>
    </row>
    <row r="890" spans="1:2" ht="14.4" x14ac:dyDescent="0.3">
      <c r="A890" s="1" t="s">
        <v>1489</v>
      </c>
      <c r="B890" s="16">
        <v>11000000</v>
      </c>
    </row>
    <row r="891" spans="1:2" ht="14.4" x14ac:dyDescent="0.3">
      <c r="A891" s="1" t="s">
        <v>1488</v>
      </c>
      <c r="B891" s="16">
        <v>35000000</v>
      </c>
    </row>
    <row r="892" spans="1:2" ht="14.4" x14ac:dyDescent="0.3">
      <c r="A892" s="1" t="s">
        <v>1487</v>
      </c>
      <c r="B892" s="16">
        <v>9800000</v>
      </c>
    </row>
    <row r="893" spans="1:2" ht="14.4" x14ac:dyDescent="0.3">
      <c r="A893" s="1" t="s">
        <v>1486</v>
      </c>
      <c r="B893" s="16">
        <v>17500000</v>
      </c>
    </row>
    <row r="894" spans="1:2" ht="14.4" x14ac:dyDescent="0.3">
      <c r="A894" s="1" t="s">
        <v>1485</v>
      </c>
      <c r="B894" s="16">
        <v>9000000</v>
      </c>
    </row>
    <row r="895" spans="1:2" ht="14.4" x14ac:dyDescent="0.3">
      <c r="A895" s="1" t="s">
        <v>1484</v>
      </c>
      <c r="B895" s="16">
        <v>11300000</v>
      </c>
    </row>
    <row r="896" spans="1:2" ht="14.4" x14ac:dyDescent="0.3">
      <c r="A896" s="1" t="s">
        <v>430</v>
      </c>
      <c r="B896" s="16">
        <v>6100000</v>
      </c>
    </row>
    <row r="897" spans="1:2" ht="14.4" x14ac:dyDescent="0.3">
      <c r="A897" s="1" t="s">
        <v>430</v>
      </c>
      <c r="B897" s="16">
        <v>6000000</v>
      </c>
    </row>
    <row r="898" spans="1:2" ht="14.4" x14ac:dyDescent="0.3">
      <c r="A898" s="1" t="s">
        <v>1483</v>
      </c>
      <c r="B898" s="16">
        <v>9400000</v>
      </c>
    </row>
    <row r="899" spans="1:2" ht="14.4" x14ac:dyDescent="0.3">
      <c r="A899" s="1" t="s">
        <v>1482</v>
      </c>
      <c r="B899" s="16">
        <v>10500000</v>
      </c>
    </row>
    <row r="900" spans="1:2" ht="14.4" x14ac:dyDescent="0.3">
      <c r="A900" s="1" t="s">
        <v>430</v>
      </c>
      <c r="B900" s="16">
        <v>6000000</v>
      </c>
    </row>
    <row r="901" spans="1:2" ht="14.4" x14ac:dyDescent="0.3">
      <c r="A901" s="1" t="s">
        <v>1481</v>
      </c>
      <c r="B901" s="16">
        <v>13500000</v>
      </c>
    </row>
    <row r="902" spans="1:2" ht="14.4" x14ac:dyDescent="0.3">
      <c r="A902" s="1" t="s">
        <v>1480</v>
      </c>
      <c r="B902" s="16">
        <v>8500000</v>
      </c>
    </row>
    <row r="903" spans="1:2" ht="14.4" x14ac:dyDescent="0.3">
      <c r="A903" s="1" t="s">
        <v>1479</v>
      </c>
      <c r="B903" s="16">
        <v>7500000</v>
      </c>
    </row>
    <row r="904" spans="1:2" ht="14.4" x14ac:dyDescent="0.3">
      <c r="A904" s="1" t="s">
        <v>1478</v>
      </c>
      <c r="B904" s="16">
        <v>13200000</v>
      </c>
    </row>
    <row r="905" spans="1:2" ht="14.4" x14ac:dyDescent="0.3">
      <c r="A905" s="1" t="s">
        <v>1477</v>
      </c>
      <c r="B905" s="16">
        <v>10200000</v>
      </c>
    </row>
    <row r="906" spans="1:2" ht="14.4" x14ac:dyDescent="0.3">
      <c r="A906" s="1" t="s">
        <v>1476</v>
      </c>
      <c r="B906" s="16">
        <v>13800000</v>
      </c>
    </row>
    <row r="907" spans="1:2" ht="14.4" x14ac:dyDescent="0.3">
      <c r="A907" s="1" t="s">
        <v>1475</v>
      </c>
      <c r="B907" s="16">
        <v>10500000</v>
      </c>
    </row>
    <row r="908" spans="1:2" ht="14.4" x14ac:dyDescent="0.3">
      <c r="A908" s="1" t="s">
        <v>1474</v>
      </c>
      <c r="B908" s="16">
        <v>5760000</v>
      </c>
    </row>
    <row r="909" spans="1:2" ht="14.4" x14ac:dyDescent="0.3">
      <c r="A909" s="1" t="s">
        <v>1473</v>
      </c>
      <c r="B909" s="16">
        <v>11500000</v>
      </c>
    </row>
    <row r="910" spans="1:2" ht="14.4" x14ac:dyDescent="0.3">
      <c r="A910" s="1" t="s">
        <v>1472</v>
      </c>
      <c r="B910" s="16">
        <v>8500000</v>
      </c>
    </row>
    <row r="911" spans="1:2" ht="14.4" x14ac:dyDescent="0.3">
      <c r="A911" s="1" t="s">
        <v>1471</v>
      </c>
      <c r="B911" s="16">
        <v>9500000</v>
      </c>
    </row>
    <row r="912" spans="1:2" ht="14.4" x14ac:dyDescent="0.3">
      <c r="A912" s="1" t="s">
        <v>1470</v>
      </c>
      <c r="B912" s="16">
        <v>11500000</v>
      </c>
    </row>
    <row r="913" spans="1:2" ht="14.4" x14ac:dyDescent="0.3">
      <c r="A913" s="1" t="s">
        <v>1469</v>
      </c>
      <c r="B913" s="16">
        <v>4200000</v>
      </c>
    </row>
    <row r="914" spans="1:2" ht="14.4" x14ac:dyDescent="0.3">
      <c r="A914" s="1" t="s">
        <v>1468</v>
      </c>
      <c r="B914" s="16">
        <v>13250000</v>
      </c>
    </row>
    <row r="915" spans="1:2" ht="14.4" x14ac:dyDescent="0.3">
      <c r="A915" s="1" t="s">
        <v>1467</v>
      </c>
      <c r="B915" s="16">
        <v>11500000</v>
      </c>
    </row>
    <row r="916" spans="1:2" ht="14.4" x14ac:dyDescent="0.3">
      <c r="A916" s="1" t="s">
        <v>1466</v>
      </c>
      <c r="B916" s="16">
        <v>12300000</v>
      </c>
    </row>
    <row r="917" spans="1:2" ht="14.4" x14ac:dyDescent="0.3">
      <c r="A917" s="1" t="s">
        <v>1465</v>
      </c>
      <c r="B917" s="16">
        <v>14500000</v>
      </c>
    </row>
    <row r="918" spans="1:2" ht="14.4" x14ac:dyDescent="0.3">
      <c r="A918" s="1" t="s">
        <v>1463</v>
      </c>
      <c r="B918" s="16">
        <v>15000000</v>
      </c>
    </row>
    <row r="919" spans="1:2" ht="14.4" x14ac:dyDescent="0.3">
      <c r="A919" s="1" t="s">
        <v>1464</v>
      </c>
      <c r="B919" s="16">
        <v>7600000</v>
      </c>
    </row>
    <row r="920" spans="1:2" ht="14.4" x14ac:dyDescent="0.3">
      <c r="A920" s="1" t="s">
        <v>1462</v>
      </c>
      <c r="B920" s="16">
        <v>13700000</v>
      </c>
    </row>
    <row r="921" spans="1:2" ht="14.4" x14ac:dyDescent="0.3">
      <c r="A921" s="1" t="s">
        <v>1461</v>
      </c>
      <c r="B921" s="16">
        <v>5000000</v>
      </c>
    </row>
    <row r="922" spans="1:2" ht="14.4" x14ac:dyDescent="0.3">
      <c r="A922" s="1" t="s">
        <v>1460</v>
      </c>
      <c r="B922" s="16">
        <v>9800000</v>
      </c>
    </row>
    <row r="923" spans="1:2" ht="14.4" x14ac:dyDescent="0.3">
      <c r="A923" s="1" t="s">
        <v>1459</v>
      </c>
      <c r="B923" s="16">
        <v>7800000</v>
      </c>
    </row>
    <row r="924" spans="1:2" ht="14.4" x14ac:dyDescent="0.3">
      <c r="A924" s="1" t="s">
        <v>1458</v>
      </c>
      <c r="B924" s="16">
        <v>9700000</v>
      </c>
    </row>
    <row r="925" spans="1:2" ht="14.4" x14ac:dyDescent="0.3">
      <c r="A925" s="1" t="s">
        <v>1457</v>
      </c>
      <c r="B925" s="16">
        <v>9500000</v>
      </c>
    </row>
    <row r="926" spans="1:2" ht="14.4" x14ac:dyDescent="0.3">
      <c r="A926" s="1" t="s">
        <v>1456</v>
      </c>
      <c r="B926" s="16">
        <v>10500000</v>
      </c>
    </row>
    <row r="927" spans="1:2" ht="14.4" x14ac:dyDescent="0.3">
      <c r="A927" s="1" t="s">
        <v>1455</v>
      </c>
      <c r="B927" s="16">
        <v>13500000</v>
      </c>
    </row>
    <row r="928" spans="1:2" ht="14.4" x14ac:dyDescent="0.3">
      <c r="A928" s="1" t="s">
        <v>1454</v>
      </c>
      <c r="B928" s="16">
        <v>11700000</v>
      </c>
    </row>
    <row r="929" spans="1:2" ht="14.4" x14ac:dyDescent="0.3">
      <c r="A929" s="1" t="s">
        <v>1453</v>
      </c>
      <c r="B929" s="16">
        <v>8000000</v>
      </c>
    </row>
    <row r="930" spans="1:2" ht="14.4" x14ac:dyDescent="0.3">
      <c r="A930" s="1" t="s">
        <v>1452</v>
      </c>
      <c r="B930" s="16">
        <v>9700000</v>
      </c>
    </row>
    <row r="931" spans="1:2" ht="14.4" x14ac:dyDescent="0.3">
      <c r="A931" s="1" t="s">
        <v>1451</v>
      </c>
      <c r="B931" s="16">
        <v>15000000</v>
      </c>
    </row>
    <row r="932" spans="1:2" ht="14.4" x14ac:dyDescent="0.3">
      <c r="A932" s="1" t="s">
        <v>1450</v>
      </c>
      <c r="B932" s="16">
        <v>10500000</v>
      </c>
    </row>
    <row r="933" spans="1:2" ht="14.4" x14ac:dyDescent="0.3">
      <c r="A933" s="1" t="s">
        <v>1449</v>
      </c>
      <c r="B933" s="16">
        <v>10000000</v>
      </c>
    </row>
    <row r="934" spans="1:2" ht="14.4" x14ac:dyDescent="0.3">
      <c r="A934" s="1" t="s">
        <v>1448</v>
      </c>
      <c r="B934" s="16">
        <v>16350000</v>
      </c>
    </row>
    <row r="935" spans="1:2" ht="14.4" x14ac:dyDescent="0.3">
      <c r="A935" s="1" t="s">
        <v>1446</v>
      </c>
      <c r="B935" s="16">
        <v>22000000</v>
      </c>
    </row>
    <row r="936" spans="1:2" ht="14.4" x14ac:dyDescent="0.3">
      <c r="A936" s="1" t="s">
        <v>1447</v>
      </c>
      <c r="B936" s="16">
        <v>22500000</v>
      </c>
    </row>
    <row r="937" spans="1:2" ht="14.4" x14ac:dyDescent="0.3">
      <c r="A937" s="1" t="s">
        <v>1445</v>
      </c>
      <c r="B937" s="16">
        <v>13300000</v>
      </c>
    </row>
    <row r="938" spans="1:2" ht="14.4" x14ac:dyDescent="0.3">
      <c r="A938" s="1" t="s">
        <v>1444</v>
      </c>
      <c r="B938" s="16">
        <v>13500000</v>
      </c>
    </row>
    <row r="939" spans="1:2" ht="14.4" x14ac:dyDescent="0.3">
      <c r="A939" s="1" t="s">
        <v>1443</v>
      </c>
      <c r="B939" s="16">
        <v>16500000</v>
      </c>
    </row>
    <row r="940" spans="1:2" ht="14.4" x14ac:dyDescent="0.3">
      <c r="A940" s="1" t="s">
        <v>1442</v>
      </c>
      <c r="B940" s="16">
        <v>11500000</v>
      </c>
    </row>
    <row r="941" spans="1:2" ht="14.4" x14ac:dyDescent="0.3">
      <c r="A941" s="1" t="s">
        <v>1441</v>
      </c>
      <c r="B941" s="16">
        <v>16500000</v>
      </c>
    </row>
    <row r="942" spans="1:2" ht="14.4" x14ac:dyDescent="0.3">
      <c r="A942" s="1" t="s">
        <v>1440</v>
      </c>
      <c r="B942" s="16">
        <v>28800000</v>
      </c>
    </row>
    <row r="943" spans="1:2" ht="14.4" x14ac:dyDescent="0.3">
      <c r="A943" s="1" t="s">
        <v>1439</v>
      </c>
      <c r="B943" s="16">
        <v>17000000</v>
      </c>
    </row>
    <row r="944" spans="1:2" ht="14.4" x14ac:dyDescent="0.3">
      <c r="A944" s="1" t="s">
        <v>1438</v>
      </c>
      <c r="B944" s="16">
        <v>15500000</v>
      </c>
    </row>
    <row r="945" spans="1:2" ht="14.4" x14ac:dyDescent="0.3">
      <c r="A945" s="1" t="s">
        <v>1437</v>
      </c>
      <c r="B945" s="16">
        <v>7000000</v>
      </c>
    </row>
    <row r="946" spans="1:2" ht="14.4" x14ac:dyDescent="0.3">
      <c r="A946" s="1" t="s">
        <v>1436</v>
      </c>
      <c r="B946" s="16">
        <v>7500000</v>
      </c>
    </row>
    <row r="947" spans="1:2" ht="14.4" x14ac:dyDescent="0.3">
      <c r="A947" s="1" t="s">
        <v>1435</v>
      </c>
      <c r="B947" s="16">
        <v>11900000</v>
      </c>
    </row>
    <row r="948" spans="1:2" ht="14.4" x14ac:dyDescent="0.3">
      <c r="A948" s="1" t="s">
        <v>1434</v>
      </c>
      <c r="B948" s="16">
        <v>16500000</v>
      </c>
    </row>
    <row r="949" spans="1:2" ht="14.4" x14ac:dyDescent="0.3">
      <c r="A949" s="1" t="s">
        <v>1433</v>
      </c>
      <c r="B949" s="16">
        <v>13700000</v>
      </c>
    </row>
    <row r="950" spans="1:2" ht="14.4" x14ac:dyDescent="0.3">
      <c r="A950" s="1" t="s">
        <v>1432</v>
      </c>
      <c r="B950" s="16">
        <v>9000000</v>
      </c>
    </row>
    <row r="951" spans="1:2" ht="14.4" x14ac:dyDescent="0.3">
      <c r="A951" s="1" t="s">
        <v>1431</v>
      </c>
      <c r="B951" s="16">
        <v>9500000</v>
      </c>
    </row>
    <row r="952" spans="1:2" ht="14.4" x14ac:dyDescent="0.3">
      <c r="A952" s="1" t="s">
        <v>1430</v>
      </c>
      <c r="B952" s="16">
        <v>10270000</v>
      </c>
    </row>
    <row r="953" spans="1:2" ht="14.4" x14ac:dyDescent="0.3">
      <c r="A953" s="1" t="s">
        <v>1429</v>
      </c>
      <c r="B953" s="16">
        <v>15500000</v>
      </c>
    </row>
    <row r="954" spans="1:2" ht="14.4" x14ac:dyDescent="0.3">
      <c r="A954" s="1" t="s">
        <v>1428</v>
      </c>
      <c r="B954" s="16">
        <v>11700000</v>
      </c>
    </row>
    <row r="955" spans="1:2" ht="14.4" x14ac:dyDescent="0.3">
      <c r="A955" s="1" t="s">
        <v>1427</v>
      </c>
      <c r="B955" s="16">
        <v>11700000</v>
      </c>
    </row>
    <row r="956" spans="1:2" ht="14.4" x14ac:dyDescent="0.3">
      <c r="A956" s="1" t="s">
        <v>1261</v>
      </c>
      <c r="B956" s="16">
        <v>11500000</v>
      </c>
    </row>
    <row r="957" spans="1:2" ht="14.4" x14ac:dyDescent="0.3">
      <c r="A957" s="1" t="s">
        <v>1426</v>
      </c>
      <c r="B957" s="16">
        <v>5100000</v>
      </c>
    </row>
    <row r="958" spans="1:2" ht="14.4" x14ac:dyDescent="0.3">
      <c r="A958" s="1" t="s">
        <v>1425</v>
      </c>
      <c r="B958" s="16">
        <v>4850000</v>
      </c>
    </row>
    <row r="959" spans="1:2" ht="14.4" x14ac:dyDescent="0.3">
      <c r="A959" s="1" t="s">
        <v>1424</v>
      </c>
      <c r="B959" s="16">
        <v>5800000</v>
      </c>
    </row>
    <row r="960" spans="1:2" ht="14.4" x14ac:dyDescent="0.3">
      <c r="A960" s="1" t="s">
        <v>1423</v>
      </c>
      <c r="B960" s="16">
        <v>11000000</v>
      </c>
    </row>
    <row r="961" spans="1:2" ht="14.4" x14ac:dyDescent="0.3">
      <c r="A961" s="1" t="s">
        <v>1422</v>
      </c>
      <c r="B961" s="16">
        <v>11000000</v>
      </c>
    </row>
    <row r="962" spans="1:2" ht="14.4" x14ac:dyDescent="0.3">
      <c r="A962" s="1" t="s">
        <v>1421</v>
      </c>
      <c r="B962" s="16">
        <v>31000000</v>
      </c>
    </row>
    <row r="963" spans="1:2" ht="14.4" x14ac:dyDescent="0.3">
      <c r="A963" s="1" t="s">
        <v>1420</v>
      </c>
      <c r="B963" s="16">
        <v>13000000</v>
      </c>
    </row>
    <row r="964" spans="1:2" ht="14.4" x14ac:dyDescent="0.3">
      <c r="A964" s="1" t="s">
        <v>1419</v>
      </c>
      <c r="B964" s="16">
        <v>7500000</v>
      </c>
    </row>
    <row r="965" spans="1:2" ht="14.4" x14ac:dyDescent="0.3">
      <c r="A965" s="1" t="s">
        <v>1418</v>
      </c>
      <c r="B965" s="16">
        <v>18000000</v>
      </c>
    </row>
    <row r="966" spans="1:2" ht="14.4" x14ac:dyDescent="0.3">
      <c r="A966" s="1" t="s">
        <v>1417</v>
      </c>
      <c r="B966" s="16">
        <v>20000000</v>
      </c>
    </row>
    <row r="967" spans="1:2" ht="14.4" x14ac:dyDescent="0.3">
      <c r="A967" s="1" t="s">
        <v>1416</v>
      </c>
      <c r="B967" s="16">
        <v>7000000</v>
      </c>
    </row>
    <row r="968" spans="1:2" ht="14.4" x14ac:dyDescent="0.3">
      <c r="A968" s="1" t="s">
        <v>1415</v>
      </c>
      <c r="B968" s="16">
        <v>16000000</v>
      </c>
    </row>
    <row r="969" spans="1:2" ht="14.4" x14ac:dyDescent="0.3">
      <c r="A969" s="1" t="s">
        <v>1414</v>
      </c>
      <c r="B969" s="16">
        <v>9300000</v>
      </c>
    </row>
    <row r="970" spans="1:2" ht="14.4" x14ac:dyDescent="0.3">
      <c r="A970" s="1" t="s">
        <v>1413</v>
      </c>
      <c r="B970" s="16">
        <v>14700000</v>
      </c>
    </row>
    <row r="971" spans="1:2" ht="14.4" x14ac:dyDescent="0.3">
      <c r="A971" s="1" t="s">
        <v>1412</v>
      </c>
      <c r="B971" s="16">
        <v>5600000</v>
      </c>
    </row>
    <row r="972" spans="1:2" ht="14.4" x14ac:dyDescent="0.3">
      <c r="A972" s="1" t="s">
        <v>1411</v>
      </c>
      <c r="B972" s="16">
        <v>11500000</v>
      </c>
    </row>
    <row r="973" spans="1:2" ht="14.4" x14ac:dyDescent="0.3">
      <c r="A973" s="1" t="s">
        <v>1410</v>
      </c>
      <c r="B973" s="16">
        <v>10200000</v>
      </c>
    </row>
    <row r="974" spans="1:2" ht="14.4" x14ac:dyDescent="0.3">
      <c r="A974" s="1" t="s">
        <v>1409</v>
      </c>
      <c r="B974" s="16">
        <v>24000000</v>
      </c>
    </row>
    <row r="975" spans="1:2" ht="14.4" x14ac:dyDescent="0.3">
      <c r="A975" s="1" t="s">
        <v>1408</v>
      </c>
      <c r="B975" s="16">
        <v>17500000</v>
      </c>
    </row>
    <row r="976" spans="1:2" ht="14.4" x14ac:dyDescent="0.3">
      <c r="A976" s="1" t="s">
        <v>1407</v>
      </c>
      <c r="B976" s="16">
        <v>9000000</v>
      </c>
    </row>
    <row r="977" spans="1:2" ht="14.4" x14ac:dyDescent="0.3">
      <c r="A977" s="1" t="s">
        <v>1406</v>
      </c>
      <c r="B977" s="16">
        <v>22000000</v>
      </c>
    </row>
    <row r="978" spans="1:2" ht="14.4" x14ac:dyDescent="0.3">
      <c r="A978" s="1" t="s">
        <v>1405</v>
      </c>
      <c r="B978" s="16">
        <v>14700000</v>
      </c>
    </row>
    <row r="979" spans="1:2" ht="14.4" x14ac:dyDescent="0.3">
      <c r="A979" s="1" t="s">
        <v>1404</v>
      </c>
      <c r="B979" s="16">
        <v>18000000</v>
      </c>
    </row>
    <row r="980" spans="1:2" ht="14.4" x14ac:dyDescent="0.3">
      <c r="A980" s="1" t="s">
        <v>1403</v>
      </c>
      <c r="B980" s="16">
        <v>31000000</v>
      </c>
    </row>
    <row r="981" spans="1:2" ht="14.4" x14ac:dyDescent="0.3">
      <c r="A981" s="1" t="s">
        <v>1402</v>
      </c>
      <c r="B981" s="16">
        <v>13500000</v>
      </c>
    </row>
    <row r="982" spans="1:2" ht="14.4" x14ac:dyDescent="0.3">
      <c r="A982" s="1" t="s">
        <v>1401</v>
      </c>
      <c r="B982" s="16">
        <v>19500000</v>
      </c>
    </row>
    <row r="983" spans="1:2" ht="14.4" x14ac:dyDescent="0.3">
      <c r="A983" s="1" t="s">
        <v>1400</v>
      </c>
      <c r="B983" s="16">
        <v>10100000</v>
      </c>
    </row>
    <row r="984" spans="1:2" ht="14.4" x14ac:dyDescent="0.3">
      <c r="A984" s="1" t="s">
        <v>1399</v>
      </c>
      <c r="B984" s="16">
        <v>9500000</v>
      </c>
    </row>
    <row r="985" spans="1:2" ht="14.4" x14ac:dyDescent="0.3">
      <c r="A985" s="1" t="s">
        <v>1397</v>
      </c>
      <c r="B985" s="16">
        <v>9000000</v>
      </c>
    </row>
    <row r="986" spans="1:2" ht="14.4" x14ac:dyDescent="0.3">
      <c r="A986" s="1" t="s">
        <v>1398</v>
      </c>
      <c r="B986" s="16">
        <v>11000000</v>
      </c>
    </row>
    <row r="987" spans="1:2" ht="14.4" x14ac:dyDescent="0.3">
      <c r="A987" s="1" t="s">
        <v>1396</v>
      </c>
      <c r="B987" s="16">
        <v>10000000</v>
      </c>
    </row>
    <row r="988" spans="1:2" ht="14.4" x14ac:dyDescent="0.3">
      <c r="A988" s="1" t="s">
        <v>1395</v>
      </c>
      <c r="B988" s="16">
        <v>23800000</v>
      </c>
    </row>
    <row r="989" spans="1:2" ht="14.4" x14ac:dyDescent="0.3">
      <c r="A989" s="1" t="s">
        <v>637</v>
      </c>
      <c r="B989" s="16">
        <v>10000000</v>
      </c>
    </row>
    <row r="990" spans="1:2" ht="14.4" x14ac:dyDescent="0.3">
      <c r="A990" s="1" t="s">
        <v>1393</v>
      </c>
      <c r="B990" s="16">
        <v>16000000</v>
      </c>
    </row>
    <row r="991" spans="1:2" ht="14.4" x14ac:dyDescent="0.3">
      <c r="A991" s="1" t="s">
        <v>1394</v>
      </c>
      <c r="B991" s="16">
        <v>17500000</v>
      </c>
    </row>
    <row r="992" spans="1:2" ht="14.4" x14ac:dyDescent="0.3">
      <c r="A992" s="1" t="s">
        <v>1392</v>
      </c>
      <c r="B992" s="16">
        <v>14700000</v>
      </c>
    </row>
    <row r="993" spans="1:2" ht="14.4" x14ac:dyDescent="0.3">
      <c r="A993" s="1" t="s">
        <v>1391</v>
      </c>
      <c r="B993" s="16">
        <v>6000000</v>
      </c>
    </row>
    <row r="994" spans="1:2" ht="14.4" x14ac:dyDescent="0.3">
      <c r="A994" s="1" t="s">
        <v>1390</v>
      </c>
      <c r="B994" s="16">
        <v>7300000</v>
      </c>
    </row>
    <row r="995" spans="1:2" ht="14.4" x14ac:dyDescent="0.3">
      <c r="A995" s="1" t="s">
        <v>1389</v>
      </c>
      <c r="B995" s="16">
        <v>9400000</v>
      </c>
    </row>
    <row r="996" spans="1:2" ht="14.4" x14ac:dyDescent="0.3">
      <c r="A996" s="1" t="s">
        <v>1359</v>
      </c>
      <c r="B996" s="16">
        <v>17500000</v>
      </c>
    </row>
    <row r="997" spans="1:2" ht="14.4" x14ac:dyDescent="0.3">
      <c r="A997" s="1" t="s">
        <v>1388</v>
      </c>
      <c r="B997" s="16">
        <v>8500000</v>
      </c>
    </row>
    <row r="998" spans="1:2" ht="14.4" x14ac:dyDescent="0.3">
      <c r="A998" s="1" t="s">
        <v>1387</v>
      </c>
      <c r="B998" s="16">
        <v>11200000</v>
      </c>
    </row>
    <row r="999" spans="1:2" ht="14.4" x14ac:dyDescent="0.3">
      <c r="A999" s="1" t="s">
        <v>1386</v>
      </c>
      <c r="B999" s="16">
        <v>14500000</v>
      </c>
    </row>
    <row r="1000" spans="1:2" ht="14.4" x14ac:dyDescent="0.3">
      <c r="A1000" s="1" t="s">
        <v>1385</v>
      </c>
      <c r="B1000" s="16">
        <v>7500000</v>
      </c>
    </row>
    <row r="1001" spans="1:2" ht="14.4" x14ac:dyDescent="0.3">
      <c r="A1001" s="1" t="s">
        <v>1384</v>
      </c>
      <c r="B1001" s="16">
        <v>13000000</v>
      </c>
    </row>
    <row r="1002" spans="1:2" ht="14.4" x14ac:dyDescent="0.3">
      <c r="A1002" s="1" t="s">
        <v>1383</v>
      </c>
      <c r="B1002" s="16">
        <v>18000000</v>
      </c>
    </row>
    <row r="1003" spans="1:2" ht="14.4" x14ac:dyDescent="0.3">
      <c r="A1003" s="1" t="s">
        <v>1382</v>
      </c>
      <c r="B1003" s="16">
        <v>30000000</v>
      </c>
    </row>
    <row r="1004" spans="1:2" ht="14.4" x14ac:dyDescent="0.3">
      <c r="A1004" s="1" t="s">
        <v>1381</v>
      </c>
      <c r="B1004" s="16">
        <v>15000000</v>
      </c>
    </row>
    <row r="1005" spans="1:2" ht="14.4" x14ac:dyDescent="0.3">
      <c r="A1005" s="1" t="s">
        <v>1380</v>
      </c>
      <c r="B1005" s="16">
        <v>7800000</v>
      </c>
    </row>
    <row r="1006" spans="1:2" ht="14.4" x14ac:dyDescent="0.3">
      <c r="A1006" s="1" t="s">
        <v>1379</v>
      </c>
      <c r="B1006" s="16">
        <v>14000000</v>
      </c>
    </row>
    <row r="1007" spans="1:2" ht="14.4" x14ac:dyDescent="0.3">
      <c r="A1007" s="1" t="s">
        <v>1378</v>
      </c>
      <c r="B1007" s="16">
        <v>7000000</v>
      </c>
    </row>
    <row r="1008" spans="1:2" ht="14.4" x14ac:dyDescent="0.3">
      <c r="A1008" s="1" t="s">
        <v>1377</v>
      </c>
      <c r="B1008" s="16">
        <v>7000000</v>
      </c>
    </row>
    <row r="1009" spans="1:2" ht="14.4" x14ac:dyDescent="0.3">
      <c r="A1009" s="1" t="s">
        <v>1376</v>
      </c>
      <c r="B1009" s="16">
        <v>5800000</v>
      </c>
    </row>
    <row r="1010" spans="1:2" ht="14.4" x14ac:dyDescent="0.3">
      <c r="A1010" s="1" t="s">
        <v>1375</v>
      </c>
      <c r="B1010" s="16">
        <v>6000000</v>
      </c>
    </row>
    <row r="1011" spans="1:2" ht="14.4" x14ac:dyDescent="0.3">
      <c r="A1011" s="1" t="s">
        <v>1374</v>
      </c>
      <c r="B1011" s="16">
        <v>11500000</v>
      </c>
    </row>
    <row r="1012" spans="1:2" ht="14.4" x14ac:dyDescent="0.3">
      <c r="A1012" s="1" t="s">
        <v>1373</v>
      </c>
      <c r="B1012" s="16">
        <v>18000000</v>
      </c>
    </row>
    <row r="1013" spans="1:2" ht="14.4" x14ac:dyDescent="0.3">
      <c r="A1013" s="1" t="s">
        <v>1372</v>
      </c>
      <c r="B1013" s="16">
        <v>17850000</v>
      </c>
    </row>
    <row r="1014" spans="1:2" ht="14.4" x14ac:dyDescent="0.3">
      <c r="A1014" s="1" t="s">
        <v>1371</v>
      </c>
      <c r="B1014" s="16">
        <v>10000000</v>
      </c>
    </row>
    <row r="1015" spans="1:2" ht="14.4" x14ac:dyDescent="0.3">
      <c r="A1015" s="1" t="s">
        <v>1370</v>
      </c>
      <c r="B1015" s="16">
        <v>9500000</v>
      </c>
    </row>
    <row r="1016" spans="1:2" ht="14.4" x14ac:dyDescent="0.3">
      <c r="A1016" s="1" t="s">
        <v>1369</v>
      </c>
      <c r="B1016" s="16">
        <v>8000000</v>
      </c>
    </row>
    <row r="1017" spans="1:2" ht="14.4" x14ac:dyDescent="0.3">
      <c r="A1017" s="1" t="s">
        <v>1368</v>
      </c>
      <c r="B1017" s="16">
        <v>16500000</v>
      </c>
    </row>
    <row r="1018" spans="1:2" ht="14.4" x14ac:dyDescent="0.3">
      <c r="A1018" s="1" t="s">
        <v>1143</v>
      </c>
      <c r="B1018" s="16">
        <v>6800000</v>
      </c>
    </row>
    <row r="1019" spans="1:2" ht="14.4" x14ac:dyDescent="0.3">
      <c r="A1019" s="1" t="s">
        <v>1367</v>
      </c>
      <c r="B1019" s="16">
        <v>6500000</v>
      </c>
    </row>
    <row r="1020" spans="1:2" ht="14.4" x14ac:dyDescent="0.3">
      <c r="A1020" s="1" t="s">
        <v>1366</v>
      </c>
      <c r="B1020" s="16">
        <v>5000000</v>
      </c>
    </row>
    <row r="1021" spans="1:2" ht="14.4" x14ac:dyDescent="0.3">
      <c r="A1021" s="1" t="s">
        <v>1365</v>
      </c>
      <c r="B1021" s="16">
        <v>19880000</v>
      </c>
    </row>
    <row r="1022" spans="1:2" ht="14.4" x14ac:dyDescent="0.3">
      <c r="A1022" s="1" t="s">
        <v>1364</v>
      </c>
      <c r="B1022" s="16">
        <v>15500000</v>
      </c>
    </row>
    <row r="1023" spans="1:2" ht="14.4" x14ac:dyDescent="0.3">
      <c r="A1023" s="1" t="s">
        <v>1361</v>
      </c>
      <c r="B1023" s="16">
        <v>8000000</v>
      </c>
    </row>
    <row r="1024" spans="1:2" ht="14.4" x14ac:dyDescent="0.3">
      <c r="A1024" s="1" t="s">
        <v>1363</v>
      </c>
      <c r="B1024" s="16">
        <v>8500000</v>
      </c>
    </row>
    <row r="1025" spans="1:2" ht="14.4" x14ac:dyDescent="0.3">
      <c r="A1025" s="1" t="s">
        <v>1362</v>
      </c>
      <c r="B1025" s="16">
        <v>15000000</v>
      </c>
    </row>
    <row r="1026" spans="1:2" ht="14.4" x14ac:dyDescent="0.3">
      <c r="A1026" s="1" t="s">
        <v>1360</v>
      </c>
      <c r="B1026" s="16">
        <v>9400000</v>
      </c>
    </row>
    <row r="1027" spans="1:2" ht="14.4" x14ac:dyDescent="0.3">
      <c r="A1027" s="1" t="s">
        <v>1358</v>
      </c>
      <c r="B1027" s="16">
        <v>11500000</v>
      </c>
    </row>
    <row r="1028" spans="1:2" ht="14.4" x14ac:dyDescent="0.3">
      <c r="A1028" s="1" t="s">
        <v>1357</v>
      </c>
      <c r="B1028" s="16">
        <v>5000000</v>
      </c>
    </row>
    <row r="1029" spans="1:2" ht="14.4" x14ac:dyDescent="0.3">
      <c r="A1029" s="1" t="s">
        <v>1356</v>
      </c>
      <c r="B1029" s="16">
        <v>13500000</v>
      </c>
    </row>
    <row r="1030" spans="1:2" ht="14.4" x14ac:dyDescent="0.3">
      <c r="A1030" s="1" t="s">
        <v>1355</v>
      </c>
      <c r="B1030" s="16">
        <v>4700000</v>
      </c>
    </row>
    <row r="1031" spans="1:2" ht="14.4" x14ac:dyDescent="0.3">
      <c r="A1031" s="1" t="s">
        <v>1354</v>
      </c>
      <c r="B1031" s="16">
        <v>5800000</v>
      </c>
    </row>
    <row r="1032" spans="1:2" ht="14.4" x14ac:dyDescent="0.3">
      <c r="A1032" s="1" t="s">
        <v>1353</v>
      </c>
      <c r="B1032" s="16">
        <v>9000000</v>
      </c>
    </row>
    <row r="1033" spans="1:2" ht="14.4" x14ac:dyDescent="0.3">
      <c r="A1033" s="1" t="s">
        <v>1352</v>
      </c>
      <c r="B1033" s="16">
        <v>8000000</v>
      </c>
    </row>
    <row r="1034" spans="1:2" ht="14.4" x14ac:dyDescent="0.3">
      <c r="A1034" s="1" t="s">
        <v>1351</v>
      </c>
      <c r="B1034" s="16">
        <v>15000000</v>
      </c>
    </row>
    <row r="1035" spans="1:2" ht="14.4" x14ac:dyDescent="0.3">
      <c r="A1035" s="1" t="s">
        <v>1350</v>
      </c>
      <c r="B1035" s="16">
        <v>10500000</v>
      </c>
    </row>
    <row r="1036" spans="1:2" ht="14.4" x14ac:dyDescent="0.3">
      <c r="A1036" s="1" t="s">
        <v>1349</v>
      </c>
      <c r="B1036" s="16">
        <v>10000000</v>
      </c>
    </row>
    <row r="1037" spans="1:2" ht="14.4" x14ac:dyDescent="0.3">
      <c r="A1037" s="1" t="s">
        <v>1348</v>
      </c>
      <c r="B1037" s="16">
        <v>5200000</v>
      </c>
    </row>
    <row r="1038" spans="1:2" ht="14.4" x14ac:dyDescent="0.3">
      <c r="A1038" s="1" t="s">
        <v>1347</v>
      </c>
      <c r="B1038" s="16">
        <v>7000000</v>
      </c>
    </row>
    <row r="1039" spans="1:2" ht="14.4" x14ac:dyDescent="0.3">
      <c r="A1039" s="1" t="s">
        <v>1346</v>
      </c>
      <c r="B1039" s="16">
        <v>11300000</v>
      </c>
    </row>
    <row r="1040" spans="1:2" ht="14.4" x14ac:dyDescent="0.3">
      <c r="A1040" s="1" t="s">
        <v>1345</v>
      </c>
      <c r="B1040" s="16">
        <v>10000000</v>
      </c>
    </row>
    <row r="1041" spans="1:2" ht="14.4" x14ac:dyDescent="0.3">
      <c r="A1041" s="1" t="s">
        <v>1344</v>
      </c>
      <c r="B1041" s="16">
        <v>17500000</v>
      </c>
    </row>
    <row r="1042" spans="1:2" ht="14.4" x14ac:dyDescent="0.3">
      <c r="A1042" s="1" t="s">
        <v>1343</v>
      </c>
      <c r="B1042" s="16">
        <v>11300000</v>
      </c>
    </row>
    <row r="1043" spans="1:2" ht="14.4" x14ac:dyDescent="0.3">
      <c r="A1043" s="1" t="s">
        <v>1342</v>
      </c>
      <c r="B1043" s="16">
        <v>14200000</v>
      </c>
    </row>
    <row r="1044" spans="1:2" ht="14.4" x14ac:dyDescent="0.3">
      <c r="A1044" s="1" t="s">
        <v>1340</v>
      </c>
      <c r="B1044" s="16">
        <v>10800000</v>
      </c>
    </row>
    <row r="1045" spans="1:2" ht="14.4" x14ac:dyDescent="0.3">
      <c r="A1045" s="1" t="s">
        <v>1341</v>
      </c>
      <c r="B1045" s="16">
        <v>37000000</v>
      </c>
    </row>
    <row r="1046" spans="1:2" ht="14.4" x14ac:dyDescent="0.3">
      <c r="A1046" s="1" t="s">
        <v>1339</v>
      </c>
      <c r="B1046" s="16">
        <v>7000000</v>
      </c>
    </row>
    <row r="1047" spans="1:2" ht="14.4" x14ac:dyDescent="0.3">
      <c r="A1047" s="1" t="s">
        <v>1338</v>
      </c>
      <c r="B1047" s="16">
        <v>10500000</v>
      </c>
    </row>
    <row r="1048" spans="1:2" ht="14.4" x14ac:dyDescent="0.3">
      <c r="A1048" s="1" t="s">
        <v>1337</v>
      </c>
      <c r="B1048" s="16">
        <v>12000000</v>
      </c>
    </row>
    <row r="1049" spans="1:2" ht="14.4" x14ac:dyDescent="0.3">
      <c r="A1049" s="1" t="s">
        <v>1336</v>
      </c>
      <c r="B1049" s="16">
        <v>14000000</v>
      </c>
    </row>
    <row r="1050" spans="1:2" ht="14.4" x14ac:dyDescent="0.3">
      <c r="A1050" s="1" t="s">
        <v>1335</v>
      </c>
      <c r="B1050" s="16">
        <v>9800000</v>
      </c>
    </row>
    <row r="1051" spans="1:2" ht="14.4" x14ac:dyDescent="0.3">
      <c r="A1051" s="1" t="s">
        <v>1334</v>
      </c>
      <c r="B1051" s="16">
        <v>7200000</v>
      </c>
    </row>
    <row r="1052" spans="1:2" ht="14.4" x14ac:dyDescent="0.3">
      <c r="A1052" s="1" t="s">
        <v>1333</v>
      </c>
      <c r="B1052" s="16">
        <v>32500000</v>
      </c>
    </row>
    <row r="1053" spans="1:2" ht="14.4" x14ac:dyDescent="0.3">
      <c r="A1053" s="1" t="s">
        <v>1332</v>
      </c>
      <c r="B1053" s="16">
        <v>5900000</v>
      </c>
    </row>
    <row r="1054" spans="1:2" ht="14.4" x14ac:dyDescent="0.3">
      <c r="A1054" s="1" t="s">
        <v>67</v>
      </c>
      <c r="B1054" s="16">
        <v>12000000</v>
      </c>
    </row>
    <row r="1055" spans="1:2" ht="14.4" x14ac:dyDescent="0.3">
      <c r="A1055" s="1" t="s">
        <v>1331</v>
      </c>
      <c r="B1055" s="16">
        <v>14850000</v>
      </c>
    </row>
    <row r="1056" spans="1:2" ht="14.4" x14ac:dyDescent="0.3">
      <c r="A1056" s="1" t="s">
        <v>1330</v>
      </c>
      <c r="B1056" s="16">
        <v>6500000</v>
      </c>
    </row>
    <row r="1057" spans="1:2" ht="14.4" x14ac:dyDescent="0.3">
      <c r="A1057" s="1" t="s">
        <v>1329</v>
      </c>
      <c r="B1057" s="16">
        <v>11500000</v>
      </c>
    </row>
    <row r="1058" spans="1:2" ht="14.4" x14ac:dyDescent="0.3">
      <c r="A1058" s="1" t="s">
        <v>1328</v>
      </c>
      <c r="B1058" s="16">
        <v>10500000</v>
      </c>
    </row>
    <row r="1059" spans="1:2" ht="14.4" x14ac:dyDescent="0.3">
      <c r="A1059" s="1" t="s">
        <v>1327</v>
      </c>
      <c r="B1059" s="16">
        <v>11500000</v>
      </c>
    </row>
    <row r="1060" spans="1:2" ht="14.4" x14ac:dyDescent="0.3">
      <c r="A1060" s="1" t="s">
        <v>1326</v>
      </c>
      <c r="B1060" s="16">
        <v>15000000</v>
      </c>
    </row>
    <row r="1061" spans="1:2" ht="14.4" x14ac:dyDescent="0.3">
      <c r="A1061" s="1" t="s">
        <v>1324</v>
      </c>
      <c r="B1061" s="16">
        <v>6500000</v>
      </c>
    </row>
    <row r="1062" spans="1:2" ht="14.4" x14ac:dyDescent="0.3">
      <c r="A1062" s="1" t="s">
        <v>1325</v>
      </c>
      <c r="B1062" s="16">
        <v>15500000</v>
      </c>
    </row>
    <row r="1063" spans="1:2" ht="14.4" x14ac:dyDescent="0.3">
      <c r="A1063" s="1" t="s">
        <v>1323</v>
      </c>
      <c r="B1063" s="16">
        <v>8000000</v>
      </c>
    </row>
    <row r="1064" spans="1:2" ht="14.4" x14ac:dyDescent="0.3">
      <c r="A1064" s="1" t="s">
        <v>1322</v>
      </c>
      <c r="B1064" s="16">
        <v>9500000</v>
      </c>
    </row>
    <row r="1065" spans="1:2" ht="14.4" x14ac:dyDescent="0.3">
      <c r="A1065" s="1" t="s">
        <v>1321</v>
      </c>
      <c r="B1065" s="16">
        <v>12000000</v>
      </c>
    </row>
    <row r="1066" spans="1:2" ht="14.4" x14ac:dyDescent="0.3">
      <c r="A1066" s="1" t="s">
        <v>1320</v>
      </c>
      <c r="B1066" s="16">
        <v>7000000</v>
      </c>
    </row>
    <row r="1067" spans="1:2" ht="14.4" x14ac:dyDescent="0.3">
      <c r="A1067" s="1" t="s">
        <v>1319</v>
      </c>
      <c r="B1067" s="16">
        <v>17500000</v>
      </c>
    </row>
    <row r="1068" spans="1:2" ht="14.4" x14ac:dyDescent="0.3">
      <c r="A1068" s="1" t="s">
        <v>1318</v>
      </c>
      <c r="B1068" s="16">
        <v>18500000</v>
      </c>
    </row>
    <row r="1069" spans="1:2" ht="14.4" x14ac:dyDescent="0.3">
      <c r="A1069" s="1" t="s">
        <v>1317</v>
      </c>
      <c r="B1069" s="16">
        <v>33000000</v>
      </c>
    </row>
    <row r="1070" spans="1:2" ht="14.4" x14ac:dyDescent="0.3">
      <c r="A1070" s="1" t="s">
        <v>1316</v>
      </c>
      <c r="B1070" s="16">
        <v>11000000</v>
      </c>
    </row>
    <row r="1071" spans="1:2" ht="14.4" x14ac:dyDescent="0.3">
      <c r="A1071" s="1" t="s">
        <v>1315</v>
      </c>
      <c r="B1071" s="16">
        <v>7000000</v>
      </c>
    </row>
    <row r="1072" spans="1:2" ht="14.4" x14ac:dyDescent="0.3">
      <c r="A1072" s="1" t="s">
        <v>1314</v>
      </c>
      <c r="B1072" s="16">
        <v>6500000</v>
      </c>
    </row>
    <row r="1073" spans="1:2" ht="14.4" x14ac:dyDescent="0.3">
      <c r="A1073" s="1" t="s">
        <v>1313</v>
      </c>
      <c r="B1073" s="16">
        <v>13000000</v>
      </c>
    </row>
    <row r="1074" spans="1:2" ht="14.4" x14ac:dyDescent="0.3">
      <c r="A1074" s="1" t="s">
        <v>1312</v>
      </c>
      <c r="B1074" s="16">
        <v>6000000</v>
      </c>
    </row>
    <row r="1075" spans="1:2" ht="14.4" x14ac:dyDescent="0.3">
      <c r="A1075" s="1" t="s">
        <v>1311</v>
      </c>
      <c r="B1075" s="16">
        <v>7200000</v>
      </c>
    </row>
    <row r="1076" spans="1:2" ht="14.4" x14ac:dyDescent="0.3">
      <c r="A1076" s="1" t="s">
        <v>1310</v>
      </c>
      <c r="B1076" s="16">
        <v>9500000</v>
      </c>
    </row>
    <row r="1077" spans="1:2" ht="14.4" x14ac:dyDescent="0.3">
      <c r="A1077" s="1" t="s">
        <v>1309</v>
      </c>
      <c r="B1077" s="16">
        <v>10500000</v>
      </c>
    </row>
    <row r="1078" spans="1:2" ht="14.4" x14ac:dyDescent="0.3">
      <c r="A1078" s="1" t="s">
        <v>1308</v>
      </c>
      <c r="B1078" s="16">
        <v>7500000</v>
      </c>
    </row>
    <row r="1079" spans="1:2" ht="14.4" x14ac:dyDescent="0.3">
      <c r="A1079" s="1" t="s">
        <v>1307</v>
      </c>
      <c r="B1079" s="16">
        <v>9000000</v>
      </c>
    </row>
    <row r="1080" spans="1:2" ht="14.4" x14ac:dyDescent="0.3">
      <c r="A1080" s="1" t="s">
        <v>1306</v>
      </c>
      <c r="B1080" s="16">
        <v>14000000</v>
      </c>
    </row>
    <row r="1081" spans="1:2" ht="14.4" x14ac:dyDescent="0.3">
      <c r="A1081" s="1" t="s">
        <v>1305</v>
      </c>
      <c r="B1081" s="16">
        <v>11500000</v>
      </c>
    </row>
    <row r="1082" spans="1:2" ht="14.4" x14ac:dyDescent="0.3">
      <c r="A1082" s="1" t="s">
        <v>1304</v>
      </c>
      <c r="B1082" s="16">
        <v>8000000</v>
      </c>
    </row>
    <row r="1083" spans="1:2" ht="14.4" x14ac:dyDescent="0.3">
      <c r="A1083" s="1" t="s">
        <v>1303</v>
      </c>
      <c r="B1083" s="16">
        <v>4300000</v>
      </c>
    </row>
    <row r="1084" spans="1:2" ht="14.4" x14ac:dyDescent="0.3">
      <c r="A1084" s="1" t="s">
        <v>1282</v>
      </c>
      <c r="B1084" s="16">
        <v>15000000</v>
      </c>
    </row>
    <row r="1085" spans="1:2" ht="14.4" x14ac:dyDescent="0.3">
      <c r="A1085" s="1" t="s">
        <v>1302</v>
      </c>
      <c r="B1085" s="16">
        <v>10500000</v>
      </c>
    </row>
    <row r="1086" spans="1:2" ht="14.4" x14ac:dyDescent="0.3">
      <c r="A1086" s="1" t="s">
        <v>1301</v>
      </c>
      <c r="B1086" s="16">
        <v>5800000</v>
      </c>
    </row>
    <row r="1087" spans="1:2" ht="14.4" x14ac:dyDescent="0.3">
      <c r="A1087" s="1" t="s">
        <v>1247</v>
      </c>
      <c r="B1087" s="16">
        <v>9500000</v>
      </c>
    </row>
    <row r="1088" spans="1:2" ht="14.4" x14ac:dyDescent="0.3">
      <c r="A1088" s="1" t="s">
        <v>1300</v>
      </c>
      <c r="B1088" s="16">
        <v>24700000</v>
      </c>
    </row>
    <row r="1089" spans="1:2" ht="14.4" x14ac:dyDescent="0.3">
      <c r="A1089" s="1" t="s">
        <v>1299</v>
      </c>
      <c r="B1089" s="16">
        <v>13500000</v>
      </c>
    </row>
    <row r="1090" spans="1:2" ht="14.4" x14ac:dyDescent="0.3">
      <c r="A1090" s="1" t="s">
        <v>1298</v>
      </c>
      <c r="B1090" s="16">
        <v>19000000</v>
      </c>
    </row>
    <row r="1091" spans="1:2" ht="14.4" x14ac:dyDescent="0.3">
      <c r="A1091" s="1" t="s">
        <v>1297</v>
      </c>
      <c r="B1091" s="16">
        <v>12000000</v>
      </c>
    </row>
    <row r="1092" spans="1:2" ht="14.4" x14ac:dyDescent="0.3">
      <c r="A1092" s="1" t="s">
        <v>1296</v>
      </c>
      <c r="B1092" s="16">
        <v>7000000</v>
      </c>
    </row>
    <row r="1093" spans="1:2" ht="14.4" x14ac:dyDescent="0.3">
      <c r="A1093" s="1" t="s">
        <v>1295</v>
      </c>
      <c r="B1093" s="16">
        <v>4000000</v>
      </c>
    </row>
    <row r="1094" spans="1:2" ht="14.4" x14ac:dyDescent="0.3">
      <c r="A1094" s="1" t="s">
        <v>1294</v>
      </c>
      <c r="B1094" s="16">
        <v>4500000</v>
      </c>
    </row>
    <row r="1095" spans="1:2" ht="14.4" x14ac:dyDescent="0.3">
      <c r="A1095" s="1" t="s">
        <v>1293</v>
      </c>
      <c r="B1095" s="16">
        <v>9000000</v>
      </c>
    </row>
    <row r="1096" spans="1:2" ht="14.4" x14ac:dyDescent="0.3">
      <c r="A1096" s="1" t="s">
        <v>1292</v>
      </c>
      <c r="B1096" s="16">
        <v>7000000</v>
      </c>
    </row>
    <row r="1097" spans="1:2" ht="14.4" x14ac:dyDescent="0.3">
      <c r="A1097" s="1" t="s">
        <v>1291</v>
      </c>
      <c r="B1097" s="16">
        <v>8250000</v>
      </c>
    </row>
    <row r="1098" spans="1:2" ht="14.4" x14ac:dyDescent="0.3">
      <c r="A1098" s="1" t="s">
        <v>1289</v>
      </c>
      <c r="B1098" s="16">
        <v>16500000</v>
      </c>
    </row>
    <row r="1099" spans="1:2" ht="14.4" x14ac:dyDescent="0.3">
      <c r="A1099" s="1" t="s">
        <v>1290</v>
      </c>
      <c r="B1099" s="16">
        <v>9000000</v>
      </c>
    </row>
    <row r="1100" spans="1:2" ht="14.4" x14ac:dyDescent="0.3">
      <c r="A1100" s="1" t="s">
        <v>1288</v>
      </c>
      <c r="B1100" s="16">
        <v>16000000</v>
      </c>
    </row>
    <row r="1101" spans="1:2" ht="14.4" x14ac:dyDescent="0.3">
      <c r="A1101" s="1" t="s">
        <v>1287</v>
      </c>
      <c r="B1101" s="16">
        <v>22500000</v>
      </c>
    </row>
    <row r="1102" spans="1:2" ht="14.4" x14ac:dyDescent="0.3">
      <c r="A1102" s="1" t="s">
        <v>1286</v>
      </c>
      <c r="B1102" s="16">
        <v>16500000</v>
      </c>
    </row>
    <row r="1103" spans="1:2" ht="14.4" x14ac:dyDescent="0.3">
      <c r="A1103" s="1" t="s">
        <v>1285</v>
      </c>
      <c r="B1103" s="16">
        <v>5800000</v>
      </c>
    </row>
    <row r="1104" spans="1:2" ht="14.4" x14ac:dyDescent="0.3">
      <c r="A1104" s="1" t="s">
        <v>1283</v>
      </c>
      <c r="B1104" s="16">
        <v>15000000</v>
      </c>
    </row>
    <row r="1105" spans="1:2" ht="14.4" x14ac:dyDescent="0.3">
      <c r="A1105" s="1" t="s">
        <v>1284</v>
      </c>
      <c r="B1105" s="16">
        <v>8100000</v>
      </c>
    </row>
    <row r="1106" spans="1:2" ht="14.4" x14ac:dyDescent="0.3">
      <c r="A1106" s="1" t="s">
        <v>1281</v>
      </c>
      <c r="B1106" s="16">
        <v>14500000</v>
      </c>
    </row>
    <row r="1107" spans="1:2" ht="14.4" x14ac:dyDescent="0.3">
      <c r="A1107" s="1" t="s">
        <v>1280</v>
      </c>
      <c r="B1107" s="16">
        <v>7000000</v>
      </c>
    </row>
    <row r="1108" spans="1:2" ht="14.4" x14ac:dyDescent="0.3">
      <c r="A1108" s="1" t="s">
        <v>1279</v>
      </c>
      <c r="B1108" s="16">
        <v>6000000</v>
      </c>
    </row>
    <row r="1109" spans="1:2" ht="14.4" x14ac:dyDescent="0.3">
      <c r="A1109" s="1" t="s">
        <v>1278</v>
      </c>
      <c r="B1109" s="16">
        <v>22000000</v>
      </c>
    </row>
    <row r="1110" spans="1:2" ht="14.4" x14ac:dyDescent="0.3">
      <c r="A1110" s="1" t="s">
        <v>1277</v>
      </c>
      <c r="B1110" s="16">
        <v>24284433</v>
      </c>
    </row>
    <row r="1111" spans="1:2" ht="14.4" x14ac:dyDescent="0.3">
      <c r="A1111" s="1" t="s">
        <v>1276</v>
      </c>
      <c r="B1111" s="16">
        <v>23000000</v>
      </c>
    </row>
    <row r="1112" spans="1:2" ht="14.4" x14ac:dyDescent="0.3">
      <c r="A1112" s="1" t="s">
        <v>1275</v>
      </c>
      <c r="B1112" s="16">
        <v>15000000</v>
      </c>
    </row>
    <row r="1113" spans="1:2" ht="14.4" x14ac:dyDescent="0.3">
      <c r="A1113" s="1" t="s">
        <v>1274</v>
      </c>
      <c r="B1113" s="16">
        <v>11000000</v>
      </c>
    </row>
    <row r="1114" spans="1:2" ht="14.4" x14ac:dyDescent="0.3">
      <c r="A1114" s="1" t="s">
        <v>1273</v>
      </c>
      <c r="B1114" s="16">
        <v>17500000</v>
      </c>
    </row>
    <row r="1115" spans="1:2" ht="14.4" x14ac:dyDescent="0.3">
      <c r="A1115" s="1" t="s">
        <v>1271</v>
      </c>
      <c r="B1115" s="16">
        <v>11300000</v>
      </c>
    </row>
    <row r="1116" spans="1:2" ht="14.4" x14ac:dyDescent="0.3">
      <c r="A1116" s="1" t="s">
        <v>1272</v>
      </c>
      <c r="B1116" s="16">
        <v>11000000</v>
      </c>
    </row>
    <row r="1117" spans="1:2" ht="14.4" x14ac:dyDescent="0.3">
      <c r="A1117" s="1" t="s">
        <v>1270</v>
      </c>
      <c r="B1117" s="16">
        <v>6600000</v>
      </c>
    </row>
    <row r="1118" spans="1:2" ht="14.4" x14ac:dyDescent="0.3">
      <c r="A1118" s="1" t="s">
        <v>1268</v>
      </c>
      <c r="B1118" s="16">
        <v>14250000</v>
      </c>
    </row>
    <row r="1119" spans="1:2" ht="14.4" x14ac:dyDescent="0.3">
      <c r="A1119" s="1" t="s">
        <v>1269</v>
      </c>
      <c r="B1119" s="16">
        <v>15200000</v>
      </c>
    </row>
    <row r="1120" spans="1:2" ht="14.4" x14ac:dyDescent="0.3">
      <c r="A1120" s="1" t="s">
        <v>1266</v>
      </c>
      <c r="B1120" s="16">
        <v>8500000</v>
      </c>
    </row>
    <row r="1121" spans="1:2" ht="14.4" x14ac:dyDescent="0.3">
      <c r="A1121" s="1" t="s">
        <v>1267</v>
      </c>
      <c r="B1121" s="16">
        <v>14000000</v>
      </c>
    </row>
    <row r="1122" spans="1:2" ht="14.4" x14ac:dyDescent="0.3">
      <c r="A1122" s="1" t="s">
        <v>1265</v>
      </c>
      <c r="B1122" s="16">
        <v>8500000</v>
      </c>
    </row>
    <row r="1123" spans="1:2" ht="14.4" x14ac:dyDescent="0.3">
      <c r="A1123" s="1" t="s">
        <v>1264</v>
      </c>
      <c r="B1123" s="16">
        <v>22000000</v>
      </c>
    </row>
    <row r="1124" spans="1:2" ht="14.4" x14ac:dyDescent="0.3">
      <c r="A1124" s="1" t="s">
        <v>1263</v>
      </c>
      <c r="B1124" s="16">
        <v>7800000</v>
      </c>
    </row>
    <row r="1125" spans="1:2" ht="14.4" x14ac:dyDescent="0.3">
      <c r="A1125" s="1" t="s">
        <v>1262</v>
      </c>
      <c r="B1125" s="16">
        <v>15300000</v>
      </c>
    </row>
    <row r="1126" spans="1:2" ht="14.4" x14ac:dyDescent="0.3">
      <c r="A1126" s="1" t="s">
        <v>1260</v>
      </c>
      <c r="B1126" s="16">
        <v>13000000</v>
      </c>
    </row>
    <row r="1127" spans="1:2" ht="14.4" x14ac:dyDescent="0.3">
      <c r="A1127" s="1" t="s">
        <v>1259</v>
      </c>
      <c r="B1127" s="16">
        <v>14000000</v>
      </c>
    </row>
    <row r="1128" spans="1:2" ht="14.4" x14ac:dyDescent="0.3">
      <c r="A1128" s="1" t="s">
        <v>1258</v>
      </c>
      <c r="B1128" s="16">
        <v>10000000</v>
      </c>
    </row>
    <row r="1129" spans="1:2" ht="14.4" x14ac:dyDescent="0.3">
      <c r="A1129" s="1" t="s">
        <v>1257</v>
      </c>
      <c r="B1129" s="16">
        <v>11500000</v>
      </c>
    </row>
    <row r="1130" spans="1:2" ht="14.4" x14ac:dyDescent="0.3">
      <c r="A1130" s="1" t="s">
        <v>1256</v>
      </c>
      <c r="B1130" s="16">
        <v>10500000</v>
      </c>
    </row>
    <row r="1131" spans="1:2" ht="14.4" x14ac:dyDescent="0.3">
      <c r="A1131" s="1" t="s">
        <v>1255</v>
      </c>
      <c r="B1131" s="16">
        <v>11700000</v>
      </c>
    </row>
    <row r="1132" spans="1:2" ht="14.4" x14ac:dyDescent="0.3">
      <c r="A1132" s="1" t="s">
        <v>1254</v>
      </c>
      <c r="B1132" s="16">
        <v>8400000</v>
      </c>
    </row>
    <row r="1133" spans="1:2" ht="14.4" x14ac:dyDescent="0.3">
      <c r="A1133" s="1" t="s">
        <v>1253</v>
      </c>
      <c r="B1133" s="16">
        <v>10900000</v>
      </c>
    </row>
    <row r="1134" spans="1:2" ht="14.4" x14ac:dyDescent="0.3">
      <c r="A1134" s="1" t="s">
        <v>1252</v>
      </c>
      <c r="B1134" s="16">
        <v>10000000</v>
      </c>
    </row>
    <row r="1135" spans="1:2" ht="14.4" x14ac:dyDescent="0.3">
      <c r="A1135" s="1" t="s">
        <v>1251</v>
      </c>
      <c r="B1135" s="16">
        <v>13500000</v>
      </c>
    </row>
    <row r="1136" spans="1:2" ht="14.4" x14ac:dyDescent="0.3">
      <c r="A1136" s="1" t="s">
        <v>51</v>
      </c>
      <c r="B1136" s="16">
        <v>48000000</v>
      </c>
    </row>
    <row r="1137" spans="1:2" ht="14.4" x14ac:dyDescent="0.3">
      <c r="A1137" s="1" t="s">
        <v>1250</v>
      </c>
      <c r="B1137" s="16">
        <v>7400000</v>
      </c>
    </row>
    <row r="1138" spans="1:2" ht="14.4" x14ac:dyDescent="0.3">
      <c r="A1138" s="1" t="s">
        <v>1249</v>
      </c>
      <c r="B1138" s="16">
        <v>5500000</v>
      </c>
    </row>
    <row r="1139" spans="1:2" ht="14.4" x14ac:dyDescent="0.3">
      <c r="A1139" s="1" t="s">
        <v>1248</v>
      </c>
      <c r="B1139" s="16">
        <v>12500000</v>
      </c>
    </row>
    <row r="1140" spans="1:2" ht="14.4" x14ac:dyDescent="0.3">
      <c r="A1140" s="1" t="s">
        <v>1246</v>
      </c>
      <c r="B1140" s="16">
        <v>8900000</v>
      </c>
    </row>
    <row r="1141" spans="1:2" ht="14.4" x14ac:dyDescent="0.3">
      <c r="A1141" s="1" t="s">
        <v>1245</v>
      </c>
      <c r="B1141" s="16">
        <v>9650000</v>
      </c>
    </row>
    <row r="1142" spans="1:2" ht="14.4" x14ac:dyDescent="0.3">
      <c r="A1142" s="1" t="s">
        <v>1244</v>
      </c>
      <c r="B1142" s="16">
        <v>6500000</v>
      </c>
    </row>
    <row r="1143" spans="1:2" ht="14.4" x14ac:dyDescent="0.3">
      <c r="A1143" s="1" t="s">
        <v>1243</v>
      </c>
      <c r="B1143" s="16">
        <v>11500000</v>
      </c>
    </row>
    <row r="1144" spans="1:2" ht="14.4" x14ac:dyDescent="0.3">
      <c r="A1144" s="1" t="s">
        <v>1242</v>
      </c>
      <c r="B1144" s="16">
        <v>6500000</v>
      </c>
    </row>
    <row r="1145" spans="1:2" ht="14.4" x14ac:dyDescent="0.3">
      <c r="A1145" s="1" t="s">
        <v>1241</v>
      </c>
      <c r="B1145" s="16">
        <v>10000000</v>
      </c>
    </row>
    <row r="1146" spans="1:2" ht="14.4" x14ac:dyDescent="0.3">
      <c r="A1146" s="1" t="s">
        <v>1240</v>
      </c>
      <c r="B1146" s="16">
        <v>31000000</v>
      </c>
    </row>
    <row r="1147" spans="1:2" ht="14.4" x14ac:dyDescent="0.3">
      <c r="A1147" s="1" t="s">
        <v>1239</v>
      </c>
      <c r="B1147" s="16">
        <v>13100000</v>
      </c>
    </row>
    <row r="1148" spans="1:2" ht="14.4" x14ac:dyDescent="0.3">
      <c r="A1148" s="1" t="s">
        <v>1238</v>
      </c>
      <c r="B1148" s="16">
        <v>12000000</v>
      </c>
    </row>
    <row r="1149" spans="1:2" ht="14.4" x14ac:dyDescent="0.3">
      <c r="A1149" s="1" t="s">
        <v>1221</v>
      </c>
      <c r="B1149" s="16">
        <v>10800000</v>
      </c>
    </row>
    <row r="1150" spans="1:2" ht="14.4" x14ac:dyDescent="0.3">
      <c r="A1150" s="1" t="s">
        <v>1237</v>
      </c>
      <c r="B1150" s="16">
        <v>11000000</v>
      </c>
    </row>
    <row r="1151" spans="1:2" ht="14.4" x14ac:dyDescent="0.3">
      <c r="A1151" s="1" t="s">
        <v>1236</v>
      </c>
      <c r="B1151" s="16">
        <v>10600000</v>
      </c>
    </row>
    <row r="1152" spans="1:2" ht="14.4" x14ac:dyDescent="0.3">
      <c r="A1152" s="1" t="s">
        <v>1234</v>
      </c>
      <c r="B1152" s="16">
        <v>11000000</v>
      </c>
    </row>
    <row r="1153" spans="1:2" ht="14.4" x14ac:dyDescent="0.3">
      <c r="A1153" s="1" t="s">
        <v>1235</v>
      </c>
      <c r="B1153" s="16">
        <v>9500000</v>
      </c>
    </row>
    <row r="1154" spans="1:2" ht="14.4" x14ac:dyDescent="0.3">
      <c r="A1154" s="1" t="s">
        <v>1233</v>
      </c>
      <c r="B1154" s="16">
        <v>15500000</v>
      </c>
    </row>
    <row r="1155" spans="1:2" ht="14.4" x14ac:dyDescent="0.3">
      <c r="A1155" s="1" t="s">
        <v>1232</v>
      </c>
      <c r="B1155" s="16">
        <v>15400000</v>
      </c>
    </row>
    <row r="1156" spans="1:2" ht="14.4" x14ac:dyDescent="0.3">
      <c r="A1156" s="1" t="s">
        <v>1231</v>
      </c>
      <c r="B1156" s="16">
        <v>10000000</v>
      </c>
    </row>
    <row r="1157" spans="1:2" ht="14.4" x14ac:dyDescent="0.3">
      <c r="A1157" s="1" t="s">
        <v>1230</v>
      </c>
      <c r="B1157" s="16">
        <v>9500000</v>
      </c>
    </row>
    <row r="1158" spans="1:2" ht="14.4" x14ac:dyDescent="0.3">
      <c r="A1158" s="1" t="s">
        <v>1229</v>
      </c>
      <c r="B1158" s="16">
        <v>5300000</v>
      </c>
    </row>
    <row r="1159" spans="1:2" ht="14.4" x14ac:dyDescent="0.3">
      <c r="A1159" s="1" t="s">
        <v>1228</v>
      </c>
      <c r="B1159" s="16">
        <v>21000000</v>
      </c>
    </row>
    <row r="1160" spans="1:2" ht="14.4" x14ac:dyDescent="0.3">
      <c r="A1160" s="1" t="s">
        <v>1227</v>
      </c>
      <c r="B1160" s="16">
        <v>11200000</v>
      </c>
    </row>
    <row r="1161" spans="1:2" ht="14.4" x14ac:dyDescent="0.3">
      <c r="A1161" s="1" t="s">
        <v>1226</v>
      </c>
      <c r="B1161" s="16">
        <v>12600000</v>
      </c>
    </row>
    <row r="1162" spans="1:2" ht="14.4" x14ac:dyDescent="0.3">
      <c r="A1162" s="1" t="s">
        <v>1225</v>
      </c>
      <c r="B1162" s="16">
        <v>29000000</v>
      </c>
    </row>
    <row r="1163" spans="1:2" ht="14.4" x14ac:dyDescent="0.3">
      <c r="A1163" s="1" t="s">
        <v>1224</v>
      </c>
      <c r="B1163" s="16">
        <v>18600000</v>
      </c>
    </row>
    <row r="1164" spans="1:2" ht="14.4" x14ac:dyDescent="0.3">
      <c r="A1164" s="1" t="s">
        <v>1223</v>
      </c>
      <c r="B1164" s="16">
        <v>8000000</v>
      </c>
    </row>
    <row r="1165" spans="1:2" ht="14.4" x14ac:dyDescent="0.3">
      <c r="A1165" s="1" t="s">
        <v>1222</v>
      </c>
      <c r="B1165" s="16">
        <v>14500000</v>
      </c>
    </row>
    <row r="1166" spans="1:2" ht="14.4" x14ac:dyDescent="0.3">
      <c r="A1166" s="1" t="s">
        <v>230</v>
      </c>
      <c r="B1166" s="16">
        <v>8550000</v>
      </c>
    </row>
    <row r="1167" spans="1:2" ht="14.4" x14ac:dyDescent="0.3">
      <c r="A1167" s="1" t="s">
        <v>1220</v>
      </c>
      <c r="B1167" s="16">
        <v>7000000</v>
      </c>
    </row>
    <row r="1168" spans="1:2" ht="14.4" x14ac:dyDescent="0.3">
      <c r="A1168" s="1" t="s">
        <v>1219</v>
      </c>
      <c r="B1168" s="16">
        <v>24000000</v>
      </c>
    </row>
    <row r="1169" spans="1:2" ht="14.4" x14ac:dyDescent="0.3">
      <c r="A1169" s="1" t="s">
        <v>1218</v>
      </c>
      <c r="B1169" s="16">
        <v>31000000</v>
      </c>
    </row>
    <row r="1170" spans="1:2" ht="14.4" x14ac:dyDescent="0.3">
      <c r="A1170" s="1" t="s">
        <v>1217</v>
      </c>
      <c r="B1170" s="16">
        <v>13500000</v>
      </c>
    </row>
    <row r="1171" spans="1:2" ht="14.4" x14ac:dyDescent="0.3">
      <c r="A1171" s="1" t="s">
        <v>1216</v>
      </c>
      <c r="B1171" s="16">
        <v>11000000</v>
      </c>
    </row>
    <row r="1172" spans="1:2" ht="14.4" x14ac:dyDescent="0.3">
      <c r="A1172" s="1" t="s">
        <v>1215</v>
      </c>
      <c r="B1172" s="16">
        <v>19000000</v>
      </c>
    </row>
    <row r="1173" spans="1:2" ht="14.4" x14ac:dyDescent="0.3">
      <c r="A1173" s="1" t="s">
        <v>1214</v>
      </c>
      <c r="B1173" s="16">
        <v>13400000</v>
      </c>
    </row>
    <row r="1174" spans="1:2" ht="14.4" x14ac:dyDescent="0.3">
      <c r="A1174" s="1" t="s">
        <v>1213</v>
      </c>
      <c r="B1174" s="16">
        <v>10500000</v>
      </c>
    </row>
    <row r="1175" spans="1:2" ht="14.4" x14ac:dyDescent="0.3">
      <c r="A1175" s="1" t="s">
        <v>1212</v>
      </c>
      <c r="B1175" s="16">
        <v>8500000</v>
      </c>
    </row>
    <row r="1176" spans="1:2" ht="14.4" x14ac:dyDescent="0.3">
      <c r="A1176" s="1" t="s">
        <v>1211</v>
      </c>
      <c r="B1176" s="16">
        <v>8500000</v>
      </c>
    </row>
    <row r="1177" spans="1:2" ht="14.4" x14ac:dyDescent="0.3">
      <c r="A1177" s="1" t="s">
        <v>1210</v>
      </c>
      <c r="B1177" s="16">
        <v>16000000</v>
      </c>
    </row>
    <row r="1178" spans="1:2" ht="14.4" x14ac:dyDescent="0.3">
      <c r="A1178" s="1" t="s">
        <v>1209</v>
      </c>
      <c r="B1178" s="16">
        <v>9800000</v>
      </c>
    </row>
    <row r="1179" spans="1:2" ht="14.4" x14ac:dyDescent="0.3">
      <c r="A1179" s="1" t="s">
        <v>1207</v>
      </c>
      <c r="B1179" s="16">
        <v>10000000</v>
      </c>
    </row>
    <row r="1180" spans="1:2" ht="14.4" x14ac:dyDescent="0.3">
      <c r="A1180" s="1" t="s">
        <v>1208</v>
      </c>
      <c r="B1180" s="16">
        <v>5500000</v>
      </c>
    </row>
    <row r="1181" spans="1:2" ht="14.4" x14ac:dyDescent="0.3">
      <c r="A1181" s="1" t="s">
        <v>1206</v>
      </c>
      <c r="B1181" s="16">
        <v>29000000</v>
      </c>
    </row>
    <row r="1182" spans="1:2" ht="14.4" x14ac:dyDescent="0.3">
      <c r="A1182" s="1" t="s">
        <v>1205</v>
      </c>
      <c r="B1182" s="16">
        <v>9500000</v>
      </c>
    </row>
    <row r="1183" spans="1:2" ht="14.4" x14ac:dyDescent="0.3">
      <c r="A1183" s="1" t="s">
        <v>1204</v>
      </c>
      <c r="B1183" s="16">
        <v>11000000</v>
      </c>
    </row>
    <row r="1184" spans="1:2" ht="14.4" x14ac:dyDescent="0.3">
      <c r="A1184" s="1" t="s">
        <v>1203</v>
      </c>
      <c r="B1184" s="16">
        <v>26431805</v>
      </c>
    </row>
    <row r="1185" spans="1:2" ht="14.4" x14ac:dyDescent="0.3">
      <c r="A1185" s="1" t="s">
        <v>1202</v>
      </c>
      <c r="B1185" s="16">
        <v>22000000</v>
      </c>
    </row>
    <row r="1186" spans="1:2" ht="14.4" x14ac:dyDescent="0.3">
      <c r="A1186" s="1" t="s">
        <v>1201</v>
      </c>
      <c r="B1186" s="16">
        <v>15000000</v>
      </c>
    </row>
    <row r="1187" spans="1:2" ht="14.4" x14ac:dyDescent="0.3">
      <c r="A1187" s="1" t="s">
        <v>1200</v>
      </c>
      <c r="B1187" s="16">
        <v>22000000</v>
      </c>
    </row>
    <row r="1188" spans="1:2" ht="14.4" x14ac:dyDescent="0.3">
      <c r="A1188" s="1" t="s">
        <v>1199</v>
      </c>
      <c r="B1188" s="16">
        <v>15500000</v>
      </c>
    </row>
    <row r="1189" spans="1:2" ht="14.4" x14ac:dyDescent="0.3">
      <c r="A1189" s="1" t="s">
        <v>1198</v>
      </c>
      <c r="B1189" s="16">
        <v>11000000</v>
      </c>
    </row>
    <row r="1190" spans="1:2" ht="14.4" x14ac:dyDescent="0.3">
      <c r="A1190" s="1" t="s">
        <v>1196</v>
      </c>
      <c r="B1190" s="16">
        <v>13500000</v>
      </c>
    </row>
    <row r="1191" spans="1:2" ht="14.4" x14ac:dyDescent="0.3">
      <c r="A1191" s="1" t="s">
        <v>1197</v>
      </c>
      <c r="B1191" s="16">
        <v>9300000</v>
      </c>
    </row>
    <row r="1192" spans="1:2" ht="14.4" x14ac:dyDescent="0.3">
      <c r="A1192" s="1" t="s">
        <v>1195</v>
      </c>
      <c r="B1192" s="16">
        <v>19000000</v>
      </c>
    </row>
    <row r="1193" spans="1:2" ht="14.4" x14ac:dyDescent="0.3">
      <c r="A1193" s="1" t="s">
        <v>1194</v>
      </c>
      <c r="B1193" s="16">
        <v>22800000</v>
      </c>
    </row>
    <row r="1194" spans="1:2" ht="14.4" x14ac:dyDescent="0.3">
      <c r="A1194" s="1" t="s">
        <v>1193</v>
      </c>
      <c r="B1194" s="16">
        <v>9600000</v>
      </c>
    </row>
    <row r="1195" spans="1:2" ht="14.4" x14ac:dyDescent="0.3">
      <c r="A1195" s="1" t="s">
        <v>1192</v>
      </c>
      <c r="B1195" s="16">
        <v>29000000</v>
      </c>
    </row>
    <row r="1196" spans="1:2" ht="14.4" x14ac:dyDescent="0.3">
      <c r="A1196" s="1" t="s">
        <v>1191</v>
      </c>
      <c r="B1196" s="16">
        <v>5700000</v>
      </c>
    </row>
    <row r="1197" spans="1:2" ht="14.4" x14ac:dyDescent="0.3">
      <c r="A1197" s="1" t="s">
        <v>1022</v>
      </c>
      <c r="B1197" s="16">
        <v>16500000</v>
      </c>
    </row>
    <row r="1198" spans="1:2" ht="14.4" x14ac:dyDescent="0.3">
      <c r="A1198" s="1" t="s">
        <v>1190</v>
      </c>
      <c r="B1198" s="16">
        <v>7800000</v>
      </c>
    </row>
    <row r="1199" spans="1:2" ht="14.4" x14ac:dyDescent="0.3">
      <c r="A1199" s="1" t="s">
        <v>1189</v>
      </c>
      <c r="B1199" s="16">
        <v>49000000</v>
      </c>
    </row>
    <row r="1200" spans="1:2" ht="14.4" x14ac:dyDescent="0.3">
      <c r="A1200" s="1" t="s">
        <v>1188</v>
      </c>
      <c r="B1200" s="16">
        <v>18200000</v>
      </c>
    </row>
    <row r="1201" spans="1:2" ht="14.4" x14ac:dyDescent="0.3">
      <c r="A1201" s="1" t="s">
        <v>1187</v>
      </c>
      <c r="B1201" s="16">
        <v>16000000</v>
      </c>
    </row>
    <row r="1202" spans="1:2" ht="14.4" x14ac:dyDescent="0.3">
      <c r="A1202" s="1" t="s">
        <v>1186</v>
      </c>
      <c r="B1202" s="16">
        <v>11750000</v>
      </c>
    </row>
    <row r="1203" spans="1:2" ht="14.4" x14ac:dyDescent="0.3">
      <c r="A1203" s="1" t="s">
        <v>1185</v>
      </c>
      <c r="B1203" s="16">
        <v>7000000</v>
      </c>
    </row>
    <row r="1204" spans="1:2" ht="14.4" x14ac:dyDescent="0.3">
      <c r="A1204" s="1" t="s">
        <v>1184</v>
      </c>
      <c r="B1204" s="16">
        <v>11500000</v>
      </c>
    </row>
    <row r="1205" spans="1:2" ht="14.4" x14ac:dyDescent="0.3">
      <c r="A1205" s="1" t="s">
        <v>1183</v>
      </c>
      <c r="B1205" s="16">
        <v>10500000</v>
      </c>
    </row>
    <row r="1206" spans="1:2" ht="14.4" x14ac:dyDescent="0.3">
      <c r="A1206" s="1" t="s">
        <v>1182</v>
      </c>
      <c r="B1206" s="16">
        <v>5000000</v>
      </c>
    </row>
    <row r="1207" spans="1:2" ht="14.4" x14ac:dyDescent="0.3">
      <c r="A1207" s="1" t="s">
        <v>1181</v>
      </c>
      <c r="B1207" s="16">
        <v>9800000</v>
      </c>
    </row>
    <row r="1208" spans="1:2" ht="14.4" x14ac:dyDescent="0.3">
      <c r="A1208" s="1" t="s">
        <v>1180</v>
      </c>
      <c r="B1208" s="16">
        <v>12800000</v>
      </c>
    </row>
    <row r="1209" spans="1:2" ht="14.4" x14ac:dyDescent="0.3">
      <c r="A1209" s="1" t="s">
        <v>1179</v>
      </c>
      <c r="B1209" s="16">
        <v>19500000</v>
      </c>
    </row>
    <row r="1210" spans="1:2" ht="14.4" x14ac:dyDescent="0.3">
      <c r="A1210" s="1" t="s">
        <v>1178</v>
      </c>
      <c r="B1210" s="16">
        <v>21000000</v>
      </c>
    </row>
    <row r="1211" spans="1:2" ht="14.4" x14ac:dyDescent="0.3">
      <c r="A1211" s="1" t="s">
        <v>1177</v>
      </c>
      <c r="B1211" s="16">
        <v>7600000</v>
      </c>
    </row>
    <row r="1212" spans="1:2" ht="14.4" x14ac:dyDescent="0.3">
      <c r="A1212" s="1" t="s">
        <v>1176</v>
      </c>
      <c r="B1212" s="16">
        <v>20300000</v>
      </c>
    </row>
    <row r="1213" spans="1:2" ht="14.4" x14ac:dyDescent="0.3">
      <c r="A1213" s="1" t="s">
        <v>1175</v>
      </c>
      <c r="B1213" s="16">
        <v>13500000</v>
      </c>
    </row>
    <row r="1214" spans="1:2" ht="14.4" x14ac:dyDescent="0.3">
      <c r="A1214" s="1" t="s">
        <v>1173</v>
      </c>
      <c r="B1214" s="16">
        <v>11500000</v>
      </c>
    </row>
    <row r="1215" spans="1:2" ht="14.4" x14ac:dyDescent="0.3">
      <c r="A1215" s="1" t="s">
        <v>1174</v>
      </c>
      <c r="B1215" s="16">
        <v>8100000</v>
      </c>
    </row>
    <row r="1216" spans="1:2" ht="14.4" x14ac:dyDescent="0.3">
      <c r="A1216" s="1" t="s">
        <v>1172</v>
      </c>
      <c r="B1216" s="16">
        <v>6300000</v>
      </c>
    </row>
    <row r="1217" spans="1:2" ht="14.4" x14ac:dyDescent="0.3">
      <c r="A1217" s="1" t="s">
        <v>1171</v>
      </c>
      <c r="B1217" s="16">
        <v>6500000</v>
      </c>
    </row>
    <row r="1218" spans="1:2" ht="14.4" x14ac:dyDescent="0.3">
      <c r="A1218" s="1" t="s">
        <v>1170</v>
      </c>
      <c r="B1218" s="16">
        <v>5600000</v>
      </c>
    </row>
    <row r="1219" spans="1:2" ht="14.4" x14ac:dyDescent="0.3">
      <c r="A1219" s="1" t="s">
        <v>1169</v>
      </c>
      <c r="B1219" s="16">
        <v>7500000</v>
      </c>
    </row>
    <row r="1220" spans="1:2" ht="14.4" x14ac:dyDescent="0.3">
      <c r="A1220" s="1" t="s">
        <v>1168</v>
      </c>
      <c r="B1220" s="16">
        <v>9000000</v>
      </c>
    </row>
    <row r="1221" spans="1:2" ht="14.4" x14ac:dyDescent="0.3">
      <c r="A1221" s="1" t="s">
        <v>1167</v>
      </c>
      <c r="B1221" s="16">
        <v>7900000</v>
      </c>
    </row>
    <row r="1222" spans="1:2" ht="14.4" x14ac:dyDescent="0.3">
      <c r="A1222" s="1" t="s">
        <v>1166</v>
      </c>
      <c r="B1222" s="16">
        <v>6600000</v>
      </c>
    </row>
    <row r="1223" spans="1:2" ht="14.4" x14ac:dyDescent="0.3">
      <c r="A1223" s="1" t="s">
        <v>1165</v>
      </c>
      <c r="B1223" s="16">
        <v>5300000</v>
      </c>
    </row>
    <row r="1224" spans="1:2" ht="14.4" x14ac:dyDescent="0.3">
      <c r="A1224" s="1" t="s">
        <v>1164</v>
      </c>
      <c r="B1224" s="16">
        <v>10000000</v>
      </c>
    </row>
    <row r="1225" spans="1:2" ht="14.4" x14ac:dyDescent="0.3">
      <c r="A1225" s="1" t="s">
        <v>67</v>
      </c>
      <c r="B1225" s="16">
        <v>14190000</v>
      </c>
    </row>
    <row r="1226" spans="1:2" ht="14.4" x14ac:dyDescent="0.3">
      <c r="A1226" s="1" t="s">
        <v>1163</v>
      </c>
      <c r="B1226" s="16">
        <v>14200000</v>
      </c>
    </row>
    <row r="1227" spans="1:2" ht="14.4" x14ac:dyDescent="0.3">
      <c r="A1227" s="1" t="s">
        <v>1162</v>
      </c>
      <c r="B1227" s="16">
        <v>9000000</v>
      </c>
    </row>
    <row r="1228" spans="1:2" ht="14.4" x14ac:dyDescent="0.3">
      <c r="A1228" s="1" t="s">
        <v>1161</v>
      </c>
      <c r="B1228" s="16">
        <v>11800000</v>
      </c>
    </row>
    <row r="1229" spans="1:2" ht="14.4" x14ac:dyDescent="0.3">
      <c r="A1229" s="1" t="s">
        <v>1160</v>
      </c>
      <c r="B1229" s="16">
        <v>5400000</v>
      </c>
    </row>
    <row r="1230" spans="1:2" ht="14.4" x14ac:dyDescent="0.3">
      <c r="A1230" s="1" t="s">
        <v>1159</v>
      </c>
      <c r="B1230" s="16">
        <v>31500000</v>
      </c>
    </row>
    <row r="1231" spans="1:2" ht="14.4" x14ac:dyDescent="0.3">
      <c r="A1231" s="1" t="s">
        <v>1158</v>
      </c>
      <c r="B1231" s="16">
        <v>10900000</v>
      </c>
    </row>
    <row r="1232" spans="1:2" ht="14.4" x14ac:dyDescent="0.3">
      <c r="A1232" s="1" t="s">
        <v>1157</v>
      </c>
      <c r="B1232" s="16">
        <v>10200000</v>
      </c>
    </row>
    <row r="1233" spans="1:2" ht="14.4" x14ac:dyDescent="0.3">
      <c r="A1233" s="1" t="s">
        <v>1156</v>
      </c>
      <c r="B1233" s="16">
        <v>16500000</v>
      </c>
    </row>
    <row r="1234" spans="1:2" ht="14.4" x14ac:dyDescent="0.3">
      <c r="A1234" s="1" t="s">
        <v>1155</v>
      </c>
      <c r="B1234" s="16">
        <v>11500000</v>
      </c>
    </row>
    <row r="1235" spans="1:2" ht="14.4" x14ac:dyDescent="0.3">
      <c r="A1235" s="1" t="s">
        <v>1154</v>
      </c>
      <c r="B1235" s="16">
        <v>18730000</v>
      </c>
    </row>
    <row r="1236" spans="1:2" ht="14.4" x14ac:dyDescent="0.3">
      <c r="A1236" s="1" t="s">
        <v>1153</v>
      </c>
      <c r="B1236" s="16">
        <v>6000000</v>
      </c>
    </row>
    <row r="1237" spans="1:2" ht="14.4" x14ac:dyDescent="0.3">
      <c r="A1237" s="1" t="s">
        <v>1152</v>
      </c>
      <c r="B1237" s="16">
        <v>19850000</v>
      </c>
    </row>
    <row r="1238" spans="1:2" ht="14.4" x14ac:dyDescent="0.3">
      <c r="A1238" s="1" t="s">
        <v>1151</v>
      </c>
      <c r="B1238" s="16">
        <v>18200000</v>
      </c>
    </row>
    <row r="1239" spans="1:2" ht="14.4" x14ac:dyDescent="0.3">
      <c r="A1239" s="1" t="s">
        <v>1150</v>
      </c>
      <c r="B1239" s="16">
        <v>16200000</v>
      </c>
    </row>
    <row r="1240" spans="1:2" ht="14.4" x14ac:dyDescent="0.3">
      <c r="A1240" s="1" t="s">
        <v>1149</v>
      </c>
      <c r="B1240" s="16">
        <v>8000000</v>
      </c>
    </row>
    <row r="1241" spans="1:2" ht="14.4" x14ac:dyDescent="0.3">
      <c r="A1241" s="1" t="s">
        <v>1078</v>
      </c>
      <c r="B1241" s="16">
        <v>32000000</v>
      </c>
    </row>
    <row r="1242" spans="1:2" ht="14.4" x14ac:dyDescent="0.3">
      <c r="A1242" s="1" t="s">
        <v>1148</v>
      </c>
      <c r="B1242" s="16">
        <v>13000000</v>
      </c>
    </row>
    <row r="1243" spans="1:2" ht="14.4" x14ac:dyDescent="0.3">
      <c r="A1243" s="1" t="s">
        <v>1147</v>
      </c>
      <c r="B1243" s="16">
        <v>5000000</v>
      </c>
    </row>
    <row r="1244" spans="1:2" ht="14.4" x14ac:dyDescent="0.3">
      <c r="A1244" s="1" t="s">
        <v>1146</v>
      </c>
      <c r="B1244" s="16">
        <v>9700000</v>
      </c>
    </row>
    <row r="1245" spans="1:2" ht="14.4" x14ac:dyDescent="0.3">
      <c r="A1245" s="1" t="s">
        <v>1145</v>
      </c>
      <c r="B1245" s="16">
        <v>11500000</v>
      </c>
    </row>
    <row r="1246" spans="1:2" ht="14.4" x14ac:dyDescent="0.3">
      <c r="A1246" s="1" t="s">
        <v>1144</v>
      </c>
      <c r="B1246" s="16">
        <v>9300000</v>
      </c>
    </row>
    <row r="1247" spans="1:2" ht="14.4" x14ac:dyDescent="0.3">
      <c r="A1247" s="1" t="s">
        <v>1143</v>
      </c>
      <c r="B1247" s="16">
        <v>5700000</v>
      </c>
    </row>
    <row r="1248" spans="1:2" ht="14.4" x14ac:dyDescent="0.3">
      <c r="A1248" s="1" t="s">
        <v>1142</v>
      </c>
      <c r="B1248" s="16">
        <v>30000000</v>
      </c>
    </row>
    <row r="1249" spans="1:2" ht="14.4" x14ac:dyDescent="0.3">
      <c r="A1249" s="1" t="s">
        <v>1141</v>
      </c>
      <c r="B1249" s="16">
        <v>15200000</v>
      </c>
    </row>
    <row r="1250" spans="1:2" ht="14.4" x14ac:dyDescent="0.3">
      <c r="A1250" s="1" t="s">
        <v>1140</v>
      </c>
      <c r="B1250" s="16">
        <v>21000000</v>
      </c>
    </row>
    <row r="1251" spans="1:2" ht="14.4" x14ac:dyDescent="0.3">
      <c r="A1251" s="1" t="s">
        <v>1139</v>
      </c>
      <c r="B1251" s="16">
        <v>5000000</v>
      </c>
    </row>
    <row r="1252" spans="1:2" ht="14.4" x14ac:dyDescent="0.3">
      <c r="A1252" s="1" t="s">
        <v>1138</v>
      </c>
      <c r="B1252" s="16">
        <v>29000000</v>
      </c>
    </row>
    <row r="1253" spans="1:2" ht="14.4" x14ac:dyDescent="0.3">
      <c r="A1253" s="1" t="s">
        <v>893</v>
      </c>
      <c r="B1253" s="16">
        <v>33000000</v>
      </c>
    </row>
    <row r="1254" spans="1:2" ht="14.4" x14ac:dyDescent="0.3">
      <c r="A1254" s="1" t="s">
        <v>1137</v>
      </c>
      <c r="B1254" s="16">
        <v>15000000</v>
      </c>
    </row>
    <row r="1255" spans="1:2" ht="14.4" x14ac:dyDescent="0.3">
      <c r="A1255" s="1" t="s">
        <v>1136</v>
      </c>
      <c r="B1255" s="16">
        <v>5850000</v>
      </c>
    </row>
    <row r="1256" spans="1:2" ht="14.4" x14ac:dyDescent="0.3">
      <c r="A1256" s="1" t="s">
        <v>1135</v>
      </c>
      <c r="B1256" s="16">
        <v>9000000</v>
      </c>
    </row>
    <row r="1257" spans="1:2" ht="14.4" x14ac:dyDescent="0.3">
      <c r="A1257" s="1" t="s">
        <v>1134</v>
      </c>
      <c r="B1257" s="16">
        <v>13800000</v>
      </c>
    </row>
    <row r="1258" spans="1:2" ht="14.4" x14ac:dyDescent="0.3">
      <c r="A1258" s="1" t="s">
        <v>1133</v>
      </c>
      <c r="B1258" s="16">
        <v>12200000</v>
      </c>
    </row>
    <row r="1259" spans="1:2" ht="14.4" x14ac:dyDescent="0.3">
      <c r="A1259" s="1" t="s">
        <v>1132</v>
      </c>
      <c r="B1259" s="16">
        <v>7000000</v>
      </c>
    </row>
    <row r="1260" spans="1:2" ht="14.4" x14ac:dyDescent="0.3">
      <c r="A1260" s="1" t="s">
        <v>1131</v>
      </c>
      <c r="B1260" s="16">
        <v>25800000</v>
      </c>
    </row>
    <row r="1261" spans="1:2" ht="14.4" x14ac:dyDescent="0.3">
      <c r="A1261" s="1" t="s">
        <v>1130</v>
      </c>
      <c r="B1261" s="16">
        <v>14300000</v>
      </c>
    </row>
    <row r="1262" spans="1:2" ht="14.4" x14ac:dyDescent="0.3">
      <c r="A1262" s="1" t="s">
        <v>1129</v>
      </c>
      <c r="B1262" s="16">
        <v>7700000</v>
      </c>
    </row>
    <row r="1263" spans="1:2" ht="14.4" x14ac:dyDescent="0.3">
      <c r="A1263" s="1" t="s">
        <v>1128</v>
      </c>
      <c r="B1263" s="16">
        <v>15000000</v>
      </c>
    </row>
    <row r="1264" spans="1:2" ht="14.4" x14ac:dyDescent="0.3">
      <c r="A1264" s="1" t="s">
        <v>1127</v>
      </c>
      <c r="B1264" s="16">
        <v>7520000</v>
      </c>
    </row>
    <row r="1265" spans="1:2" ht="14.4" x14ac:dyDescent="0.3">
      <c r="A1265" s="1" t="s">
        <v>1126</v>
      </c>
      <c r="B1265" s="16">
        <v>21800000</v>
      </c>
    </row>
    <row r="1266" spans="1:2" ht="14.4" x14ac:dyDescent="0.3">
      <c r="A1266" s="1" t="s">
        <v>1125</v>
      </c>
      <c r="B1266" s="16">
        <v>11500000</v>
      </c>
    </row>
    <row r="1267" spans="1:2" ht="14.4" x14ac:dyDescent="0.3">
      <c r="A1267" s="1" t="s">
        <v>643</v>
      </c>
      <c r="B1267" s="16">
        <v>9500000</v>
      </c>
    </row>
    <row r="1268" spans="1:2" ht="14.4" x14ac:dyDescent="0.3">
      <c r="A1268" s="1" t="s">
        <v>1124</v>
      </c>
      <c r="B1268" s="16">
        <v>11500000</v>
      </c>
    </row>
    <row r="1269" spans="1:2" ht="14.4" x14ac:dyDescent="0.3">
      <c r="A1269" s="1" t="s">
        <v>1123</v>
      </c>
      <c r="B1269" s="16">
        <v>10150000</v>
      </c>
    </row>
    <row r="1270" spans="1:2" ht="14.4" x14ac:dyDescent="0.3">
      <c r="A1270" s="1" t="s">
        <v>1121</v>
      </c>
      <c r="B1270" s="16">
        <v>11000000</v>
      </c>
    </row>
    <row r="1271" spans="1:2" ht="14.4" x14ac:dyDescent="0.3">
      <c r="A1271" s="1" t="s">
        <v>1122</v>
      </c>
      <c r="B1271" s="16">
        <v>29000000</v>
      </c>
    </row>
    <row r="1272" spans="1:2" ht="14.4" x14ac:dyDescent="0.3">
      <c r="A1272" s="1" t="s">
        <v>1120</v>
      </c>
      <c r="B1272" s="16">
        <v>23200000</v>
      </c>
    </row>
    <row r="1273" spans="1:2" ht="14.4" x14ac:dyDescent="0.3">
      <c r="A1273" s="1" t="s">
        <v>1119</v>
      </c>
      <c r="B1273" s="16">
        <v>6300000</v>
      </c>
    </row>
    <row r="1274" spans="1:2" ht="14.4" x14ac:dyDescent="0.3">
      <c r="A1274" s="1" t="s">
        <v>1118</v>
      </c>
      <c r="B1274" s="16">
        <v>6700000</v>
      </c>
    </row>
    <row r="1275" spans="1:2" ht="14.4" x14ac:dyDescent="0.3">
      <c r="A1275" s="1" t="s">
        <v>1117</v>
      </c>
      <c r="B1275" s="16">
        <v>12500000</v>
      </c>
    </row>
    <row r="1276" spans="1:2" ht="14.4" x14ac:dyDescent="0.3">
      <c r="A1276" s="1" t="s">
        <v>1116</v>
      </c>
      <c r="B1276" s="16">
        <v>9400000</v>
      </c>
    </row>
    <row r="1277" spans="1:2" ht="14.4" x14ac:dyDescent="0.3">
      <c r="A1277" s="1" t="s">
        <v>1115</v>
      </c>
      <c r="B1277" s="16">
        <v>23500000</v>
      </c>
    </row>
    <row r="1278" spans="1:2" ht="14.4" x14ac:dyDescent="0.3">
      <c r="A1278" s="1" t="s">
        <v>1114</v>
      </c>
      <c r="B1278" s="16">
        <v>10000000</v>
      </c>
    </row>
    <row r="1279" spans="1:2" ht="14.4" x14ac:dyDescent="0.3">
      <c r="A1279" s="1" t="s">
        <v>1113</v>
      </c>
      <c r="B1279" s="16">
        <v>15500000</v>
      </c>
    </row>
    <row r="1280" spans="1:2" ht="14.4" x14ac:dyDescent="0.3">
      <c r="A1280" s="1" t="s">
        <v>1112</v>
      </c>
      <c r="B1280" s="16">
        <v>10000000</v>
      </c>
    </row>
    <row r="1281" spans="1:2" ht="14.4" x14ac:dyDescent="0.3">
      <c r="A1281" s="1" t="s">
        <v>1111</v>
      </c>
      <c r="B1281" s="16">
        <v>10800000</v>
      </c>
    </row>
    <row r="1282" spans="1:2" ht="14.4" x14ac:dyDescent="0.3">
      <c r="A1282" s="1" t="s">
        <v>129</v>
      </c>
      <c r="B1282" s="16">
        <v>44000000</v>
      </c>
    </row>
    <row r="1283" spans="1:2" ht="14.4" x14ac:dyDescent="0.3">
      <c r="A1283" s="1" t="s">
        <v>1031</v>
      </c>
      <c r="B1283" s="16">
        <v>12000000</v>
      </c>
    </row>
    <row r="1284" spans="1:2" ht="14.4" x14ac:dyDescent="0.3">
      <c r="A1284" s="1" t="s">
        <v>1110</v>
      </c>
      <c r="B1284" s="16">
        <v>10000000</v>
      </c>
    </row>
    <row r="1285" spans="1:2" ht="14.4" x14ac:dyDescent="0.3">
      <c r="A1285" s="1" t="s">
        <v>1109</v>
      </c>
      <c r="B1285" s="16">
        <v>3000000</v>
      </c>
    </row>
    <row r="1286" spans="1:2" ht="14.4" x14ac:dyDescent="0.3">
      <c r="A1286" s="1" t="s">
        <v>1108</v>
      </c>
      <c r="B1286" s="16">
        <v>6000000</v>
      </c>
    </row>
    <row r="1287" spans="1:2" ht="14.4" x14ac:dyDescent="0.3">
      <c r="A1287" s="1" t="s">
        <v>1107</v>
      </c>
      <c r="B1287" s="16">
        <v>6500000</v>
      </c>
    </row>
    <row r="1288" spans="1:2" ht="14.4" x14ac:dyDescent="0.3">
      <c r="A1288" s="1" t="s">
        <v>1106</v>
      </c>
      <c r="B1288" s="16">
        <v>12000000</v>
      </c>
    </row>
    <row r="1289" spans="1:2" ht="14.4" x14ac:dyDescent="0.3">
      <c r="A1289" s="1" t="s">
        <v>1105</v>
      </c>
      <c r="B1289" s="16">
        <v>6400000</v>
      </c>
    </row>
    <row r="1290" spans="1:2" ht="14.4" x14ac:dyDescent="0.3">
      <c r="A1290" s="1" t="s">
        <v>1104</v>
      </c>
      <c r="B1290" s="16">
        <v>10000000</v>
      </c>
    </row>
    <row r="1291" spans="1:2" ht="14.4" x14ac:dyDescent="0.3">
      <c r="A1291" s="1" t="s">
        <v>206</v>
      </c>
      <c r="B1291" s="16">
        <v>4850000</v>
      </c>
    </row>
    <row r="1292" spans="1:2" ht="14.4" x14ac:dyDescent="0.3">
      <c r="A1292" s="1" t="s">
        <v>1102</v>
      </c>
      <c r="B1292" s="16">
        <v>7000000</v>
      </c>
    </row>
    <row r="1293" spans="1:2" ht="14.4" x14ac:dyDescent="0.3">
      <c r="A1293" s="1" t="s">
        <v>1103</v>
      </c>
      <c r="B1293" s="16">
        <v>7200000</v>
      </c>
    </row>
    <row r="1294" spans="1:2" ht="14.4" x14ac:dyDescent="0.3">
      <c r="A1294" s="1" t="s">
        <v>1101</v>
      </c>
      <c r="B1294" s="16">
        <v>10000000</v>
      </c>
    </row>
    <row r="1295" spans="1:2" ht="14.4" x14ac:dyDescent="0.3">
      <c r="A1295" s="1" t="s">
        <v>1100</v>
      </c>
      <c r="B1295" s="16">
        <v>6000000</v>
      </c>
    </row>
    <row r="1296" spans="1:2" ht="14.4" x14ac:dyDescent="0.3">
      <c r="A1296" s="1" t="s">
        <v>1099</v>
      </c>
      <c r="B1296" s="16">
        <v>13500000</v>
      </c>
    </row>
    <row r="1297" spans="1:2" ht="14.4" x14ac:dyDescent="0.3">
      <c r="A1297" s="1" t="s">
        <v>1097</v>
      </c>
      <c r="B1297" s="16">
        <v>5700000</v>
      </c>
    </row>
    <row r="1298" spans="1:2" ht="14.4" x14ac:dyDescent="0.3">
      <c r="A1298" s="1" t="s">
        <v>1098</v>
      </c>
      <c r="B1298" s="16">
        <v>12100000</v>
      </c>
    </row>
    <row r="1299" spans="1:2" ht="14.4" x14ac:dyDescent="0.3">
      <c r="A1299" s="1" t="s">
        <v>72</v>
      </c>
      <c r="B1299" s="16">
        <v>8700000</v>
      </c>
    </row>
    <row r="1300" spans="1:2" ht="14.4" x14ac:dyDescent="0.3">
      <c r="A1300" s="1" t="s">
        <v>1096</v>
      </c>
      <c r="B1300" s="16">
        <v>9000000</v>
      </c>
    </row>
    <row r="1301" spans="1:2" ht="14.4" x14ac:dyDescent="0.3">
      <c r="A1301" s="1" t="s">
        <v>1094</v>
      </c>
      <c r="B1301" s="16">
        <v>16000000</v>
      </c>
    </row>
    <row r="1302" spans="1:2" ht="14.4" x14ac:dyDescent="0.3">
      <c r="A1302" s="1" t="s">
        <v>1095</v>
      </c>
      <c r="B1302" s="16">
        <v>5200000</v>
      </c>
    </row>
    <row r="1303" spans="1:2" ht="14.4" x14ac:dyDescent="0.3">
      <c r="A1303" s="1" t="s">
        <v>1093</v>
      </c>
      <c r="B1303" s="16">
        <v>32000000</v>
      </c>
    </row>
    <row r="1304" spans="1:2" ht="14.4" x14ac:dyDescent="0.3">
      <c r="A1304" s="1" t="s">
        <v>1092</v>
      </c>
      <c r="B1304" s="16">
        <v>10489616</v>
      </c>
    </row>
    <row r="1305" spans="1:2" ht="14.4" x14ac:dyDescent="0.3">
      <c r="A1305" s="1" t="s">
        <v>1091</v>
      </c>
      <c r="B1305" s="16">
        <v>10350000</v>
      </c>
    </row>
    <row r="1306" spans="1:2" ht="14.4" x14ac:dyDescent="0.3">
      <c r="A1306" s="1" t="s">
        <v>1090</v>
      </c>
      <c r="B1306" s="16">
        <v>5500000</v>
      </c>
    </row>
    <row r="1307" spans="1:2" ht="14.4" x14ac:dyDescent="0.3">
      <c r="A1307" s="1" t="s">
        <v>1089</v>
      </c>
      <c r="B1307" s="16">
        <v>10000000</v>
      </c>
    </row>
    <row r="1308" spans="1:2" ht="14.4" x14ac:dyDescent="0.3">
      <c r="A1308" s="1" t="s">
        <v>1088</v>
      </c>
      <c r="B1308" s="16">
        <v>9700000</v>
      </c>
    </row>
    <row r="1309" spans="1:2" ht="14.4" x14ac:dyDescent="0.3">
      <c r="A1309" s="1" t="s">
        <v>1087</v>
      </c>
      <c r="B1309" s="16">
        <v>8900000</v>
      </c>
    </row>
    <row r="1310" spans="1:2" ht="14.4" x14ac:dyDescent="0.3">
      <c r="A1310" s="1" t="s">
        <v>1086</v>
      </c>
      <c r="B1310" s="16">
        <v>47000000</v>
      </c>
    </row>
    <row r="1311" spans="1:2" ht="14.4" x14ac:dyDescent="0.3">
      <c r="A1311" s="1" t="s">
        <v>1085</v>
      </c>
      <c r="B1311" s="16">
        <v>4700000</v>
      </c>
    </row>
    <row r="1312" spans="1:2" ht="14.4" x14ac:dyDescent="0.3">
      <c r="A1312" s="1" t="s">
        <v>1084</v>
      </c>
      <c r="B1312" s="16">
        <v>12500000</v>
      </c>
    </row>
    <row r="1313" spans="1:2" ht="14.4" x14ac:dyDescent="0.3">
      <c r="A1313" s="1" t="s">
        <v>1083</v>
      </c>
      <c r="B1313" s="16">
        <v>10000000</v>
      </c>
    </row>
    <row r="1314" spans="1:2" ht="14.4" x14ac:dyDescent="0.3">
      <c r="A1314" s="1" t="s">
        <v>1082</v>
      </c>
      <c r="B1314" s="16">
        <v>24500000</v>
      </c>
    </row>
    <row r="1315" spans="1:2" ht="14.4" x14ac:dyDescent="0.3">
      <c r="A1315" s="1" t="s">
        <v>1081</v>
      </c>
      <c r="B1315" s="16">
        <v>27000000</v>
      </c>
    </row>
    <row r="1316" spans="1:2" ht="14.4" x14ac:dyDescent="0.3">
      <c r="A1316" s="1" t="s">
        <v>1080</v>
      </c>
      <c r="B1316" s="16">
        <v>7000000</v>
      </c>
    </row>
    <row r="1317" spans="1:2" ht="14.4" x14ac:dyDescent="0.3">
      <c r="A1317" s="1" t="s">
        <v>1079</v>
      </c>
      <c r="B1317" s="16">
        <v>13300000</v>
      </c>
    </row>
    <row r="1318" spans="1:2" ht="14.4" x14ac:dyDescent="0.3">
      <c r="A1318" s="1" t="s">
        <v>1078</v>
      </c>
      <c r="B1318" s="16">
        <v>32000000</v>
      </c>
    </row>
    <row r="1319" spans="1:2" ht="14.4" x14ac:dyDescent="0.3">
      <c r="A1319" s="1" t="s">
        <v>1077</v>
      </c>
      <c r="B1319" s="16">
        <v>9000000</v>
      </c>
    </row>
    <row r="1320" spans="1:2" ht="14.4" x14ac:dyDescent="0.3">
      <c r="A1320" s="1" t="s">
        <v>1076</v>
      </c>
      <c r="B1320" s="16">
        <v>13500000</v>
      </c>
    </row>
    <row r="1321" spans="1:2" ht="14.4" x14ac:dyDescent="0.3">
      <c r="A1321" s="1" t="s">
        <v>1075</v>
      </c>
      <c r="B1321" s="16">
        <v>4700000</v>
      </c>
    </row>
    <row r="1322" spans="1:2" ht="14.4" x14ac:dyDescent="0.3">
      <c r="A1322" s="1" t="s">
        <v>1074</v>
      </c>
      <c r="B1322" s="16">
        <v>9346000</v>
      </c>
    </row>
    <row r="1323" spans="1:2" ht="14.4" x14ac:dyDescent="0.3">
      <c r="A1323" s="1" t="s">
        <v>1073</v>
      </c>
      <c r="B1323" s="16">
        <v>12500000</v>
      </c>
    </row>
    <row r="1324" spans="1:2" ht="14.4" x14ac:dyDescent="0.3">
      <c r="A1324" s="1" t="s">
        <v>1072</v>
      </c>
      <c r="B1324" s="16">
        <v>15500000</v>
      </c>
    </row>
    <row r="1325" spans="1:2" ht="14.4" x14ac:dyDescent="0.3">
      <c r="A1325" s="1" t="s">
        <v>1071</v>
      </c>
      <c r="B1325" s="16">
        <v>5350000</v>
      </c>
    </row>
    <row r="1326" spans="1:2" ht="14.4" x14ac:dyDescent="0.3">
      <c r="A1326" s="1" t="s">
        <v>1070</v>
      </c>
      <c r="B1326" s="16">
        <v>30000000</v>
      </c>
    </row>
    <row r="1327" spans="1:2" ht="14.4" x14ac:dyDescent="0.3">
      <c r="A1327" s="1" t="s">
        <v>1069</v>
      </c>
      <c r="B1327" s="16">
        <v>7800000</v>
      </c>
    </row>
    <row r="1328" spans="1:2" ht="14.4" x14ac:dyDescent="0.3">
      <c r="A1328" s="1" t="s">
        <v>1068</v>
      </c>
      <c r="B1328" s="16">
        <v>25000000</v>
      </c>
    </row>
    <row r="1329" spans="1:2" ht="14.4" x14ac:dyDescent="0.3">
      <c r="A1329" s="1" t="s">
        <v>1067</v>
      </c>
      <c r="B1329" s="16">
        <v>8000000</v>
      </c>
    </row>
    <row r="1330" spans="1:2" ht="14.4" x14ac:dyDescent="0.3">
      <c r="A1330" s="1" t="s">
        <v>1066</v>
      </c>
      <c r="B1330" s="16">
        <v>5800000</v>
      </c>
    </row>
    <row r="1331" spans="1:2" ht="14.4" x14ac:dyDescent="0.3">
      <c r="A1331" s="1" t="s">
        <v>1065</v>
      </c>
      <c r="B1331" s="16">
        <v>6800000</v>
      </c>
    </row>
    <row r="1332" spans="1:2" ht="14.4" x14ac:dyDescent="0.3">
      <c r="A1332" s="1" t="s">
        <v>1064</v>
      </c>
      <c r="B1332" s="16">
        <v>12500000</v>
      </c>
    </row>
    <row r="1333" spans="1:2" ht="14.4" x14ac:dyDescent="0.3">
      <c r="A1333" s="1" t="s">
        <v>1063</v>
      </c>
      <c r="B1333" s="16">
        <v>14500000</v>
      </c>
    </row>
    <row r="1334" spans="1:2" ht="14.4" x14ac:dyDescent="0.3">
      <c r="A1334" s="1" t="s">
        <v>1062</v>
      </c>
      <c r="B1334" s="16">
        <v>13500000</v>
      </c>
    </row>
    <row r="1335" spans="1:2" ht="14.4" x14ac:dyDescent="0.3">
      <c r="A1335" s="1" t="s">
        <v>1061</v>
      </c>
      <c r="B1335" s="16">
        <v>11500000</v>
      </c>
    </row>
    <row r="1336" spans="1:2" ht="14.4" x14ac:dyDescent="0.3">
      <c r="A1336" s="1" t="s">
        <v>1060</v>
      </c>
      <c r="B1336" s="16">
        <v>11200000</v>
      </c>
    </row>
    <row r="1337" spans="1:2" ht="14.4" x14ac:dyDescent="0.3">
      <c r="A1337" s="1" t="s">
        <v>1059</v>
      </c>
      <c r="B1337" s="16">
        <v>5500000</v>
      </c>
    </row>
    <row r="1338" spans="1:2" ht="14.4" x14ac:dyDescent="0.3">
      <c r="A1338" s="1" t="s">
        <v>1058</v>
      </c>
      <c r="B1338" s="16">
        <v>12500000</v>
      </c>
    </row>
    <row r="1339" spans="1:2" ht="14.4" x14ac:dyDescent="0.3">
      <c r="A1339" s="1" t="s">
        <v>1057</v>
      </c>
      <c r="B1339" s="16">
        <v>10700000</v>
      </c>
    </row>
    <row r="1340" spans="1:2" ht="14.4" x14ac:dyDescent="0.3">
      <c r="A1340" s="1" t="s">
        <v>1056</v>
      </c>
      <c r="B1340" s="16">
        <v>12600000</v>
      </c>
    </row>
    <row r="1341" spans="1:2" ht="14.4" x14ac:dyDescent="0.3">
      <c r="A1341" s="1" t="s">
        <v>1055</v>
      </c>
      <c r="B1341" s="16">
        <v>21100000</v>
      </c>
    </row>
    <row r="1342" spans="1:2" ht="14.4" x14ac:dyDescent="0.3">
      <c r="A1342" s="1" t="s">
        <v>1054</v>
      </c>
      <c r="B1342" s="16">
        <v>7100000</v>
      </c>
    </row>
    <row r="1343" spans="1:2" ht="14.4" x14ac:dyDescent="0.3">
      <c r="A1343" s="1" t="s">
        <v>1053</v>
      </c>
      <c r="B1343" s="16">
        <v>30000000</v>
      </c>
    </row>
    <row r="1344" spans="1:2" ht="14.4" x14ac:dyDescent="0.3">
      <c r="A1344" s="1" t="s">
        <v>1052</v>
      </c>
      <c r="B1344" s="16">
        <v>5250000</v>
      </c>
    </row>
    <row r="1345" spans="1:2" ht="14.4" x14ac:dyDescent="0.3">
      <c r="A1345" s="1" t="s">
        <v>1051</v>
      </c>
      <c r="B1345" s="16">
        <v>37000000</v>
      </c>
    </row>
    <row r="1346" spans="1:2" ht="14.4" x14ac:dyDescent="0.3">
      <c r="A1346" s="1" t="s">
        <v>1050</v>
      </c>
      <c r="B1346" s="16">
        <v>16500000</v>
      </c>
    </row>
    <row r="1347" spans="1:2" ht="14.4" x14ac:dyDescent="0.3">
      <c r="A1347" s="1" t="s">
        <v>1049</v>
      </c>
      <c r="B1347" s="16">
        <v>10200000</v>
      </c>
    </row>
    <row r="1348" spans="1:2" ht="14.4" x14ac:dyDescent="0.3">
      <c r="A1348" s="1" t="s">
        <v>1048</v>
      </c>
      <c r="B1348" s="16">
        <v>10500000</v>
      </c>
    </row>
    <row r="1349" spans="1:2" ht="14.4" x14ac:dyDescent="0.3">
      <c r="A1349" s="1" t="s">
        <v>1047</v>
      </c>
      <c r="B1349" s="16">
        <v>11143728</v>
      </c>
    </row>
    <row r="1350" spans="1:2" ht="14.4" x14ac:dyDescent="0.3">
      <c r="A1350" s="1" t="s">
        <v>1046</v>
      </c>
      <c r="B1350" s="16">
        <v>10500000</v>
      </c>
    </row>
    <row r="1351" spans="1:2" ht="14.4" x14ac:dyDescent="0.3">
      <c r="A1351" s="1" t="s">
        <v>1045</v>
      </c>
      <c r="B1351" s="16">
        <v>24000000</v>
      </c>
    </row>
    <row r="1352" spans="1:2" ht="14.4" x14ac:dyDescent="0.3">
      <c r="A1352" s="1" t="s">
        <v>1044</v>
      </c>
      <c r="B1352" s="16">
        <v>13700000</v>
      </c>
    </row>
    <row r="1353" spans="1:2" ht="14.4" x14ac:dyDescent="0.3">
      <c r="A1353" s="1" t="s">
        <v>1043</v>
      </c>
      <c r="B1353" s="16">
        <v>29000000</v>
      </c>
    </row>
    <row r="1354" spans="1:2" ht="14.4" x14ac:dyDescent="0.3">
      <c r="A1354" s="1" t="s">
        <v>1042</v>
      </c>
      <c r="B1354" s="16">
        <v>37500000</v>
      </c>
    </row>
    <row r="1355" spans="1:2" ht="14.4" x14ac:dyDescent="0.3">
      <c r="A1355" s="1" t="s">
        <v>1041</v>
      </c>
      <c r="B1355" s="16">
        <v>11200000</v>
      </c>
    </row>
    <row r="1356" spans="1:2" ht="14.4" x14ac:dyDescent="0.3">
      <c r="A1356" s="1" t="s">
        <v>1040</v>
      </c>
      <c r="B1356" s="16">
        <v>10000000</v>
      </c>
    </row>
    <row r="1357" spans="1:2" ht="14.4" x14ac:dyDescent="0.3">
      <c r="A1357" s="1" t="s">
        <v>1039</v>
      </c>
      <c r="B1357" s="16">
        <v>5800000</v>
      </c>
    </row>
    <row r="1358" spans="1:2" ht="14.4" x14ac:dyDescent="0.3">
      <c r="A1358" s="1" t="s">
        <v>1038</v>
      </c>
      <c r="B1358" s="16">
        <v>4800000</v>
      </c>
    </row>
    <row r="1359" spans="1:2" ht="14.4" x14ac:dyDescent="0.3">
      <c r="A1359" s="1" t="s">
        <v>1037</v>
      </c>
      <c r="B1359" s="16">
        <v>29000000</v>
      </c>
    </row>
    <row r="1360" spans="1:2" ht="14.4" x14ac:dyDescent="0.3">
      <c r="A1360" s="1" t="s">
        <v>1036</v>
      </c>
      <c r="B1360" s="16">
        <v>10000000</v>
      </c>
    </row>
    <row r="1361" spans="1:2" ht="14.4" x14ac:dyDescent="0.3">
      <c r="A1361" s="1" t="s">
        <v>1035</v>
      </c>
      <c r="B1361" s="16">
        <v>10200000</v>
      </c>
    </row>
    <row r="1362" spans="1:2" ht="14.4" x14ac:dyDescent="0.3">
      <c r="A1362" s="1" t="s">
        <v>1034</v>
      </c>
      <c r="B1362" s="16">
        <v>15500000</v>
      </c>
    </row>
    <row r="1363" spans="1:2" ht="14.4" x14ac:dyDescent="0.3">
      <c r="A1363" s="1" t="s">
        <v>1033</v>
      </c>
      <c r="B1363" s="16">
        <v>17500000</v>
      </c>
    </row>
    <row r="1364" spans="1:2" ht="14.4" x14ac:dyDescent="0.3">
      <c r="A1364" s="1" t="s">
        <v>1032</v>
      </c>
      <c r="B1364" s="16">
        <v>26000000</v>
      </c>
    </row>
    <row r="1365" spans="1:2" ht="14.4" x14ac:dyDescent="0.3">
      <c r="A1365" s="1" t="s">
        <v>1030</v>
      </c>
      <c r="B1365" s="16">
        <v>8000000</v>
      </c>
    </row>
    <row r="1366" spans="1:2" ht="14.4" x14ac:dyDescent="0.3">
      <c r="A1366" s="1" t="s">
        <v>1029</v>
      </c>
      <c r="B1366" s="16">
        <v>15500000</v>
      </c>
    </row>
    <row r="1367" spans="1:2" ht="14.4" x14ac:dyDescent="0.3">
      <c r="A1367" s="1" t="s">
        <v>1028</v>
      </c>
      <c r="B1367" s="16">
        <v>12000000</v>
      </c>
    </row>
    <row r="1368" spans="1:2" ht="14.4" x14ac:dyDescent="0.3">
      <c r="A1368" s="1" t="s">
        <v>1027</v>
      </c>
      <c r="B1368" s="16">
        <v>10000000</v>
      </c>
    </row>
    <row r="1369" spans="1:2" ht="14.4" x14ac:dyDescent="0.3">
      <c r="A1369" s="1" t="s">
        <v>1026</v>
      </c>
      <c r="B1369" s="16">
        <v>13500000</v>
      </c>
    </row>
    <row r="1370" spans="1:2" ht="14.4" x14ac:dyDescent="0.3">
      <c r="A1370" s="1" t="s">
        <v>1025</v>
      </c>
      <c r="B1370" s="16">
        <v>8200000</v>
      </c>
    </row>
    <row r="1371" spans="1:2" ht="14.4" x14ac:dyDescent="0.3">
      <c r="A1371" s="1" t="s">
        <v>1024</v>
      </c>
      <c r="B1371" s="16">
        <v>6000000</v>
      </c>
    </row>
    <row r="1372" spans="1:2" ht="14.4" x14ac:dyDescent="0.3">
      <c r="A1372" s="1" t="s">
        <v>1023</v>
      </c>
      <c r="B1372" s="16">
        <v>9300000</v>
      </c>
    </row>
    <row r="1373" spans="1:2" ht="14.4" x14ac:dyDescent="0.3">
      <c r="A1373" s="1" t="s">
        <v>1022</v>
      </c>
      <c r="B1373" s="16">
        <v>17112370</v>
      </c>
    </row>
    <row r="1374" spans="1:2" ht="14.4" x14ac:dyDescent="0.3">
      <c r="A1374" s="1" t="s">
        <v>1021</v>
      </c>
      <c r="B1374" s="16">
        <v>57227100</v>
      </c>
    </row>
    <row r="1375" spans="1:2" ht="14.4" x14ac:dyDescent="0.3">
      <c r="A1375" s="1" t="s">
        <v>239</v>
      </c>
      <c r="B1375" s="16">
        <v>10300000</v>
      </c>
    </row>
    <row r="1376" spans="1:2" ht="14.4" x14ac:dyDescent="0.3">
      <c r="A1376" s="1" t="s">
        <v>1020</v>
      </c>
      <c r="B1376" s="16">
        <v>12100000</v>
      </c>
    </row>
    <row r="1377" spans="1:2" ht="14.4" x14ac:dyDescent="0.3">
      <c r="A1377" s="1" t="s">
        <v>1019</v>
      </c>
      <c r="B1377" s="16">
        <v>8350000</v>
      </c>
    </row>
    <row r="1378" spans="1:2" ht="14.4" x14ac:dyDescent="0.3">
      <c r="A1378" s="1" t="s">
        <v>1018</v>
      </c>
      <c r="B1378" s="16">
        <v>11300000</v>
      </c>
    </row>
    <row r="1379" spans="1:2" ht="14.4" x14ac:dyDescent="0.3">
      <c r="A1379" s="1" t="s">
        <v>1017</v>
      </c>
      <c r="B1379" s="16">
        <v>4200000</v>
      </c>
    </row>
    <row r="1380" spans="1:2" ht="14.4" x14ac:dyDescent="0.3">
      <c r="A1380" s="1" t="s">
        <v>1016</v>
      </c>
      <c r="B1380" s="16">
        <v>10600000</v>
      </c>
    </row>
    <row r="1381" spans="1:2" ht="14.4" x14ac:dyDescent="0.3">
      <c r="A1381" s="1" t="s">
        <v>1015</v>
      </c>
      <c r="B1381" s="16">
        <v>5700000</v>
      </c>
    </row>
    <row r="1382" spans="1:2" ht="14.4" x14ac:dyDescent="0.3">
      <c r="A1382" s="1" t="s">
        <v>1014</v>
      </c>
      <c r="B1382" s="16">
        <v>6300000</v>
      </c>
    </row>
    <row r="1383" spans="1:2" ht="14.4" x14ac:dyDescent="0.3">
      <c r="A1383" s="1" t="s">
        <v>1013</v>
      </c>
      <c r="B1383" s="16">
        <v>10600000</v>
      </c>
    </row>
    <row r="1384" spans="1:2" ht="14.4" x14ac:dyDescent="0.3">
      <c r="A1384" s="1" t="s">
        <v>1012</v>
      </c>
      <c r="B1384" s="16">
        <v>9300000</v>
      </c>
    </row>
    <row r="1385" spans="1:2" ht="14.4" x14ac:dyDescent="0.3">
      <c r="A1385" s="1" t="s">
        <v>1011</v>
      </c>
      <c r="B1385" s="16">
        <v>6000000</v>
      </c>
    </row>
    <row r="1386" spans="1:2" ht="14.4" x14ac:dyDescent="0.3">
      <c r="A1386" s="1" t="s">
        <v>1010</v>
      </c>
      <c r="B1386" s="16">
        <v>34850000</v>
      </c>
    </row>
    <row r="1387" spans="1:2" ht="14.4" x14ac:dyDescent="0.3">
      <c r="A1387" s="1" t="s">
        <v>1009</v>
      </c>
      <c r="B1387" s="16">
        <v>10300000</v>
      </c>
    </row>
    <row r="1388" spans="1:2" ht="14.4" x14ac:dyDescent="0.3">
      <c r="A1388" s="1" t="s">
        <v>1008</v>
      </c>
      <c r="B1388" s="16">
        <v>28990000</v>
      </c>
    </row>
    <row r="1389" spans="1:2" ht="14.4" x14ac:dyDescent="0.3">
      <c r="A1389" s="1" t="s">
        <v>1007</v>
      </c>
      <c r="B1389" s="16">
        <v>8500000</v>
      </c>
    </row>
    <row r="1390" spans="1:2" ht="14.4" x14ac:dyDescent="0.3">
      <c r="A1390" s="1" t="s">
        <v>1006</v>
      </c>
      <c r="B1390" s="16">
        <v>6160000</v>
      </c>
    </row>
    <row r="1391" spans="1:2" ht="14.4" x14ac:dyDescent="0.3">
      <c r="A1391" s="1" t="s">
        <v>1005</v>
      </c>
      <c r="B1391" s="16">
        <v>30000000</v>
      </c>
    </row>
    <row r="1392" spans="1:2" ht="14.4" x14ac:dyDescent="0.3">
      <c r="A1392" s="1" t="s">
        <v>1004</v>
      </c>
      <c r="B1392" s="16">
        <v>14000000</v>
      </c>
    </row>
    <row r="1393" spans="1:2" ht="14.4" x14ac:dyDescent="0.3">
      <c r="A1393" s="1" t="s">
        <v>1003</v>
      </c>
      <c r="B1393" s="16">
        <v>15000000</v>
      </c>
    </row>
    <row r="1394" spans="1:2" ht="14.4" x14ac:dyDescent="0.3">
      <c r="A1394" s="1" t="s">
        <v>1002</v>
      </c>
      <c r="B1394" s="16">
        <v>10250000</v>
      </c>
    </row>
    <row r="1395" spans="1:2" ht="14.4" x14ac:dyDescent="0.3">
      <c r="A1395" s="1" t="s">
        <v>1001</v>
      </c>
      <c r="B1395" s="16">
        <v>5000000</v>
      </c>
    </row>
    <row r="1396" spans="1:2" ht="14.4" x14ac:dyDescent="0.3">
      <c r="A1396" s="1" t="s">
        <v>1000</v>
      </c>
      <c r="B1396" s="16">
        <v>12800000</v>
      </c>
    </row>
    <row r="1397" spans="1:2" ht="14.4" x14ac:dyDescent="0.3">
      <c r="A1397" s="1" t="s">
        <v>999</v>
      </c>
      <c r="B1397" s="16">
        <v>12000000</v>
      </c>
    </row>
    <row r="1398" spans="1:2" ht="14.4" x14ac:dyDescent="0.3">
      <c r="A1398" s="1" t="s">
        <v>998</v>
      </c>
      <c r="B1398" s="16">
        <v>10800000</v>
      </c>
    </row>
    <row r="1399" spans="1:2" ht="14.4" x14ac:dyDescent="0.3">
      <c r="A1399" s="1" t="s">
        <v>997</v>
      </c>
      <c r="B1399" s="16">
        <v>17000000</v>
      </c>
    </row>
    <row r="1400" spans="1:2" ht="14.4" x14ac:dyDescent="0.3">
      <c r="A1400" s="1" t="s">
        <v>996</v>
      </c>
      <c r="B1400" s="16">
        <v>9000000</v>
      </c>
    </row>
    <row r="1401" spans="1:2" ht="14.4" x14ac:dyDescent="0.3">
      <c r="A1401" s="1" t="s">
        <v>995</v>
      </c>
      <c r="B1401" s="16">
        <v>10000000</v>
      </c>
    </row>
    <row r="1402" spans="1:2" ht="14.4" x14ac:dyDescent="0.3">
      <c r="A1402" s="1" t="s">
        <v>994</v>
      </c>
      <c r="B1402" s="16">
        <v>8000000</v>
      </c>
    </row>
    <row r="1403" spans="1:2" ht="14.4" x14ac:dyDescent="0.3">
      <c r="A1403" s="1" t="s">
        <v>993</v>
      </c>
      <c r="B1403" s="16">
        <v>28650000</v>
      </c>
    </row>
    <row r="1404" spans="1:2" ht="14.4" x14ac:dyDescent="0.3">
      <c r="A1404" s="1" t="s">
        <v>992</v>
      </c>
      <c r="B1404" s="16">
        <v>7000000</v>
      </c>
    </row>
    <row r="1405" spans="1:2" ht="14.4" x14ac:dyDescent="0.3">
      <c r="A1405" s="1" t="s">
        <v>991</v>
      </c>
      <c r="B1405" s="16">
        <v>10800000</v>
      </c>
    </row>
    <row r="1406" spans="1:2" ht="14.4" x14ac:dyDescent="0.3">
      <c r="A1406" s="1" t="s">
        <v>990</v>
      </c>
      <c r="B1406" s="16">
        <v>19400000</v>
      </c>
    </row>
    <row r="1407" spans="1:2" ht="14.4" x14ac:dyDescent="0.3">
      <c r="A1407" s="1" t="s">
        <v>989</v>
      </c>
      <c r="B1407" s="16">
        <v>57000000</v>
      </c>
    </row>
    <row r="1408" spans="1:2" ht="14.4" x14ac:dyDescent="0.3">
      <c r="A1408" s="1" t="s">
        <v>988</v>
      </c>
      <c r="B1408" s="16">
        <v>25000000</v>
      </c>
    </row>
    <row r="1409" spans="1:2" ht="14.4" x14ac:dyDescent="0.3">
      <c r="A1409" s="1" t="s">
        <v>986</v>
      </c>
      <c r="B1409" s="16">
        <v>15000000</v>
      </c>
    </row>
    <row r="1410" spans="1:2" ht="14.4" x14ac:dyDescent="0.3">
      <c r="A1410" s="1" t="s">
        <v>987</v>
      </c>
      <c r="B1410" s="16">
        <v>25700000</v>
      </c>
    </row>
    <row r="1411" spans="1:2" ht="14.4" x14ac:dyDescent="0.3">
      <c r="A1411" s="1" t="s">
        <v>985</v>
      </c>
      <c r="B1411" s="16">
        <v>3350000</v>
      </c>
    </row>
    <row r="1412" spans="1:2" ht="14.4" x14ac:dyDescent="0.3">
      <c r="A1412" s="1" t="s">
        <v>984</v>
      </c>
      <c r="B1412" s="16">
        <v>15800000</v>
      </c>
    </row>
    <row r="1413" spans="1:2" ht="14.4" x14ac:dyDescent="0.3">
      <c r="A1413" s="1" t="s">
        <v>983</v>
      </c>
      <c r="B1413" s="16">
        <v>5450000</v>
      </c>
    </row>
    <row r="1414" spans="1:2" ht="14.4" x14ac:dyDescent="0.3">
      <c r="A1414" s="1" t="s">
        <v>982</v>
      </c>
      <c r="B1414" s="16">
        <v>10500000</v>
      </c>
    </row>
    <row r="1415" spans="1:2" ht="14.4" x14ac:dyDescent="0.3">
      <c r="A1415" s="1" t="s">
        <v>981</v>
      </c>
      <c r="B1415" s="16">
        <v>14000000</v>
      </c>
    </row>
    <row r="1416" spans="1:2" ht="14.4" x14ac:dyDescent="0.3">
      <c r="A1416" s="1" t="s">
        <v>980</v>
      </c>
      <c r="B1416" s="16">
        <v>11000000</v>
      </c>
    </row>
    <row r="1417" spans="1:2" ht="14.4" x14ac:dyDescent="0.3">
      <c r="A1417" s="1" t="s">
        <v>979</v>
      </c>
      <c r="B1417" s="16">
        <v>6370000</v>
      </c>
    </row>
    <row r="1418" spans="1:2" ht="14.4" x14ac:dyDescent="0.3">
      <c r="A1418" s="1" t="s">
        <v>978</v>
      </c>
      <c r="B1418" s="16">
        <v>25000000</v>
      </c>
    </row>
    <row r="1419" spans="1:2" ht="14.4" x14ac:dyDescent="0.3">
      <c r="A1419" s="1" t="s">
        <v>977</v>
      </c>
      <c r="B1419" s="16">
        <v>21000000</v>
      </c>
    </row>
    <row r="1420" spans="1:2" ht="14.4" x14ac:dyDescent="0.3">
      <c r="A1420" s="1" t="s">
        <v>976</v>
      </c>
      <c r="B1420" s="16">
        <v>13300000</v>
      </c>
    </row>
    <row r="1421" spans="1:2" ht="14.4" x14ac:dyDescent="0.3">
      <c r="A1421" s="1" t="s">
        <v>256</v>
      </c>
      <c r="B1421" s="16">
        <v>15000000</v>
      </c>
    </row>
    <row r="1422" spans="1:2" ht="14.4" x14ac:dyDescent="0.3">
      <c r="A1422" s="1" t="s">
        <v>975</v>
      </c>
      <c r="B1422" s="16">
        <v>5000000</v>
      </c>
    </row>
    <row r="1423" spans="1:2" ht="14.4" x14ac:dyDescent="0.3">
      <c r="A1423" s="1" t="s">
        <v>974</v>
      </c>
      <c r="B1423" s="16">
        <v>10000000</v>
      </c>
    </row>
    <row r="1424" spans="1:2" ht="14.4" x14ac:dyDescent="0.3">
      <c r="A1424" s="1" t="s">
        <v>973</v>
      </c>
      <c r="B1424" s="16">
        <v>7900000</v>
      </c>
    </row>
    <row r="1425" spans="1:2" ht="14.4" x14ac:dyDescent="0.3">
      <c r="A1425" s="1" t="s">
        <v>972</v>
      </c>
      <c r="B1425" s="16">
        <v>12400000</v>
      </c>
    </row>
    <row r="1426" spans="1:2" ht="14.4" x14ac:dyDescent="0.3">
      <c r="A1426" s="1" t="s">
        <v>971</v>
      </c>
      <c r="B1426" s="16">
        <v>15000000</v>
      </c>
    </row>
    <row r="1427" spans="1:2" ht="14.4" x14ac:dyDescent="0.3">
      <c r="A1427" s="1" t="s">
        <v>970</v>
      </c>
      <c r="B1427" s="16">
        <v>23870000</v>
      </c>
    </row>
    <row r="1428" spans="1:2" ht="14.4" x14ac:dyDescent="0.3">
      <c r="A1428" s="1" t="s">
        <v>969</v>
      </c>
      <c r="B1428" s="16">
        <v>16900000</v>
      </c>
    </row>
    <row r="1429" spans="1:2" ht="14.4" x14ac:dyDescent="0.3">
      <c r="A1429" s="1" t="s">
        <v>968</v>
      </c>
      <c r="B1429" s="16">
        <v>22000000</v>
      </c>
    </row>
    <row r="1430" spans="1:2" ht="14.4" x14ac:dyDescent="0.3">
      <c r="A1430" s="1" t="s">
        <v>967</v>
      </c>
      <c r="B1430" s="16">
        <v>5300000</v>
      </c>
    </row>
    <row r="1431" spans="1:2" ht="14.4" x14ac:dyDescent="0.3">
      <c r="A1431" s="1" t="s">
        <v>966</v>
      </c>
      <c r="B1431" s="16">
        <v>6500000</v>
      </c>
    </row>
    <row r="1432" spans="1:2" ht="14.4" x14ac:dyDescent="0.3">
      <c r="A1432" s="1" t="s">
        <v>965</v>
      </c>
      <c r="B1432" s="16">
        <v>7600000</v>
      </c>
    </row>
    <row r="1433" spans="1:2" ht="14.4" x14ac:dyDescent="0.3">
      <c r="A1433" s="1" t="s">
        <v>964</v>
      </c>
      <c r="B1433" s="16">
        <v>16200000</v>
      </c>
    </row>
    <row r="1434" spans="1:2" ht="14.4" x14ac:dyDescent="0.3">
      <c r="A1434" s="1" t="s">
        <v>963</v>
      </c>
      <c r="B1434" s="16">
        <v>29000000</v>
      </c>
    </row>
    <row r="1435" spans="1:2" ht="14.4" x14ac:dyDescent="0.3">
      <c r="A1435" s="1" t="s">
        <v>962</v>
      </c>
      <c r="B1435" s="16">
        <v>12500000</v>
      </c>
    </row>
    <row r="1436" spans="1:2" ht="14.4" x14ac:dyDescent="0.3">
      <c r="A1436" s="1" t="s">
        <v>575</v>
      </c>
      <c r="B1436" s="16">
        <v>12450000</v>
      </c>
    </row>
    <row r="1437" spans="1:2" ht="14.4" x14ac:dyDescent="0.3">
      <c r="A1437" s="1" t="s">
        <v>961</v>
      </c>
      <c r="B1437" s="16">
        <v>9300000</v>
      </c>
    </row>
    <row r="1438" spans="1:2" ht="14.4" x14ac:dyDescent="0.3">
      <c r="A1438" s="1" t="s">
        <v>960</v>
      </c>
      <c r="B1438" s="16">
        <v>4500000</v>
      </c>
    </row>
    <row r="1439" spans="1:2" ht="14.4" x14ac:dyDescent="0.3">
      <c r="A1439" s="1" t="s">
        <v>959</v>
      </c>
      <c r="B1439" s="16">
        <v>12000000</v>
      </c>
    </row>
    <row r="1440" spans="1:2" ht="14.4" x14ac:dyDescent="0.3">
      <c r="A1440" s="1" t="s">
        <v>958</v>
      </c>
      <c r="B1440" s="16">
        <v>17500000</v>
      </c>
    </row>
    <row r="1441" spans="1:2" ht="14.4" x14ac:dyDescent="0.3">
      <c r="A1441" s="1" t="s">
        <v>957</v>
      </c>
      <c r="B1441" s="16">
        <v>9300000</v>
      </c>
    </row>
    <row r="1442" spans="1:2" ht="14.4" x14ac:dyDescent="0.3">
      <c r="A1442" s="1" t="s">
        <v>956</v>
      </c>
      <c r="B1442" s="16">
        <v>23000000</v>
      </c>
    </row>
    <row r="1443" spans="1:2" ht="14.4" x14ac:dyDescent="0.3">
      <c r="A1443" s="1" t="s">
        <v>955</v>
      </c>
      <c r="B1443" s="16">
        <v>5100000</v>
      </c>
    </row>
    <row r="1444" spans="1:2" ht="14.4" x14ac:dyDescent="0.3">
      <c r="A1444" s="1" t="s">
        <v>920</v>
      </c>
      <c r="B1444" s="16">
        <v>6700000</v>
      </c>
    </row>
    <row r="1445" spans="1:2" ht="14.4" x14ac:dyDescent="0.3">
      <c r="A1445" s="1" t="s">
        <v>954</v>
      </c>
      <c r="B1445" s="16">
        <v>18600000</v>
      </c>
    </row>
    <row r="1446" spans="1:2" ht="14.4" x14ac:dyDescent="0.3">
      <c r="A1446" s="1" t="s">
        <v>953</v>
      </c>
      <c r="B1446" s="16">
        <v>5800000</v>
      </c>
    </row>
    <row r="1447" spans="1:2" ht="14.4" x14ac:dyDescent="0.3">
      <c r="A1447" s="1" t="s">
        <v>952</v>
      </c>
      <c r="B1447" s="16">
        <v>6000000</v>
      </c>
    </row>
    <row r="1448" spans="1:2" ht="14.4" x14ac:dyDescent="0.3">
      <c r="A1448" s="1" t="s">
        <v>951</v>
      </c>
      <c r="B1448" s="16">
        <v>18800000</v>
      </c>
    </row>
    <row r="1449" spans="1:2" ht="14.4" x14ac:dyDescent="0.3">
      <c r="A1449" s="1" t="s">
        <v>950</v>
      </c>
      <c r="B1449" s="16">
        <v>22000000</v>
      </c>
    </row>
    <row r="1450" spans="1:2" ht="14.4" x14ac:dyDescent="0.3">
      <c r="A1450" s="1" t="s">
        <v>949</v>
      </c>
      <c r="B1450" s="16">
        <v>24500000</v>
      </c>
    </row>
    <row r="1451" spans="1:2" ht="14.4" x14ac:dyDescent="0.3">
      <c r="A1451" s="1" t="s">
        <v>948</v>
      </c>
      <c r="B1451" s="16">
        <v>24500000</v>
      </c>
    </row>
    <row r="1452" spans="1:2" ht="14.4" x14ac:dyDescent="0.3">
      <c r="A1452" s="1" t="s">
        <v>947</v>
      </c>
      <c r="B1452" s="16">
        <v>5550000</v>
      </c>
    </row>
    <row r="1453" spans="1:2" ht="14.4" x14ac:dyDescent="0.3">
      <c r="A1453" s="1" t="s">
        <v>946</v>
      </c>
      <c r="B1453" s="16">
        <v>16050000</v>
      </c>
    </row>
    <row r="1454" spans="1:2" ht="14.4" x14ac:dyDescent="0.3">
      <c r="A1454" s="1" t="s">
        <v>137</v>
      </c>
      <c r="B1454" s="16">
        <v>10300000</v>
      </c>
    </row>
    <row r="1455" spans="1:2" ht="14.4" x14ac:dyDescent="0.3">
      <c r="A1455" s="1" t="s">
        <v>945</v>
      </c>
      <c r="B1455" s="16">
        <v>14000000</v>
      </c>
    </row>
    <row r="1456" spans="1:2" ht="14.4" x14ac:dyDescent="0.3">
      <c r="A1456" s="1" t="s">
        <v>944</v>
      </c>
      <c r="B1456" s="16">
        <v>10800000</v>
      </c>
    </row>
    <row r="1457" spans="1:2" ht="14.4" x14ac:dyDescent="0.3">
      <c r="A1457" s="1" t="s">
        <v>943</v>
      </c>
      <c r="B1457" s="16">
        <v>7000000</v>
      </c>
    </row>
    <row r="1458" spans="1:2" ht="14.4" x14ac:dyDescent="0.3">
      <c r="A1458" s="1" t="s">
        <v>942</v>
      </c>
      <c r="B1458" s="16">
        <v>6800000</v>
      </c>
    </row>
    <row r="1459" spans="1:2" ht="14.4" x14ac:dyDescent="0.3">
      <c r="A1459" s="1" t="s">
        <v>685</v>
      </c>
      <c r="B1459" s="16">
        <v>16500000</v>
      </c>
    </row>
    <row r="1460" spans="1:2" ht="14.4" x14ac:dyDescent="0.3">
      <c r="A1460" s="1" t="s">
        <v>941</v>
      </c>
      <c r="B1460" s="16">
        <v>29200000</v>
      </c>
    </row>
    <row r="1461" spans="1:2" ht="14.4" x14ac:dyDescent="0.3">
      <c r="A1461" s="1" t="s">
        <v>762</v>
      </c>
      <c r="B1461" s="16">
        <v>40000000</v>
      </c>
    </row>
    <row r="1462" spans="1:2" ht="14.4" x14ac:dyDescent="0.3">
      <c r="A1462" s="1" t="s">
        <v>940</v>
      </c>
      <c r="B1462" s="16">
        <v>12400000</v>
      </c>
    </row>
    <row r="1463" spans="1:2" ht="14.4" x14ac:dyDescent="0.3">
      <c r="A1463" s="1" t="s">
        <v>939</v>
      </c>
      <c r="B1463" s="16">
        <v>13000000</v>
      </c>
    </row>
    <row r="1464" spans="1:2" ht="14.4" x14ac:dyDescent="0.3">
      <c r="A1464" s="1" t="s">
        <v>259</v>
      </c>
      <c r="B1464" s="16">
        <v>17600000</v>
      </c>
    </row>
    <row r="1465" spans="1:2" ht="14.4" x14ac:dyDescent="0.3">
      <c r="A1465" s="1" t="s">
        <v>938</v>
      </c>
      <c r="B1465" s="16">
        <v>6200000</v>
      </c>
    </row>
    <row r="1466" spans="1:2" ht="14.4" x14ac:dyDescent="0.3">
      <c r="A1466" s="1" t="s">
        <v>935</v>
      </c>
      <c r="B1466" s="16">
        <v>22000000</v>
      </c>
    </row>
    <row r="1467" spans="1:2" ht="14.4" x14ac:dyDescent="0.3">
      <c r="A1467" s="1" t="s">
        <v>937</v>
      </c>
      <c r="B1467" s="16">
        <v>8300000</v>
      </c>
    </row>
    <row r="1468" spans="1:2" ht="14.4" x14ac:dyDescent="0.3">
      <c r="A1468" s="1" t="s">
        <v>936</v>
      </c>
      <c r="B1468" s="16">
        <v>6300000</v>
      </c>
    </row>
    <row r="1469" spans="1:2" ht="14.4" x14ac:dyDescent="0.3">
      <c r="A1469" s="1" t="s">
        <v>934</v>
      </c>
      <c r="B1469" s="16">
        <v>26500000</v>
      </c>
    </row>
    <row r="1470" spans="1:2" ht="14.4" x14ac:dyDescent="0.3">
      <c r="A1470" s="1" t="s">
        <v>933</v>
      </c>
      <c r="B1470" s="16">
        <v>19000000</v>
      </c>
    </row>
    <row r="1471" spans="1:2" ht="14.4" x14ac:dyDescent="0.3">
      <c r="A1471" s="1" t="s">
        <v>932</v>
      </c>
      <c r="B1471" s="16">
        <v>6800000</v>
      </c>
    </row>
    <row r="1472" spans="1:2" ht="14.4" x14ac:dyDescent="0.3">
      <c r="A1472" s="1" t="s">
        <v>931</v>
      </c>
      <c r="B1472" s="16">
        <v>6000000</v>
      </c>
    </row>
    <row r="1473" spans="1:2" ht="14.4" x14ac:dyDescent="0.3">
      <c r="A1473" s="1" t="s">
        <v>930</v>
      </c>
      <c r="B1473" s="16">
        <v>12600000</v>
      </c>
    </row>
    <row r="1474" spans="1:2" ht="14.4" x14ac:dyDescent="0.3">
      <c r="A1474" s="1" t="s">
        <v>929</v>
      </c>
      <c r="B1474" s="16">
        <v>21000000</v>
      </c>
    </row>
    <row r="1475" spans="1:2" ht="14.4" x14ac:dyDescent="0.3">
      <c r="A1475" s="1" t="s">
        <v>928</v>
      </c>
      <c r="B1475" s="16">
        <v>11000000</v>
      </c>
    </row>
    <row r="1476" spans="1:2" ht="14.4" x14ac:dyDescent="0.3">
      <c r="A1476" s="1" t="s">
        <v>927</v>
      </c>
      <c r="B1476" s="16">
        <v>12500000</v>
      </c>
    </row>
    <row r="1477" spans="1:2" ht="14.4" x14ac:dyDescent="0.3">
      <c r="A1477" s="1" t="s">
        <v>926</v>
      </c>
      <c r="B1477" s="16">
        <v>10000000</v>
      </c>
    </row>
    <row r="1478" spans="1:2" ht="14.4" x14ac:dyDescent="0.3">
      <c r="A1478" s="1" t="s">
        <v>925</v>
      </c>
      <c r="B1478" s="16">
        <v>5900000</v>
      </c>
    </row>
    <row r="1479" spans="1:2" ht="14.4" x14ac:dyDescent="0.3">
      <c r="A1479" s="1" t="s">
        <v>924</v>
      </c>
      <c r="B1479" s="16">
        <v>13000000</v>
      </c>
    </row>
    <row r="1480" spans="1:2" ht="14.4" x14ac:dyDescent="0.3">
      <c r="A1480" s="1" t="s">
        <v>923</v>
      </c>
      <c r="B1480" s="16">
        <v>14000000</v>
      </c>
    </row>
    <row r="1481" spans="1:2" ht="14.4" x14ac:dyDescent="0.3">
      <c r="A1481" s="1" t="s">
        <v>922</v>
      </c>
      <c r="B1481" s="16">
        <v>4600000</v>
      </c>
    </row>
    <row r="1482" spans="1:2" ht="14.4" x14ac:dyDescent="0.3">
      <c r="A1482" s="1" t="s">
        <v>921</v>
      </c>
      <c r="B1482" s="16">
        <v>6200000</v>
      </c>
    </row>
    <row r="1483" spans="1:2" ht="14.4" x14ac:dyDescent="0.3">
      <c r="A1483" s="1" t="s">
        <v>920</v>
      </c>
      <c r="B1483" s="16">
        <v>6700000</v>
      </c>
    </row>
    <row r="1484" spans="1:2" ht="14.4" x14ac:dyDescent="0.3">
      <c r="A1484" s="1" t="s">
        <v>919</v>
      </c>
      <c r="B1484" s="16">
        <v>15000000</v>
      </c>
    </row>
    <row r="1485" spans="1:2" ht="14.4" x14ac:dyDescent="0.3">
      <c r="A1485" s="1" t="s">
        <v>918</v>
      </c>
      <c r="B1485" s="16">
        <v>10200000</v>
      </c>
    </row>
    <row r="1486" spans="1:2" ht="14.4" x14ac:dyDescent="0.3">
      <c r="A1486" s="1" t="s">
        <v>917</v>
      </c>
      <c r="B1486" s="16">
        <v>11000000</v>
      </c>
    </row>
    <row r="1487" spans="1:2" ht="14.4" x14ac:dyDescent="0.3">
      <c r="A1487" s="1" t="s">
        <v>916</v>
      </c>
      <c r="B1487" s="16">
        <v>22000000</v>
      </c>
    </row>
    <row r="1488" spans="1:2" ht="14.4" x14ac:dyDescent="0.3">
      <c r="A1488" s="1" t="s">
        <v>915</v>
      </c>
      <c r="B1488" s="16">
        <v>12000000</v>
      </c>
    </row>
    <row r="1489" spans="1:2" ht="14.4" x14ac:dyDescent="0.3">
      <c r="A1489" s="1" t="s">
        <v>914</v>
      </c>
      <c r="B1489" s="16">
        <v>6000000</v>
      </c>
    </row>
    <row r="1490" spans="1:2" ht="14.4" x14ac:dyDescent="0.3">
      <c r="A1490" s="1" t="s">
        <v>913</v>
      </c>
      <c r="B1490" s="16">
        <v>6100000</v>
      </c>
    </row>
    <row r="1491" spans="1:2" ht="14.4" x14ac:dyDescent="0.3">
      <c r="A1491" s="1" t="s">
        <v>912</v>
      </c>
      <c r="B1491" s="16">
        <v>22930500</v>
      </c>
    </row>
    <row r="1492" spans="1:2" ht="14.4" x14ac:dyDescent="0.3">
      <c r="A1492" s="1" t="s">
        <v>911</v>
      </c>
      <c r="B1492" s="16">
        <v>13300000</v>
      </c>
    </row>
    <row r="1493" spans="1:2" ht="14.4" x14ac:dyDescent="0.3">
      <c r="A1493" s="1" t="s">
        <v>910</v>
      </c>
      <c r="B1493" s="16">
        <v>12300000</v>
      </c>
    </row>
    <row r="1494" spans="1:2" ht="14.4" x14ac:dyDescent="0.3">
      <c r="A1494" s="1" t="s">
        <v>909</v>
      </c>
      <c r="B1494" s="16">
        <v>18000000</v>
      </c>
    </row>
    <row r="1495" spans="1:2" ht="14.4" x14ac:dyDescent="0.3">
      <c r="A1495" s="1" t="s">
        <v>908</v>
      </c>
      <c r="B1495" s="16">
        <v>6600000</v>
      </c>
    </row>
    <row r="1496" spans="1:2" ht="14.4" x14ac:dyDescent="0.3">
      <c r="A1496" s="1" t="s">
        <v>907</v>
      </c>
      <c r="B1496" s="16">
        <v>14200000</v>
      </c>
    </row>
    <row r="1497" spans="1:2" ht="14.4" x14ac:dyDescent="0.3">
      <c r="A1497" s="1" t="s">
        <v>906</v>
      </c>
      <c r="B1497" s="16">
        <v>8950000</v>
      </c>
    </row>
    <row r="1498" spans="1:2" ht="14.4" x14ac:dyDescent="0.3">
      <c r="A1498" s="1" t="s">
        <v>905</v>
      </c>
      <c r="B1498" s="16">
        <v>6600000</v>
      </c>
    </row>
    <row r="1499" spans="1:2" ht="14.4" x14ac:dyDescent="0.3">
      <c r="A1499" s="1" t="s">
        <v>904</v>
      </c>
      <c r="B1499" s="16">
        <v>6000000</v>
      </c>
    </row>
    <row r="1500" spans="1:2" ht="14.4" x14ac:dyDescent="0.3">
      <c r="A1500" s="1" t="s">
        <v>903</v>
      </c>
      <c r="B1500" s="16">
        <v>5700000</v>
      </c>
    </row>
    <row r="1501" spans="1:2" ht="14.4" x14ac:dyDescent="0.3">
      <c r="A1501" s="1" t="s">
        <v>902</v>
      </c>
      <c r="B1501" s="16">
        <v>18500000</v>
      </c>
    </row>
    <row r="1502" spans="1:2" ht="14.4" x14ac:dyDescent="0.3">
      <c r="A1502" s="1" t="s">
        <v>901</v>
      </c>
      <c r="B1502" s="16">
        <v>10700000</v>
      </c>
    </row>
    <row r="1503" spans="1:2" ht="14.4" x14ac:dyDescent="0.3">
      <c r="A1503" s="1" t="s">
        <v>900</v>
      </c>
      <c r="B1503" s="16">
        <v>6300000</v>
      </c>
    </row>
    <row r="1504" spans="1:2" ht="14.4" x14ac:dyDescent="0.3">
      <c r="A1504" s="1" t="s">
        <v>899</v>
      </c>
      <c r="B1504" s="16">
        <v>9200000</v>
      </c>
    </row>
    <row r="1505" spans="1:2" ht="14.4" x14ac:dyDescent="0.3">
      <c r="A1505" s="1" t="s">
        <v>898</v>
      </c>
      <c r="B1505" s="16">
        <v>14100000</v>
      </c>
    </row>
    <row r="1506" spans="1:2" ht="14.4" x14ac:dyDescent="0.3">
      <c r="A1506" s="1" t="s">
        <v>897</v>
      </c>
      <c r="B1506" s="16">
        <v>8500000</v>
      </c>
    </row>
    <row r="1507" spans="1:2" ht="14.4" x14ac:dyDescent="0.3">
      <c r="A1507" s="1" t="s">
        <v>896</v>
      </c>
      <c r="B1507" s="16">
        <v>10700000</v>
      </c>
    </row>
    <row r="1508" spans="1:2" ht="14.4" x14ac:dyDescent="0.3">
      <c r="A1508" s="1" t="s">
        <v>895</v>
      </c>
      <c r="B1508" s="16">
        <v>7600000</v>
      </c>
    </row>
    <row r="1509" spans="1:2" ht="14.4" x14ac:dyDescent="0.3">
      <c r="A1509" s="1" t="s">
        <v>894</v>
      </c>
      <c r="B1509" s="16">
        <v>7500000</v>
      </c>
    </row>
    <row r="1510" spans="1:2" ht="14.4" x14ac:dyDescent="0.3">
      <c r="A1510" s="1" t="s">
        <v>892</v>
      </c>
      <c r="B1510" s="16">
        <v>18000000</v>
      </c>
    </row>
    <row r="1511" spans="1:2" ht="14.4" x14ac:dyDescent="0.3">
      <c r="A1511" s="1" t="s">
        <v>891</v>
      </c>
      <c r="B1511" s="16">
        <v>25000000</v>
      </c>
    </row>
    <row r="1512" spans="1:2" ht="14.4" x14ac:dyDescent="0.3">
      <c r="A1512" s="1" t="s">
        <v>890</v>
      </c>
      <c r="B1512" s="16">
        <v>8800000</v>
      </c>
    </row>
    <row r="1513" spans="1:2" ht="14.4" x14ac:dyDescent="0.3">
      <c r="A1513" s="1" t="s">
        <v>889</v>
      </c>
      <c r="B1513" s="16">
        <v>12990000</v>
      </c>
    </row>
    <row r="1514" spans="1:2" ht="14.4" x14ac:dyDescent="0.3">
      <c r="A1514" s="1" t="s">
        <v>888</v>
      </c>
      <c r="B1514" s="16">
        <v>19000000</v>
      </c>
    </row>
    <row r="1515" spans="1:2" ht="14.4" x14ac:dyDescent="0.3">
      <c r="A1515" s="1" t="s">
        <v>887</v>
      </c>
      <c r="B1515" s="16">
        <v>15000000</v>
      </c>
    </row>
    <row r="1516" spans="1:2" ht="14.4" x14ac:dyDescent="0.3">
      <c r="A1516" s="1" t="s">
        <v>886</v>
      </c>
      <c r="B1516" s="16">
        <v>21700000</v>
      </c>
    </row>
    <row r="1517" spans="1:2" ht="14.4" x14ac:dyDescent="0.3">
      <c r="A1517" s="1" t="s">
        <v>885</v>
      </c>
      <c r="B1517" s="16">
        <v>16200000</v>
      </c>
    </row>
    <row r="1518" spans="1:2" ht="14.4" x14ac:dyDescent="0.3">
      <c r="A1518" s="1" t="s">
        <v>884</v>
      </c>
      <c r="B1518" s="16">
        <v>16200000</v>
      </c>
    </row>
    <row r="1519" spans="1:2" ht="14.4" x14ac:dyDescent="0.3">
      <c r="A1519" s="1" t="s">
        <v>883</v>
      </c>
      <c r="B1519" s="16">
        <v>15800000</v>
      </c>
    </row>
    <row r="1520" spans="1:2" ht="14.4" x14ac:dyDescent="0.3">
      <c r="A1520" s="1" t="s">
        <v>882</v>
      </c>
      <c r="B1520" s="16">
        <v>16200000</v>
      </c>
    </row>
    <row r="1521" spans="1:2" ht="14.4" x14ac:dyDescent="0.3">
      <c r="A1521" s="1" t="s">
        <v>881</v>
      </c>
      <c r="B1521" s="16">
        <v>3000000</v>
      </c>
    </row>
    <row r="1522" spans="1:2" ht="14.4" x14ac:dyDescent="0.3">
      <c r="A1522" s="1" t="s">
        <v>880</v>
      </c>
      <c r="B1522" s="16">
        <v>16000000</v>
      </c>
    </row>
    <row r="1523" spans="1:2" ht="14.4" x14ac:dyDescent="0.3">
      <c r="A1523" s="1" t="s">
        <v>879</v>
      </c>
      <c r="B1523" s="16">
        <v>25500000</v>
      </c>
    </row>
    <row r="1524" spans="1:2" ht="14.4" x14ac:dyDescent="0.3">
      <c r="A1524" s="1" t="s">
        <v>227</v>
      </c>
      <c r="B1524" s="16">
        <v>17500000</v>
      </c>
    </row>
    <row r="1525" spans="1:2" ht="14.4" x14ac:dyDescent="0.3">
      <c r="A1525" s="1" t="s">
        <v>878</v>
      </c>
      <c r="B1525" s="16">
        <v>17800000</v>
      </c>
    </row>
    <row r="1526" spans="1:2" ht="14.4" x14ac:dyDescent="0.3">
      <c r="A1526" s="1" t="s">
        <v>877</v>
      </c>
      <c r="B1526" s="16">
        <v>6600000</v>
      </c>
    </row>
    <row r="1527" spans="1:2" ht="14.4" x14ac:dyDescent="0.3">
      <c r="A1527" s="1" t="s">
        <v>876</v>
      </c>
      <c r="B1527" s="16">
        <v>4800000</v>
      </c>
    </row>
    <row r="1528" spans="1:2" ht="14.4" x14ac:dyDescent="0.3">
      <c r="A1528" s="1" t="s">
        <v>875</v>
      </c>
      <c r="B1528" s="16">
        <v>28300000</v>
      </c>
    </row>
    <row r="1529" spans="1:2" ht="14.4" x14ac:dyDescent="0.3">
      <c r="A1529" s="1" t="s">
        <v>874</v>
      </c>
      <c r="B1529" s="16">
        <v>7000000</v>
      </c>
    </row>
    <row r="1530" spans="1:2" ht="14.4" x14ac:dyDescent="0.3">
      <c r="A1530" s="1" t="s">
        <v>59</v>
      </c>
      <c r="B1530" s="16">
        <v>9300000</v>
      </c>
    </row>
    <row r="1531" spans="1:2" ht="14.4" x14ac:dyDescent="0.3">
      <c r="A1531" s="1" t="s">
        <v>873</v>
      </c>
      <c r="B1531" s="16">
        <v>14800000</v>
      </c>
    </row>
    <row r="1532" spans="1:2" ht="14.4" x14ac:dyDescent="0.3">
      <c r="A1532" s="1" t="s">
        <v>872</v>
      </c>
      <c r="B1532" s="16">
        <v>18000000</v>
      </c>
    </row>
    <row r="1533" spans="1:2" ht="14.4" x14ac:dyDescent="0.3">
      <c r="A1533" s="1" t="s">
        <v>871</v>
      </c>
      <c r="B1533" s="16">
        <v>9500000</v>
      </c>
    </row>
    <row r="1534" spans="1:2" ht="14.4" x14ac:dyDescent="0.3">
      <c r="A1534" s="1" t="s">
        <v>870</v>
      </c>
      <c r="B1534" s="16">
        <v>17000000</v>
      </c>
    </row>
    <row r="1535" spans="1:2" ht="14.4" x14ac:dyDescent="0.3">
      <c r="A1535" s="1" t="s">
        <v>869</v>
      </c>
      <c r="B1535" s="16">
        <v>5000000</v>
      </c>
    </row>
    <row r="1536" spans="1:2" ht="14.4" x14ac:dyDescent="0.3">
      <c r="A1536" s="1" t="s">
        <v>868</v>
      </c>
      <c r="B1536" s="16">
        <v>10000000</v>
      </c>
    </row>
    <row r="1537" spans="1:2" ht="14.4" x14ac:dyDescent="0.3">
      <c r="A1537" s="1" t="s">
        <v>867</v>
      </c>
      <c r="B1537" s="16">
        <v>15200000</v>
      </c>
    </row>
    <row r="1538" spans="1:2" ht="14.4" x14ac:dyDescent="0.3">
      <c r="A1538" s="1" t="s">
        <v>866</v>
      </c>
      <c r="B1538" s="16">
        <v>44000000</v>
      </c>
    </row>
    <row r="1539" spans="1:2" ht="14.4" x14ac:dyDescent="0.3">
      <c r="A1539" s="1" t="s">
        <v>865</v>
      </c>
      <c r="B1539" s="16">
        <v>8000000</v>
      </c>
    </row>
    <row r="1540" spans="1:2" ht="14.4" x14ac:dyDescent="0.3">
      <c r="A1540" s="1" t="s">
        <v>864</v>
      </c>
      <c r="B1540" s="16">
        <v>17500000</v>
      </c>
    </row>
    <row r="1541" spans="1:2" ht="14.4" x14ac:dyDescent="0.3">
      <c r="A1541" s="1" t="s">
        <v>863</v>
      </c>
      <c r="B1541" s="16">
        <v>10300000</v>
      </c>
    </row>
    <row r="1542" spans="1:2" ht="14.4" x14ac:dyDescent="0.3">
      <c r="A1542" s="1" t="s">
        <v>862</v>
      </c>
      <c r="B1542" s="16">
        <v>5800000</v>
      </c>
    </row>
    <row r="1543" spans="1:2" ht="14.4" x14ac:dyDescent="0.3">
      <c r="A1543" s="1" t="s">
        <v>861</v>
      </c>
      <c r="B1543" s="16">
        <v>29500000</v>
      </c>
    </row>
    <row r="1544" spans="1:2" ht="14.4" x14ac:dyDescent="0.3">
      <c r="A1544" s="1" t="s">
        <v>860</v>
      </c>
      <c r="B1544" s="16">
        <v>20932100</v>
      </c>
    </row>
    <row r="1545" spans="1:2" ht="14.4" x14ac:dyDescent="0.3">
      <c r="A1545" s="1" t="s">
        <v>859</v>
      </c>
      <c r="B1545" s="16">
        <v>4900000</v>
      </c>
    </row>
    <row r="1546" spans="1:2" ht="14.4" x14ac:dyDescent="0.3">
      <c r="A1546" s="1" t="s">
        <v>858</v>
      </c>
      <c r="B1546" s="16">
        <v>7000000</v>
      </c>
    </row>
    <row r="1547" spans="1:2" ht="14.4" x14ac:dyDescent="0.3">
      <c r="A1547" s="1" t="s">
        <v>857</v>
      </c>
      <c r="B1547" s="16">
        <v>11000000</v>
      </c>
    </row>
    <row r="1548" spans="1:2" ht="14.4" x14ac:dyDescent="0.3">
      <c r="A1548" s="1" t="s">
        <v>856</v>
      </c>
      <c r="B1548" s="16">
        <v>10200000</v>
      </c>
    </row>
    <row r="1549" spans="1:2" ht="14.4" x14ac:dyDescent="0.3">
      <c r="A1549" s="1" t="s">
        <v>855</v>
      </c>
      <c r="B1549" s="16">
        <v>10150000</v>
      </c>
    </row>
    <row r="1550" spans="1:2" ht="14.4" x14ac:dyDescent="0.3">
      <c r="A1550" s="1" t="s">
        <v>854</v>
      </c>
      <c r="B1550" s="16">
        <v>19000000</v>
      </c>
    </row>
    <row r="1551" spans="1:2" ht="14.4" x14ac:dyDescent="0.3">
      <c r="A1551" s="1" t="s">
        <v>853</v>
      </c>
      <c r="B1551" s="16">
        <v>10750000</v>
      </c>
    </row>
    <row r="1552" spans="1:2" ht="14.4" x14ac:dyDescent="0.3">
      <c r="A1552" s="1" t="s">
        <v>852</v>
      </c>
      <c r="B1552" s="16">
        <v>12000000</v>
      </c>
    </row>
    <row r="1553" spans="1:2" ht="14.4" x14ac:dyDescent="0.3">
      <c r="A1553" s="1" t="s">
        <v>851</v>
      </c>
      <c r="B1553" s="16">
        <v>15000000</v>
      </c>
    </row>
    <row r="1554" spans="1:2" ht="14.4" x14ac:dyDescent="0.3">
      <c r="A1554" s="1" t="s">
        <v>850</v>
      </c>
      <c r="B1554" s="16">
        <v>11000000</v>
      </c>
    </row>
    <row r="1555" spans="1:2" ht="14.4" x14ac:dyDescent="0.3">
      <c r="A1555" s="1" t="s">
        <v>849</v>
      </c>
      <c r="B1555" s="16">
        <v>8100000</v>
      </c>
    </row>
    <row r="1556" spans="1:2" ht="14.4" x14ac:dyDescent="0.3">
      <c r="A1556" s="1" t="s">
        <v>848</v>
      </c>
      <c r="B1556" s="16">
        <v>13000000</v>
      </c>
    </row>
    <row r="1557" spans="1:2" ht="14.4" x14ac:dyDescent="0.3">
      <c r="A1557" s="1" t="s">
        <v>847</v>
      </c>
      <c r="B1557" s="16">
        <v>11000000</v>
      </c>
    </row>
    <row r="1558" spans="1:2" ht="14.4" x14ac:dyDescent="0.3">
      <c r="A1558" s="1" t="s">
        <v>119</v>
      </c>
      <c r="B1558" s="16">
        <v>18000000</v>
      </c>
    </row>
    <row r="1559" spans="1:2" ht="14.4" x14ac:dyDescent="0.3">
      <c r="A1559" s="1" t="s">
        <v>846</v>
      </c>
      <c r="B1559" s="16">
        <v>10500000</v>
      </c>
    </row>
    <row r="1560" spans="1:2" ht="14.4" x14ac:dyDescent="0.3">
      <c r="A1560" s="1" t="s">
        <v>845</v>
      </c>
      <c r="B1560" s="16">
        <v>10500000</v>
      </c>
    </row>
    <row r="1561" spans="1:2" ht="14.4" x14ac:dyDescent="0.3">
      <c r="A1561" s="1" t="s">
        <v>844</v>
      </c>
      <c r="B1561" s="16">
        <v>8600000</v>
      </c>
    </row>
    <row r="1562" spans="1:2" ht="14.4" x14ac:dyDescent="0.3">
      <c r="A1562" s="1" t="s">
        <v>843</v>
      </c>
      <c r="B1562" s="16">
        <v>19000000</v>
      </c>
    </row>
    <row r="1563" spans="1:2" ht="14.4" x14ac:dyDescent="0.3">
      <c r="A1563" s="1" t="s">
        <v>842</v>
      </c>
      <c r="B1563" s="16">
        <v>16000000</v>
      </c>
    </row>
    <row r="1564" spans="1:2" ht="14.4" x14ac:dyDescent="0.3">
      <c r="A1564" s="1" t="s">
        <v>841</v>
      </c>
      <c r="B1564" s="16">
        <v>7500000</v>
      </c>
    </row>
    <row r="1565" spans="1:2" ht="14.4" x14ac:dyDescent="0.3">
      <c r="A1565" s="1" t="s">
        <v>840</v>
      </c>
      <c r="B1565" s="16">
        <v>8500000</v>
      </c>
    </row>
    <row r="1566" spans="1:2" ht="14.4" x14ac:dyDescent="0.3">
      <c r="A1566" s="1" t="s">
        <v>839</v>
      </c>
      <c r="B1566" s="16">
        <v>6700000</v>
      </c>
    </row>
    <row r="1567" spans="1:2" ht="14.4" x14ac:dyDescent="0.3">
      <c r="A1567" s="1" t="s">
        <v>838</v>
      </c>
      <c r="B1567" s="16">
        <v>6500000</v>
      </c>
    </row>
    <row r="1568" spans="1:2" ht="14.4" x14ac:dyDescent="0.3">
      <c r="A1568" s="1" t="s">
        <v>837</v>
      </c>
      <c r="B1568" s="16">
        <v>6800000</v>
      </c>
    </row>
    <row r="1569" spans="1:2" ht="14.4" x14ac:dyDescent="0.3">
      <c r="A1569" s="1" t="s">
        <v>836</v>
      </c>
      <c r="B1569" s="16">
        <v>8500000</v>
      </c>
    </row>
    <row r="1570" spans="1:2" ht="14.4" x14ac:dyDescent="0.3">
      <c r="A1570" s="1" t="s">
        <v>835</v>
      </c>
      <c r="B1570" s="16">
        <v>10500000</v>
      </c>
    </row>
    <row r="1571" spans="1:2" ht="14.4" x14ac:dyDescent="0.3">
      <c r="A1571" s="1" t="s">
        <v>834</v>
      </c>
      <c r="B1571" s="16">
        <v>7200000</v>
      </c>
    </row>
    <row r="1572" spans="1:2" ht="14.4" x14ac:dyDescent="0.3">
      <c r="A1572" s="1" t="s">
        <v>833</v>
      </c>
      <c r="B1572" s="16">
        <v>11000000</v>
      </c>
    </row>
    <row r="1573" spans="1:2" ht="14.4" x14ac:dyDescent="0.3">
      <c r="A1573" s="1" t="s">
        <v>832</v>
      </c>
      <c r="B1573" s="16">
        <v>11000000</v>
      </c>
    </row>
    <row r="1574" spans="1:2" ht="14.4" x14ac:dyDescent="0.3">
      <c r="A1574" s="1" t="s">
        <v>831</v>
      </c>
      <c r="B1574" s="16">
        <v>6850000</v>
      </c>
    </row>
    <row r="1575" spans="1:2" ht="14.4" x14ac:dyDescent="0.3">
      <c r="A1575" s="1" t="s">
        <v>830</v>
      </c>
      <c r="B1575" s="16">
        <v>7000000</v>
      </c>
    </row>
    <row r="1576" spans="1:2" ht="14.4" x14ac:dyDescent="0.3">
      <c r="A1576" s="1" t="s">
        <v>514</v>
      </c>
      <c r="B1576" s="16">
        <v>6000000</v>
      </c>
    </row>
    <row r="1577" spans="1:2" ht="14.4" x14ac:dyDescent="0.3">
      <c r="A1577" s="1" t="s">
        <v>829</v>
      </c>
      <c r="B1577" s="16">
        <v>7200000</v>
      </c>
    </row>
    <row r="1578" spans="1:2" ht="14.4" x14ac:dyDescent="0.3">
      <c r="A1578" s="1" t="s">
        <v>828</v>
      </c>
      <c r="B1578" s="16">
        <v>14500000</v>
      </c>
    </row>
    <row r="1579" spans="1:2" ht="14.4" x14ac:dyDescent="0.3">
      <c r="A1579" s="1" t="s">
        <v>827</v>
      </c>
      <c r="B1579" s="16">
        <v>7200000</v>
      </c>
    </row>
    <row r="1580" spans="1:2" ht="14.4" x14ac:dyDescent="0.3">
      <c r="A1580" s="1" t="s">
        <v>826</v>
      </c>
      <c r="B1580" s="16">
        <v>8800000</v>
      </c>
    </row>
    <row r="1581" spans="1:2" ht="14.4" x14ac:dyDescent="0.3">
      <c r="A1581" s="1" t="s">
        <v>825</v>
      </c>
      <c r="B1581" s="16">
        <v>22200000</v>
      </c>
    </row>
    <row r="1582" spans="1:2" ht="14.4" x14ac:dyDescent="0.3">
      <c r="A1582" s="1" t="s">
        <v>824</v>
      </c>
      <c r="B1582" s="16">
        <v>10500000</v>
      </c>
    </row>
    <row r="1583" spans="1:2" ht="14.4" x14ac:dyDescent="0.3">
      <c r="A1583" s="1" t="s">
        <v>823</v>
      </c>
      <c r="B1583" s="16">
        <v>10200000</v>
      </c>
    </row>
    <row r="1584" spans="1:2" ht="14.4" x14ac:dyDescent="0.3">
      <c r="A1584" s="1" t="s">
        <v>822</v>
      </c>
      <c r="B1584" s="16">
        <v>10500000</v>
      </c>
    </row>
    <row r="1585" spans="1:2" ht="14.4" x14ac:dyDescent="0.3">
      <c r="A1585" s="1" t="s">
        <v>633</v>
      </c>
      <c r="B1585" s="16">
        <v>8500000</v>
      </c>
    </row>
    <row r="1586" spans="1:2" ht="14.4" x14ac:dyDescent="0.3">
      <c r="A1586" s="1" t="s">
        <v>821</v>
      </c>
      <c r="B1586" s="16">
        <v>7500000</v>
      </c>
    </row>
    <row r="1587" spans="1:2" ht="14.4" x14ac:dyDescent="0.3">
      <c r="A1587" s="1" t="s">
        <v>820</v>
      </c>
      <c r="B1587" s="16">
        <v>26000000</v>
      </c>
    </row>
    <row r="1588" spans="1:2" ht="14.4" x14ac:dyDescent="0.3">
      <c r="A1588" s="1" t="s">
        <v>819</v>
      </c>
      <c r="B1588" s="16">
        <v>23000000</v>
      </c>
    </row>
    <row r="1589" spans="1:2" ht="14.4" x14ac:dyDescent="0.3">
      <c r="A1589" s="1" t="s">
        <v>817</v>
      </c>
      <c r="B1589" s="16">
        <v>16500000</v>
      </c>
    </row>
    <row r="1590" spans="1:2" ht="14.4" x14ac:dyDescent="0.3">
      <c r="A1590" s="1" t="s">
        <v>818</v>
      </c>
      <c r="B1590" s="16">
        <v>7000000</v>
      </c>
    </row>
    <row r="1591" spans="1:2" ht="14.4" x14ac:dyDescent="0.3">
      <c r="A1591" s="1" t="s">
        <v>816</v>
      </c>
      <c r="B1591" s="16">
        <v>7300000</v>
      </c>
    </row>
    <row r="1592" spans="1:2" ht="14.4" x14ac:dyDescent="0.3">
      <c r="A1592" s="1" t="s">
        <v>815</v>
      </c>
      <c r="B1592" s="16">
        <v>12500000</v>
      </c>
    </row>
    <row r="1593" spans="1:2" ht="14.4" x14ac:dyDescent="0.3">
      <c r="A1593" s="1" t="s">
        <v>814</v>
      </c>
      <c r="B1593" s="16">
        <v>20500000</v>
      </c>
    </row>
    <row r="1594" spans="1:2" ht="14.4" x14ac:dyDescent="0.3">
      <c r="A1594" s="1" t="s">
        <v>812</v>
      </c>
      <c r="B1594" s="16">
        <v>12500000</v>
      </c>
    </row>
    <row r="1595" spans="1:2" ht="14.4" x14ac:dyDescent="0.3">
      <c r="A1595" s="1" t="s">
        <v>813</v>
      </c>
      <c r="B1595" s="16">
        <v>7300000</v>
      </c>
    </row>
    <row r="1596" spans="1:2" ht="14.4" x14ac:dyDescent="0.3">
      <c r="A1596" s="1" t="s">
        <v>811</v>
      </c>
      <c r="B1596" s="16">
        <v>26000000</v>
      </c>
    </row>
    <row r="1597" spans="1:2" ht="14.4" x14ac:dyDescent="0.3">
      <c r="A1597" s="1" t="s">
        <v>810</v>
      </c>
      <c r="B1597" s="16">
        <v>5000000</v>
      </c>
    </row>
    <row r="1598" spans="1:2" ht="14.4" x14ac:dyDescent="0.3">
      <c r="A1598" s="1" t="s">
        <v>809</v>
      </c>
      <c r="B1598" s="16">
        <v>6100000</v>
      </c>
    </row>
    <row r="1599" spans="1:2" ht="14.4" x14ac:dyDescent="0.3">
      <c r="A1599" s="1" t="s">
        <v>656</v>
      </c>
      <c r="B1599" s="16">
        <v>16000000</v>
      </c>
    </row>
    <row r="1600" spans="1:2" ht="14.4" x14ac:dyDescent="0.3">
      <c r="A1600" s="1" t="s">
        <v>808</v>
      </c>
      <c r="B1600" s="16">
        <v>19500000</v>
      </c>
    </row>
    <row r="1601" spans="1:2" ht="14.4" x14ac:dyDescent="0.3">
      <c r="A1601" s="1" t="s">
        <v>807</v>
      </c>
      <c r="B1601" s="16">
        <v>7000000</v>
      </c>
    </row>
    <row r="1602" spans="1:2" ht="14.4" x14ac:dyDescent="0.3">
      <c r="A1602" s="1" t="s">
        <v>806</v>
      </c>
      <c r="B1602" s="16">
        <v>7400000</v>
      </c>
    </row>
    <row r="1603" spans="1:2" ht="14.4" x14ac:dyDescent="0.3">
      <c r="A1603" s="1" t="s">
        <v>805</v>
      </c>
      <c r="B1603" s="16">
        <v>7000000</v>
      </c>
    </row>
    <row r="1604" spans="1:2" ht="14.4" x14ac:dyDescent="0.3">
      <c r="A1604" s="1" t="s">
        <v>804</v>
      </c>
      <c r="B1604" s="16">
        <v>16000000</v>
      </c>
    </row>
    <row r="1605" spans="1:2" ht="14.4" x14ac:dyDescent="0.3">
      <c r="A1605" s="1" t="s">
        <v>803</v>
      </c>
      <c r="B1605" s="16">
        <v>9500000</v>
      </c>
    </row>
    <row r="1606" spans="1:2" ht="14.4" x14ac:dyDescent="0.3">
      <c r="A1606" s="1" t="s">
        <v>802</v>
      </c>
      <c r="B1606" s="16">
        <v>9000000</v>
      </c>
    </row>
    <row r="1607" spans="1:2" ht="14.4" x14ac:dyDescent="0.3">
      <c r="A1607" s="1" t="s">
        <v>801</v>
      </c>
      <c r="B1607" s="16">
        <v>8500000</v>
      </c>
    </row>
    <row r="1608" spans="1:2" ht="14.4" x14ac:dyDescent="0.3">
      <c r="A1608" s="1" t="s">
        <v>294</v>
      </c>
      <c r="B1608" s="16">
        <v>11000000</v>
      </c>
    </row>
    <row r="1609" spans="1:2" ht="14.4" x14ac:dyDescent="0.3">
      <c r="A1609" s="1" t="s">
        <v>800</v>
      </c>
      <c r="B1609" s="16">
        <v>16000000</v>
      </c>
    </row>
    <row r="1610" spans="1:2" ht="14.4" x14ac:dyDescent="0.3">
      <c r="A1610" s="1" t="s">
        <v>799</v>
      </c>
      <c r="B1610" s="16">
        <v>9400000</v>
      </c>
    </row>
    <row r="1611" spans="1:2" ht="14.4" x14ac:dyDescent="0.3">
      <c r="A1611" s="1" t="s">
        <v>798</v>
      </c>
      <c r="B1611" s="16">
        <v>14500000</v>
      </c>
    </row>
    <row r="1612" spans="1:2" ht="14.4" x14ac:dyDescent="0.3">
      <c r="A1612" s="1" t="s">
        <v>797</v>
      </c>
      <c r="B1612" s="16">
        <v>17000000</v>
      </c>
    </row>
    <row r="1613" spans="1:2" ht="14.4" x14ac:dyDescent="0.3">
      <c r="A1613" s="1" t="s">
        <v>796</v>
      </c>
      <c r="B1613" s="16">
        <v>8000000</v>
      </c>
    </row>
    <row r="1614" spans="1:2" ht="14.4" x14ac:dyDescent="0.3">
      <c r="A1614" s="1" t="s">
        <v>795</v>
      </c>
      <c r="B1614" s="16">
        <v>11000000</v>
      </c>
    </row>
    <row r="1615" spans="1:2" ht="14.4" x14ac:dyDescent="0.3">
      <c r="A1615" s="1" t="s">
        <v>794</v>
      </c>
      <c r="B1615" s="16">
        <v>9000000</v>
      </c>
    </row>
    <row r="1616" spans="1:2" ht="14.4" x14ac:dyDescent="0.3">
      <c r="A1616" s="1" t="s">
        <v>793</v>
      </c>
      <c r="B1616" s="16">
        <v>15000000</v>
      </c>
    </row>
    <row r="1617" spans="1:2" ht="14.4" x14ac:dyDescent="0.3">
      <c r="A1617" s="1" t="s">
        <v>792</v>
      </c>
      <c r="B1617" s="16">
        <v>6500000</v>
      </c>
    </row>
    <row r="1618" spans="1:2" ht="14.4" x14ac:dyDescent="0.3">
      <c r="A1618" s="1" t="s">
        <v>791</v>
      </c>
      <c r="B1618" s="16">
        <v>5200000</v>
      </c>
    </row>
    <row r="1619" spans="1:2" ht="14.4" x14ac:dyDescent="0.3">
      <c r="A1619" s="1" t="s">
        <v>790</v>
      </c>
      <c r="B1619" s="16">
        <v>8650000</v>
      </c>
    </row>
    <row r="1620" spans="1:2" ht="14.4" x14ac:dyDescent="0.3">
      <c r="A1620" s="1" t="s">
        <v>51</v>
      </c>
      <c r="B1620" s="16">
        <v>50000000</v>
      </c>
    </row>
    <row r="1621" spans="1:2" ht="14.4" x14ac:dyDescent="0.3">
      <c r="A1621" s="1" t="s">
        <v>789</v>
      </c>
      <c r="B1621" s="16">
        <v>16500000</v>
      </c>
    </row>
    <row r="1622" spans="1:2" ht="14.4" x14ac:dyDescent="0.3">
      <c r="A1622" s="1" t="s">
        <v>788</v>
      </c>
      <c r="B1622" s="16">
        <v>8150000</v>
      </c>
    </row>
    <row r="1623" spans="1:2" ht="14.4" x14ac:dyDescent="0.3">
      <c r="A1623" s="1" t="s">
        <v>787</v>
      </c>
      <c r="B1623" s="16">
        <v>10350000</v>
      </c>
    </row>
    <row r="1624" spans="1:2" ht="14.4" x14ac:dyDescent="0.3">
      <c r="A1624" s="1" t="s">
        <v>769</v>
      </c>
      <c r="B1624" s="16">
        <v>15100000</v>
      </c>
    </row>
    <row r="1625" spans="1:2" ht="14.4" x14ac:dyDescent="0.3">
      <c r="A1625" s="1" t="s">
        <v>786</v>
      </c>
      <c r="B1625" s="16">
        <v>24000000</v>
      </c>
    </row>
    <row r="1626" spans="1:2" ht="14.4" x14ac:dyDescent="0.3">
      <c r="A1626" s="1" t="s">
        <v>233</v>
      </c>
      <c r="B1626" s="16">
        <v>7700000</v>
      </c>
    </row>
    <row r="1627" spans="1:2" ht="14.4" x14ac:dyDescent="0.3">
      <c r="A1627" s="1" t="s">
        <v>785</v>
      </c>
      <c r="B1627" s="16">
        <v>7240000</v>
      </c>
    </row>
    <row r="1628" spans="1:2" ht="14.4" x14ac:dyDescent="0.3">
      <c r="A1628" s="1" t="s">
        <v>784</v>
      </c>
      <c r="B1628" s="16">
        <v>14000000</v>
      </c>
    </row>
    <row r="1629" spans="1:2" ht="14.4" x14ac:dyDescent="0.3">
      <c r="A1629" s="1" t="s">
        <v>783</v>
      </c>
      <c r="B1629" s="16">
        <v>6500000</v>
      </c>
    </row>
    <row r="1630" spans="1:2" ht="14.4" x14ac:dyDescent="0.3">
      <c r="A1630" s="1" t="s">
        <v>782</v>
      </c>
      <c r="B1630" s="16">
        <v>25000000</v>
      </c>
    </row>
    <row r="1631" spans="1:2" ht="14.4" x14ac:dyDescent="0.3">
      <c r="A1631" s="1" t="s">
        <v>781</v>
      </c>
      <c r="B1631" s="16">
        <v>13000000</v>
      </c>
    </row>
    <row r="1632" spans="1:2" ht="14.4" x14ac:dyDescent="0.3">
      <c r="A1632" s="1" t="s">
        <v>780</v>
      </c>
      <c r="B1632" s="16">
        <v>8000000</v>
      </c>
    </row>
    <row r="1633" spans="1:2" ht="14.4" x14ac:dyDescent="0.3">
      <c r="A1633" s="1" t="s">
        <v>779</v>
      </c>
      <c r="B1633" s="16">
        <v>9000000</v>
      </c>
    </row>
    <row r="1634" spans="1:2" ht="14.4" x14ac:dyDescent="0.3">
      <c r="A1634" s="1" t="s">
        <v>778</v>
      </c>
      <c r="B1634" s="16">
        <v>8000000</v>
      </c>
    </row>
    <row r="1635" spans="1:2" ht="14.4" x14ac:dyDescent="0.3">
      <c r="A1635" s="1" t="s">
        <v>268</v>
      </c>
      <c r="B1635" s="16">
        <v>20600000</v>
      </c>
    </row>
    <row r="1636" spans="1:2" ht="14.4" x14ac:dyDescent="0.3">
      <c r="A1636" s="1" t="s">
        <v>129</v>
      </c>
      <c r="B1636" s="16">
        <v>45000000</v>
      </c>
    </row>
    <row r="1637" spans="1:2" ht="14.4" x14ac:dyDescent="0.3">
      <c r="A1637" s="1" t="s">
        <v>777</v>
      </c>
      <c r="B1637" s="16">
        <v>14200000</v>
      </c>
    </row>
    <row r="1638" spans="1:2" ht="14.4" x14ac:dyDescent="0.3">
      <c r="A1638" s="1" t="s">
        <v>776</v>
      </c>
      <c r="B1638" s="16">
        <v>8620000</v>
      </c>
    </row>
    <row r="1639" spans="1:2" ht="14.4" x14ac:dyDescent="0.3">
      <c r="A1639" s="1" t="s">
        <v>775</v>
      </c>
      <c r="B1639" s="16">
        <v>10000000</v>
      </c>
    </row>
    <row r="1640" spans="1:2" ht="14.4" x14ac:dyDescent="0.3">
      <c r="A1640" s="1" t="s">
        <v>774</v>
      </c>
      <c r="B1640" s="16">
        <v>11000000</v>
      </c>
    </row>
    <row r="1641" spans="1:2" ht="14.4" x14ac:dyDescent="0.3">
      <c r="A1641" s="1" t="s">
        <v>773</v>
      </c>
      <c r="B1641" s="16">
        <v>17500000</v>
      </c>
    </row>
    <row r="1642" spans="1:2" ht="14.4" x14ac:dyDescent="0.3">
      <c r="A1642" s="1" t="s">
        <v>772</v>
      </c>
      <c r="B1642" s="16">
        <v>11700000</v>
      </c>
    </row>
    <row r="1643" spans="1:2" ht="14.4" x14ac:dyDescent="0.3">
      <c r="A1643" s="1" t="s">
        <v>597</v>
      </c>
      <c r="B1643" s="16">
        <v>8800000</v>
      </c>
    </row>
    <row r="1644" spans="1:2" ht="14.4" x14ac:dyDescent="0.3">
      <c r="A1644" s="1" t="s">
        <v>771</v>
      </c>
      <c r="B1644" s="16">
        <v>16000000</v>
      </c>
    </row>
    <row r="1645" spans="1:2" ht="14.4" x14ac:dyDescent="0.3">
      <c r="A1645" s="1" t="s">
        <v>770</v>
      </c>
      <c r="B1645" s="16">
        <v>22390000</v>
      </c>
    </row>
    <row r="1646" spans="1:2" ht="14.4" x14ac:dyDescent="0.3">
      <c r="A1646" s="1" t="s">
        <v>768</v>
      </c>
      <c r="B1646" s="16">
        <v>31490000</v>
      </c>
    </row>
    <row r="1647" spans="1:2" ht="14.4" x14ac:dyDescent="0.3">
      <c r="A1647" s="1" t="s">
        <v>767</v>
      </c>
      <c r="B1647" s="16">
        <v>13750000</v>
      </c>
    </row>
    <row r="1648" spans="1:2" ht="14.4" x14ac:dyDescent="0.3">
      <c r="A1648" s="1" t="s">
        <v>766</v>
      </c>
      <c r="B1648" s="16">
        <v>5500000</v>
      </c>
    </row>
    <row r="1649" spans="1:2" ht="14.4" x14ac:dyDescent="0.3">
      <c r="A1649" s="1" t="s">
        <v>765</v>
      </c>
      <c r="B1649" s="16">
        <v>7000000</v>
      </c>
    </row>
    <row r="1650" spans="1:2" ht="14.4" x14ac:dyDescent="0.3">
      <c r="A1650" s="1" t="s">
        <v>764</v>
      </c>
      <c r="B1650" s="16">
        <v>8000000</v>
      </c>
    </row>
    <row r="1651" spans="1:2" ht="14.4" x14ac:dyDescent="0.3">
      <c r="A1651" s="1" t="s">
        <v>763</v>
      </c>
      <c r="B1651" s="16">
        <v>13000000</v>
      </c>
    </row>
    <row r="1652" spans="1:2" ht="14.4" x14ac:dyDescent="0.3">
      <c r="A1652" s="1" t="s">
        <v>761</v>
      </c>
      <c r="B1652" s="16">
        <v>6100000</v>
      </c>
    </row>
    <row r="1653" spans="1:2" ht="14.4" x14ac:dyDescent="0.3">
      <c r="A1653" s="1" t="s">
        <v>251</v>
      </c>
      <c r="B1653" s="16">
        <v>11500000</v>
      </c>
    </row>
    <row r="1654" spans="1:2" ht="14.4" x14ac:dyDescent="0.3">
      <c r="A1654" s="1" t="s">
        <v>760</v>
      </c>
      <c r="B1654" s="16">
        <v>15150000</v>
      </c>
    </row>
    <row r="1655" spans="1:2" ht="14.4" x14ac:dyDescent="0.3">
      <c r="A1655" s="1" t="s">
        <v>759</v>
      </c>
      <c r="B1655" s="16">
        <v>6100000</v>
      </c>
    </row>
    <row r="1656" spans="1:2" ht="14.4" x14ac:dyDescent="0.3">
      <c r="A1656" s="1" t="s">
        <v>758</v>
      </c>
      <c r="B1656" s="16">
        <v>12500000</v>
      </c>
    </row>
    <row r="1657" spans="1:2" ht="14.4" x14ac:dyDescent="0.3">
      <c r="A1657" s="1" t="s">
        <v>757</v>
      </c>
      <c r="B1657" s="16">
        <v>14000000</v>
      </c>
    </row>
    <row r="1658" spans="1:2" ht="14.4" x14ac:dyDescent="0.3">
      <c r="A1658" s="1" t="s">
        <v>756</v>
      </c>
      <c r="B1658" s="16">
        <v>7200000</v>
      </c>
    </row>
    <row r="1659" spans="1:2" ht="14.4" x14ac:dyDescent="0.3">
      <c r="A1659" s="1" t="s">
        <v>755</v>
      </c>
      <c r="B1659" s="16">
        <v>6200000</v>
      </c>
    </row>
    <row r="1660" spans="1:2" ht="14.4" x14ac:dyDescent="0.3">
      <c r="A1660" s="1" t="s">
        <v>754</v>
      </c>
      <c r="B1660" s="16">
        <v>16300000</v>
      </c>
    </row>
    <row r="1661" spans="1:2" ht="14.4" x14ac:dyDescent="0.3">
      <c r="A1661" s="1" t="s">
        <v>753</v>
      </c>
      <c r="B1661" s="16">
        <v>11000000</v>
      </c>
    </row>
    <row r="1662" spans="1:2" ht="14.4" x14ac:dyDescent="0.3">
      <c r="A1662" s="1" t="s">
        <v>752</v>
      </c>
      <c r="B1662" s="16">
        <v>7600000</v>
      </c>
    </row>
    <row r="1663" spans="1:2" ht="14.4" x14ac:dyDescent="0.3">
      <c r="A1663" s="1" t="s">
        <v>751</v>
      </c>
      <c r="B1663" s="16">
        <v>15500000</v>
      </c>
    </row>
    <row r="1664" spans="1:2" ht="14.4" x14ac:dyDescent="0.3">
      <c r="A1664" s="1" t="s">
        <v>750</v>
      </c>
      <c r="B1664" s="16">
        <v>13400000</v>
      </c>
    </row>
    <row r="1665" spans="1:2" ht="14.4" x14ac:dyDescent="0.3">
      <c r="A1665" s="1" t="s">
        <v>749</v>
      </c>
      <c r="B1665" s="16">
        <v>5350000</v>
      </c>
    </row>
    <row r="1666" spans="1:2" ht="14.4" x14ac:dyDescent="0.3">
      <c r="A1666" s="1" t="s">
        <v>748</v>
      </c>
      <c r="B1666" s="16">
        <v>10350000</v>
      </c>
    </row>
    <row r="1667" spans="1:2" ht="14.4" x14ac:dyDescent="0.3">
      <c r="A1667" s="1" t="s">
        <v>747</v>
      </c>
      <c r="B1667" s="16">
        <v>11800000</v>
      </c>
    </row>
    <row r="1668" spans="1:2" ht="14.4" x14ac:dyDescent="0.3">
      <c r="A1668" s="1" t="s">
        <v>746</v>
      </c>
      <c r="B1668" s="16">
        <v>16000000</v>
      </c>
    </row>
    <row r="1669" spans="1:2" ht="14.4" x14ac:dyDescent="0.3">
      <c r="A1669" s="1" t="s">
        <v>743</v>
      </c>
      <c r="B1669" s="16">
        <v>9000000</v>
      </c>
    </row>
    <row r="1670" spans="1:2" ht="14.4" x14ac:dyDescent="0.3">
      <c r="A1670" s="1" t="s">
        <v>745</v>
      </c>
      <c r="B1670" s="16">
        <v>22000000</v>
      </c>
    </row>
    <row r="1671" spans="1:2" ht="14.4" x14ac:dyDescent="0.3">
      <c r="A1671" s="1" t="s">
        <v>744</v>
      </c>
      <c r="B1671" s="16">
        <v>6500000</v>
      </c>
    </row>
    <row r="1672" spans="1:2" ht="14.4" x14ac:dyDescent="0.3">
      <c r="A1672" s="1" t="s">
        <v>742</v>
      </c>
      <c r="B1672" s="16">
        <v>7600000</v>
      </c>
    </row>
    <row r="1673" spans="1:2" ht="14.4" x14ac:dyDescent="0.3">
      <c r="A1673" s="1" t="s">
        <v>741</v>
      </c>
      <c r="B1673" s="16">
        <v>17800000</v>
      </c>
    </row>
    <row r="1674" spans="1:2" ht="14.4" x14ac:dyDescent="0.3">
      <c r="A1674" s="1" t="s">
        <v>740</v>
      </c>
      <c r="B1674" s="16">
        <v>9000000</v>
      </c>
    </row>
    <row r="1675" spans="1:2" ht="14.4" x14ac:dyDescent="0.3">
      <c r="A1675" s="1" t="s">
        <v>739</v>
      </c>
      <c r="B1675" s="16">
        <v>26953052</v>
      </c>
    </row>
    <row r="1676" spans="1:2" ht="14.4" x14ac:dyDescent="0.3">
      <c r="A1676" s="1" t="s">
        <v>737</v>
      </c>
      <c r="B1676" s="16">
        <v>5200000</v>
      </c>
    </row>
    <row r="1677" spans="1:2" ht="14.4" x14ac:dyDescent="0.3">
      <c r="A1677" s="1" t="s">
        <v>738</v>
      </c>
      <c r="B1677" s="16">
        <v>17000000</v>
      </c>
    </row>
    <row r="1678" spans="1:2" ht="14.4" x14ac:dyDescent="0.3">
      <c r="A1678" s="1" t="s">
        <v>736</v>
      </c>
      <c r="B1678" s="16">
        <v>19500000</v>
      </c>
    </row>
    <row r="1679" spans="1:2" ht="14.4" x14ac:dyDescent="0.3">
      <c r="A1679" s="1" t="s">
        <v>735</v>
      </c>
      <c r="B1679" s="16">
        <v>17000000</v>
      </c>
    </row>
    <row r="1680" spans="1:2" ht="14.4" x14ac:dyDescent="0.3">
      <c r="A1680" s="1" t="s">
        <v>734</v>
      </c>
      <c r="B1680" s="16">
        <v>11500000</v>
      </c>
    </row>
    <row r="1681" spans="1:2" ht="14.4" x14ac:dyDescent="0.3">
      <c r="A1681" s="1" t="s">
        <v>733</v>
      </c>
      <c r="B1681" s="16">
        <v>10000000</v>
      </c>
    </row>
    <row r="1682" spans="1:2" ht="14.4" x14ac:dyDescent="0.3">
      <c r="A1682" s="1" t="s">
        <v>732</v>
      </c>
      <c r="B1682" s="16">
        <v>17000000</v>
      </c>
    </row>
    <row r="1683" spans="1:2" ht="14.4" x14ac:dyDescent="0.3">
      <c r="A1683" s="1" t="s">
        <v>731</v>
      </c>
      <c r="B1683" s="16">
        <v>10750000</v>
      </c>
    </row>
    <row r="1684" spans="1:2" ht="14.4" x14ac:dyDescent="0.3">
      <c r="A1684" s="1" t="s">
        <v>730</v>
      </c>
      <c r="B1684" s="16">
        <v>23000000</v>
      </c>
    </row>
    <row r="1685" spans="1:2" ht="14.4" x14ac:dyDescent="0.3">
      <c r="A1685" s="1" t="s">
        <v>729</v>
      </c>
      <c r="B1685" s="16">
        <v>24000000</v>
      </c>
    </row>
    <row r="1686" spans="1:2" ht="14.4" x14ac:dyDescent="0.3">
      <c r="A1686" s="1" t="s">
        <v>728</v>
      </c>
      <c r="B1686" s="16">
        <v>10300000</v>
      </c>
    </row>
    <row r="1687" spans="1:2" ht="14.4" x14ac:dyDescent="0.3">
      <c r="A1687" s="1" t="s">
        <v>727</v>
      </c>
      <c r="B1687" s="16">
        <v>12500000</v>
      </c>
    </row>
    <row r="1688" spans="1:2" ht="14.4" x14ac:dyDescent="0.3">
      <c r="A1688" s="1" t="s">
        <v>726</v>
      </c>
      <c r="B1688" s="16">
        <v>18000000</v>
      </c>
    </row>
    <row r="1689" spans="1:2" ht="14.4" x14ac:dyDescent="0.3">
      <c r="A1689" s="1" t="s">
        <v>725</v>
      </c>
      <c r="B1689" s="16">
        <v>9400000</v>
      </c>
    </row>
    <row r="1690" spans="1:2" ht="14.4" x14ac:dyDescent="0.3">
      <c r="A1690" s="1" t="s">
        <v>724</v>
      </c>
      <c r="B1690" s="16">
        <v>10600000</v>
      </c>
    </row>
    <row r="1691" spans="1:2" ht="14.4" x14ac:dyDescent="0.3">
      <c r="A1691" s="1" t="s">
        <v>48</v>
      </c>
      <c r="B1691" s="16">
        <v>7300000</v>
      </c>
    </row>
    <row r="1692" spans="1:2" ht="14.4" x14ac:dyDescent="0.3">
      <c r="A1692" s="1" t="s">
        <v>723</v>
      </c>
      <c r="B1692" s="16">
        <v>9650000</v>
      </c>
    </row>
    <row r="1693" spans="1:2" ht="14.4" x14ac:dyDescent="0.3">
      <c r="A1693" s="1" t="s">
        <v>720</v>
      </c>
      <c r="B1693" s="16">
        <v>6000000</v>
      </c>
    </row>
    <row r="1694" spans="1:2" ht="14.4" x14ac:dyDescent="0.3">
      <c r="A1694" s="1" t="s">
        <v>722</v>
      </c>
      <c r="B1694" s="16">
        <v>7200000</v>
      </c>
    </row>
    <row r="1695" spans="1:2" ht="14.4" x14ac:dyDescent="0.3">
      <c r="A1695" s="1" t="s">
        <v>721</v>
      </c>
      <c r="B1695" s="16">
        <v>9000000</v>
      </c>
    </row>
    <row r="1696" spans="1:2" ht="14.4" x14ac:dyDescent="0.3">
      <c r="A1696" s="1" t="s">
        <v>719</v>
      </c>
      <c r="B1696" s="16">
        <v>17800000</v>
      </c>
    </row>
    <row r="1697" spans="1:2" ht="14.4" x14ac:dyDescent="0.3">
      <c r="A1697" s="1" t="s">
        <v>271</v>
      </c>
      <c r="B1697" s="16">
        <v>14000000</v>
      </c>
    </row>
    <row r="1698" spans="1:2" ht="14.4" x14ac:dyDescent="0.3">
      <c r="A1698" s="1" t="s">
        <v>718</v>
      </c>
      <c r="B1698" s="16">
        <v>7300000</v>
      </c>
    </row>
    <row r="1699" spans="1:2" ht="14.4" x14ac:dyDescent="0.3">
      <c r="A1699" s="1" t="s">
        <v>717</v>
      </c>
      <c r="B1699" s="16">
        <v>12000000</v>
      </c>
    </row>
    <row r="1700" spans="1:2" ht="14.4" x14ac:dyDescent="0.3">
      <c r="A1700" s="1" t="s">
        <v>274</v>
      </c>
      <c r="B1700" s="16">
        <v>27929100</v>
      </c>
    </row>
    <row r="1701" spans="1:2" ht="14.4" x14ac:dyDescent="0.3">
      <c r="A1701" s="1" t="s">
        <v>716</v>
      </c>
      <c r="B1701" s="16">
        <v>11800000</v>
      </c>
    </row>
    <row r="1702" spans="1:2" ht="14.4" x14ac:dyDescent="0.3">
      <c r="A1702" s="1" t="s">
        <v>715</v>
      </c>
      <c r="B1702" s="16">
        <v>12071500</v>
      </c>
    </row>
    <row r="1703" spans="1:2" ht="14.4" x14ac:dyDescent="0.3">
      <c r="A1703" s="1" t="s">
        <v>714</v>
      </c>
      <c r="B1703" s="16">
        <v>18500000</v>
      </c>
    </row>
    <row r="1704" spans="1:2" ht="14.4" x14ac:dyDescent="0.3">
      <c r="A1704" s="1" t="s">
        <v>713</v>
      </c>
      <c r="B1704" s="16">
        <v>37000000</v>
      </c>
    </row>
    <row r="1705" spans="1:2" ht="14.4" x14ac:dyDescent="0.3">
      <c r="A1705" s="1" t="s">
        <v>712</v>
      </c>
      <c r="B1705" s="16">
        <v>9350000</v>
      </c>
    </row>
    <row r="1706" spans="1:2" ht="14.4" x14ac:dyDescent="0.3">
      <c r="A1706" s="1" t="s">
        <v>711</v>
      </c>
      <c r="B1706" s="16">
        <v>12700000</v>
      </c>
    </row>
    <row r="1707" spans="1:2" ht="14.4" x14ac:dyDescent="0.3">
      <c r="A1707" s="1" t="s">
        <v>710</v>
      </c>
      <c r="B1707" s="16">
        <v>7000000</v>
      </c>
    </row>
    <row r="1708" spans="1:2" ht="14.4" x14ac:dyDescent="0.3">
      <c r="A1708" s="1" t="s">
        <v>709</v>
      </c>
      <c r="B1708" s="16">
        <v>6000000</v>
      </c>
    </row>
    <row r="1709" spans="1:2" ht="14.4" x14ac:dyDescent="0.3">
      <c r="A1709" s="1" t="s">
        <v>708</v>
      </c>
      <c r="B1709" s="16">
        <v>11352592</v>
      </c>
    </row>
    <row r="1710" spans="1:2" ht="14.4" x14ac:dyDescent="0.3">
      <c r="A1710" s="1" t="s">
        <v>707</v>
      </c>
      <c r="B1710" s="16">
        <v>25000000</v>
      </c>
    </row>
    <row r="1711" spans="1:2" ht="14.4" x14ac:dyDescent="0.3">
      <c r="A1711" s="1" t="s">
        <v>706</v>
      </c>
      <c r="B1711" s="16">
        <v>21500000</v>
      </c>
    </row>
    <row r="1712" spans="1:2" ht="14.4" x14ac:dyDescent="0.3">
      <c r="A1712" s="1" t="s">
        <v>705</v>
      </c>
      <c r="B1712" s="16">
        <v>8300000</v>
      </c>
    </row>
    <row r="1713" spans="1:2" ht="14.4" x14ac:dyDescent="0.3">
      <c r="A1713" s="1" t="s">
        <v>308</v>
      </c>
      <c r="B1713" s="16">
        <v>16350000</v>
      </c>
    </row>
    <row r="1714" spans="1:2" ht="14.4" x14ac:dyDescent="0.3">
      <c r="A1714" s="1" t="s">
        <v>704</v>
      </c>
      <c r="B1714" s="16">
        <v>10500000</v>
      </c>
    </row>
    <row r="1715" spans="1:2" ht="14.4" x14ac:dyDescent="0.3">
      <c r="A1715" s="1" t="s">
        <v>703</v>
      </c>
      <c r="B1715" s="16">
        <v>7900000</v>
      </c>
    </row>
    <row r="1716" spans="1:2" ht="14.4" x14ac:dyDescent="0.3">
      <c r="A1716" s="1" t="s">
        <v>248</v>
      </c>
      <c r="B1716" s="16">
        <v>28490000</v>
      </c>
    </row>
    <row r="1717" spans="1:2" ht="14.4" x14ac:dyDescent="0.3">
      <c r="A1717" s="1" t="s">
        <v>702</v>
      </c>
      <c r="B1717" s="16">
        <v>10000000</v>
      </c>
    </row>
    <row r="1718" spans="1:2" ht="14.4" x14ac:dyDescent="0.3">
      <c r="A1718" s="1" t="s">
        <v>689</v>
      </c>
      <c r="B1718" s="16">
        <v>9000000</v>
      </c>
    </row>
    <row r="1719" spans="1:2" ht="14.4" x14ac:dyDescent="0.3">
      <c r="A1719" s="1" t="s">
        <v>701</v>
      </c>
      <c r="B1719" s="16">
        <v>9500000</v>
      </c>
    </row>
    <row r="1720" spans="1:2" ht="14.4" x14ac:dyDescent="0.3">
      <c r="A1720" s="1" t="s">
        <v>700</v>
      </c>
      <c r="B1720" s="16">
        <v>11300000</v>
      </c>
    </row>
    <row r="1721" spans="1:2" ht="14.4" x14ac:dyDescent="0.3">
      <c r="A1721" s="1" t="s">
        <v>699</v>
      </c>
      <c r="B1721" s="16">
        <v>11300000</v>
      </c>
    </row>
    <row r="1722" spans="1:2" ht="14.4" x14ac:dyDescent="0.3">
      <c r="A1722" s="1" t="s">
        <v>698</v>
      </c>
      <c r="B1722" s="16">
        <v>11000000</v>
      </c>
    </row>
    <row r="1723" spans="1:2" ht="14.4" x14ac:dyDescent="0.3">
      <c r="A1723" s="1" t="s">
        <v>697</v>
      </c>
      <c r="B1723" s="16">
        <v>27750000</v>
      </c>
    </row>
    <row r="1724" spans="1:2" ht="14.4" x14ac:dyDescent="0.3">
      <c r="A1724" s="1" t="s">
        <v>182</v>
      </c>
      <c r="B1724" s="16">
        <v>21500000</v>
      </c>
    </row>
    <row r="1725" spans="1:2" ht="14.4" x14ac:dyDescent="0.3">
      <c r="A1725" s="1" t="s">
        <v>696</v>
      </c>
      <c r="B1725" s="16">
        <v>9800000</v>
      </c>
    </row>
    <row r="1726" spans="1:2" ht="14.4" x14ac:dyDescent="0.3">
      <c r="A1726" s="1" t="s">
        <v>695</v>
      </c>
      <c r="B1726" s="16">
        <v>11500000</v>
      </c>
    </row>
    <row r="1727" spans="1:2" ht="14.4" x14ac:dyDescent="0.3">
      <c r="A1727" s="1" t="s">
        <v>694</v>
      </c>
      <c r="B1727" s="16">
        <v>17000000</v>
      </c>
    </row>
    <row r="1728" spans="1:2" ht="14.4" x14ac:dyDescent="0.3">
      <c r="A1728" s="1" t="s">
        <v>166</v>
      </c>
      <c r="B1728" s="16">
        <v>20000000</v>
      </c>
    </row>
    <row r="1729" spans="1:2" ht="14.4" x14ac:dyDescent="0.3">
      <c r="A1729" s="1" t="s">
        <v>693</v>
      </c>
      <c r="B1729" s="16">
        <v>11000000</v>
      </c>
    </row>
    <row r="1730" spans="1:2" ht="14.4" x14ac:dyDescent="0.3">
      <c r="A1730" s="1" t="s">
        <v>692</v>
      </c>
      <c r="B1730" s="16">
        <v>21000000</v>
      </c>
    </row>
    <row r="1731" spans="1:2" ht="14.4" x14ac:dyDescent="0.3">
      <c r="A1731" s="1" t="s">
        <v>691</v>
      </c>
      <c r="B1731" s="16">
        <v>10500000</v>
      </c>
    </row>
    <row r="1732" spans="1:2" ht="14.4" x14ac:dyDescent="0.3">
      <c r="A1732" s="1" t="s">
        <v>690</v>
      </c>
      <c r="B1732" s="16">
        <v>31626783</v>
      </c>
    </row>
    <row r="1733" spans="1:2" ht="14.4" x14ac:dyDescent="0.3">
      <c r="A1733" s="1" t="s">
        <v>667</v>
      </c>
      <c r="B1733" s="16">
        <v>7800000</v>
      </c>
    </row>
    <row r="1734" spans="1:2" ht="14.4" x14ac:dyDescent="0.3">
      <c r="A1734" s="1" t="s">
        <v>688</v>
      </c>
      <c r="B1734" s="16">
        <v>10000000</v>
      </c>
    </row>
    <row r="1735" spans="1:2" ht="14.4" x14ac:dyDescent="0.3">
      <c r="A1735" s="1" t="s">
        <v>682</v>
      </c>
      <c r="B1735" s="16">
        <v>10200000</v>
      </c>
    </row>
    <row r="1736" spans="1:2" ht="14.4" x14ac:dyDescent="0.3">
      <c r="A1736" s="1" t="s">
        <v>687</v>
      </c>
      <c r="B1736" s="16">
        <v>10500000</v>
      </c>
    </row>
    <row r="1737" spans="1:2" ht="14.4" x14ac:dyDescent="0.3">
      <c r="A1737" s="1" t="s">
        <v>686</v>
      </c>
      <c r="B1737" s="16">
        <v>5840000</v>
      </c>
    </row>
    <row r="1738" spans="1:2" ht="14.4" x14ac:dyDescent="0.3">
      <c r="A1738" s="1" t="s">
        <v>684</v>
      </c>
      <c r="B1738" s="16">
        <v>9800000</v>
      </c>
    </row>
    <row r="1739" spans="1:2" ht="14.4" x14ac:dyDescent="0.3">
      <c r="A1739" s="1" t="s">
        <v>683</v>
      </c>
      <c r="B1739" s="16">
        <v>11200000</v>
      </c>
    </row>
    <row r="1740" spans="1:2" ht="14.4" x14ac:dyDescent="0.3">
      <c r="A1740" s="1" t="s">
        <v>681</v>
      </c>
      <c r="B1740" s="16">
        <v>12000000</v>
      </c>
    </row>
    <row r="1741" spans="1:2" ht="14.4" x14ac:dyDescent="0.3">
      <c r="A1741" s="1" t="s">
        <v>680</v>
      </c>
      <c r="B1741" s="16">
        <v>13450000</v>
      </c>
    </row>
    <row r="1742" spans="1:2" ht="14.4" x14ac:dyDescent="0.3">
      <c r="A1742" s="1" t="s">
        <v>679</v>
      </c>
      <c r="B1742" s="16">
        <v>18400000</v>
      </c>
    </row>
    <row r="1743" spans="1:2" ht="14.4" x14ac:dyDescent="0.3">
      <c r="A1743" s="1" t="s">
        <v>172</v>
      </c>
      <c r="B1743" s="16">
        <v>10600000</v>
      </c>
    </row>
    <row r="1744" spans="1:2" ht="14.4" x14ac:dyDescent="0.3">
      <c r="A1744" s="1" t="s">
        <v>678</v>
      </c>
      <c r="B1744" s="16">
        <v>9500000</v>
      </c>
    </row>
    <row r="1745" spans="1:2" ht="14.4" x14ac:dyDescent="0.3">
      <c r="A1745" s="1" t="s">
        <v>677</v>
      </c>
      <c r="B1745" s="16">
        <v>15500000</v>
      </c>
    </row>
    <row r="1746" spans="1:2" ht="14.4" x14ac:dyDescent="0.3">
      <c r="A1746" s="1" t="s">
        <v>676</v>
      </c>
      <c r="B1746" s="16">
        <v>45000000</v>
      </c>
    </row>
    <row r="1747" spans="1:2" ht="14.4" x14ac:dyDescent="0.3">
      <c r="A1747" s="1" t="s">
        <v>674</v>
      </c>
      <c r="B1747" s="16">
        <v>7000000</v>
      </c>
    </row>
    <row r="1748" spans="1:2" ht="14.4" x14ac:dyDescent="0.3">
      <c r="A1748" s="1" t="s">
        <v>675</v>
      </c>
      <c r="B1748" s="16">
        <v>14562895</v>
      </c>
    </row>
    <row r="1749" spans="1:2" ht="14.4" x14ac:dyDescent="0.3">
      <c r="A1749" s="1" t="s">
        <v>673</v>
      </c>
      <c r="B1749" s="16">
        <v>8000000</v>
      </c>
    </row>
    <row r="1750" spans="1:2" ht="14.4" x14ac:dyDescent="0.3">
      <c r="A1750" s="1" t="s">
        <v>672</v>
      </c>
      <c r="B1750" s="16">
        <v>10600000</v>
      </c>
    </row>
    <row r="1751" spans="1:2" ht="14.4" x14ac:dyDescent="0.3">
      <c r="A1751" s="1" t="s">
        <v>671</v>
      </c>
      <c r="B1751" s="16">
        <v>28199795</v>
      </c>
    </row>
    <row r="1752" spans="1:2" ht="14.4" x14ac:dyDescent="0.3">
      <c r="A1752" s="1" t="s">
        <v>670</v>
      </c>
      <c r="B1752" s="16">
        <v>21000000</v>
      </c>
    </row>
    <row r="1753" spans="1:2" ht="14.4" x14ac:dyDescent="0.3">
      <c r="A1753" s="1" t="s">
        <v>669</v>
      </c>
      <c r="B1753" s="16">
        <v>6450000</v>
      </c>
    </row>
    <row r="1754" spans="1:2" ht="14.4" x14ac:dyDescent="0.3">
      <c r="A1754" s="1" t="s">
        <v>668</v>
      </c>
      <c r="B1754" s="16">
        <v>8750000</v>
      </c>
    </row>
    <row r="1755" spans="1:2" ht="14.4" x14ac:dyDescent="0.3">
      <c r="A1755" s="1" t="s">
        <v>124</v>
      </c>
      <c r="B1755" s="16">
        <v>34000000</v>
      </c>
    </row>
    <row r="1756" spans="1:2" ht="14.4" x14ac:dyDescent="0.3">
      <c r="A1756" s="1" t="s">
        <v>666</v>
      </c>
      <c r="B1756" s="16">
        <v>43000000</v>
      </c>
    </row>
    <row r="1757" spans="1:2" ht="14.4" x14ac:dyDescent="0.3">
      <c r="A1757" s="1" t="s">
        <v>665</v>
      </c>
      <c r="B1757" s="16">
        <v>9000000</v>
      </c>
    </row>
    <row r="1758" spans="1:2" ht="14.4" x14ac:dyDescent="0.3">
      <c r="A1758" s="1" t="s">
        <v>664</v>
      </c>
      <c r="B1758" s="16">
        <v>5700000</v>
      </c>
    </row>
    <row r="1759" spans="1:2" ht="14.4" x14ac:dyDescent="0.3">
      <c r="A1759" s="1" t="s">
        <v>663</v>
      </c>
      <c r="B1759" s="16">
        <v>10300000</v>
      </c>
    </row>
    <row r="1760" spans="1:2" ht="14.4" x14ac:dyDescent="0.3">
      <c r="A1760" s="1" t="s">
        <v>662</v>
      </c>
      <c r="B1760" s="16">
        <v>8800000</v>
      </c>
    </row>
    <row r="1761" spans="1:2" ht="14.4" x14ac:dyDescent="0.3">
      <c r="A1761" s="1" t="s">
        <v>661</v>
      </c>
      <c r="B1761" s="16">
        <v>16000000</v>
      </c>
    </row>
    <row r="1762" spans="1:2" ht="14.4" x14ac:dyDescent="0.3">
      <c r="A1762" s="1" t="s">
        <v>660</v>
      </c>
      <c r="B1762" s="16">
        <v>11500000</v>
      </c>
    </row>
    <row r="1763" spans="1:2" ht="14.4" x14ac:dyDescent="0.3">
      <c r="A1763" s="1" t="s">
        <v>659</v>
      </c>
      <c r="B1763" s="16">
        <v>12800000</v>
      </c>
    </row>
    <row r="1764" spans="1:2" ht="14.4" x14ac:dyDescent="0.3">
      <c r="A1764" s="1" t="s">
        <v>658</v>
      </c>
      <c r="B1764" s="16">
        <v>8100000</v>
      </c>
    </row>
    <row r="1765" spans="1:2" ht="14.4" x14ac:dyDescent="0.3">
      <c r="A1765" s="1" t="s">
        <v>255</v>
      </c>
      <c r="B1765" s="16">
        <v>12100000</v>
      </c>
    </row>
    <row r="1766" spans="1:2" ht="14.4" x14ac:dyDescent="0.3">
      <c r="A1766" s="1" t="s">
        <v>657</v>
      </c>
      <c r="B1766" s="16">
        <v>5800000</v>
      </c>
    </row>
    <row r="1767" spans="1:2" ht="14.4" x14ac:dyDescent="0.3">
      <c r="A1767" s="1" t="s">
        <v>656</v>
      </c>
      <c r="B1767" s="16">
        <v>17000000</v>
      </c>
    </row>
    <row r="1768" spans="1:2" ht="14.4" x14ac:dyDescent="0.3">
      <c r="A1768" s="1" t="s">
        <v>655</v>
      </c>
      <c r="B1768" s="16">
        <v>8000000</v>
      </c>
    </row>
    <row r="1769" spans="1:2" ht="14.4" x14ac:dyDescent="0.3">
      <c r="A1769" s="1" t="s">
        <v>654</v>
      </c>
      <c r="B1769" s="16">
        <v>4900000</v>
      </c>
    </row>
    <row r="1770" spans="1:2" ht="14.4" x14ac:dyDescent="0.3">
      <c r="A1770" s="1" t="s">
        <v>653</v>
      </c>
      <c r="B1770" s="16">
        <v>23000000</v>
      </c>
    </row>
    <row r="1771" spans="1:2" ht="14.4" x14ac:dyDescent="0.3">
      <c r="A1771" s="1" t="s">
        <v>652</v>
      </c>
      <c r="B1771" s="16">
        <v>18000000</v>
      </c>
    </row>
    <row r="1772" spans="1:2" ht="14.4" x14ac:dyDescent="0.3">
      <c r="A1772" s="1" t="s">
        <v>651</v>
      </c>
      <c r="B1772" s="16">
        <v>5000000</v>
      </c>
    </row>
    <row r="1773" spans="1:2" ht="14.4" x14ac:dyDescent="0.3">
      <c r="A1773" s="1" t="s">
        <v>650</v>
      </c>
      <c r="B1773" s="16">
        <v>5000000</v>
      </c>
    </row>
    <row r="1774" spans="1:2" ht="14.4" x14ac:dyDescent="0.3">
      <c r="A1774" s="1" t="s">
        <v>645</v>
      </c>
      <c r="B1774" s="16">
        <v>13650000</v>
      </c>
    </row>
    <row r="1775" spans="1:2" ht="14.4" x14ac:dyDescent="0.3">
      <c r="A1775" s="1" t="s">
        <v>213</v>
      </c>
      <c r="B1775" s="16">
        <v>38000000</v>
      </c>
    </row>
    <row r="1776" spans="1:2" ht="14.4" x14ac:dyDescent="0.3">
      <c r="A1776" s="1" t="s">
        <v>649</v>
      </c>
      <c r="B1776" s="16">
        <v>8250000</v>
      </c>
    </row>
    <row r="1777" spans="1:2" ht="14.4" x14ac:dyDescent="0.3">
      <c r="A1777" s="1" t="s">
        <v>162</v>
      </c>
      <c r="B1777" s="16">
        <v>28700000</v>
      </c>
    </row>
    <row r="1778" spans="1:2" ht="14.4" x14ac:dyDescent="0.3">
      <c r="A1778" s="1" t="s">
        <v>648</v>
      </c>
      <c r="B1778" s="16">
        <v>12000000</v>
      </c>
    </row>
    <row r="1779" spans="1:2" ht="14.4" x14ac:dyDescent="0.3">
      <c r="A1779" s="1" t="s">
        <v>647</v>
      </c>
      <c r="B1779" s="16">
        <v>9000000</v>
      </c>
    </row>
    <row r="1780" spans="1:2" ht="14.4" x14ac:dyDescent="0.3">
      <c r="A1780" s="1" t="s">
        <v>646</v>
      </c>
      <c r="B1780" s="16">
        <v>15500000</v>
      </c>
    </row>
    <row r="1781" spans="1:2" ht="14.4" x14ac:dyDescent="0.3">
      <c r="A1781" s="1" t="s">
        <v>644</v>
      </c>
      <c r="B1781" s="16">
        <v>23000000</v>
      </c>
    </row>
    <row r="1782" spans="1:2" ht="14.4" x14ac:dyDescent="0.3">
      <c r="A1782" s="1" t="s">
        <v>643</v>
      </c>
      <c r="B1782" s="16">
        <v>8700000</v>
      </c>
    </row>
    <row r="1783" spans="1:2" ht="14.4" x14ac:dyDescent="0.3">
      <c r="A1783" s="1" t="s">
        <v>642</v>
      </c>
      <c r="B1783" s="16">
        <v>6600000</v>
      </c>
    </row>
    <row r="1784" spans="1:2" ht="14.4" x14ac:dyDescent="0.3">
      <c r="A1784" s="1" t="s">
        <v>641</v>
      </c>
      <c r="B1784" s="16">
        <v>6900000</v>
      </c>
    </row>
    <row r="1785" spans="1:2" ht="14.4" x14ac:dyDescent="0.3">
      <c r="A1785" s="1" t="s">
        <v>640</v>
      </c>
      <c r="B1785" s="16">
        <v>11300000</v>
      </c>
    </row>
    <row r="1786" spans="1:2" ht="14.4" x14ac:dyDescent="0.3">
      <c r="A1786" s="1" t="s">
        <v>639</v>
      </c>
      <c r="B1786" s="16">
        <v>8000000</v>
      </c>
    </row>
    <row r="1787" spans="1:2" ht="14.4" x14ac:dyDescent="0.3">
      <c r="A1787" s="1" t="s">
        <v>77</v>
      </c>
      <c r="B1787" s="16">
        <v>9100000</v>
      </c>
    </row>
    <row r="1788" spans="1:2" ht="14.4" x14ac:dyDescent="0.3">
      <c r="A1788" s="1" t="s">
        <v>638</v>
      </c>
      <c r="B1788" s="16">
        <v>7300000</v>
      </c>
    </row>
    <row r="1789" spans="1:2" ht="14.4" x14ac:dyDescent="0.3">
      <c r="A1789" s="1" t="s">
        <v>637</v>
      </c>
      <c r="B1789" s="16">
        <v>8650000</v>
      </c>
    </row>
    <row r="1790" spans="1:2" ht="14.4" x14ac:dyDescent="0.3">
      <c r="A1790" s="1" t="s">
        <v>636</v>
      </c>
      <c r="B1790" s="16">
        <v>9790000</v>
      </c>
    </row>
    <row r="1791" spans="1:2" ht="14.4" x14ac:dyDescent="0.3">
      <c r="A1791" s="1" t="s">
        <v>635</v>
      </c>
      <c r="B1791" s="16">
        <v>10500000</v>
      </c>
    </row>
    <row r="1792" spans="1:2" ht="14.4" x14ac:dyDescent="0.3">
      <c r="A1792" s="1" t="s">
        <v>634</v>
      </c>
      <c r="B1792" s="16">
        <v>15000000</v>
      </c>
    </row>
    <row r="1793" spans="1:2" ht="14.4" x14ac:dyDescent="0.3">
      <c r="A1793" s="1" t="s">
        <v>633</v>
      </c>
      <c r="B1793" s="16">
        <v>10290000</v>
      </c>
    </row>
    <row r="1794" spans="1:2" ht="14.4" x14ac:dyDescent="0.3">
      <c r="A1794" s="1" t="s">
        <v>632</v>
      </c>
      <c r="B1794" s="16">
        <v>8000000</v>
      </c>
    </row>
    <row r="1795" spans="1:2" ht="14.4" x14ac:dyDescent="0.3">
      <c r="A1795" s="1" t="s">
        <v>631</v>
      </c>
      <c r="B1795" s="16">
        <v>6450000</v>
      </c>
    </row>
    <row r="1796" spans="1:2" ht="14.4" x14ac:dyDescent="0.3">
      <c r="A1796" s="1" t="s">
        <v>630</v>
      </c>
      <c r="B1796" s="16">
        <v>16000000</v>
      </c>
    </row>
    <row r="1797" spans="1:2" ht="14.4" x14ac:dyDescent="0.3">
      <c r="A1797" s="1" t="s">
        <v>629</v>
      </c>
      <c r="B1797" s="16">
        <v>29381100</v>
      </c>
    </row>
    <row r="1798" spans="1:2" ht="14.4" x14ac:dyDescent="0.3">
      <c r="A1798" s="1" t="s">
        <v>628</v>
      </c>
      <c r="B1798" s="16">
        <v>8800000</v>
      </c>
    </row>
    <row r="1799" spans="1:2" ht="14.4" x14ac:dyDescent="0.3">
      <c r="A1799" s="1" t="s">
        <v>627</v>
      </c>
      <c r="B1799" s="16">
        <v>12500000</v>
      </c>
    </row>
    <row r="1800" spans="1:2" ht="14.4" x14ac:dyDescent="0.3">
      <c r="A1800" s="1" t="s">
        <v>34</v>
      </c>
      <c r="B1800" s="16">
        <v>6200000</v>
      </c>
    </row>
    <row r="1801" spans="1:2" ht="14.4" x14ac:dyDescent="0.3">
      <c r="A1801" s="1" t="s">
        <v>51</v>
      </c>
      <c r="B1801" s="16">
        <v>48000000</v>
      </c>
    </row>
    <row r="1802" spans="1:2" ht="14.4" x14ac:dyDescent="0.3">
      <c r="A1802" s="1" t="s">
        <v>626</v>
      </c>
      <c r="B1802" s="16">
        <v>7600000</v>
      </c>
    </row>
    <row r="1803" spans="1:2" ht="14.4" x14ac:dyDescent="0.3">
      <c r="A1803" s="1" t="s">
        <v>625</v>
      </c>
      <c r="B1803" s="16">
        <v>7450000</v>
      </c>
    </row>
    <row r="1804" spans="1:2" ht="14.4" x14ac:dyDescent="0.3">
      <c r="A1804" s="1" t="s">
        <v>624</v>
      </c>
      <c r="B1804" s="16">
        <v>24300000</v>
      </c>
    </row>
    <row r="1805" spans="1:2" ht="14.4" x14ac:dyDescent="0.3">
      <c r="A1805" s="1" t="s">
        <v>623</v>
      </c>
      <c r="B1805" s="16">
        <v>9500000</v>
      </c>
    </row>
    <row r="1806" spans="1:2" ht="14.4" x14ac:dyDescent="0.3">
      <c r="A1806" s="1" t="s">
        <v>622</v>
      </c>
      <c r="B1806" s="16">
        <v>6450000</v>
      </c>
    </row>
    <row r="1807" spans="1:2" ht="14.4" x14ac:dyDescent="0.3">
      <c r="A1807" s="1" t="s">
        <v>621</v>
      </c>
      <c r="B1807" s="16">
        <v>9400000</v>
      </c>
    </row>
    <row r="1808" spans="1:2" ht="14.4" x14ac:dyDescent="0.3">
      <c r="A1808" s="1" t="s">
        <v>620</v>
      </c>
      <c r="B1808" s="16">
        <v>14300000</v>
      </c>
    </row>
    <row r="1809" spans="1:2" ht="14.4" x14ac:dyDescent="0.3">
      <c r="A1809" s="1" t="s">
        <v>619</v>
      </c>
      <c r="B1809" s="16">
        <v>18000000</v>
      </c>
    </row>
    <row r="1810" spans="1:2" ht="14.4" x14ac:dyDescent="0.3">
      <c r="A1810" s="1" t="s">
        <v>618</v>
      </c>
      <c r="B1810" s="16">
        <v>15000000</v>
      </c>
    </row>
    <row r="1811" spans="1:2" ht="14.4" x14ac:dyDescent="0.3">
      <c r="A1811" s="1" t="s">
        <v>617</v>
      </c>
      <c r="B1811" s="16">
        <v>36000000</v>
      </c>
    </row>
    <row r="1812" spans="1:2" ht="14.4" x14ac:dyDescent="0.3">
      <c r="A1812" s="1" t="s">
        <v>616</v>
      </c>
      <c r="B1812" s="16">
        <v>11000000</v>
      </c>
    </row>
    <row r="1813" spans="1:2" ht="14.4" x14ac:dyDescent="0.3">
      <c r="A1813" s="1" t="s">
        <v>615</v>
      </c>
      <c r="B1813" s="16">
        <v>6400000</v>
      </c>
    </row>
    <row r="1814" spans="1:2" ht="14.4" x14ac:dyDescent="0.3">
      <c r="A1814" s="1" t="s">
        <v>608</v>
      </c>
      <c r="B1814" s="16">
        <v>17800000</v>
      </c>
    </row>
    <row r="1815" spans="1:2" ht="14.4" x14ac:dyDescent="0.3">
      <c r="A1815" s="1" t="s">
        <v>614</v>
      </c>
      <c r="B1815" s="16">
        <v>12650000</v>
      </c>
    </row>
    <row r="1816" spans="1:2" ht="14.4" x14ac:dyDescent="0.3">
      <c r="A1816" s="1" t="s">
        <v>613</v>
      </c>
      <c r="B1816" s="16">
        <v>8500000</v>
      </c>
    </row>
    <row r="1817" spans="1:2" ht="14.4" x14ac:dyDescent="0.3">
      <c r="A1817" s="1" t="s">
        <v>612</v>
      </c>
      <c r="B1817" s="16">
        <v>9300000</v>
      </c>
    </row>
    <row r="1818" spans="1:2" ht="14.4" x14ac:dyDescent="0.3">
      <c r="A1818" s="1" t="s">
        <v>611</v>
      </c>
      <c r="B1818" s="16">
        <v>9500000</v>
      </c>
    </row>
    <row r="1819" spans="1:2" ht="14.4" x14ac:dyDescent="0.3">
      <c r="A1819" s="1" t="s">
        <v>610</v>
      </c>
      <c r="B1819" s="16">
        <v>20000000</v>
      </c>
    </row>
    <row r="1820" spans="1:2" ht="14.4" x14ac:dyDescent="0.3">
      <c r="A1820" s="1" t="s">
        <v>517</v>
      </c>
      <c r="B1820" s="16">
        <v>6900000</v>
      </c>
    </row>
    <row r="1821" spans="1:2" ht="14.4" x14ac:dyDescent="0.3">
      <c r="A1821" s="1" t="s">
        <v>609</v>
      </c>
      <c r="B1821" s="16">
        <v>13800000</v>
      </c>
    </row>
    <row r="1822" spans="1:2" ht="14.4" x14ac:dyDescent="0.3">
      <c r="A1822" s="1" t="s">
        <v>108</v>
      </c>
      <c r="B1822" s="16">
        <v>27000000</v>
      </c>
    </row>
    <row r="1823" spans="1:2" ht="14.4" x14ac:dyDescent="0.3">
      <c r="A1823" s="1" t="s">
        <v>607</v>
      </c>
      <c r="B1823" s="16">
        <v>10500000</v>
      </c>
    </row>
    <row r="1824" spans="1:2" ht="14.4" x14ac:dyDescent="0.3">
      <c r="A1824" s="1" t="s">
        <v>606</v>
      </c>
      <c r="B1824" s="16">
        <v>7000000</v>
      </c>
    </row>
    <row r="1825" spans="1:2" ht="14.4" x14ac:dyDescent="0.3">
      <c r="A1825" s="1" t="s">
        <v>115</v>
      </c>
      <c r="B1825" s="16">
        <v>37200000</v>
      </c>
    </row>
    <row r="1826" spans="1:2" ht="14.4" x14ac:dyDescent="0.3">
      <c r="A1826" s="1" t="s">
        <v>117</v>
      </c>
      <c r="B1826" s="16">
        <v>34200000</v>
      </c>
    </row>
    <row r="1827" spans="1:2" ht="14.4" x14ac:dyDescent="0.3">
      <c r="A1827" s="1" t="s">
        <v>605</v>
      </c>
      <c r="B1827" s="16">
        <v>5700000</v>
      </c>
    </row>
    <row r="1828" spans="1:2" ht="14.4" x14ac:dyDescent="0.3">
      <c r="A1828" s="1" t="s">
        <v>604</v>
      </c>
      <c r="B1828" s="16">
        <v>8000000</v>
      </c>
    </row>
    <row r="1829" spans="1:2" ht="14.4" x14ac:dyDescent="0.3">
      <c r="A1829" s="1" t="s">
        <v>603</v>
      </c>
      <c r="B1829" s="16">
        <v>6400000</v>
      </c>
    </row>
    <row r="1830" spans="1:2" ht="14.4" x14ac:dyDescent="0.3">
      <c r="A1830" s="1" t="s">
        <v>602</v>
      </c>
      <c r="B1830" s="16">
        <v>14700000</v>
      </c>
    </row>
    <row r="1831" spans="1:2" ht="14.4" x14ac:dyDescent="0.3">
      <c r="A1831" s="1" t="s">
        <v>601</v>
      </c>
      <c r="B1831" s="16">
        <v>5850000</v>
      </c>
    </row>
    <row r="1832" spans="1:2" ht="14.4" x14ac:dyDescent="0.3">
      <c r="A1832" s="1" t="s">
        <v>600</v>
      </c>
      <c r="B1832" s="16">
        <v>8300000</v>
      </c>
    </row>
    <row r="1833" spans="1:2" ht="14.4" x14ac:dyDescent="0.3">
      <c r="A1833" s="1" t="s">
        <v>599</v>
      </c>
      <c r="B1833" s="16">
        <v>9300000</v>
      </c>
    </row>
    <row r="1834" spans="1:2" ht="14.4" x14ac:dyDescent="0.3">
      <c r="A1834" s="1" t="s">
        <v>598</v>
      </c>
      <c r="B1834" s="16">
        <v>4400000</v>
      </c>
    </row>
    <row r="1835" spans="1:2" ht="14.4" x14ac:dyDescent="0.3">
      <c r="A1835" s="1" t="s">
        <v>597</v>
      </c>
      <c r="B1835" s="16">
        <v>8650000</v>
      </c>
    </row>
    <row r="1836" spans="1:2" ht="14.4" x14ac:dyDescent="0.3">
      <c r="A1836" s="1" t="s">
        <v>596</v>
      </c>
      <c r="B1836" s="16">
        <v>7000000</v>
      </c>
    </row>
    <row r="1837" spans="1:2" ht="14.4" x14ac:dyDescent="0.3">
      <c r="A1837" s="1" t="s">
        <v>179</v>
      </c>
      <c r="B1837" s="16">
        <v>15500000</v>
      </c>
    </row>
    <row r="1838" spans="1:2" ht="14.4" x14ac:dyDescent="0.3">
      <c r="A1838" s="1" t="s">
        <v>595</v>
      </c>
      <c r="B1838" s="16">
        <v>18250000</v>
      </c>
    </row>
    <row r="1839" spans="1:2" ht="14.4" x14ac:dyDescent="0.3">
      <c r="A1839" s="1" t="s">
        <v>594</v>
      </c>
      <c r="B1839" s="16">
        <v>17650000</v>
      </c>
    </row>
    <row r="1840" spans="1:2" ht="14.4" x14ac:dyDescent="0.3">
      <c r="A1840" s="1" t="s">
        <v>593</v>
      </c>
      <c r="B1840" s="16">
        <v>8000000</v>
      </c>
    </row>
    <row r="1841" spans="1:2" ht="14.4" x14ac:dyDescent="0.3">
      <c r="A1841" s="1" t="s">
        <v>592</v>
      </c>
      <c r="B1841" s="16">
        <v>17700000</v>
      </c>
    </row>
    <row r="1842" spans="1:2" ht="14.4" x14ac:dyDescent="0.3">
      <c r="A1842" s="1" t="s">
        <v>591</v>
      </c>
      <c r="B1842" s="16">
        <v>3500000</v>
      </c>
    </row>
    <row r="1843" spans="1:2" ht="14.4" x14ac:dyDescent="0.3">
      <c r="A1843" s="1" t="s">
        <v>590</v>
      </c>
      <c r="B1843" s="16">
        <v>10800000</v>
      </c>
    </row>
    <row r="1844" spans="1:2" ht="14.4" x14ac:dyDescent="0.3">
      <c r="A1844" s="1" t="s">
        <v>264</v>
      </c>
      <c r="B1844" s="16">
        <v>19800000</v>
      </c>
    </row>
    <row r="1845" spans="1:2" ht="14.4" x14ac:dyDescent="0.3">
      <c r="A1845" s="1" t="s">
        <v>589</v>
      </c>
      <c r="B1845" s="16">
        <v>5200000</v>
      </c>
    </row>
    <row r="1846" spans="1:2" ht="14.4" x14ac:dyDescent="0.3">
      <c r="A1846" s="1" t="s">
        <v>588</v>
      </c>
      <c r="B1846" s="16">
        <v>8900000</v>
      </c>
    </row>
    <row r="1847" spans="1:2" ht="14.4" x14ac:dyDescent="0.3">
      <c r="A1847" s="1" t="s">
        <v>587</v>
      </c>
      <c r="B1847" s="16">
        <v>8400000</v>
      </c>
    </row>
    <row r="1848" spans="1:2" ht="14.4" x14ac:dyDescent="0.3">
      <c r="A1848" s="1" t="s">
        <v>586</v>
      </c>
      <c r="B1848" s="16">
        <v>9000000</v>
      </c>
    </row>
    <row r="1849" spans="1:2" ht="14.4" x14ac:dyDescent="0.3">
      <c r="A1849" s="1" t="s">
        <v>585</v>
      </c>
      <c r="B1849" s="16">
        <v>15300000</v>
      </c>
    </row>
    <row r="1850" spans="1:2" ht="14.4" x14ac:dyDescent="0.3">
      <c r="A1850" s="1" t="s">
        <v>584</v>
      </c>
      <c r="B1850" s="16">
        <v>19900000</v>
      </c>
    </row>
    <row r="1851" spans="1:2" ht="14.4" x14ac:dyDescent="0.3">
      <c r="A1851" s="1" t="s">
        <v>583</v>
      </c>
      <c r="B1851" s="16">
        <v>13300000</v>
      </c>
    </row>
    <row r="1852" spans="1:2" ht="14.4" x14ac:dyDescent="0.3">
      <c r="A1852" s="1" t="s">
        <v>251</v>
      </c>
      <c r="B1852" s="16">
        <v>13490000</v>
      </c>
    </row>
    <row r="1853" spans="1:2" ht="14.4" x14ac:dyDescent="0.3">
      <c r="A1853" s="1" t="s">
        <v>582</v>
      </c>
      <c r="B1853" s="16">
        <v>15000000</v>
      </c>
    </row>
    <row r="1854" spans="1:2" ht="14.4" x14ac:dyDescent="0.3">
      <c r="A1854" s="1" t="s">
        <v>581</v>
      </c>
      <c r="B1854" s="16">
        <v>9300000</v>
      </c>
    </row>
    <row r="1855" spans="1:2" ht="14.4" x14ac:dyDescent="0.3">
      <c r="A1855" s="1" t="s">
        <v>580</v>
      </c>
      <c r="B1855" s="16">
        <v>15000000</v>
      </c>
    </row>
    <row r="1856" spans="1:2" ht="14.4" x14ac:dyDescent="0.3">
      <c r="A1856" s="1" t="s">
        <v>579</v>
      </c>
      <c r="B1856" s="16">
        <v>6800000</v>
      </c>
    </row>
    <row r="1857" spans="1:2" ht="14.4" x14ac:dyDescent="0.3">
      <c r="A1857" s="1" t="s">
        <v>578</v>
      </c>
      <c r="B1857" s="16">
        <v>8500000</v>
      </c>
    </row>
    <row r="1858" spans="1:2" ht="14.4" x14ac:dyDescent="0.3">
      <c r="A1858" s="1" t="s">
        <v>577</v>
      </c>
      <c r="B1858" s="16">
        <v>10000000</v>
      </c>
    </row>
    <row r="1859" spans="1:2" ht="14.4" x14ac:dyDescent="0.3">
      <c r="A1859" s="1" t="s">
        <v>576</v>
      </c>
      <c r="B1859" s="16">
        <v>27500000</v>
      </c>
    </row>
    <row r="1860" spans="1:2" ht="14.4" x14ac:dyDescent="0.3">
      <c r="A1860" s="1" t="s">
        <v>575</v>
      </c>
      <c r="B1860" s="16">
        <v>12000000</v>
      </c>
    </row>
    <row r="1861" spans="1:2" ht="14.4" x14ac:dyDescent="0.3">
      <c r="A1861" s="1" t="s">
        <v>568</v>
      </c>
      <c r="B1861" s="16">
        <v>9250000</v>
      </c>
    </row>
    <row r="1862" spans="1:2" ht="14.4" x14ac:dyDescent="0.3">
      <c r="A1862" s="1" t="s">
        <v>574</v>
      </c>
      <c r="B1862" s="16">
        <v>11300000</v>
      </c>
    </row>
    <row r="1863" spans="1:2" ht="14.4" x14ac:dyDescent="0.3">
      <c r="A1863" s="1" t="s">
        <v>573</v>
      </c>
      <c r="B1863" s="16">
        <v>10600000</v>
      </c>
    </row>
    <row r="1864" spans="1:2" ht="14.4" x14ac:dyDescent="0.3">
      <c r="A1864" s="1" t="s">
        <v>572</v>
      </c>
      <c r="B1864" s="16">
        <v>8200000</v>
      </c>
    </row>
    <row r="1865" spans="1:2" ht="14.4" x14ac:dyDescent="0.3">
      <c r="A1865" s="1" t="s">
        <v>571</v>
      </c>
      <c r="B1865" s="16">
        <v>16800000</v>
      </c>
    </row>
    <row r="1866" spans="1:2" ht="14.4" x14ac:dyDescent="0.3">
      <c r="A1866" s="1" t="s">
        <v>570</v>
      </c>
      <c r="B1866" s="16">
        <v>12700000</v>
      </c>
    </row>
    <row r="1867" spans="1:2" ht="14.4" x14ac:dyDescent="0.3">
      <c r="A1867" s="1" t="s">
        <v>569</v>
      </c>
      <c r="B1867" s="16">
        <v>27953100</v>
      </c>
    </row>
    <row r="1868" spans="1:2" ht="14.4" x14ac:dyDescent="0.3">
      <c r="A1868" s="1" t="s">
        <v>567</v>
      </c>
      <c r="B1868" s="16">
        <v>48476099</v>
      </c>
    </row>
    <row r="1869" spans="1:2" ht="14.4" x14ac:dyDescent="0.3">
      <c r="A1869" s="1" t="s">
        <v>566</v>
      </c>
      <c r="B1869" s="16">
        <v>16000000</v>
      </c>
    </row>
    <row r="1870" spans="1:2" ht="14.4" x14ac:dyDescent="0.3">
      <c r="A1870" s="1" t="s">
        <v>565</v>
      </c>
      <c r="B1870" s="16">
        <v>11700000</v>
      </c>
    </row>
    <row r="1871" spans="1:2" ht="14.4" x14ac:dyDescent="0.3">
      <c r="A1871" s="1" t="s">
        <v>564</v>
      </c>
      <c r="B1871" s="16">
        <v>9150000</v>
      </c>
    </row>
    <row r="1872" spans="1:2" ht="14.4" x14ac:dyDescent="0.3">
      <c r="A1872" s="1" t="s">
        <v>563</v>
      </c>
      <c r="B1872" s="16">
        <v>52300000</v>
      </c>
    </row>
    <row r="1873" spans="1:2" ht="14.4" x14ac:dyDescent="0.3">
      <c r="A1873" s="1" t="s">
        <v>562</v>
      </c>
      <c r="B1873" s="16">
        <v>10900000</v>
      </c>
    </row>
    <row r="1874" spans="1:2" ht="14.4" x14ac:dyDescent="0.3">
      <c r="A1874" s="1" t="s">
        <v>561</v>
      </c>
      <c r="B1874" s="16">
        <v>8550000</v>
      </c>
    </row>
    <row r="1875" spans="1:2" ht="14.4" x14ac:dyDescent="0.3">
      <c r="A1875" s="1" t="s">
        <v>560</v>
      </c>
      <c r="B1875" s="16">
        <v>15500000</v>
      </c>
    </row>
    <row r="1876" spans="1:2" ht="14.4" x14ac:dyDescent="0.3">
      <c r="A1876" s="1" t="s">
        <v>559</v>
      </c>
      <c r="B1876" s="16">
        <v>45290000</v>
      </c>
    </row>
    <row r="1877" spans="1:2" ht="14.4" x14ac:dyDescent="0.3">
      <c r="A1877" s="1" t="s">
        <v>558</v>
      </c>
      <c r="B1877" s="16">
        <v>22200000</v>
      </c>
    </row>
    <row r="1878" spans="1:2" ht="14.4" x14ac:dyDescent="0.3">
      <c r="A1878" s="1" t="s">
        <v>557</v>
      </c>
      <c r="B1878" s="16">
        <v>14200000</v>
      </c>
    </row>
    <row r="1879" spans="1:2" ht="14.4" x14ac:dyDescent="0.3">
      <c r="A1879" s="1" t="s">
        <v>533</v>
      </c>
      <c r="B1879" s="16">
        <v>39151000</v>
      </c>
    </row>
    <row r="1880" spans="1:2" ht="14.4" x14ac:dyDescent="0.3">
      <c r="A1880" s="1" t="s">
        <v>556</v>
      </c>
      <c r="B1880" s="16">
        <v>10200000</v>
      </c>
    </row>
    <row r="1881" spans="1:2" ht="14.4" x14ac:dyDescent="0.3">
      <c r="A1881" s="1" t="s">
        <v>555</v>
      </c>
      <c r="B1881" s="16">
        <v>26500000</v>
      </c>
    </row>
    <row r="1882" spans="1:2" ht="14.4" x14ac:dyDescent="0.3">
      <c r="A1882" s="1" t="s">
        <v>554</v>
      </c>
      <c r="B1882" s="16">
        <v>10000000</v>
      </c>
    </row>
    <row r="1883" spans="1:2" ht="14.4" x14ac:dyDescent="0.3">
      <c r="A1883" s="1" t="s">
        <v>553</v>
      </c>
      <c r="B1883" s="16">
        <v>14000000</v>
      </c>
    </row>
    <row r="1884" spans="1:2" ht="14.4" x14ac:dyDescent="0.3">
      <c r="A1884" s="1" t="s">
        <v>552</v>
      </c>
      <c r="B1884" s="16">
        <v>10000000</v>
      </c>
    </row>
    <row r="1885" spans="1:2" ht="14.4" x14ac:dyDescent="0.3">
      <c r="A1885" s="1" t="s">
        <v>551</v>
      </c>
      <c r="B1885" s="16">
        <v>18500000</v>
      </c>
    </row>
    <row r="1886" spans="1:2" ht="14.4" x14ac:dyDescent="0.3">
      <c r="A1886" s="1" t="s">
        <v>550</v>
      </c>
      <c r="B1886" s="16">
        <v>8000000</v>
      </c>
    </row>
    <row r="1887" spans="1:2" ht="14.4" x14ac:dyDescent="0.3">
      <c r="A1887" s="1" t="s">
        <v>549</v>
      </c>
      <c r="B1887" s="16">
        <v>12300000</v>
      </c>
    </row>
    <row r="1888" spans="1:2" ht="14.4" x14ac:dyDescent="0.3">
      <c r="A1888" s="1" t="s">
        <v>548</v>
      </c>
      <c r="B1888" s="16">
        <v>8300000</v>
      </c>
    </row>
    <row r="1889" spans="1:2" ht="14.4" x14ac:dyDescent="0.3">
      <c r="A1889" s="1" t="s">
        <v>547</v>
      </c>
      <c r="B1889" s="16">
        <v>10900000</v>
      </c>
    </row>
    <row r="1890" spans="1:2" ht="14.4" x14ac:dyDescent="0.3">
      <c r="A1890" s="1" t="s">
        <v>546</v>
      </c>
      <c r="B1890" s="16">
        <v>30000000</v>
      </c>
    </row>
    <row r="1891" spans="1:2" ht="14.4" x14ac:dyDescent="0.3">
      <c r="A1891" s="1" t="s">
        <v>545</v>
      </c>
      <c r="B1891" s="16">
        <v>14250000</v>
      </c>
    </row>
    <row r="1892" spans="1:2" ht="14.4" x14ac:dyDescent="0.3">
      <c r="A1892" s="1" t="s">
        <v>543</v>
      </c>
      <c r="B1892" s="16">
        <v>12200000</v>
      </c>
    </row>
    <row r="1893" spans="1:2" ht="14.4" x14ac:dyDescent="0.3">
      <c r="A1893" s="1" t="s">
        <v>544</v>
      </c>
      <c r="B1893" s="16">
        <v>13000000</v>
      </c>
    </row>
    <row r="1894" spans="1:2" ht="14.4" x14ac:dyDescent="0.3">
      <c r="A1894" s="1" t="s">
        <v>542</v>
      </c>
      <c r="B1894" s="16">
        <v>10000000</v>
      </c>
    </row>
    <row r="1895" spans="1:2" ht="14.4" x14ac:dyDescent="0.3">
      <c r="A1895" s="1" t="s">
        <v>541</v>
      </c>
      <c r="B1895" s="16">
        <v>12000000</v>
      </c>
    </row>
    <row r="1896" spans="1:2" ht="14.4" x14ac:dyDescent="0.3">
      <c r="A1896" s="1" t="s">
        <v>540</v>
      </c>
      <c r="B1896" s="16">
        <v>30320000</v>
      </c>
    </row>
    <row r="1897" spans="1:2" ht="14.4" x14ac:dyDescent="0.3">
      <c r="A1897" s="1" t="s">
        <v>539</v>
      </c>
      <c r="B1897" s="16">
        <v>12000000</v>
      </c>
    </row>
    <row r="1898" spans="1:2" ht="14.4" x14ac:dyDescent="0.3">
      <c r="A1898" s="1" t="s">
        <v>538</v>
      </c>
      <c r="B1898" s="16">
        <v>17000000</v>
      </c>
    </row>
    <row r="1899" spans="1:2" ht="14.4" x14ac:dyDescent="0.3">
      <c r="A1899" s="1" t="s">
        <v>537</v>
      </c>
      <c r="B1899" s="16">
        <v>30000000</v>
      </c>
    </row>
    <row r="1900" spans="1:2" ht="14.4" x14ac:dyDescent="0.3">
      <c r="A1900" s="1" t="s">
        <v>259</v>
      </c>
      <c r="B1900" s="16">
        <v>16000000</v>
      </c>
    </row>
    <row r="1901" spans="1:2" ht="14.4" x14ac:dyDescent="0.3">
      <c r="A1901" s="1" t="s">
        <v>536</v>
      </c>
      <c r="B1901" s="16">
        <v>8200000</v>
      </c>
    </row>
    <row r="1902" spans="1:2" ht="14.4" x14ac:dyDescent="0.3">
      <c r="A1902" s="1" t="s">
        <v>535</v>
      </c>
      <c r="B1902" s="16">
        <v>8700000</v>
      </c>
    </row>
    <row r="1903" spans="1:2" ht="14.4" x14ac:dyDescent="0.3">
      <c r="A1903" s="1" t="s">
        <v>534</v>
      </c>
      <c r="B1903" s="16">
        <v>16500000</v>
      </c>
    </row>
    <row r="1904" spans="1:2" ht="14.4" x14ac:dyDescent="0.3">
      <c r="A1904" s="1" t="s">
        <v>226</v>
      </c>
      <c r="B1904" s="16">
        <v>15400000</v>
      </c>
    </row>
    <row r="1905" spans="1:2" ht="14.4" x14ac:dyDescent="0.3">
      <c r="A1905" s="1" t="s">
        <v>532</v>
      </c>
      <c r="B1905" s="16">
        <v>32237100</v>
      </c>
    </row>
    <row r="1906" spans="1:2" ht="14.4" x14ac:dyDescent="0.3">
      <c r="A1906" s="1" t="s">
        <v>531</v>
      </c>
      <c r="B1906" s="16">
        <v>5000000</v>
      </c>
    </row>
    <row r="1907" spans="1:2" ht="14.4" x14ac:dyDescent="0.3">
      <c r="A1907" s="1" t="s">
        <v>530</v>
      </c>
      <c r="B1907" s="16">
        <v>8000000</v>
      </c>
    </row>
    <row r="1908" spans="1:2" ht="14.4" x14ac:dyDescent="0.3">
      <c r="A1908" s="1" t="s">
        <v>529</v>
      </c>
      <c r="B1908" s="16">
        <v>25000000</v>
      </c>
    </row>
    <row r="1909" spans="1:2" ht="14.4" x14ac:dyDescent="0.3">
      <c r="A1909" s="1" t="s">
        <v>528</v>
      </c>
      <c r="B1909" s="16">
        <v>6500000</v>
      </c>
    </row>
    <row r="1910" spans="1:2" ht="14.4" x14ac:dyDescent="0.3">
      <c r="A1910" s="1" t="s">
        <v>527</v>
      </c>
      <c r="B1910" s="16">
        <v>14400000</v>
      </c>
    </row>
    <row r="1911" spans="1:2" ht="14.4" x14ac:dyDescent="0.3">
      <c r="A1911" s="1" t="s">
        <v>526</v>
      </c>
      <c r="B1911" s="16">
        <v>5500000</v>
      </c>
    </row>
    <row r="1912" spans="1:2" ht="14.4" x14ac:dyDescent="0.3">
      <c r="A1912" s="1" t="s">
        <v>513</v>
      </c>
      <c r="B1912" s="16">
        <v>11200000</v>
      </c>
    </row>
    <row r="1913" spans="1:2" ht="14.4" x14ac:dyDescent="0.3">
      <c r="A1913" s="1" t="s">
        <v>525</v>
      </c>
      <c r="B1913" s="16">
        <v>7000000</v>
      </c>
    </row>
    <row r="1914" spans="1:2" ht="14.4" x14ac:dyDescent="0.3">
      <c r="A1914" s="1" t="s">
        <v>524</v>
      </c>
      <c r="B1914" s="16">
        <v>9500000</v>
      </c>
    </row>
    <row r="1915" spans="1:2" ht="14.4" x14ac:dyDescent="0.3">
      <c r="A1915" s="1" t="s">
        <v>64</v>
      </c>
      <c r="B1915" s="16">
        <v>6300000</v>
      </c>
    </row>
    <row r="1916" spans="1:2" ht="14.4" x14ac:dyDescent="0.3">
      <c r="A1916" s="1" t="s">
        <v>523</v>
      </c>
      <c r="B1916" s="16">
        <v>9800000</v>
      </c>
    </row>
    <row r="1917" spans="1:2" ht="14.4" x14ac:dyDescent="0.3">
      <c r="A1917" s="1" t="s">
        <v>522</v>
      </c>
      <c r="B1917" s="16">
        <v>7300000</v>
      </c>
    </row>
    <row r="1918" spans="1:2" ht="14.4" x14ac:dyDescent="0.3">
      <c r="A1918" s="1" t="s">
        <v>521</v>
      </c>
      <c r="B1918" s="16">
        <v>7000000</v>
      </c>
    </row>
    <row r="1919" spans="1:2" ht="14.4" x14ac:dyDescent="0.3">
      <c r="A1919" s="1" t="s">
        <v>520</v>
      </c>
      <c r="B1919" s="16">
        <v>6800000</v>
      </c>
    </row>
    <row r="1920" spans="1:2" ht="14.4" x14ac:dyDescent="0.3">
      <c r="A1920" s="1" t="s">
        <v>519</v>
      </c>
      <c r="B1920" s="16">
        <v>14000000</v>
      </c>
    </row>
    <row r="1921" spans="1:2" ht="14.4" x14ac:dyDescent="0.3">
      <c r="A1921" s="1" t="s">
        <v>518</v>
      </c>
      <c r="B1921" s="16">
        <v>11000000</v>
      </c>
    </row>
    <row r="1922" spans="1:2" ht="14.4" x14ac:dyDescent="0.3">
      <c r="A1922" s="1" t="s">
        <v>112</v>
      </c>
      <c r="B1922" s="16">
        <v>24000000</v>
      </c>
    </row>
    <row r="1923" spans="1:2" ht="14.4" x14ac:dyDescent="0.3">
      <c r="A1923" s="1" t="s">
        <v>517</v>
      </c>
      <c r="B1923" s="16">
        <v>8990000</v>
      </c>
    </row>
    <row r="1924" spans="1:2" ht="14.4" x14ac:dyDescent="0.3">
      <c r="A1924" s="1" t="s">
        <v>515</v>
      </c>
      <c r="B1924" s="16">
        <v>9200000</v>
      </c>
    </row>
    <row r="1925" spans="1:2" ht="14.4" x14ac:dyDescent="0.3">
      <c r="A1925" s="1" t="s">
        <v>516</v>
      </c>
      <c r="B1925" s="16">
        <v>9250000</v>
      </c>
    </row>
    <row r="1926" spans="1:2" ht="14.4" x14ac:dyDescent="0.3">
      <c r="A1926" s="1" t="s">
        <v>514</v>
      </c>
      <c r="B1926" s="16">
        <v>6000000</v>
      </c>
    </row>
    <row r="1927" spans="1:2" ht="14.4" x14ac:dyDescent="0.3">
      <c r="A1927" s="1" t="s">
        <v>512</v>
      </c>
      <c r="B1927" s="16">
        <v>4700000</v>
      </c>
    </row>
    <row r="1928" spans="1:2" ht="14.4" x14ac:dyDescent="0.3">
      <c r="A1928" s="1" t="s">
        <v>511</v>
      </c>
      <c r="B1928" s="16">
        <v>4500000</v>
      </c>
    </row>
    <row r="1929" spans="1:2" ht="14.4" x14ac:dyDescent="0.3">
      <c r="A1929" s="1" t="s">
        <v>510</v>
      </c>
      <c r="B1929" s="16">
        <v>9500000</v>
      </c>
    </row>
    <row r="1930" spans="1:2" ht="14.4" x14ac:dyDescent="0.3">
      <c r="A1930" s="1" t="s">
        <v>509</v>
      </c>
      <c r="B1930" s="16">
        <v>10700000</v>
      </c>
    </row>
    <row r="1931" spans="1:2" ht="14.4" x14ac:dyDescent="0.3">
      <c r="A1931" s="1" t="s">
        <v>508</v>
      </c>
      <c r="B1931" s="16">
        <v>10000000</v>
      </c>
    </row>
    <row r="1932" spans="1:2" ht="14.4" x14ac:dyDescent="0.3">
      <c r="A1932" s="1" t="s">
        <v>507</v>
      </c>
      <c r="B1932" s="16">
        <v>10600000</v>
      </c>
    </row>
    <row r="1933" spans="1:2" ht="14.4" x14ac:dyDescent="0.3">
      <c r="A1933" s="1" t="s">
        <v>506</v>
      </c>
      <c r="B1933" s="16">
        <v>26525100</v>
      </c>
    </row>
    <row r="1934" spans="1:2" ht="14.4" x14ac:dyDescent="0.3">
      <c r="A1934" s="1" t="s">
        <v>505</v>
      </c>
      <c r="B1934" s="16">
        <v>7400000</v>
      </c>
    </row>
    <row r="1935" spans="1:2" ht="14.4" x14ac:dyDescent="0.3">
      <c r="A1935" s="1" t="s">
        <v>504</v>
      </c>
      <c r="B1935" s="16">
        <v>46000000</v>
      </c>
    </row>
    <row r="1936" spans="1:2" ht="14.4" x14ac:dyDescent="0.3">
      <c r="A1936" s="1" t="s">
        <v>503</v>
      </c>
      <c r="B1936" s="16">
        <v>8000000</v>
      </c>
    </row>
    <row r="1937" spans="1:2" ht="14.4" x14ac:dyDescent="0.3">
      <c r="A1937" s="1" t="s">
        <v>502</v>
      </c>
      <c r="B1937" s="16">
        <v>5500000</v>
      </c>
    </row>
    <row r="1938" spans="1:2" ht="14.4" x14ac:dyDescent="0.3">
      <c r="A1938" s="1" t="s">
        <v>501</v>
      </c>
      <c r="B1938" s="16">
        <v>15700000</v>
      </c>
    </row>
    <row r="1939" spans="1:2" ht="14.4" x14ac:dyDescent="0.3">
      <c r="A1939" s="1" t="s">
        <v>500</v>
      </c>
      <c r="B1939" s="16">
        <v>7000000</v>
      </c>
    </row>
    <row r="1940" spans="1:2" ht="14.4" x14ac:dyDescent="0.3">
      <c r="A1940" s="1" t="s">
        <v>499</v>
      </c>
      <c r="B1940" s="16">
        <v>16000000</v>
      </c>
    </row>
    <row r="1941" spans="1:2" ht="14.4" x14ac:dyDescent="0.3">
      <c r="A1941" s="1" t="s">
        <v>131</v>
      </c>
      <c r="B1941" s="16">
        <v>27000000</v>
      </c>
    </row>
    <row r="1942" spans="1:2" ht="14.4" x14ac:dyDescent="0.3">
      <c r="A1942" s="1" t="s">
        <v>498</v>
      </c>
      <c r="B1942" s="16">
        <v>16150000</v>
      </c>
    </row>
    <row r="1943" spans="1:2" ht="14.4" x14ac:dyDescent="0.3">
      <c r="A1943" s="1" t="s">
        <v>497</v>
      </c>
      <c r="B1943" s="16">
        <v>9000000</v>
      </c>
    </row>
    <row r="1944" spans="1:2" ht="14.4" x14ac:dyDescent="0.3">
      <c r="A1944" s="1" t="s">
        <v>70</v>
      </c>
      <c r="B1944" s="16">
        <v>6900000</v>
      </c>
    </row>
    <row r="1945" spans="1:2" ht="14.4" x14ac:dyDescent="0.3">
      <c r="A1945" s="1" t="s">
        <v>496</v>
      </c>
      <c r="B1945" s="16">
        <v>15000000</v>
      </c>
    </row>
    <row r="1946" spans="1:2" ht="14.4" x14ac:dyDescent="0.3">
      <c r="A1946" s="1" t="s">
        <v>310</v>
      </c>
      <c r="B1946" s="16">
        <v>22000000</v>
      </c>
    </row>
    <row r="1947" spans="1:2" ht="14.4" x14ac:dyDescent="0.3">
      <c r="A1947" s="1" t="s">
        <v>280</v>
      </c>
      <c r="B1947" s="16">
        <v>26200000</v>
      </c>
    </row>
    <row r="1948" spans="1:2" ht="14.4" x14ac:dyDescent="0.3">
      <c r="A1948" s="1" t="s">
        <v>495</v>
      </c>
      <c r="B1948" s="16">
        <v>15200000</v>
      </c>
    </row>
    <row r="1949" spans="1:2" ht="14.4" x14ac:dyDescent="0.3">
      <c r="A1949" s="1" t="s">
        <v>27</v>
      </c>
      <c r="B1949" s="16">
        <v>20000000</v>
      </c>
    </row>
    <row r="1950" spans="1:2" ht="14.4" x14ac:dyDescent="0.3">
      <c r="A1950" s="1" t="s">
        <v>494</v>
      </c>
      <c r="B1950" s="16">
        <v>9000000</v>
      </c>
    </row>
    <row r="1951" spans="1:2" ht="14.4" x14ac:dyDescent="0.3">
      <c r="A1951" s="1" t="s">
        <v>493</v>
      </c>
      <c r="B1951" s="16">
        <v>13500000</v>
      </c>
    </row>
    <row r="1952" spans="1:2" ht="14.4" x14ac:dyDescent="0.3">
      <c r="A1952" s="1" t="s">
        <v>492</v>
      </c>
      <c r="B1952" s="16">
        <v>3700000</v>
      </c>
    </row>
    <row r="1953" spans="1:2" ht="14.4" x14ac:dyDescent="0.3">
      <c r="A1953" s="1" t="s">
        <v>491</v>
      </c>
      <c r="B1953" s="16">
        <v>8500000</v>
      </c>
    </row>
    <row r="1954" spans="1:2" ht="14.4" x14ac:dyDescent="0.3">
      <c r="A1954" s="1" t="s">
        <v>490</v>
      </c>
      <c r="B1954" s="16">
        <v>4550000</v>
      </c>
    </row>
    <row r="1955" spans="1:2" ht="14.4" x14ac:dyDescent="0.3">
      <c r="A1955" s="1" t="s">
        <v>489</v>
      </c>
      <c r="B1955" s="16">
        <v>44811592</v>
      </c>
    </row>
    <row r="1956" spans="1:2" ht="14.4" x14ac:dyDescent="0.3">
      <c r="A1956" s="1" t="s">
        <v>488</v>
      </c>
      <c r="B1956" s="16">
        <v>19200000</v>
      </c>
    </row>
    <row r="1957" spans="1:2" ht="14.4" x14ac:dyDescent="0.3">
      <c r="A1957" s="1" t="s">
        <v>326</v>
      </c>
      <c r="B1957" s="16">
        <v>5200000</v>
      </c>
    </row>
    <row r="1958" spans="1:2" ht="14.4" x14ac:dyDescent="0.3">
      <c r="A1958" s="1" t="s">
        <v>487</v>
      </c>
      <c r="B1958" s="16">
        <v>8800000</v>
      </c>
    </row>
    <row r="1959" spans="1:2" ht="14.4" x14ac:dyDescent="0.3">
      <c r="A1959" s="1" t="s">
        <v>486</v>
      </c>
      <c r="B1959" s="16">
        <v>15500000</v>
      </c>
    </row>
    <row r="1960" spans="1:2" ht="14.4" x14ac:dyDescent="0.3">
      <c r="A1960" s="1" t="s">
        <v>485</v>
      </c>
      <c r="B1960" s="16">
        <v>12100000</v>
      </c>
    </row>
    <row r="1961" spans="1:2" ht="14.4" x14ac:dyDescent="0.3">
      <c r="A1961" s="1" t="s">
        <v>484</v>
      </c>
      <c r="B1961" s="16">
        <v>14000000</v>
      </c>
    </row>
    <row r="1962" spans="1:2" ht="14.4" x14ac:dyDescent="0.3">
      <c r="A1962" s="1" t="s">
        <v>483</v>
      </c>
      <c r="B1962" s="16">
        <v>7300000</v>
      </c>
    </row>
    <row r="1963" spans="1:2" ht="14.4" x14ac:dyDescent="0.3">
      <c r="A1963" s="1" t="s">
        <v>482</v>
      </c>
      <c r="B1963" s="16">
        <v>16750000</v>
      </c>
    </row>
    <row r="1964" spans="1:2" ht="14.4" x14ac:dyDescent="0.3">
      <c r="A1964" s="1" t="s">
        <v>481</v>
      </c>
      <c r="B1964" s="16">
        <v>11300000</v>
      </c>
    </row>
    <row r="1965" spans="1:2" ht="14.4" x14ac:dyDescent="0.3">
      <c r="A1965" s="1" t="s">
        <v>480</v>
      </c>
      <c r="B1965" s="16">
        <v>24000000</v>
      </c>
    </row>
    <row r="1966" spans="1:2" ht="14.4" x14ac:dyDescent="0.3">
      <c r="A1966" s="1" t="s">
        <v>479</v>
      </c>
      <c r="B1966" s="16">
        <v>41200000</v>
      </c>
    </row>
    <row r="1967" spans="1:2" ht="14.4" x14ac:dyDescent="0.3">
      <c r="A1967" s="1" t="s">
        <v>478</v>
      </c>
      <c r="B1967" s="16">
        <v>6500000</v>
      </c>
    </row>
    <row r="1968" spans="1:2" ht="14.4" x14ac:dyDescent="0.3">
      <c r="A1968" s="1" t="s">
        <v>477</v>
      </c>
      <c r="B1968" s="16">
        <v>14500000</v>
      </c>
    </row>
    <row r="1969" spans="1:2" ht="14.4" x14ac:dyDescent="0.3">
      <c r="A1969" s="1" t="s">
        <v>476</v>
      </c>
      <c r="B1969" s="16">
        <v>22100000</v>
      </c>
    </row>
    <row r="1970" spans="1:2" ht="14.4" x14ac:dyDescent="0.3">
      <c r="A1970" s="1" t="s">
        <v>465</v>
      </c>
      <c r="B1970" s="16">
        <v>10000000</v>
      </c>
    </row>
    <row r="1971" spans="1:2" ht="14.4" x14ac:dyDescent="0.3">
      <c r="A1971" s="1" t="s">
        <v>475</v>
      </c>
      <c r="B1971" s="16">
        <v>6900000</v>
      </c>
    </row>
    <row r="1972" spans="1:2" ht="14.4" x14ac:dyDescent="0.3">
      <c r="A1972" s="1" t="s">
        <v>473</v>
      </c>
      <c r="B1972" s="16">
        <v>11800000</v>
      </c>
    </row>
    <row r="1973" spans="1:2" ht="14.4" x14ac:dyDescent="0.3">
      <c r="A1973" s="1" t="s">
        <v>474</v>
      </c>
      <c r="B1973" s="16">
        <v>37300000</v>
      </c>
    </row>
    <row r="1974" spans="1:2" ht="14.4" x14ac:dyDescent="0.3">
      <c r="A1974" s="1" t="s">
        <v>472</v>
      </c>
      <c r="B1974" s="16">
        <v>5500000</v>
      </c>
    </row>
    <row r="1975" spans="1:2" ht="14.4" x14ac:dyDescent="0.3">
      <c r="A1975" s="1" t="s">
        <v>246</v>
      </c>
      <c r="B1975" s="16">
        <v>8800000</v>
      </c>
    </row>
    <row r="1976" spans="1:2" ht="14.4" x14ac:dyDescent="0.3">
      <c r="A1976" s="1" t="s">
        <v>471</v>
      </c>
      <c r="B1976" s="16">
        <v>11500000</v>
      </c>
    </row>
    <row r="1977" spans="1:2" ht="14.4" x14ac:dyDescent="0.3">
      <c r="A1977" s="1" t="s">
        <v>470</v>
      </c>
      <c r="B1977" s="16">
        <v>10000000</v>
      </c>
    </row>
    <row r="1978" spans="1:2" ht="14.4" x14ac:dyDescent="0.3">
      <c r="A1978" s="1" t="s">
        <v>466</v>
      </c>
      <c r="B1978" s="16">
        <v>7000000</v>
      </c>
    </row>
    <row r="1979" spans="1:2" ht="14.4" x14ac:dyDescent="0.3">
      <c r="A1979" s="1" t="s">
        <v>299</v>
      </c>
      <c r="B1979" s="16">
        <v>16400000</v>
      </c>
    </row>
    <row r="1980" spans="1:2" ht="14.4" x14ac:dyDescent="0.3">
      <c r="A1980" s="1" t="s">
        <v>469</v>
      </c>
      <c r="B1980" s="16">
        <v>10000000</v>
      </c>
    </row>
    <row r="1981" spans="1:2" ht="14.4" x14ac:dyDescent="0.3">
      <c r="A1981" s="1" t="s">
        <v>468</v>
      </c>
      <c r="B1981" s="16">
        <v>6600000</v>
      </c>
    </row>
    <row r="1982" spans="1:2" ht="14.4" x14ac:dyDescent="0.3">
      <c r="A1982" s="1" t="s">
        <v>461</v>
      </c>
      <c r="B1982" s="16">
        <v>8000000</v>
      </c>
    </row>
    <row r="1983" spans="1:2" ht="14.4" x14ac:dyDescent="0.3">
      <c r="A1983" s="1" t="s">
        <v>467</v>
      </c>
      <c r="B1983" s="16">
        <v>5900000</v>
      </c>
    </row>
    <row r="1984" spans="1:2" ht="14.4" x14ac:dyDescent="0.3">
      <c r="A1984" s="1" t="s">
        <v>464</v>
      </c>
      <c r="B1984" s="16">
        <v>7850000</v>
      </c>
    </row>
    <row r="1985" spans="1:2" ht="14.4" x14ac:dyDescent="0.3">
      <c r="A1985" s="1" t="s">
        <v>456</v>
      </c>
      <c r="B1985" s="16">
        <v>11000000</v>
      </c>
    </row>
    <row r="1986" spans="1:2" ht="14.4" x14ac:dyDescent="0.3">
      <c r="A1986" s="1" t="s">
        <v>463</v>
      </c>
      <c r="B1986" s="16">
        <v>10000000</v>
      </c>
    </row>
    <row r="1987" spans="1:2" ht="14.4" x14ac:dyDescent="0.3">
      <c r="A1987" s="1" t="s">
        <v>462</v>
      </c>
      <c r="B1987" s="16">
        <v>9000000</v>
      </c>
    </row>
    <row r="1988" spans="1:2" ht="14.4" x14ac:dyDescent="0.3">
      <c r="A1988" s="1" t="s">
        <v>460</v>
      </c>
      <c r="B1988" s="16">
        <v>6300000</v>
      </c>
    </row>
    <row r="1989" spans="1:2" ht="14.4" x14ac:dyDescent="0.3">
      <c r="A1989" s="1" t="s">
        <v>459</v>
      </c>
      <c r="B1989" s="16">
        <v>9200000</v>
      </c>
    </row>
    <row r="1990" spans="1:2" ht="14.4" x14ac:dyDescent="0.3">
      <c r="A1990" s="1" t="s">
        <v>458</v>
      </c>
      <c r="B1990" s="16">
        <v>9200000</v>
      </c>
    </row>
    <row r="1991" spans="1:2" ht="14.4" x14ac:dyDescent="0.3">
      <c r="A1991" s="1" t="s">
        <v>449</v>
      </c>
      <c r="B1991" s="16">
        <v>6300000</v>
      </c>
    </row>
    <row r="1992" spans="1:2" ht="14.4" x14ac:dyDescent="0.3">
      <c r="A1992" s="1" t="s">
        <v>457</v>
      </c>
      <c r="B1992" s="16">
        <v>9750000</v>
      </c>
    </row>
    <row r="1993" spans="1:2" ht="14.4" x14ac:dyDescent="0.3">
      <c r="A1993" s="1" t="s">
        <v>455</v>
      </c>
      <c r="B1993" s="16">
        <v>36000000</v>
      </c>
    </row>
    <row r="1994" spans="1:2" ht="14.4" x14ac:dyDescent="0.3">
      <c r="A1994" s="1" t="s">
        <v>454</v>
      </c>
      <c r="B1994" s="16">
        <v>6600000</v>
      </c>
    </row>
    <row r="1995" spans="1:2" ht="14.4" x14ac:dyDescent="0.3">
      <c r="A1995" s="1" t="s">
        <v>453</v>
      </c>
      <c r="B1995" s="16">
        <v>7100000</v>
      </c>
    </row>
    <row r="1996" spans="1:2" ht="14.4" x14ac:dyDescent="0.3">
      <c r="A1996" s="1" t="s">
        <v>452</v>
      </c>
      <c r="B1996" s="16">
        <v>36000000</v>
      </c>
    </row>
    <row r="1997" spans="1:2" ht="14.4" x14ac:dyDescent="0.3">
      <c r="A1997" s="1" t="s">
        <v>451</v>
      </c>
      <c r="B1997" s="16">
        <v>7500000</v>
      </c>
    </row>
    <row r="1998" spans="1:2" ht="14.4" x14ac:dyDescent="0.3">
      <c r="A1998" s="1" t="s">
        <v>450</v>
      </c>
      <c r="B1998" s="16">
        <v>30000000</v>
      </c>
    </row>
    <row r="1999" spans="1:2" ht="14.4" x14ac:dyDescent="0.3">
      <c r="A1999" s="1" t="s">
        <v>448</v>
      </c>
      <c r="B1999" s="16">
        <v>10000000</v>
      </c>
    </row>
    <row r="2000" spans="1:2" ht="14.4" x14ac:dyDescent="0.3">
      <c r="A2000" s="1" t="s">
        <v>447</v>
      </c>
      <c r="B2000" s="16">
        <v>8150000</v>
      </c>
    </row>
    <row r="2001" spans="1:2" ht="14.4" x14ac:dyDescent="0.3">
      <c r="A2001" s="1" t="s">
        <v>446</v>
      </c>
      <c r="B2001" s="16">
        <v>18000000</v>
      </c>
    </row>
    <row r="2002" spans="1:2" ht="14.4" x14ac:dyDescent="0.3">
      <c r="A2002" s="1" t="s">
        <v>445</v>
      </c>
      <c r="B2002" s="16">
        <v>4900000</v>
      </c>
    </row>
    <row r="2003" spans="1:2" ht="14.4" x14ac:dyDescent="0.3">
      <c r="A2003" s="1" t="s">
        <v>444</v>
      </c>
      <c r="B2003" s="16">
        <v>6000000</v>
      </c>
    </row>
    <row r="2004" spans="1:2" ht="14.4" x14ac:dyDescent="0.3">
      <c r="A2004" s="1" t="s">
        <v>443</v>
      </c>
      <c r="B2004" s="16">
        <v>12000000</v>
      </c>
    </row>
    <row r="2005" spans="1:2" ht="14.4" x14ac:dyDescent="0.3">
      <c r="A2005" s="1" t="s">
        <v>198</v>
      </c>
      <c r="B2005" s="16">
        <v>28000000</v>
      </c>
    </row>
    <row r="2006" spans="1:2" ht="14.4" x14ac:dyDescent="0.3">
      <c r="A2006" s="1" t="s">
        <v>442</v>
      </c>
      <c r="B2006" s="16">
        <v>9000000</v>
      </c>
    </row>
    <row r="2007" spans="1:2" ht="14.4" x14ac:dyDescent="0.3">
      <c r="A2007" s="1" t="s">
        <v>441</v>
      </c>
      <c r="B2007" s="16">
        <v>25350000</v>
      </c>
    </row>
    <row r="2008" spans="1:2" ht="14.4" x14ac:dyDescent="0.3">
      <c r="A2008" s="1" t="s">
        <v>440</v>
      </c>
      <c r="B2008" s="16">
        <v>10500000</v>
      </c>
    </row>
    <row r="2009" spans="1:2" ht="14.4" x14ac:dyDescent="0.3">
      <c r="A2009" s="1" t="s">
        <v>439</v>
      </c>
      <c r="B2009" s="16">
        <v>4450000</v>
      </c>
    </row>
    <row r="2010" spans="1:2" ht="14.4" x14ac:dyDescent="0.3">
      <c r="A2010" s="1" t="s">
        <v>438</v>
      </c>
      <c r="B2010" s="16">
        <v>6900000</v>
      </c>
    </row>
    <row r="2011" spans="1:2" ht="14.4" x14ac:dyDescent="0.3">
      <c r="A2011" s="1" t="s">
        <v>126</v>
      </c>
      <c r="B2011" s="16">
        <v>26500000</v>
      </c>
    </row>
    <row r="2012" spans="1:2" ht="14.4" x14ac:dyDescent="0.3">
      <c r="A2012" s="1" t="s">
        <v>437</v>
      </c>
      <c r="B2012" s="16">
        <v>11300000</v>
      </c>
    </row>
    <row r="2013" spans="1:2" ht="14.4" x14ac:dyDescent="0.3">
      <c r="A2013" s="1" t="s">
        <v>436</v>
      </c>
      <c r="B2013" s="16">
        <v>11000000</v>
      </c>
    </row>
    <row r="2014" spans="1:2" ht="14.4" x14ac:dyDescent="0.3">
      <c r="A2014" s="1" t="s">
        <v>100</v>
      </c>
      <c r="B2014" s="16">
        <v>17500000</v>
      </c>
    </row>
    <row r="2015" spans="1:2" ht="14.4" x14ac:dyDescent="0.3">
      <c r="A2015" s="1" t="s">
        <v>435</v>
      </c>
      <c r="B2015" s="16">
        <v>6600000</v>
      </c>
    </row>
    <row r="2016" spans="1:2" ht="14.4" x14ac:dyDescent="0.3">
      <c r="A2016" s="1" t="s">
        <v>434</v>
      </c>
      <c r="B2016" s="16">
        <v>8800000</v>
      </c>
    </row>
    <row r="2017" spans="1:2" ht="14.4" x14ac:dyDescent="0.3">
      <c r="A2017" s="1" t="s">
        <v>433</v>
      </c>
      <c r="B2017" s="16">
        <v>12800000</v>
      </c>
    </row>
    <row r="2018" spans="1:2" ht="14.4" x14ac:dyDescent="0.3">
      <c r="A2018" s="1" t="s">
        <v>267</v>
      </c>
      <c r="B2018" s="16">
        <v>16500000</v>
      </c>
    </row>
    <row r="2019" spans="1:2" ht="14.4" x14ac:dyDescent="0.3">
      <c r="A2019" s="1" t="s">
        <v>236</v>
      </c>
      <c r="B2019" s="16">
        <v>18500000</v>
      </c>
    </row>
    <row r="2020" spans="1:2" ht="14.4" x14ac:dyDescent="0.3">
      <c r="A2020" s="1" t="s">
        <v>432</v>
      </c>
      <c r="B2020" s="16">
        <v>2700000</v>
      </c>
    </row>
    <row r="2021" spans="1:2" ht="14.4" x14ac:dyDescent="0.3">
      <c r="A2021" s="1" t="s">
        <v>89</v>
      </c>
      <c r="B2021" s="16">
        <v>23500000</v>
      </c>
    </row>
    <row r="2022" spans="1:2" ht="14.4" x14ac:dyDescent="0.3">
      <c r="A2022" s="1" t="s">
        <v>431</v>
      </c>
      <c r="B2022" s="16">
        <v>10500000</v>
      </c>
    </row>
    <row r="2023" spans="1:2" ht="14.4" x14ac:dyDescent="0.3">
      <c r="A2023" s="1" t="s">
        <v>430</v>
      </c>
      <c r="B2023" s="16">
        <v>5500000</v>
      </c>
    </row>
    <row r="2024" spans="1:2" ht="14.4" x14ac:dyDescent="0.3">
      <c r="A2024" s="1" t="s">
        <v>429</v>
      </c>
      <c r="B2024" s="16">
        <v>9700000</v>
      </c>
    </row>
    <row r="2025" spans="1:2" ht="14.4" x14ac:dyDescent="0.3">
      <c r="A2025" s="1" t="s">
        <v>284</v>
      </c>
      <c r="B2025" s="16">
        <v>29000000</v>
      </c>
    </row>
    <row r="2026" spans="1:2" ht="14.4" x14ac:dyDescent="0.3">
      <c r="A2026" s="1" t="s">
        <v>41</v>
      </c>
      <c r="B2026" s="16">
        <v>10000000</v>
      </c>
    </row>
    <row r="2027" spans="1:2" ht="14.4" x14ac:dyDescent="0.3">
      <c r="A2027" s="1" t="s">
        <v>427</v>
      </c>
      <c r="B2027" s="16">
        <v>12000000</v>
      </c>
    </row>
    <row r="2028" spans="1:2" ht="14.4" x14ac:dyDescent="0.3">
      <c r="A2028" s="1" t="s">
        <v>428</v>
      </c>
      <c r="B2028" s="16">
        <v>10700000</v>
      </c>
    </row>
    <row r="2029" spans="1:2" ht="14.4" x14ac:dyDescent="0.3">
      <c r="A2029" s="1" t="s">
        <v>426</v>
      </c>
      <c r="B2029" s="16">
        <v>16000000</v>
      </c>
    </row>
    <row r="2030" spans="1:2" ht="14.4" x14ac:dyDescent="0.3">
      <c r="A2030" s="1" t="s">
        <v>425</v>
      </c>
      <c r="B2030" s="16">
        <v>10000000</v>
      </c>
    </row>
    <row r="2031" spans="1:2" ht="14.4" x14ac:dyDescent="0.3">
      <c r="A2031" s="1" t="s">
        <v>424</v>
      </c>
      <c r="B2031" s="16">
        <v>12650000</v>
      </c>
    </row>
    <row r="2032" spans="1:2" ht="14.4" x14ac:dyDescent="0.3">
      <c r="A2032" s="1" t="s">
        <v>423</v>
      </c>
      <c r="B2032" s="16">
        <v>18300000</v>
      </c>
    </row>
    <row r="2033" spans="1:2" ht="14.4" x14ac:dyDescent="0.3">
      <c r="A2033" s="1" t="s">
        <v>230</v>
      </c>
      <c r="B2033" s="16">
        <v>8500000</v>
      </c>
    </row>
    <row r="2034" spans="1:2" ht="14.4" x14ac:dyDescent="0.3">
      <c r="A2034" s="1" t="s">
        <v>422</v>
      </c>
      <c r="B2034" s="16">
        <v>5200000</v>
      </c>
    </row>
    <row r="2035" spans="1:2" ht="14.4" x14ac:dyDescent="0.3">
      <c r="A2035" s="1" t="s">
        <v>421</v>
      </c>
      <c r="B2035" s="16">
        <v>24500000</v>
      </c>
    </row>
    <row r="2036" spans="1:2" ht="14.4" x14ac:dyDescent="0.3">
      <c r="A2036" s="1" t="s">
        <v>420</v>
      </c>
      <c r="B2036" s="16">
        <v>7000000</v>
      </c>
    </row>
    <row r="2037" spans="1:2" ht="14.4" x14ac:dyDescent="0.3">
      <c r="A2037" s="1" t="s">
        <v>415</v>
      </c>
      <c r="B2037" s="16">
        <v>9600000</v>
      </c>
    </row>
    <row r="2038" spans="1:2" ht="14.4" x14ac:dyDescent="0.3">
      <c r="A2038" s="1" t="s">
        <v>419</v>
      </c>
      <c r="B2038" s="16">
        <v>27600000</v>
      </c>
    </row>
    <row r="2039" spans="1:2" ht="14.4" x14ac:dyDescent="0.3">
      <c r="A2039" s="1" t="s">
        <v>418</v>
      </c>
      <c r="B2039" s="16">
        <v>16500000</v>
      </c>
    </row>
    <row r="2040" spans="1:2" ht="14.4" x14ac:dyDescent="0.3">
      <c r="A2040" s="1" t="s">
        <v>417</v>
      </c>
      <c r="B2040" s="16">
        <v>8100000</v>
      </c>
    </row>
    <row r="2041" spans="1:2" ht="14.4" x14ac:dyDescent="0.3">
      <c r="A2041" s="1" t="s">
        <v>416</v>
      </c>
      <c r="B2041" s="16">
        <v>28890000</v>
      </c>
    </row>
    <row r="2042" spans="1:2" ht="14.4" x14ac:dyDescent="0.3">
      <c r="A2042" s="1" t="s">
        <v>414</v>
      </c>
      <c r="B2042" s="16">
        <v>11300000</v>
      </c>
    </row>
    <row r="2043" spans="1:2" ht="14.4" x14ac:dyDescent="0.3">
      <c r="A2043" s="1" t="s">
        <v>413</v>
      </c>
      <c r="B2043" s="16">
        <v>9000000</v>
      </c>
    </row>
    <row r="2044" spans="1:2" ht="14.4" x14ac:dyDescent="0.3">
      <c r="A2044" s="1" t="s">
        <v>101</v>
      </c>
      <c r="B2044" s="16">
        <v>15400000</v>
      </c>
    </row>
    <row r="2045" spans="1:2" ht="14.4" x14ac:dyDescent="0.3">
      <c r="A2045" s="1" t="s">
        <v>412</v>
      </c>
      <c r="B2045" s="16">
        <v>7000000</v>
      </c>
    </row>
    <row r="2046" spans="1:2" ht="14.4" x14ac:dyDescent="0.3">
      <c r="A2046" s="1" t="s">
        <v>282</v>
      </c>
      <c r="B2046" s="16">
        <v>30400000</v>
      </c>
    </row>
    <row r="2047" spans="1:2" ht="14.4" x14ac:dyDescent="0.3">
      <c r="A2047" s="1" t="s">
        <v>128</v>
      </c>
      <c r="B2047" s="16">
        <v>39300000</v>
      </c>
    </row>
    <row r="2048" spans="1:2" ht="14.4" x14ac:dyDescent="0.3">
      <c r="A2048" s="1" t="s">
        <v>411</v>
      </c>
      <c r="B2048" s="16">
        <v>8600000</v>
      </c>
    </row>
    <row r="2049" spans="1:2" ht="14.4" x14ac:dyDescent="0.3">
      <c r="A2049" s="1" t="s">
        <v>410</v>
      </c>
      <c r="B2049" s="16">
        <v>8500000</v>
      </c>
    </row>
    <row r="2050" spans="1:2" ht="14.4" x14ac:dyDescent="0.3">
      <c r="A2050" s="1" t="s">
        <v>409</v>
      </c>
      <c r="B2050" s="16">
        <v>16000000</v>
      </c>
    </row>
    <row r="2051" spans="1:2" ht="14.4" x14ac:dyDescent="0.3">
      <c r="A2051" s="1" t="s">
        <v>408</v>
      </c>
      <c r="B2051" s="16">
        <v>11000000</v>
      </c>
    </row>
    <row r="2052" spans="1:2" ht="14.4" x14ac:dyDescent="0.3">
      <c r="A2052" s="1" t="s">
        <v>244</v>
      </c>
      <c r="B2052" s="16">
        <v>9400000</v>
      </c>
    </row>
    <row r="2053" spans="1:2" ht="14.4" x14ac:dyDescent="0.3">
      <c r="A2053" s="1" t="s">
        <v>407</v>
      </c>
      <c r="B2053" s="16">
        <v>18500000</v>
      </c>
    </row>
    <row r="2054" spans="1:2" ht="14.4" x14ac:dyDescent="0.3">
      <c r="A2054" s="1" t="s">
        <v>192</v>
      </c>
      <c r="B2054" s="16">
        <v>17750000</v>
      </c>
    </row>
    <row r="2055" spans="1:2" ht="14.4" x14ac:dyDescent="0.3">
      <c r="A2055" s="1" t="s">
        <v>110</v>
      </c>
      <c r="B2055" s="16">
        <v>17000000</v>
      </c>
    </row>
    <row r="2056" spans="1:2" ht="14.4" x14ac:dyDescent="0.3">
      <c r="A2056" s="1" t="s">
        <v>260</v>
      </c>
      <c r="B2056" s="16">
        <v>12500000</v>
      </c>
    </row>
    <row r="2057" spans="1:2" ht="14.4" x14ac:dyDescent="0.3">
      <c r="A2057" s="1" t="s">
        <v>406</v>
      </c>
      <c r="B2057" s="16">
        <v>14500000</v>
      </c>
    </row>
    <row r="2058" spans="1:2" ht="14.4" x14ac:dyDescent="0.3">
      <c r="A2058" s="1" t="s">
        <v>405</v>
      </c>
      <c r="B2058" s="16">
        <v>6800000</v>
      </c>
    </row>
    <row r="2059" spans="1:2" ht="14.4" x14ac:dyDescent="0.3">
      <c r="A2059" s="1" t="s">
        <v>404</v>
      </c>
      <c r="B2059" s="16">
        <v>10900000</v>
      </c>
    </row>
    <row r="2060" spans="1:2" ht="14.4" x14ac:dyDescent="0.3">
      <c r="A2060" s="1" t="s">
        <v>403</v>
      </c>
      <c r="B2060" s="16">
        <v>10000000</v>
      </c>
    </row>
    <row r="2061" spans="1:2" ht="14.4" x14ac:dyDescent="0.3">
      <c r="A2061" s="1" t="s">
        <v>402</v>
      </c>
      <c r="B2061" s="16">
        <v>37000000</v>
      </c>
    </row>
    <row r="2062" spans="1:2" ht="14.4" x14ac:dyDescent="0.3">
      <c r="A2062" s="1" t="s">
        <v>401</v>
      </c>
      <c r="B2062" s="16">
        <v>24000000</v>
      </c>
    </row>
    <row r="2063" spans="1:2" ht="14.4" x14ac:dyDescent="0.3">
      <c r="A2063" s="1" t="s">
        <v>400</v>
      </c>
      <c r="B2063" s="16">
        <v>17500000</v>
      </c>
    </row>
    <row r="2064" spans="1:2" ht="14.4" x14ac:dyDescent="0.3">
      <c r="A2064" s="1" t="s">
        <v>399</v>
      </c>
      <c r="B2064" s="16">
        <v>22000000</v>
      </c>
    </row>
    <row r="2065" spans="1:2" ht="14.4" x14ac:dyDescent="0.3">
      <c r="A2065" s="1" t="s">
        <v>397</v>
      </c>
      <c r="B2065" s="16">
        <v>25000000</v>
      </c>
    </row>
    <row r="2066" spans="1:2" ht="14.4" x14ac:dyDescent="0.3">
      <c r="A2066" s="1" t="s">
        <v>398</v>
      </c>
      <c r="B2066" s="16">
        <v>8500000</v>
      </c>
    </row>
    <row r="2067" spans="1:2" ht="14.4" x14ac:dyDescent="0.3">
      <c r="A2067" s="1" t="s">
        <v>396</v>
      </c>
      <c r="B2067" s="16">
        <v>9400000</v>
      </c>
    </row>
    <row r="2068" spans="1:2" ht="14.4" x14ac:dyDescent="0.3">
      <c r="A2068" s="1" t="s">
        <v>395</v>
      </c>
      <c r="B2068" s="16">
        <v>10500000</v>
      </c>
    </row>
    <row r="2069" spans="1:2" ht="14.4" x14ac:dyDescent="0.3">
      <c r="A2069" s="1" t="s">
        <v>394</v>
      </c>
      <c r="B2069" s="16">
        <v>10600000</v>
      </c>
    </row>
    <row r="2070" spans="1:2" ht="14.4" x14ac:dyDescent="0.3">
      <c r="A2070" s="1" t="s">
        <v>393</v>
      </c>
      <c r="B2070" s="16">
        <v>12700000</v>
      </c>
    </row>
    <row r="2071" spans="1:2" ht="14.4" x14ac:dyDescent="0.3">
      <c r="A2071" s="1" t="s">
        <v>177</v>
      </c>
      <c r="B2071" s="16">
        <v>15500000</v>
      </c>
    </row>
    <row r="2072" spans="1:2" ht="14.4" x14ac:dyDescent="0.3">
      <c r="A2072" s="1" t="s">
        <v>392</v>
      </c>
      <c r="B2072" s="16">
        <v>14400000</v>
      </c>
    </row>
    <row r="2073" spans="1:2" ht="14.4" x14ac:dyDescent="0.3">
      <c r="A2073" s="1" t="s">
        <v>391</v>
      </c>
      <c r="B2073" s="16">
        <v>9000000</v>
      </c>
    </row>
    <row r="2074" spans="1:2" ht="14.4" x14ac:dyDescent="0.3">
      <c r="A2074" s="1" t="s">
        <v>390</v>
      </c>
      <c r="B2074" s="16">
        <v>8000000</v>
      </c>
    </row>
    <row r="2075" spans="1:2" ht="14.4" x14ac:dyDescent="0.3">
      <c r="A2075" s="1" t="s">
        <v>389</v>
      </c>
      <c r="B2075" s="16">
        <v>5700000</v>
      </c>
    </row>
    <row r="2076" spans="1:2" ht="14.4" x14ac:dyDescent="0.3">
      <c r="A2076" s="1" t="s">
        <v>388</v>
      </c>
      <c r="B2076" s="16">
        <v>5700000</v>
      </c>
    </row>
    <row r="2077" spans="1:2" ht="14.4" x14ac:dyDescent="0.3">
      <c r="A2077" s="1" t="s">
        <v>81</v>
      </c>
      <c r="B2077" s="16">
        <v>13900000</v>
      </c>
    </row>
    <row r="2078" spans="1:2" ht="14.4" x14ac:dyDescent="0.3">
      <c r="A2078" s="1" t="s">
        <v>387</v>
      </c>
      <c r="B2078" s="16">
        <v>8500000</v>
      </c>
    </row>
    <row r="2079" spans="1:2" ht="14.4" x14ac:dyDescent="0.3">
      <c r="A2079" s="1" t="s">
        <v>386</v>
      </c>
      <c r="B2079" s="16">
        <v>6300000</v>
      </c>
    </row>
    <row r="2080" spans="1:2" ht="14.4" x14ac:dyDescent="0.3">
      <c r="A2080" s="1" t="s">
        <v>385</v>
      </c>
      <c r="B2080" s="16">
        <v>6750000</v>
      </c>
    </row>
    <row r="2081" spans="1:2" ht="14.4" x14ac:dyDescent="0.3">
      <c r="A2081" s="1" t="s">
        <v>384</v>
      </c>
      <c r="B2081" s="16">
        <v>7000000</v>
      </c>
    </row>
    <row r="2082" spans="1:2" ht="14.4" x14ac:dyDescent="0.3">
      <c r="A2082" s="1" t="s">
        <v>383</v>
      </c>
      <c r="B2082" s="16">
        <v>6700000</v>
      </c>
    </row>
    <row r="2083" spans="1:2" ht="14.4" x14ac:dyDescent="0.3">
      <c r="A2083" s="1" t="s">
        <v>382</v>
      </c>
      <c r="B2083" s="16">
        <v>7000000</v>
      </c>
    </row>
    <row r="2084" spans="1:2" ht="14.4" x14ac:dyDescent="0.3">
      <c r="A2084" s="1" t="s">
        <v>381</v>
      </c>
      <c r="B2084" s="16">
        <v>10200000</v>
      </c>
    </row>
    <row r="2085" spans="1:2" ht="14.4" x14ac:dyDescent="0.3">
      <c r="A2085" s="1" t="s">
        <v>217</v>
      </c>
      <c r="B2085" s="16">
        <v>15200000</v>
      </c>
    </row>
    <row r="2086" spans="1:2" ht="14.4" x14ac:dyDescent="0.3">
      <c r="A2086" s="1" t="s">
        <v>133</v>
      </c>
      <c r="B2086" s="16">
        <v>14500000</v>
      </c>
    </row>
    <row r="2087" spans="1:2" ht="14.4" x14ac:dyDescent="0.3">
      <c r="A2087" s="1" t="s">
        <v>380</v>
      </c>
      <c r="B2087" s="16">
        <v>9300000</v>
      </c>
    </row>
    <row r="2088" spans="1:2" ht="14.4" x14ac:dyDescent="0.3">
      <c r="A2088" s="1" t="s">
        <v>379</v>
      </c>
      <c r="B2088" s="16">
        <v>6000000</v>
      </c>
    </row>
    <row r="2089" spans="1:2" ht="14.4" x14ac:dyDescent="0.3">
      <c r="A2089" s="1" t="s">
        <v>378</v>
      </c>
      <c r="B2089" s="16">
        <v>6300000</v>
      </c>
    </row>
    <row r="2090" spans="1:2" ht="14.4" x14ac:dyDescent="0.3">
      <c r="A2090" s="1" t="s">
        <v>377</v>
      </c>
      <c r="B2090" s="16">
        <v>17838100</v>
      </c>
    </row>
    <row r="2091" spans="1:2" ht="14.4" x14ac:dyDescent="0.3">
      <c r="A2091" s="1" t="s">
        <v>376</v>
      </c>
      <c r="B2091" s="16">
        <v>7800000</v>
      </c>
    </row>
    <row r="2092" spans="1:2" ht="14.4" x14ac:dyDescent="0.3">
      <c r="A2092" s="1" t="s">
        <v>375</v>
      </c>
      <c r="B2092" s="16">
        <v>20000000</v>
      </c>
    </row>
    <row r="2093" spans="1:2" ht="14.4" x14ac:dyDescent="0.3">
      <c r="A2093" s="1" t="s">
        <v>76</v>
      </c>
      <c r="B2093" s="16">
        <v>6800000</v>
      </c>
    </row>
    <row r="2094" spans="1:2" ht="14.4" x14ac:dyDescent="0.3">
      <c r="A2094" s="1" t="s">
        <v>203</v>
      </c>
      <c r="B2094" s="16">
        <v>15300000</v>
      </c>
    </row>
    <row r="2095" spans="1:2" ht="14.4" x14ac:dyDescent="0.3">
      <c r="A2095" s="1" t="s">
        <v>374</v>
      </c>
      <c r="B2095" s="16">
        <v>10500000</v>
      </c>
    </row>
    <row r="2096" spans="1:2" ht="14.4" x14ac:dyDescent="0.3">
      <c r="A2096" s="1" t="s">
        <v>373</v>
      </c>
      <c r="B2096" s="16">
        <v>5700000</v>
      </c>
    </row>
    <row r="2097" spans="1:2" ht="14.4" x14ac:dyDescent="0.3">
      <c r="A2097" s="1" t="s">
        <v>371</v>
      </c>
      <c r="B2097" s="16">
        <v>11800000</v>
      </c>
    </row>
    <row r="2098" spans="1:2" ht="14.4" x14ac:dyDescent="0.3">
      <c r="A2098" s="1" t="s">
        <v>372</v>
      </c>
      <c r="B2098" s="16">
        <v>9000000</v>
      </c>
    </row>
    <row r="2099" spans="1:2" ht="14.4" x14ac:dyDescent="0.3">
      <c r="A2099" s="1" t="s">
        <v>370</v>
      </c>
      <c r="B2099" s="16">
        <v>5700000</v>
      </c>
    </row>
    <row r="2100" spans="1:2" ht="14.4" x14ac:dyDescent="0.3">
      <c r="A2100" s="1" t="s">
        <v>263</v>
      </c>
      <c r="B2100" s="16">
        <v>14600000</v>
      </c>
    </row>
    <row r="2101" spans="1:2" ht="14.4" x14ac:dyDescent="0.3">
      <c r="A2101" s="1" t="s">
        <v>56</v>
      </c>
      <c r="B2101" s="16">
        <v>24500000</v>
      </c>
    </row>
    <row r="2102" spans="1:2" ht="14.4" x14ac:dyDescent="0.3">
      <c r="A2102" s="1" t="s">
        <v>369</v>
      </c>
      <c r="B2102" s="16">
        <v>5500000</v>
      </c>
    </row>
    <row r="2103" spans="1:2" ht="14.4" x14ac:dyDescent="0.3">
      <c r="A2103" s="1" t="s">
        <v>368</v>
      </c>
      <c r="B2103" s="16">
        <v>11500000</v>
      </c>
    </row>
    <row r="2104" spans="1:2" ht="14.4" x14ac:dyDescent="0.3">
      <c r="A2104" s="1" t="s">
        <v>144</v>
      </c>
      <c r="B2104" s="16">
        <v>15000000</v>
      </c>
    </row>
    <row r="2105" spans="1:2" ht="14.4" x14ac:dyDescent="0.3">
      <c r="A2105" s="1" t="s">
        <v>367</v>
      </c>
      <c r="B2105" s="16">
        <v>19700000</v>
      </c>
    </row>
    <row r="2106" spans="1:2" ht="14.4" x14ac:dyDescent="0.3">
      <c r="A2106" s="1" t="s">
        <v>265</v>
      </c>
      <c r="B2106" s="16">
        <v>23500000</v>
      </c>
    </row>
    <row r="2107" spans="1:2" ht="14.4" x14ac:dyDescent="0.3">
      <c r="A2107" s="1" t="s">
        <v>273</v>
      </c>
      <c r="B2107" s="16">
        <v>16000000</v>
      </c>
    </row>
    <row r="2108" spans="1:2" ht="14.4" x14ac:dyDescent="0.3">
      <c r="A2108" s="1" t="s">
        <v>22</v>
      </c>
      <c r="B2108" s="16">
        <v>31627180</v>
      </c>
    </row>
    <row r="2109" spans="1:2" ht="14.4" x14ac:dyDescent="0.3">
      <c r="A2109" s="1" t="s">
        <v>23</v>
      </c>
      <c r="B2109" s="16">
        <v>31627180</v>
      </c>
    </row>
    <row r="2110" spans="1:2" ht="14.4" x14ac:dyDescent="0.3">
      <c r="A2110" s="1" t="s">
        <v>139</v>
      </c>
      <c r="B2110" s="16">
        <v>16000000</v>
      </c>
    </row>
    <row r="2111" spans="1:2" ht="14.4" x14ac:dyDescent="0.3">
      <c r="A2111" s="1" t="s">
        <v>114</v>
      </c>
      <c r="B2111" s="16">
        <v>20000000</v>
      </c>
    </row>
    <row r="2112" spans="1:2" ht="14.4" x14ac:dyDescent="0.3">
      <c r="A2112" s="1" t="s">
        <v>366</v>
      </c>
      <c r="B2112" s="16">
        <v>10100000</v>
      </c>
    </row>
    <row r="2113" spans="1:2" ht="14.4" x14ac:dyDescent="0.3">
      <c r="A2113" s="1" t="s">
        <v>365</v>
      </c>
      <c r="B2113" s="16">
        <v>10000000</v>
      </c>
    </row>
    <row r="2114" spans="1:2" ht="14.4" x14ac:dyDescent="0.3">
      <c r="A2114" s="1" t="s">
        <v>364</v>
      </c>
      <c r="B2114" s="16">
        <v>17243100</v>
      </c>
    </row>
    <row r="2115" spans="1:2" ht="14.4" x14ac:dyDescent="0.3">
      <c r="A2115" s="1" t="s">
        <v>178</v>
      </c>
      <c r="B2115" s="16">
        <v>14500000</v>
      </c>
    </row>
    <row r="2116" spans="1:2" ht="14.4" x14ac:dyDescent="0.3">
      <c r="A2116" s="1" t="s">
        <v>363</v>
      </c>
      <c r="B2116" s="16">
        <v>10700000</v>
      </c>
    </row>
    <row r="2117" spans="1:2" ht="14.4" x14ac:dyDescent="0.3">
      <c r="A2117" s="1" t="s">
        <v>362</v>
      </c>
      <c r="B2117" s="16">
        <v>18500000</v>
      </c>
    </row>
    <row r="2118" spans="1:2" ht="14.4" x14ac:dyDescent="0.3">
      <c r="A2118" s="1" t="s">
        <v>149</v>
      </c>
      <c r="B2118" s="16">
        <v>6800000</v>
      </c>
    </row>
    <row r="2119" spans="1:2" ht="14.4" x14ac:dyDescent="0.3">
      <c r="A2119" s="1" t="s">
        <v>361</v>
      </c>
      <c r="B2119" s="16">
        <v>7600000</v>
      </c>
    </row>
    <row r="2120" spans="1:2" ht="14.4" x14ac:dyDescent="0.3">
      <c r="A2120" s="1" t="s">
        <v>319</v>
      </c>
      <c r="B2120" s="16">
        <v>11500000</v>
      </c>
    </row>
    <row r="2121" spans="1:2" ht="14.4" x14ac:dyDescent="0.3">
      <c r="A2121" s="1" t="s">
        <v>360</v>
      </c>
      <c r="B2121" s="16">
        <v>7500000</v>
      </c>
    </row>
    <row r="2122" spans="1:2" ht="14.4" x14ac:dyDescent="0.3">
      <c r="A2122" s="1" t="s">
        <v>359</v>
      </c>
      <c r="B2122" s="16">
        <v>13000000</v>
      </c>
    </row>
    <row r="2123" spans="1:2" ht="14.4" x14ac:dyDescent="0.3">
      <c r="A2123" s="1" t="s">
        <v>302</v>
      </c>
      <c r="B2123" s="16">
        <v>9100000</v>
      </c>
    </row>
    <row r="2124" spans="1:2" ht="14.4" x14ac:dyDescent="0.3">
      <c r="A2124" s="1" t="s">
        <v>358</v>
      </c>
      <c r="B2124" s="16">
        <v>11000000</v>
      </c>
    </row>
    <row r="2125" spans="1:2" ht="14.4" x14ac:dyDescent="0.3">
      <c r="A2125" s="1" t="s">
        <v>357</v>
      </c>
      <c r="B2125" s="16">
        <v>33921345</v>
      </c>
    </row>
    <row r="2126" spans="1:2" ht="14.4" x14ac:dyDescent="0.3">
      <c r="A2126" s="1" t="s">
        <v>121</v>
      </c>
      <c r="B2126" s="16">
        <v>31300000</v>
      </c>
    </row>
    <row r="2127" spans="1:2" ht="14.4" x14ac:dyDescent="0.3">
      <c r="A2127" s="1" t="s">
        <v>261</v>
      </c>
      <c r="B2127" s="16">
        <v>14000000</v>
      </c>
    </row>
    <row r="2128" spans="1:2" ht="14.4" x14ac:dyDescent="0.3">
      <c r="A2128" s="1" t="s">
        <v>92</v>
      </c>
      <c r="B2128" s="16">
        <v>6900000</v>
      </c>
    </row>
    <row r="2129" spans="1:2" ht="14.4" x14ac:dyDescent="0.3">
      <c r="A2129" s="1" t="s">
        <v>242</v>
      </c>
      <c r="B2129" s="16">
        <v>13300000</v>
      </c>
    </row>
    <row r="2130" spans="1:2" ht="14.4" x14ac:dyDescent="0.3">
      <c r="A2130" s="1" t="s">
        <v>356</v>
      </c>
      <c r="B2130" s="16">
        <v>8700000</v>
      </c>
    </row>
    <row r="2131" spans="1:2" ht="14.4" x14ac:dyDescent="0.3">
      <c r="A2131" s="1" t="s">
        <v>355</v>
      </c>
      <c r="B2131" s="16">
        <v>6500000</v>
      </c>
    </row>
    <row r="2132" spans="1:2" ht="14.4" x14ac:dyDescent="0.3">
      <c r="A2132" s="1" t="s">
        <v>354</v>
      </c>
      <c r="B2132" s="16">
        <v>9500000</v>
      </c>
    </row>
    <row r="2133" spans="1:2" ht="14.4" x14ac:dyDescent="0.3">
      <c r="A2133" s="1" t="s">
        <v>353</v>
      </c>
      <c r="B2133" s="16">
        <v>21000000</v>
      </c>
    </row>
    <row r="2134" spans="1:2" ht="14.4" x14ac:dyDescent="0.3">
      <c r="A2134" s="1" t="s">
        <v>352</v>
      </c>
      <c r="B2134" s="16">
        <v>6200000</v>
      </c>
    </row>
    <row r="2135" spans="1:2" ht="14.4" x14ac:dyDescent="0.3">
      <c r="A2135" s="1" t="s">
        <v>351</v>
      </c>
      <c r="B2135" s="16">
        <v>11300000</v>
      </c>
    </row>
    <row r="2136" spans="1:2" ht="14.4" x14ac:dyDescent="0.3">
      <c r="A2136" s="1" t="s">
        <v>350</v>
      </c>
      <c r="B2136" s="16">
        <v>15500000</v>
      </c>
    </row>
    <row r="2137" spans="1:2" ht="14.4" x14ac:dyDescent="0.3">
      <c r="A2137" s="1" t="s">
        <v>349</v>
      </c>
      <c r="B2137" s="16">
        <v>12000000</v>
      </c>
    </row>
    <row r="2138" spans="1:2" ht="14.4" x14ac:dyDescent="0.3">
      <c r="A2138" s="1" t="s">
        <v>348</v>
      </c>
      <c r="B2138" s="16">
        <v>47288100</v>
      </c>
    </row>
    <row r="2139" spans="1:2" ht="14.4" x14ac:dyDescent="0.3">
      <c r="A2139" s="1" t="s">
        <v>347</v>
      </c>
      <c r="B2139" s="16">
        <v>10200000</v>
      </c>
    </row>
    <row r="2140" spans="1:2" ht="14.4" x14ac:dyDescent="0.3">
      <c r="A2140" s="1" t="s">
        <v>346</v>
      </c>
      <c r="B2140" s="16">
        <v>5400000</v>
      </c>
    </row>
    <row r="2141" spans="1:2" ht="14.4" x14ac:dyDescent="0.3">
      <c r="A2141" s="1" t="s">
        <v>345</v>
      </c>
      <c r="B2141" s="16">
        <v>12500000</v>
      </c>
    </row>
    <row r="2142" spans="1:2" ht="14.4" x14ac:dyDescent="0.3">
      <c r="A2142" s="1" t="s">
        <v>344</v>
      </c>
      <c r="B2142" s="16">
        <v>9600000</v>
      </c>
    </row>
    <row r="2143" spans="1:2" ht="14.4" x14ac:dyDescent="0.3">
      <c r="A2143" s="1" t="s">
        <v>343</v>
      </c>
      <c r="B2143" s="16">
        <v>17990000</v>
      </c>
    </row>
    <row r="2144" spans="1:2" ht="14.4" x14ac:dyDescent="0.3">
      <c r="A2144" s="1" t="s">
        <v>64</v>
      </c>
      <c r="B2144" s="16">
        <v>8300000</v>
      </c>
    </row>
    <row r="2145" spans="1:2" ht="14.4" x14ac:dyDescent="0.3">
      <c r="A2145" s="1" t="s">
        <v>342</v>
      </c>
      <c r="B2145" s="16">
        <v>6550000</v>
      </c>
    </row>
    <row r="2146" spans="1:2" ht="14.4" x14ac:dyDescent="0.3">
      <c r="A2146" s="1" t="s">
        <v>341</v>
      </c>
      <c r="B2146" s="16">
        <v>12000000</v>
      </c>
    </row>
    <row r="2147" spans="1:2" ht="14.4" x14ac:dyDescent="0.3">
      <c r="A2147" s="1" t="s">
        <v>340</v>
      </c>
      <c r="B2147" s="16">
        <v>11000000</v>
      </c>
    </row>
    <row r="2148" spans="1:2" ht="14.4" x14ac:dyDescent="0.3">
      <c r="A2148" s="1" t="s">
        <v>158</v>
      </c>
      <c r="B2148" s="16">
        <v>7000000</v>
      </c>
    </row>
    <row r="2149" spans="1:2" ht="14.4" x14ac:dyDescent="0.3">
      <c r="A2149" s="1" t="s">
        <v>164</v>
      </c>
      <c r="B2149" s="16">
        <v>17200000</v>
      </c>
    </row>
    <row r="2150" spans="1:2" ht="14.4" x14ac:dyDescent="0.3">
      <c r="A2150" s="1" t="s">
        <v>305</v>
      </c>
      <c r="B2150" s="16">
        <v>10000000</v>
      </c>
    </row>
    <row r="2151" spans="1:2" ht="14.4" x14ac:dyDescent="0.3">
      <c r="A2151" s="1" t="s">
        <v>195</v>
      </c>
      <c r="B2151" s="16">
        <v>13500000</v>
      </c>
    </row>
    <row r="2152" spans="1:2" ht="14.4" x14ac:dyDescent="0.3">
      <c r="A2152" s="1" t="s">
        <v>201</v>
      </c>
      <c r="B2152" s="16">
        <v>17000000</v>
      </c>
    </row>
    <row r="2153" spans="1:2" ht="14.4" x14ac:dyDescent="0.3">
      <c r="A2153" s="1" t="s">
        <v>175</v>
      </c>
      <c r="B2153" s="16">
        <v>17500000</v>
      </c>
    </row>
    <row r="2154" spans="1:2" ht="14.4" x14ac:dyDescent="0.3">
      <c r="A2154" s="1" t="s">
        <v>316</v>
      </c>
      <c r="B2154" s="16">
        <v>9600000</v>
      </c>
    </row>
    <row r="2155" spans="1:2" ht="14.4" x14ac:dyDescent="0.3">
      <c r="A2155" s="1" t="s">
        <v>275</v>
      </c>
      <c r="B2155" s="16">
        <v>15500000</v>
      </c>
    </row>
    <row r="2156" spans="1:2" ht="14.4" x14ac:dyDescent="0.3">
      <c r="A2156" s="1" t="s">
        <v>339</v>
      </c>
      <c r="B2156" s="16">
        <v>6000000</v>
      </c>
    </row>
    <row r="2157" spans="1:2" ht="14.4" x14ac:dyDescent="0.3">
      <c r="A2157" s="1" t="s">
        <v>338</v>
      </c>
      <c r="B2157" s="16">
        <v>12000000</v>
      </c>
    </row>
    <row r="2158" spans="1:2" ht="14.4" x14ac:dyDescent="0.3">
      <c r="A2158" s="1" t="s">
        <v>320</v>
      </c>
      <c r="B2158" s="16">
        <v>8900000</v>
      </c>
    </row>
    <row r="2159" spans="1:2" ht="14.4" x14ac:dyDescent="0.3">
      <c r="A2159" s="1" t="s">
        <v>337</v>
      </c>
      <c r="B2159" s="16">
        <v>7700000</v>
      </c>
    </row>
    <row r="2160" spans="1:2" ht="14.4" x14ac:dyDescent="0.3">
      <c r="A2160" s="1" t="s">
        <v>336</v>
      </c>
      <c r="B2160" s="16">
        <v>13200000</v>
      </c>
    </row>
    <row r="2161" spans="1:2" ht="14.4" x14ac:dyDescent="0.3">
      <c r="A2161" s="1" t="s">
        <v>74</v>
      </c>
      <c r="B2161" s="16">
        <v>6900000</v>
      </c>
    </row>
    <row r="2162" spans="1:2" ht="14.4" x14ac:dyDescent="0.3">
      <c r="A2162" s="1" t="s">
        <v>155</v>
      </c>
      <c r="B2162" s="16">
        <v>10100000</v>
      </c>
    </row>
    <row r="2163" spans="1:2" ht="14.4" x14ac:dyDescent="0.3">
      <c r="A2163" s="1" t="s">
        <v>335</v>
      </c>
      <c r="B2163" s="16">
        <v>5900000</v>
      </c>
    </row>
    <row r="2164" spans="1:2" ht="14.4" x14ac:dyDescent="0.3">
      <c r="A2164" s="1" t="s">
        <v>37</v>
      </c>
      <c r="B2164" s="16">
        <v>10000000</v>
      </c>
    </row>
    <row r="2165" spans="1:2" ht="14.4" x14ac:dyDescent="0.3">
      <c r="A2165" s="1" t="s">
        <v>334</v>
      </c>
      <c r="B2165" s="16">
        <v>10250000</v>
      </c>
    </row>
    <row r="2166" spans="1:2" ht="14.4" x14ac:dyDescent="0.3">
      <c r="A2166" s="1" t="s">
        <v>290</v>
      </c>
      <c r="B2166" s="16">
        <v>5800000</v>
      </c>
    </row>
    <row r="2167" spans="1:2" ht="14.4" x14ac:dyDescent="0.3">
      <c r="A2167" s="1" t="s">
        <v>157</v>
      </c>
      <c r="B2167" s="16">
        <v>10350000</v>
      </c>
    </row>
    <row r="2168" spans="1:2" ht="14.4" x14ac:dyDescent="0.3">
      <c r="A2168" s="1" t="s">
        <v>333</v>
      </c>
      <c r="B2168" s="16">
        <v>6150000</v>
      </c>
    </row>
    <row r="2169" spans="1:2" ht="14.4" x14ac:dyDescent="0.3">
      <c r="A2169" s="1" t="s">
        <v>210</v>
      </c>
      <c r="B2169" s="16">
        <v>18300000</v>
      </c>
    </row>
    <row r="2170" spans="1:2" ht="14.4" x14ac:dyDescent="0.3">
      <c r="A2170" s="1" t="s">
        <v>332</v>
      </c>
      <c r="B2170" s="16">
        <v>27953100</v>
      </c>
    </row>
    <row r="2171" spans="1:2" ht="14.4" x14ac:dyDescent="0.3">
      <c r="A2171" s="1" t="s">
        <v>225</v>
      </c>
      <c r="B2171" s="16">
        <v>14850000</v>
      </c>
    </row>
    <row r="2172" spans="1:2" ht="14.4" x14ac:dyDescent="0.3">
      <c r="A2172" s="1" t="s">
        <v>277</v>
      </c>
      <c r="B2172" s="16">
        <v>13500000</v>
      </c>
    </row>
    <row r="2173" spans="1:2" ht="14.4" x14ac:dyDescent="0.3">
      <c r="A2173" s="1" t="s">
        <v>21</v>
      </c>
      <c r="B2173" s="16">
        <v>30154462</v>
      </c>
    </row>
    <row r="2174" spans="1:2" ht="14.4" x14ac:dyDescent="0.3">
      <c r="A2174" s="1" t="s">
        <v>54</v>
      </c>
      <c r="B2174" s="16">
        <v>7100000</v>
      </c>
    </row>
    <row r="2175" spans="1:2" ht="14.4" x14ac:dyDescent="0.3">
      <c r="A2175" s="1" t="s">
        <v>331</v>
      </c>
      <c r="B2175" s="16">
        <v>21400000</v>
      </c>
    </row>
    <row r="2176" spans="1:2" ht="14.4" x14ac:dyDescent="0.3">
      <c r="A2176" s="1" t="s">
        <v>329</v>
      </c>
      <c r="B2176" s="16">
        <v>10800000</v>
      </c>
    </row>
    <row r="2177" spans="1:2" ht="14.4" x14ac:dyDescent="0.3">
      <c r="A2177" s="1" t="s">
        <v>72</v>
      </c>
      <c r="B2177" s="16">
        <v>7300000</v>
      </c>
    </row>
    <row r="2178" spans="1:2" ht="14.4" x14ac:dyDescent="0.3">
      <c r="A2178" s="1" t="s">
        <v>152</v>
      </c>
      <c r="B2178" s="16">
        <v>15700000</v>
      </c>
    </row>
    <row r="2179" spans="1:2" ht="14.4" x14ac:dyDescent="0.3">
      <c r="A2179" s="1" t="s">
        <v>141</v>
      </c>
      <c r="B2179" s="16">
        <v>8300000</v>
      </c>
    </row>
    <row r="2180" spans="1:2" ht="14.4" x14ac:dyDescent="0.3">
      <c r="A2180" s="1" t="s">
        <v>330</v>
      </c>
      <c r="B2180" s="16">
        <v>5900000</v>
      </c>
    </row>
    <row r="2181" spans="1:2" ht="14.4" x14ac:dyDescent="0.3">
      <c r="A2181" s="1" t="s">
        <v>219</v>
      </c>
      <c r="B2181" s="16">
        <v>26300000</v>
      </c>
    </row>
    <row r="2182" spans="1:2" ht="14.4" x14ac:dyDescent="0.3">
      <c r="A2182" s="1" t="s">
        <v>30</v>
      </c>
      <c r="B2182" s="16">
        <v>4800000</v>
      </c>
    </row>
    <row r="2183" spans="1:2" ht="14.4" x14ac:dyDescent="0.3">
      <c r="A2183" s="20" t="s">
        <v>102</v>
      </c>
      <c r="B2183" s="16">
        <v>18900000</v>
      </c>
    </row>
    <row r="2184" spans="1:2" ht="14.4" x14ac:dyDescent="0.3">
      <c r="A2184" s="1" t="s">
        <v>44</v>
      </c>
      <c r="B2184" s="16">
        <v>9500000</v>
      </c>
    </row>
    <row r="2185" spans="1:2" ht="14.4" x14ac:dyDescent="0.3">
      <c r="A2185" s="1" t="s">
        <v>257</v>
      </c>
      <c r="B2185" s="16">
        <v>11200000</v>
      </c>
    </row>
    <row r="2186" spans="1:2" ht="14.4" x14ac:dyDescent="0.3">
      <c r="A2186" s="1" t="s">
        <v>85</v>
      </c>
      <c r="B2186" s="16">
        <v>11300000</v>
      </c>
    </row>
    <row r="2187" spans="1:2" ht="14.4" x14ac:dyDescent="0.3">
      <c r="A2187" s="1" t="s">
        <v>287</v>
      </c>
      <c r="B2187" s="16">
        <v>22120000</v>
      </c>
    </row>
    <row r="2188" spans="1:2" ht="14.4" x14ac:dyDescent="0.3">
      <c r="A2188" s="1" t="s">
        <v>328</v>
      </c>
      <c r="B2188" s="16">
        <v>7200000</v>
      </c>
    </row>
    <row r="2189" spans="1:2" ht="14.4" x14ac:dyDescent="0.3">
      <c r="A2189" s="1" t="s">
        <v>146</v>
      </c>
      <c r="B2189" s="16">
        <v>13500000</v>
      </c>
    </row>
    <row r="2190" spans="1:2" ht="14.4" x14ac:dyDescent="0.3">
      <c r="A2190" s="1" t="s">
        <v>327</v>
      </c>
      <c r="B2190" s="16">
        <v>12246151</v>
      </c>
    </row>
    <row r="2191" spans="1:2" ht="14.4" x14ac:dyDescent="0.3">
      <c r="A2191" s="1" t="s">
        <v>326</v>
      </c>
      <c r="B2191" s="16">
        <v>7690000</v>
      </c>
    </row>
    <row r="2192" spans="1:2" ht="14.4" x14ac:dyDescent="0.3">
      <c r="A2192" s="1" t="s">
        <v>169</v>
      </c>
      <c r="B2192" s="16">
        <v>8500000</v>
      </c>
    </row>
    <row r="2193" spans="1:2" ht="14.4" x14ac:dyDescent="0.3">
      <c r="A2193" s="1" t="s">
        <v>325</v>
      </c>
      <c r="B2193" s="16">
        <v>9000000</v>
      </c>
    </row>
    <row r="2194" spans="1:2" ht="14.4" x14ac:dyDescent="0.3">
      <c r="A2194" s="1" t="s">
        <v>17</v>
      </c>
      <c r="B2194" s="16">
        <v>5300000</v>
      </c>
    </row>
    <row r="2195" spans="1:2" ht="14.4" x14ac:dyDescent="0.3">
      <c r="A2195" s="1" t="s">
        <v>324</v>
      </c>
      <c r="B2195" s="16">
        <v>16000000</v>
      </c>
    </row>
    <row r="2196" spans="1:2" ht="14.4" x14ac:dyDescent="0.3">
      <c r="A2196" s="1" t="s">
        <v>323</v>
      </c>
      <c r="B2196" s="16">
        <v>12900000</v>
      </c>
    </row>
    <row r="2197" spans="1:2" ht="14.4" x14ac:dyDescent="0.3">
      <c r="A2197" s="1" t="s">
        <v>3925</v>
      </c>
      <c r="B2197" s="16">
        <v>7800000</v>
      </c>
    </row>
    <row r="2198" spans="1:2" ht="14.4" x14ac:dyDescent="0.3">
      <c r="A2198" s="1" t="s">
        <v>5668</v>
      </c>
      <c r="B2198" s="16">
        <v>13400000</v>
      </c>
    </row>
    <row r="2199" spans="1:2" ht="14.4" x14ac:dyDescent="0.3">
      <c r="A2199" s="1" t="s">
        <v>3841</v>
      </c>
      <c r="B2199" s="16">
        <v>20000000</v>
      </c>
    </row>
    <row r="2200" spans="1:2" ht="14.4" x14ac:dyDescent="0.3">
      <c r="A2200" s="1" t="s">
        <v>5576</v>
      </c>
      <c r="B2200" s="16">
        <v>29300000</v>
      </c>
    </row>
    <row r="2201" spans="1:2" ht="14.4" x14ac:dyDescent="0.3">
      <c r="A2201" s="1" t="s">
        <v>3923</v>
      </c>
      <c r="B2201" s="16">
        <v>10200000</v>
      </c>
    </row>
    <row r="2202" spans="1:2" ht="14.4" x14ac:dyDescent="0.3">
      <c r="A2202" s="1" t="s">
        <v>3916</v>
      </c>
      <c r="B2202" s="16">
        <v>10300000</v>
      </c>
    </row>
    <row r="2203" spans="1:2" ht="14.4" x14ac:dyDescent="0.3">
      <c r="A2203" s="1" t="s">
        <v>3031</v>
      </c>
      <c r="B2203" s="16">
        <v>22000000</v>
      </c>
    </row>
    <row r="2204" spans="1:2" ht="14.4" x14ac:dyDescent="0.3">
      <c r="A2204" s="1" t="s">
        <v>5674</v>
      </c>
      <c r="B2204" s="16">
        <v>7850000</v>
      </c>
    </row>
    <row r="2205" spans="1:2" ht="14.4" x14ac:dyDescent="0.3">
      <c r="A2205" s="1" t="s">
        <v>3257</v>
      </c>
      <c r="B2205" s="16">
        <v>8900000</v>
      </c>
    </row>
    <row r="2206" spans="1:2" ht="14.4" x14ac:dyDescent="0.3">
      <c r="A2206" s="1" t="s">
        <v>5667</v>
      </c>
      <c r="B2206" s="16">
        <v>9800000</v>
      </c>
    </row>
    <row r="2207" spans="1:2" ht="14.4" x14ac:dyDescent="0.3">
      <c r="A2207" s="1" t="s">
        <v>5610</v>
      </c>
      <c r="B2207" s="16">
        <v>7200000</v>
      </c>
    </row>
    <row r="2208" spans="1:2" ht="14.4" x14ac:dyDescent="0.3">
      <c r="A2208" s="1" t="s">
        <v>5555</v>
      </c>
      <c r="B2208" s="16">
        <v>19000000</v>
      </c>
    </row>
    <row r="2209" spans="1:2" ht="14.4" x14ac:dyDescent="0.3">
      <c r="A2209" s="1" t="s">
        <v>5526</v>
      </c>
      <c r="B2209" s="16">
        <v>9300000</v>
      </c>
    </row>
    <row r="2210" spans="1:2" ht="14.4" x14ac:dyDescent="0.3">
      <c r="A2210" s="1" t="s">
        <v>3357</v>
      </c>
      <c r="B2210" s="16">
        <v>15500000</v>
      </c>
    </row>
    <row r="2211" spans="1:2" ht="14.4" x14ac:dyDescent="0.3">
      <c r="A2211" s="1" t="s">
        <v>5672</v>
      </c>
      <c r="B2211" s="16">
        <v>7100000</v>
      </c>
    </row>
    <row r="2212" spans="1:2" ht="14.4" x14ac:dyDescent="0.3">
      <c r="A2212" s="1" t="s">
        <v>5675</v>
      </c>
      <c r="B2212" s="16">
        <v>16500000</v>
      </c>
    </row>
    <row r="2213" spans="1:2" ht="14.4" x14ac:dyDescent="0.3">
      <c r="A2213" s="1" t="s">
        <v>5670</v>
      </c>
      <c r="B2213" s="16">
        <v>11500000</v>
      </c>
    </row>
    <row r="2214" spans="1:2" ht="14.4" x14ac:dyDescent="0.3">
      <c r="A2214" s="1" t="s">
        <v>3827</v>
      </c>
      <c r="B2214" s="16">
        <v>8600000</v>
      </c>
    </row>
    <row r="2215" spans="1:2" ht="14.4" x14ac:dyDescent="0.3">
      <c r="A2215" s="1" t="s">
        <v>5669</v>
      </c>
      <c r="B2215" s="16">
        <v>6450000</v>
      </c>
    </row>
    <row r="2216" spans="1:2" ht="14.4" x14ac:dyDescent="0.3">
      <c r="A2216" s="1" t="s">
        <v>3420</v>
      </c>
      <c r="B2216" s="16">
        <v>7600000</v>
      </c>
    </row>
    <row r="2217" spans="1:2" ht="14.4" x14ac:dyDescent="0.3">
      <c r="A2217" s="1" t="s">
        <v>5673</v>
      </c>
      <c r="B2217" s="16">
        <v>44500000</v>
      </c>
    </row>
    <row r="2218" spans="1:2" ht="14.4" x14ac:dyDescent="0.3">
      <c r="A2218" s="1" t="s">
        <v>3900</v>
      </c>
      <c r="B2218" s="16">
        <v>21000000</v>
      </c>
    </row>
    <row r="2219" spans="1:2" ht="14.4" x14ac:dyDescent="0.3">
      <c r="A2219" s="1" t="s">
        <v>5671</v>
      </c>
      <c r="B2219" s="16">
        <v>18300000</v>
      </c>
    </row>
    <row r="2220" spans="1:2" ht="14.4" x14ac:dyDescent="0.3">
      <c r="A2220" s="1" t="s">
        <v>7704</v>
      </c>
      <c r="B2220" s="16">
        <v>7100000</v>
      </c>
    </row>
    <row r="2221" spans="1:2" ht="14.4" x14ac:dyDescent="0.3">
      <c r="A2221" s="1" t="s">
        <v>7744</v>
      </c>
      <c r="B2221" s="16">
        <v>8800000</v>
      </c>
    </row>
    <row r="2222" spans="1:2" ht="14.4" x14ac:dyDescent="0.3">
      <c r="A2222" s="1" t="s">
        <v>1184</v>
      </c>
      <c r="B2222" s="16">
        <v>9200000</v>
      </c>
    </row>
    <row r="2223" spans="1:2" ht="14.4" x14ac:dyDescent="0.3">
      <c r="A2223" s="1" t="s">
        <v>7649</v>
      </c>
      <c r="B2223" s="16">
        <v>12500000</v>
      </c>
    </row>
    <row r="2224" spans="1:2" ht="14.4" x14ac:dyDescent="0.3">
      <c r="A2224" s="1" t="s">
        <v>3752</v>
      </c>
      <c r="B2224" s="16">
        <v>21000000</v>
      </c>
    </row>
    <row r="2225" spans="1:2" ht="14.4" x14ac:dyDescent="0.3">
      <c r="A2225" s="1" t="s">
        <v>3886</v>
      </c>
      <c r="B2225" s="16">
        <v>9650000</v>
      </c>
    </row>
    <row r="2226" spans="1:2" ht="14.4" x14ac:dyDescent="0.3">
      <c r="A2226" s="1" t="s">
        <v>7838</v>
      </c>
      <c r="B2226" s="16">
        <v>3900000</v>
      </c>
    </row>
    <row r="2227" spans="1:2" ht="14.4" x14ac:dyDescent="0.3">
      <c r="A2227" s="1" t="s">
        <v>7712</v>
      </c>
      <c r="B2227" s="16">
        <v>18700000</v>
      </c>
    </row>
    <row r="2228" spans="1:2" ht="14.4" x14ac:dyDescent="0.3">
      <c r="A2228" s="1" t="s">
        <v>7835</v>
      </c>
      <c r="B2228" s="16">
        <v>9700000</v>
      </c>
    </row>
    <row r="2229" spans="1:2" ht="14.4" x14ac:dyDescent="0.3">
      <c r="A2229" s="1" t="s">
        <v>7700</v>
      </c>
      <c r="B2229" s="16">
        <v>9200000</v>
      </c>
    </row>
    <row r="2230" spans="1:2" ht="14.4" x14ac:dyDescent="0.3">
      <c r="A2230" s="1" t="s">
        <v>7839</v>
      </c>
      <c r="B2230" s="16">
        <v>11500000</v>
      </c>
    </row>
    <row r="2231" spans="1:2" ht="14.4" x14ac:dyDescent="0.3">
      <c r="A2231" s="1" t="s">
        <v>7508</v>
      </c>
      <c r="B2231" s="16">
        <v>4600000</v>
      </c>
    </row>
    <row r="2232" spans="1:2" ht="14.4" x14ac:dyDescent="0.3">
      <c r="A2232" s="1" t="s">
        <v>7814</v>
      </c>
      <c r="B2232" s="16">
        <v>9600000</v>
      </c>
    </row>
    <row r="2233" spans="1:2" ht="14.4" x14ac:dyDescent="0.3">
      <c r="A2233" s="1" t="s">
        <v>3480</v>
      </c>
      <c r="B2233" s="16">
        <v>7000000</v>
      </c>
    </row>
    <row r="2234" spans="1:2" ht="14.4" x14ac:dyDescent="0.3">
      <c r="A2234" s="1" t="s">
        <v>409</v>
      </c>
      <c r="B2234" s="16">
        <v>16000000</v>
      </c>
    </row>
    <row r="2235" spans="1:2" ht="14.4" x14ac:dyDescent="0.3">
      <c r="A2235" s="1" t="s">
        <v>2573</v>
      </c>
      <c r="B2235" s="16">
        <v>10100000</v>
      </c>
    </row>
    <row r="2236" spans="1:2" ht="14.4" x14ac:dyDescent="0.3">
      <c r="A2236" s="1" t="s">
        <v>3371</v>
      </c>
      <c r="B2236" s="16">
        <v>9508100</v>
      </c>
    </row>
    <row r="2237" spans="1:2" ht="14.4" x14ac:dyDescent="0.3">
      <c r="A2237" s="1" t="s">
        <v>959</v>
      </c>
      <c r="B2237" s="16">
        <v>9000000</v>
      </c>
    </row>
    <row r="2238" spans="1:2" ht="14.4" x14ac:dyDescent="0.3">
      <c r="A2238" s="1" t="s">
        <v>3266</v>
      </c>
      <c r="B2238" s="16">
        <v>9700000</v>
      </c>
    </row>
    <row r="2239" spans="1:2" ht="14.4" x14ac:dyDescent="0.3">
      <c r="A2239" s="1" t="s">
        <v>7802</v>
      </c>
      <c r="B2239" s="16">
        <v>12000000</v>
      </c>
    </row>
    <row r="2240" spans="1:2" ht="14.4" x14ac:dyDescent="0.3">
      <c r="A2240" s="1" t="s">
        <v>7804</v>
      </c>
      <c r="B2240" s="16">
        <v>7850000</v>
      </c>
    </row>
    <row r="2241" spans="1:2" ht="14.4" x14ac:dyDescent="0.3">
      <c r="A2241" s="1" t="s">
        <v>7758</v>
      </c>
      <c r="B2241" s="16">
        <v>12400000</v>
      </c>
    </row>
    <row r="2242" spans="1:2" ht="14.4" x14ac:dyDescent="0.3">
      <c r="A2242" s="1" t="s">
        <v>3913</v>
      </c>
      <c r="B2242" s="16">
        <v>12750000</v>
      </c>
    </row>
    <row r="2243" spans="1:2" ht="14.4" x14ac:dyDescent="0.3">
      <c r="A2243" s="1" t="s">
        <v>7326</v>
      </c>
      <c r="B2243" s="16">
        <v>10300000</v>
      </c>
    </row>
    <row r="2244" spans="1:2" ht="14.4" x14ac:dyDescent="0.3">
      <c r="A2244" s="1" t="s">
        <v>8595</v>
      </c>
      <c r="B2244" s="16">
        <v>10700000</v>
      </c>
    </row>
    <row r="2245" spans="1:2" ht="14.4" x14ac:dyDescent="0.3">
      <c r="A2245" s="1" t="s">
        <v>8601</v>
      </c>
      <c r="B2245" s="16">
        <v>15000000</v>
      </c>
    </row>
    <row r="2246" spans="1:2" ht="14.4" x14ac:dyDescent="0.3">
      <c r="A2246" s="1" t="s">
        <v>2154</v>
      </c>
      <c r="B2246" s="16">
        <v>6600000</v>
      </c>
    </row>
    <row r="2247" spans="1:2" ht="14.4" x14ac:dyDescent="0.3">
      <c r="A2247" s="1" t="s">
        <v>368</v>
      </c>
      <c r="B2247" s="16">
        <v>13890000</v>
      </c>
    </row>
    <row r="2248" spans="1:2" ht="14.4" x14ac:dyDescent="0.3">
      <c r="A2248" s="1" t="s">
        <v>7910</v>
      </c>
      <c r="B2248" s="16">
        <v>10500000</v>
      </c>
    </row>
    <row r="2249" spans="1:2" ht="14.4" x14ac:dyDescent="0.3">
      <c r="A2249" s="1" t="s">
        <v>8600</v>
      </c>
      <c r="B2249" s="16">
        <v>6300000</v>
      </c>
    </row>
    <row r="2250" spans="1:2" ht="14.4" x14ac:dyDescent="0.3">
      <c r="A2250" s="1" t="s">
        <v>3802</v>
      </c>
      <c r="B2250" s="16">
        <v>14000000</v>
      </c>
    </row>
    <row r="2251" spans="1:2" ht="14.4" x14ac:dyDescent="0.3">
      <c r="A2251" s="1" t="s">
        <v>7475</v>
      </c>
      <c r="B2251" s="16">
        <v>23500000</v>
      </c>
    </row>
    <row r="2252" spans="1:2" ht="14.4" x14ac:dyDescent="0.3">
      <c r="A2252" s="1" t="s">
        <v>7739</v>
      </c>
      <c r="B2252" s="16">
        <v>6500000</v>
      </c>
    </row>
    <row r="2253" spans="1:2" ht="14.4" x14ac:dyDescent="0.3">
      <c r="A2253" s="1" t="s">
        <v>8599</v>
      </c>
      <c r="B2253" s="16">
        <v>30000000</v>
      </c>
    </row>
    <row r="2254" spans="1:2" ht="14.4" x14ac:dyDescent="0.3">
      <c r="A2254" s="1" t="s">
        <v>8598</v>
      </c>
      <c r="B2254" s="16">
        <v>9000000</v>
      </c>
    </row>
    <row r="2255" spans="1:2" ht="14.4" x14ac:dyDescent="0.3">
      <c r="A2255" s="1" t="s">
        <v>8597</v>
      </c>
      <c r="B2255" s="16">
        <v>12200000</v>
      </c>
    </row>
    <row r="2256" spans="1:2" ht="14.4" x14ac:dyDescent="0.3">
      <c r="A2256" s="1" t="s">
        <v>3417</v>
      </c>
      <c r="B2256" s="16">
        <v>8000000</v>
      </c>
    </row>
    <row r="2257" spans="1:2" ht="14.4" x14ac:dyDescent="0.3">
      <c r="A2257" s="1" t="s">
        <v>8783</v>
      </c>
      <c r="B2257" s="16">
        <v>6150000</v>
      </c>
    </row>
    <row r="2258" spans="1:2" ht="14.4" x14ac:dyDescent="0.3">
      <c r="A2258" s="1" t="s">
        <v>3648</v>
      </c>
      <c r="B2258" s="16">
        <v>14800000</v>
      </c>
    </row>
    <row r="2259" spans="1:2" ht="14.4" x14ac:dyDescent="0.3">
      <c r="A2259" s="1" t="s">
        <v>8747</v>
      </c>
      <c r="B2259" s="16">
        <v>7400000</v>
      </c>
    </row>
    <row r="2260" spans="1:2" ht="14.4" x14ac:dyDescent="0.3">
      <c r="A2260" s="1" t="s">
        <v>8821</v>
      </c>
      <c r="B2260" s="16">
        <v>15000000</v>
      </c>
    </row>
    <row r="2261" spans="1:2" ht="14.4" x14ac:dyDescent="0.3">
      <c r="A2261" s="1" t="s">
        <v>8775</v>
      </c>
      <c r="B2261" s="16">
        <v>8300000</v>
      </c>
    </row>
    <row r="2262" spans="1:2" ht="14.4" x14ac:dyDescent="0.3">
      <c r="A2262" s="1" t="s">
        <v>3565</v>
      </c>
      <c r="B2262" s="16">
        <v>12100000</v>
      </c>
    </row>
    <row r="2263" spans="1:2" ht="14.4" x14ac:dyDescent="0.3">
      <c r="A2263" s="1" t="s">
        <v>1386</v>
      </c>
      <c r="B2263" s="16">
        <v>12700000</v>
      </c>
    </row>
    <row r="2264" spans="1:2" ht="14.4" x14ac:dyDescent="0.3">
      <c r="A2264" s="1" t="s">
        <v>8779</v>
      </c>
      <c r="B2264" s="16">
        <v>13500000</v>
      </c>
    </row>
    <row r="2265" spans="1:2" ht="14.4" x14ac:dyDescent="0.3">
      <c r="A2265" s="1" t="s">
        <v>8816</v>
      </c>
      <c r="B2265" s="16">
        <v>10000000</v>
      </c>
    </row>
    <row r="2266" spans="1:2" ht="14.4" x14ac:dyDescent="0.3">
      <c r="A2266" s="1" t="s">
        <v>8038</v>
      </c>
      <c r="B2266" s="16">
        <v>10000000</v>
      </c>
    </row>
    <row r="2267" spans="1:2" ht="14.4" x14ac:dyDescent="0.3">
      <c r="A2267" s="1" t="s">
        <v>8057</v>
      </c>
      <c r="B2267" s="16">
        <v>7150000</v>
      </c>
    </row>
    <row r="2268" spans="1:2" ht="14.4" x14ac:dyDescent="0.3">
      <c r="A2268" s="1" t="s">
        <v>3551</v>
      </c>
      <c r="B2268" s="16">
        <v>7200000</v>
      </c>
    </row>
    <row r="2269" spans="1:2" ht="14.4" x14ac:dyDescent="0.3">
      <c r="A2269" s="1" t="s">
        <v>8842</v>
      </c>
      <c r="B2269" s="16">
        <v>11400000</v>
      </c>
    </row>
    <row r="2270" spans="1:2" ht="14.4" x14ac:dyDescent="0.3">
      <c r="A2270" s="1" t="s">
        <v>8795</v>
      </c>
      <c r="B2270" s="16">
        <v>19700000</v>
      </c>
    </row>
    <row r="2271" spans="1:2" ht="14.4" x14ac:dyDescent="0.3">
      <c r="A2271" s="1" t="s">
        <v>3921</v>
      </c>
      <c r="B2271" s="16">
        <v>9500000</v>
      </c>
    </row>
    <row r="2272" spans="1:2" ht="14.4" x14ac:dyDescent="0.3">
      <c r="A2272" s="1" t="s">
        <v>7924</v>
      </c>
      <c r="B2272" s="16">
        <v>19200000</v>
      </c>
    </row>
    <row r="2273" spans="1:2" ht="14.4" x14ac:dyDescent="0.3">
      <c r="A2273" s="1" t="s">
        <v>8789</v>
      </c>
      <c r="B2273" s="16">
        <v>22500000</v>
      </c>
    </row>
    <row r="2274" spans="1:2" ht="14.4" x14ac:dyDescent="0.3">
      <c r="A2274" s="1" t="s">
        <v>9682</v>
      </c>
      <c r="B2274" s="16">
        <v>8000000</v>
      </c>
    </row>
    <row r="2275" spans="1:2" ht="14.4" x14ac:dyDescent="0.3">
      <c r="A2275" s="1" t="s">
        <v>8812</v>
      </c>
      <c r="B2275" s="16">
        <v>13750000</v>
      </c>
    </row>
    <row r="2276" spans="1:2" ht="14.4" x14ac:dyDescent="0.3">
      <c r="A2276" s="1" t="s">
        <v>9639</v>
      </c>
      <c r="B2276" s="16">
        <v>13000000</v>
      </c>
    </row>
    <row r="2277" spans="1:2" ht="14.4" x14ac:dyDescent="0.3">
      <c r="A2277" s="1" t="s">
        <v>9667</v>
      </c>
      <c r="B2277" s="16">
        <v>9300000</v>
      </c>
    </row>
    <row r="2278" spans="1:2" ht="14.4" x14ac:dyDescent="0.3">
      <c r="A2278" s="1" t="s">
        <v>689</v>
      </c>
      <c r="B2278" s="16">
        <v>7500000</v>
      </c>
    </row>
    <row r="2279" spans="1:2" ht="14.4" x14ac:dyDescent="0.3">
      <c r="A2279" s="1" t="s">
        <v>8846</v>
      </c>
      <c r="B2279" s="16">
        <v>7200000</v>
      </c>
    </row>
    <row r="2280" spans="1:2" ht="14.4" x14ac:dyDescent="0.3">
      <c r="A2280" s="1" t="s">
        <v>9707</v>
      </c>
      <c r="B2280" s="16">
        <v>14990000</v>
      </c>
    </row>
    <row r="2281" spans="1:2" ht="14.4" x14ac:dyDescent="0.3">
      <c r="A2281" s="1" t="s">
        <v>7776</v>
      </c>
      <c r="B2281" s="16">
        <v>11500000</v>
      </c>
    </row>
    <row r="2282" spans="1:2" ht="14.4" x14ac:dyDescent="0.3">
      <c r="A2282" s="1" t="s">
        <v>8847</v>
      </c>
      <c r="B2282" s="16">
        <v>6200000</v>
      </c>
    </row>
    <row r="2283" spans="1:2" ht="14.4" x14ac:dyDescent="0.3">
      <c r="A2283" s="1" t="s">
        <v>9680</v>
      </c>
      <c r="B2283" s="16">
        <v>5000000</v>
      </c>
    </row>
    <row r="2284" spans="1:2" ht="14.4" x14ac:dyDescent="0.3">
      <c r="A2284" s="1" t="s">
        <v>9647</v>
      </c>
      <c r="B2284" s="16">
        <v>7900000</v>
      </c>
    </row>
    <row r="2285" spans="1:2" ht="14.4" x14ac:dyDescent="0.3">
      <c r="A2285" s="1" t="s">
        <v>2794</v>
      </c>
      <c r="B2285" s="16">
        <v>13250000</v>
      </c>
    </row>
    <row r="2286" spans="1:2" ht="14.4" x14ac:dyDescent="0.3">
      <c r="A2286" s="1" t="s">
        <v>9621</v>
      </c>
      <c r="B2286" s="16">
        <v>12600000</v>
      </c>
    </row>
    <row r="2287" spans="1:2" ht="14.4" x14ac:dyDescent="0.3">
      <c r="A2287" s="1" t="s">
        <v>2895</v>
      </c>
      <c r="B2287" s="16">
        <v>17000000</v>
      </c>
    </row>
    <row r="2288" spans="1:2" ht="14.4" x14ac:dyDescent="0.3">
      <c r="A2288" s="1" t="s">
        <v>8837</v>
      </c>
      <c r="B2288" s="16">
        <v>14000000</v>
      </c>
    </row>
    <row r="2289" spans="1:2" ht="14.4" x14ac:dyDescent="0.3">
      <c r="A2289" s="1" t="s">
        <v>8797</v>
      </c>
      <c r="B2289" s="16">
        <v>9200000</v>
      </c>
    </row>
    <row r="2290" spans="1:2" ht="14.4" x14ac:dyDescent="0.3">
      <c r="A2290" s="1" t="s">
        <v>8824</v>
      </c>
      <c r="B2290" s="16">
        <v>11000000</v>
      </c>
    </row>
    <row r="2291" spans="1:2" ht="14.4" x14ac:dyDescent="0.3">
      <c r="A2291" s="1" t="s">
        <v>9599</v>
      </c>
      <c r="B2291" s="16">
        <v>26990000</v>
      </c>
    </row>
    <row r="2292" spans="1:2" ht="14.4" x14ac:dyDescent="0.3">
      <c r="A2292" s="1" t="s">
        <v>9756</v>
      </c>
      <c r="B2292" s="16">
        <v>10300000</v>
      </c>
    </row>
    <row r="2293" spans="1:2" ht="14.4" x14ac:dyDescent="0.3">
      <c r="A2293" s="1" t="s">
        <v>9762</v>
      </c>
      <c r="B2293" s="16">
        <v>6000000</v>
      </c>
    </row>
    <row r="2294" spans="1:2" ht="14.4" x14ac:dyDescent="0.3">
      <c r="A2294" s="1" t="s">
        <v>918</v>
      </c>
      <c r="B2294" s="16">
        <v>8500000</v>
      </c>
    </row>
    <row r="2295" spans="1:2" ht="14.4" x14ac:dyDescent="0.3">
      <c r="A2295" s="1" t="s">
        <v>8810</v>
      </c>
      <c r="B2295" s="16">
        <v>18750000</v>
      </c>
    </row>
    <row r="2296" spans="1:2" ht="14.4" x14ac:dyDescent="0.3">
      <c r="A2296" s="1" t="s">
        <v>8817</v>
      </c>
      <c r="B2296" s="16">
        <v>18400000</v>
      </c>
    </row>
    <row r="2297" spans="1:2" ht="14.4" x14ac:dyDescent="0.3">
      <c r="A2297" s="1" t="s">
        <v>9896</v>
      </c>
      <c r="B2297" s="16">
        <v>4870000</v>
      </c>
    </row>
    <row r="2298" spans="1:2" ht="14.4" x14ac:dyDescent="0.3">
      <c r="A2298" s="1" t="s">
        <v>9897</v>
      </c>
      <c r="B2298" s="16">
        <v>3500000</v>
      </c>
    </row>
    <row r="2299" spans="1:2" ht="14.4" x14ac:dyDescent="0.3">
      <c r="A2299" s="1" t="s">
        <v>9898</v>
      </c>
      <c r="B2299" s="16">
        <v>9700000</v>
      </c>
    </row>
    <row r="2300" spans="1:2" ht="14.4" x14ac:dyDescent="0.3">
      <c r="A2300" s="1" t="s">
        <v>9899</v>
      </c>
      <c r="B2300" s="16">
        <v>3970000</v>
      </c>
    </row>
    <row r="2301" spans="1:2" ht="14.4" x14ac:dyDescent="0.3">
      <c r="A2301" s="1" t="s">
        <v>9900</v>
      </c>
      <c r="B2301" s="16">
        <v>7800000</v>
      </c>
    </row>
    <row r="2302" spans="1:2" ht="14.4" x14ac:dyDescent="0.3">
      <c r="A2302" s="1" t="s">
        <v>9864</v>
      </c>
      <c r="B2302" s="16">
        <v>7900000</v>
      </c>
    </row>
    <row r="2303" spans="1:2" ht="14.4" x14ac:dyDescent="0.3">
      <c r="A2303" s="1" t="s">
        <v>9901</v>
      </c>
      <c r="B2303" s="16">
        <v>4000000</v>
      </c>
    </row>
    <row r="2304" spans="1:2" ht="14.4" x14ac:dyDescent="0.3">
      <c r="A2304" s="1" t="s">
        <v>9902</v>
      </c>
      <c r="B2304" s="16">
        <v>4500000</v>
      </c>
    </row>
    <row r="2305" spans="1:2" ht="14.4" x14ac:dyDescent="0.3">
      <c r="A2305" s="1" t="s">
        <v>9843</v>
      </c>
      <c r="B2305" s="16">
        <v>14500000</v>
      </c>
    </row>
    <row r="2306" spans="1:2" ht="14.4" x14ac:dyDescent="0.3">
      <c r="A2306" s="1" t="s">
        <v>9843</v>
      </c>
      <c r="B2306" s="16">
        <v>19500000</v>
      </c>
    </row>
    <row r="2307" spans="1:2" ht="14.4" x14ac:dyDescent="0.3">
      <c r="A2307" s="1" t="s">
        <v>9903</v>
      </c>
      <c r="B2307" s="16">
        <v>11500000</v>
      </c>
    </row>
    <row r="2308" spans="1:2" ht="14.4" x14ac:dyDescent="0.3">
      <c r="A2308" s="1" t="s">
        <v>2212</v>
      </c>
      <c r="B2308" s="16">
        <v>20400000</v>
      </c>
    </row>
    <row r="2309" spans="1:2" ht="14.4" x14ac:dyDescent="0.3">
      <c r="A2309" s="1" t="s">
        <v>7469</v>
      </c>
      <c r="B2309" s="16">
        <v>9500000</v>
      </c>
    </row>
    <row r="2310" spans="1:2" ht="14.4" x14ac:dyDescent="0.3">
      <c r="A2310" s="1" t="s">
        <v>9904</v>
      </c>
      <c r="B2310" s="16">
        <v>3200000</v>
      </c>
    </row>
    <row r="2311" spans="1:2" ht="14.4" x14ac:dyDescent="0.3">
      <c r="A2311" s="1" t="s">
        <v>9905</v>
      </c>
      <c r="B2311" s="16">
        <v>14800000</v>
      </c>
    </row>
    <row r="2312" spans="1:2" ht="14.4" x14ac:dyDescent="0.3">
      <c r="A2312" s="1" t="s">
        <v>9906</v>
      </c>
      <c r="B2312" s="16">
        <v>8200000</v>
      </c>
    </row>
    <row r="2313" spans="1:2" ht="14.4" x14ac:dyDescent="0.3">
      <c r="A2313" s="1" t="s">
        <v>9907</v>
      </c>
      <c r="B2313" s="16">
        <v>4000000</v>
      </c>
    </row>
    <row r="2314" spans="1:2" ht="14.4" x14ac:dyDescent="0.3">
      <c r="A2314" s="1" t="s">
        <v>9908</v>
      </c>
      <c r="B2314" s="16">
        <v>7700000</v>
      </c>
    </row>
    <row r="2315" spans="1:2" ht="14.4" x14ac:dyDescent="0.3">
      <c r="A2315" s="1" t="s">
        <v>9909</v>
      </c>
      <c r="B2315" s="16">
        <v>9000000</v>
      </c>
    </row>
    <row r="2316" spans="1:2" ht="14.4" x14ac:dyDescent="0.3">
      <c r="A2316" s="1" t="s">
        <v>9910</v>
      </c>
      <c r="B2316" s="16">
        <v>12700000</v>
      </c>
    </row>
    <row r="2317" spans="1:2" ht="14.4" x14ac:dyDescent="0.3">
      <c r="A2317" s="1" t="s">
        <v>9911</v>
      </c>
      <c r="B2317" s="16">
        <v>12100000</v>
      </c>
    </row>
    <row r="2318" spans="1:2" ht="14.4" x14ac:dyDescent="0.3">
      <c r="A2318" s="1" t="s">
        <v>8850</v>
      </c>
      <c r="B2318" s="16">
        <v>11000000</v>
      </c>
    </row>
    <row r="2319" spans="1:2" ht="14.4" x14ac:dyDescent="0.3">
      <c r="A2319" s="1" t="s">
        <v>9729</v>
      </c>
      <c r="B2319" s="16">
        <v>7700000</v>
      </c>
    </row>
    <row r="2320" spans="1:2" ht="14.4" x14ac:dyDescent="0.3">
      <c r="A2320" s="1" t="s">
        <v>2353</v>
      </c>
      <c r="B2320" s="16">
        <v>7350000</v>
      </c>
    </row>
    <row r="2321" spans="1:2" ht="14.4" x14ac:dyDescent="0.3">
      <c r="A2321" s="1" t="s">
        <v>9912</v>
      </c>
      <c r="B2321" s="16">
        <v>11200000</v>
      </c>
    </row>
    <row r="2322" spans="1:2" ht="14.4" x14ac:dyDescent="0.3">
      <c r="A2322" s="1" t="s">
        <v>9913</v>
      </c>
      <c r="B2322" s="16">
        <v>9300000</v>
      </c>
    </row>
    <row r="2323" spans="1:2" ht="14.4" x14ac:dyDescent="0.3">
      <c r="A2323" s="1" t="s">
        <v>9914</v>
      </c>
      <c r="B2323" s="16">
        <v>6000000</v>
      </c>
    </row>
    <row r="2324" spans="1:2" ht="14.4" x14ac:dyDescent="0.3">
      <c r="A2324" s="1" t="s">
        <v>1104</v>
      </c>
      <c r="B2324" s="16">
        <v>10000000</v>
      </c>
    </row>
    <row r="2325" spans="1:2" ht="14.4" x14ac:dyDescent="0.3">
      <c r="A2325" s="1" t="s">
        <v>9915</v>
      </c>
      <c r="B2325" s="16">
        <v>6500000</v>
      </c>
    </row>
    <row r="2326" spans="1:2" ht="14.4" x14ac:dyDescent="0.3">
      <c r="A2326" s="1" t="s">
        <v>9916</v>
      </c>
      <c r="B2326" s="16">
        <v>11000000</v>
      </c>
    </row>
    <row r="2327" spans="1:2" ht="14.4" x14ac:dyDescent="0.3">
      <c r="A2327" s="1" t="s">
        <v>9917</v>
      </c>
      <c r="B2327" s="16">
        <v>6410000</v>
      </c>
    </row>
    <row r="2328" spans="1:2" ht="14.4" x14ac:dyDescent="0.3">
      <c r="A2328" s="1" t="s">
        <v>2384</v>
      </c>
      <c r="B2328" s="16">
        <v>10000000</v>
      </c>
    </row>
    <row r="2329" spans="1:2" ht="14.4" x14ac:dyDescent="0.3">
      <c r="A2329" s="1" t="s">
        <v>9918</v>
      </c>
      <c r="B2329" s="16">
        <v>7000000</v>
      </c>
    </row>
    <row r="2330" spans="1:2" ht="14.4" x14ac:dyDescent="0.3">
      <c r="A2330" s="1" t="s">
        <v>9919</v>
      </c>
      <c r="B2330" s="16">
        <v>4500000</v>
      </c>
    </row>
    <row r="2331" spans="1:2" ht="14.4" x14ac:dyDescent="0.3">
      <c r="A2331" s="1" t="s">
        <v>9920</v>
      </c>
      <c r="B2331" s="16">
        <v>7800000</v>
      </c>
    </row>
    <row r="2332" spans="1:2" ht="14.4" x14ac:dyDescent="0.3">
      <c r="A2332" s="1" t="s">
        <v>9921</v>
      </c>
      <c r="B2332" s="16">
        <v>10000000</v>
      </c>
    </row>
    <row r="2333" spans="1:2" ht="14.4" x14ac:dyDescent="0.3">
      <c r="A2333" s="1" t="s">
        <v>9922</v>
      </c>
      <c r="B2333" s="16">
        <v>14000000</v>
      </c>
    </row>
    <row r="2334" spans="1:2" ht="14.4" x14ac:dyDescent="0.3">
      <c r="A2334" s="1" t="s">
        <v>9923</v>
      </c>
      <c r="B2334" s="16">
        <v>14500000</v>
      </c>
    </row>
    <row r="2335" spans="1:2" ht="14.4" x14ac:dyDescent="0.3">
      <c r="A2335" s="1" t="s">
        <v>9924</v>
      </c>
      <c r="B2335" s="16">
        <v>6900000</v>
      </c>
    </row>
    <row r="2336" spans="1:2" ht="14.4" x14ac:dyDescent="0.3">
      <c r="A2336" s="1" t="s">
        <v>9702</v>
      </c>
      <c r="B2336" s="16">
        <v>12600000</v>
      </c>
    </row>
    <row r="2337" spans="1:2" ht="14.4" x14ac:dyDescent="0.3">
      <c r="A2337" s="1" t="s">
        <v>9925</v>
      </c>
      <c r="B2337" s="16">
        <v>18000000</v>
      </c>
    </row>
    <row r="2338" spans="1:2" ht="14.4" x14ac:dyDescent="0.3">
      <c r="A2338" s="1" t="s">
        <v>9926</v>
      </c>
      <c r="B2338" s="16">
        <v>11000000</v>
      </c>
    </row>
    <row r="2339" spans="1:2" ht="14.4" x14ac:dyDescent="0.3">
      <c r="A2339" s="1" t="s">
        <v>9927</v>
      </c>
      <c r="B2339" s="16">
        <v>12600000</v>
      </c>
    </row>
    <row r="2340" spans="1:2" ht="14.4" x14ac:dyDescent="0.3">
      <c r="A2340" s="1" t="s">
        <v>3179</v>
      </c>
      <c r="B2340" s="16">
        <v>11300000</v>
      </c>
    </row>
    <row r="2341" spans="1:2" ht="14.4" x14ac:dyDescent="0.3">
      <c r="A2341" s="1" t="s">
        <v>9928</v>
      </c>
      <c r="B2341" s="16">
        <v>12500000</v>
      </c>
    </row>
    <row r="2342" spans="1:2" ht="14.4" x14ac:dyDescent="0.3">
      <c r="A2342" s="1" t="s">
        <v>9929</v>
      </c>
      <c r="B2342" s="16">
        <v>5600000</v>
      </c>
    </row>
    <row r="2343" spans="1:2" ht="14.4" x14ac:dyDescent="0.3">
      <c r="A2343" s="1" t="s">
        <v>9930</v>
      </c>
      <c r="B2343" s="16">
        <v>7000000</v>
      </c>
    </row>
    <row r="2344" spans="1:2" ht="14.4" x14ac:dyDescent="0.3">
      <c r="A2344" s="1" t="s">
        <v>3102</v>
      </c>
      <c r="B2344" s="16">
        <v>6500000</v>
      </c>
    </row>
    <row r="2345" spans="1:2" ht="14.4" x14ac:dyDescent="0.3">
      <c r="A2345" s="1" t="s">
        <v>7841</v>
      </c>
      <c r="B2345" s="16">
        <v>9300000</v>
      </c>
    </row>
    <row r="2346" spans="1:2" ht="14.4" x14ac:dyDescent="0.3">
      <c r="A2346" s="1" t="s">
        <v>9931</v>
      </c>
      <c r="B2346" s="16">
        <v>9000000</v>
      </c>
    </row>
    <row r="2347" spans="1:2" ht="14.4" x14ac:dyDescent="0.3">
      <c r="A2347" s="1" t="s">
        <v>9932</v>
      </c>
      <c r="B2347" s="16">
        <v>13860000</v>
      </c>
    </row>
    <row r="2348" spans="1:2" ht="14.4" x14ac:dyDescent="0.3">
      <c r="A2348" s="1" t="s">
        <v>9932</v>
      </c>
      <c r="B2348" s="16">
        <v>14500000</v>
      </c>
    </row>
    <row r="2349" spans="1:2" ht="14.4" x14ac:dyDescent="0.3">
      <c r="A2349" s="1" t="s">
        <v>9933</v>
      </c>
      <c r="B2349" s="16">
        <v>14700000</v>
      </c>
    </row>
    <row r="2350" spans="1:2" ht="14.4" x14ac:dyDescent="0.3">
      <c r="A2350" s="1" t="s">
        <v>9934</v>
      </c>
      <c r="B2350" s="16">
        <v>6300000</v>
      </c>
    </row>
    <row r="2351" spans="1:2" ht="14.4" x14ac:dyDescent="0.3">
      <c r="A2351" s="1" t="s">
        <v>9878</v>
      </c>
      <c r="B2351" s="16">
        <v>4500000</v>
      </c>
    </row>
    <row r="2352" spans="1:2" ht="14.4" x14ac:dyDescent="0.3">
      <c r="A2352" s="1" t="s">
        <v>9935</v>
      </c>
      <c r="B2352" s="16">
        <v>6800000</v>
      </c>
    </row>
    <row r="2353" spans="1:2" ht="14.4" x14ac:dyDescent="0.3">
      <c r="A2353" s="1" t="s">
        <v>9936</v>
      </c>
      <c r="B2353" s="16">
        <v>7900000</v>
      </c>
    </row>
    <row r="2354" spans="1:2" ht="14.4" x14ac:dyDescent="0.3">
      <c r="A2354" s="1" t="s">
        <v>9937</v>
      </c>
      <c r="B2354" s="16">
        <v>6700000</v>
      </c>
    </row>
    <row r="2355" spans="1:2" ht="14.4" x14ac:dyDescent="0.3">
      <c r="A2355" s="1" t="s">
        <v>9937</v>
      </c>
      <c r="B2355" s="16">
        <v>7000000</v>
      </c>
    </row>
    <row r="2356" spans="1:2" ht="14.4" x14ac:dyDescent="0.3">
      <c r="A2356" s="1" t="s">
        <v>9938</v>
      </c>
      <c r="B2356" s="16">
        <v>12600000</v>
      </c>
    </row>
    <row r="2357" spans="1:2" ht="14.4" x14ac:dyDescent="0.3">
      <c r="A2357" s="1" t="s">
        <v>9939</v>
      </c>
      <c r="B2357" s="16">
        <v>9000000</v>
      </c>
    </row>
    <row r="2358" spans="1:2" ht="14.4" x14ac:dyDescent="0.3">
      <c r="A2358" s="1" t="s">
        <v>9940</v>
      </c>
      <c r="B2358" s="16">
        <v>13000000</v>
      </c>
    </row>
    <row r="2359" spans="1:2" ht="14.4" x14ac:dyDescent="0.3">
      <c r="A2359" s="1" t="s">
        <v>9941</v>
      </c>
      <c r="B2359" s="16">
        <v>16800000</v>
      </c>
    </row>
    <row r="2360" spans="1:2" ht="14.4" x14ac:dyDescent="0.3">
      <c r="A2360" s="1" t="s">
        <v>9942</v>
      </c>
      <c r="B2360" s="16">
        <v>11200000</v>
      </c>
    </row>
    <row r="2361" spans="1:2" ht="14.4" x14ac:dyDescent="0.3">
      <c r="A2361" s="1" t="s">
        <v>9943</v>
      </c>
      <c r="B2361" s="16">
        <v>24200000</v>
      </c>
    </row>
    <row r="2362" spans="1:2" ht="14.4" x14ac:dyDescent="0.3">
      <c r="A2362" s="1" t="s">
        <v>9872</v>
      </c>
      <c r="B2362" s="16">
        <v>4600000</v>
      </c>
    </row>
    <row r="2363" spans="1:2" ht="14.4" x14ac:dyDescent="0.3">
      <c r="A2363" s="1" t="s">
        <v>9944</v>
      </c>
      <c r="B2363" s="16">
        <v>11500000</v>
      </c>
    </row>
    <row r="2364" spans="1:2" ht="14.4" x14ac:dyDescent="0.3">
      <c r="A2364" s="1" t="s">
        <v>9945</v>
      </c>
      <c r="B2364" s="16">
        <v>5800000</v>
      </c>
    </row>
    <row r="2365" spans="1:2" ht="14.4" x14ac:dyDescent="0.3">
      <c r="A2365" s="1" t="s">
        <v>9946</v>
      </c>
      <c r="B2365" s="16">
        <v>6200000</v>
      </c>
    </row>
    <row r="2366" spans="1:2" ht="14.4" x14ac:dyDescent="0.3">
      <c r="A2366" s="1" t="s">
        <v>9947</v>
      </c>
      <c r="B2366" s="16">
        <v>6000000</v>
      </c>
    </row>
    <row r="2367" spans="1:2" ht="14.4" x14ac:dyDescent="0.3">
      <c r="A2367" s="1" t="s">
        <v>9948</v>
      </c>
      <c r="B2367" s="16">
        <v>3000000</v>
      </c>
    </row>
    <row r="2368" spans="1:2" ht="14.4" x14ac:dyDescent="0.3">
      <c r="A2368" s="1" t="s">
        <v>9949</v>
      </c>
      <c r="B2368" s="16">
        <v>9000000</v>
      </c>
    </row>
    <row r="2369" spans="1:2" ht="14.4" x14ac:dyDescent="0.3">
      <c r="A2369" s="1" t="s">
        <v>9950</v>
      </c>
      <c r="B2369" s="16">
        <v>6000000</v>
      </c>
    </row>
    <row r="2370" spans="1:2" ht="14.4" x14ac:dyDescent="0.3">
      <c r="A2370" s="1" t="s">
        <v>9951</v>
      </c>
      <c r="B2370" s="16">
        <v>13000000</v>
      </c>
    </row>
    <row r="2371" spans="1:2" ht="14.4" x14ac:dyDescent="0.3">
      <c r="A2371" s="1" t="s">
        <v>3819</v>
      </c>
      <c r="B2371" s="16">
        <v>6000000</v>
      </c>
    </row>
    <row r="2372" spans="1:2" ht="14.4" x14ac:dyDescent="0.3">
      <c r="A2372" s="1" t="s">
        <v>3819</v>
      </c>
      <c r="B2372" s="16">
        <v>6400000</v>
      </c>
    </row>
    <row r="2373" spans="1:2" ht="14.4" x14ac:dyDescent="0.3">
      <c r="A2373" s="1" t="s">
        <v>9952</v>
      </c>
      <c r="B2373" s="16">
        <v>24000000</v>
      </c>
    </row>
    <row r="2374" spans="1:2" ht="14.4" x14ac:dyDescent="0.3">
      <c r="A2374" s="1" t="s">
        <v>9953</v>
      </c>
      <c r="B2374" s="16">
        <v>6300000</v>
      </c>
    </row>
    <row r="2375" spans="1:2" ht="14.4" x14ac:dyDescent="0.3">
      <c r="A2375" s="1" t="s">
        <v>9954</v>
      </c>
      <c r="B2375" s="16">
        <v>12900000</v>
      </c>
    </row>
    <row r="2376" spans="1:2" ht="14.4" x14ac:dyDescent="0.3">
      <c r="A2376" s="1" t="s">
        <v>9955</v>
      </c>
      <c r="B2376" s="16">
        <v>6100000</v>
      </c>
    </row>
    <row r="2377" spans="1:2" ht="14.4" x14ac:dyDescent="0.3">
      <c r="A2377" s="1" t="s">
        <v>9956</v>
      </c>
      <c r="B2377" s="16">
        <v>9600000</v>
      </c>
    </row>
    <row r="2378" spans="1:2" ht="14.4" x14ac:dyDescent="0.3">
      <c r="A2378" s="1" t="s">
        <v>9957</v>
      </c>
      <c r="B2378" s="16">
        <v>7000000</v>
      </c>
    </row>
    <row r="2379" spans="1:2" ht="14.4" x14ac:dyDescent="0.3">
      <c r="A2379" s="1" t="s">
        <v>3289</v>
      </c>
      <c r="B2379" s="16">
        <v>5900000</v>
      </c>
    </row>
    <row r="2380" spans="1:2" ht="14.4" x14ac:dyDescent="0.3">
      <c r="A2380" s="1" t="s">
        <v>9958</v>
      </c>
      <c r="B2380" s="16">
        <v>11300000</v>
      </c>
    </row>
    <row r="2381" spans="1:2" ht="14.4" x14ac:dyDescent="0.3">
      <c r="A2381" s="1" t="s">
        <v>9874</v>
      </c>
      <c r="B2381" s="16">
        <v>7500000</v>
      </c>
    </row>
    <row r="2382" spans="1:2" ht="14.4" x14ac:dyDescent="0.3">
      <c r="A2382" s="1" t="s">
        <v>9959</v>
      </c>
      <c r="B2382" s="16">
        <v>6300000</v>
      </c>
    </row>
    <row r="2383" spans="1:2" ht="14.4" x14ac:dyDescent="0.3">
      <c r="A2383" s="1" t="s">
        <v>9960</v>
      </c>
      <c r="B2383" s="16">
        <v>22700000</v>
      </c>
    </row>
    <row r="2384" spans="1:2" ht="14.4" x14ac:dyDescent="0.3">
      <c r="A2384" s="1" t="s">
        <v>9961</v>
      </c>
      <c r="B2384" s="16">
        <v>6400000</v>
      </c>
    </row>
    <row r="2385" spans="1:2" ht="14.4" x14ac:dyDescent="0.3">
      <c r="A2385" s="1" t="s">
        <v>9962</v>
      </c>
      <c r="B2385" s="16">
        <v>16800000</v>
      </c>
    </row>
    <row r="2386" spans="1:2" ht="14.4" x14ac:dyDescent="0.3">
      <c r="A2386" s="1" t="s">
        <v>9851</v>
      </c>
      <c r="B2386" s="16">
        <v>8500000</v>
      </c>
    </row>
    <row r="2387" spans="1:2" ht="14.4" x14ac:dyDescent="0.3">
      <c r="A2387" s="1" t="s">
        <v>9829</v>
      </c>
      <c r="B2387" s="16">
        <v>11500000</v>
      </c>
    </row>
    <row r="2388" spans="1:2" ht="14.4" x14ac:dyDescent="0.3">
      <c r="A2388" s="1" t="s">
        <v>9963</v>
      </c>
      <c r="B2388" s="16">
        <v>6900000</v>
      </c>
    </row>
    <row r="2389" spans="1:2" ht="14.4" x14ac:dyDescent="0.3">
      <c r="A2389" s="1" t="s">
        <v>9766</v>
      </c>
      <c r="B2389" s="16">
        <v>13000000</v>
      </c>
    </row>
    <row r="2390" spans="1:2" ht="14.4" x14ac:dyDescent="0.3">
      <c r="A2390" s="1" t="s">
        <v>9964</v>
      </c>
      <c r="B2390" s="16">
        <v>6200000</v>
      </c>
    </row>
    <row r="2391" spans="1:2" ht="14.4" x14ac:dyDescent="0.3">
      <c r="A2391" s="1" t="s">
        <v>525</v>
      </c>
      <c r="B2391" s="16">
        <v>7000000</v>
      </c>
    </row>
    <row r="2392" spans="1:2" ht="14.4" x14ac:dyDescent="0.3">
      <c r="A2392" s="1" t="s">
        <v>7891</v>
      </c>
      <c r="B2392" s="16">
        <v>11000000</v>
      </c>
    </row>
    <row r="2393" spans="1:2" ht="14.4" x14ac:dyDescent="0.3">
      <c r="A2393" s="1" t="s">
        <v>9695</v>
      </c>
      <c r="B2393" s="16">
        <v>17500000</v>
      </c>
    </row>
    <row r="2394" spans="1:2" ht="14.4" x14ac:dyDescent="0.3">
      <c r="A2394" s="1" t="s">
        <v>9595</v>
      </c>
      <c r="B2394" s="16">
        <v>14400000</v>
      </c>
    </row>
    <row r="2395" spans="1:2" ht="14.4" x14ac:dyDescent="0.3">
      <c r="A2395" s="1" t="s">
        <v>9965</v>
      </c>
      <c r="B2395" s="16">
        <v>6800000</v>
      </c>
    </row>
    <row r="2396" spans="1:2" ht="14.4" x14ac:dyDescent="0.3">
      <c r="A2396" s="1" t="s">
        <v>9966</v>
      </c>
      <c r="B2396" s="16">
        <v>9000000</v>
      </c>
    </row>
    <row r="2397" spans="1:2" ht="14.4" x14ac:dyDescent="0.3">
      <c r="A2397" s="1" t="s">
        <v>9967</v>
      </c>
      <c r="B2397" s="16">
        <v>7800000</v>
      </c>
    </row>
    <row r="2398" spans="1:2" ht="14.4" x14ac:dyDescent="0.3">
      <c r="A2398" s="1" t="s">
        <v>9968</v>
      </c>
      <c r="B2398" s="16">
        <v>12500000</v>
      </c>
    </row>
    <row r="2399" spans="1:2" ht="14.4" x14ac:dyDescent="0.3">
      <c r="A2399" s="1" t="s">
        <v>2743</v>
      </c>
      <c r="B2399" s="16">
        <v>13200000</v>
      </c>
    </row>
    <row r="2400" spans="1:2" ht="14.4" x14ac:dyDescent="0.3">
      <c r="A2400" s="1" t="s">
        <v>9969</v>
      </c>
      <c r="B2400" s="16">
        <v>12000000</v>
      </c>
    </row>
    <row r="2401" spans="1:2" ht="14.4" x14ac:dyDescent="0.3">
      <c r="A2401" s="1" t="s">
        <v>9970</v>
      </c>
      <c r="B2401" s="16">
        <v>12000000</v>
      </c>
    </row>
    <row r="2402" spans="1:2" ht="14.4" x14ac:dyDescent="0.3">
      <c r="A2402" s="1" t="s">
        <v>1762</v>
      </c>
      <c r="B2402" s="16">
        <v>16700000</v>
      </c>
    </row>
    <row r="2403" spans="1:2" ht="14.4" x14ac:dyDescent="0.3">
      <c r="A2403" s="1" t="s">
        <v>9971</v>
      </c>
      <c r="B2403" s="16">
        <v>6900000</v>
      </c>
    </row>
    <row r="2404" spans="1:2" ht="14.4" x14ac:dyDescent="0.3">
      <c r="A2404" s="1" t="s">
        <v>9835</v>
      </c>
      <c r="B2404" s="16">
        <v>8200000</v>
      </c>
    </row>
    <row r="2405" spans="1:2" ht="14.4" x14ac:dyDescent="0.3">
      <c r="A2405" s="1" t="s">
        <v>9860</v>
      </c>
      <c r="B2405" s="16">
        <v>6500000</v>
      </c>
    </row>
    <row r="2406" spans="1:2" ht="14.4" x14ac:dyDescent="0.3">
      <c r="A2406" s="1" t="s">
        <v>9972</v>
      </c>
      <c r="B2406" s="16">
        <v>9800000</v>
      </c>
    </row>
    <row r="2407" spans="1:2" ht="14.4" x14ac:dyDescent="0.3">
      <c r="A2407" s="1" t="s">
        <v>9973</v>
      </c>
      <c r="B2407" s="16">
        <v>10800000</v>
      </c>
    </row>
    <row r="2408" spans="1:2" ht="14.4" x14ac:dyDescent="0.3">
      <c r="A2408" s="1" t="s">
        <v>9974</v>
      </c>
      <c r="B2408" s="16">
        <v>9500000</v>
      </c>
    </row>
    <row r="2409" spans="1:2" ht="14.4" x14ac:dyDescent="0.3">
      <c r="A2409" s="1" t="s">
        <v>9831</v>
      </c>
      <c r="B2409" s="16">
        <v>21000000</v>
      </c>
    </row>
    <row r="2410" spans="1:2" ht="14.4" x14ac:dyDescent="0.3">
      <c r="A2410" s="1" t="s">
        <v>9768</v>
      </c>
      <c r="B2410" s="16">
        <v>18200000</v>
      </c>
    </row>
    <row r="2411" spans="1:2" ht="14.4" x14ac:dyDescent="0.3">
      <c r="A2411" s="1" t="s">
        <v>9975</v>
      </c>
      <c r="B2411" s="16">
        <v>35000000</v>
      </c>
    </row>
    <row r="2412" spans="1:2" ht="14.4" x14ac:dyDescent="0.3">
      <c r="A2412" s="1" t="s">
        <v>9976</v>
      </c>
      <c r="B2412" s="16">
        <v>12000000</v>
      </c>
    </row>
    <row r="2413" spans="1:2" ht="14.4" x14ac:dyDescent="0.3">
      <c r="A2413" s="1" t="s">
        <v>9977</v>
      </c>
      <c r="B2413" s="16">
        <v>16000000</v>
      </c>
    </row>
    <row r="2414" spans="1:2" ht="14.4" x14ac:dyDescent="0.3">
      <c r="A2414" s="1" t="s">
        <v>9862</v>
      </c>
      <c r="B2414" s="16">
        <v>10500000</v>
      </c>
    </row>
    <row r="2415" spans="1:2" ht="14.4" x14ac:dyDescent="0.3">
      <c r="A2415" s="1" t="s">
        <v>9724</v>
      </c>
      <c r="B2415" s="16">
        <v>6800000</v>
      </c>
    </row>
    <row r="2416" spans="1:2" ht="14.4" x14ac:dyDescent="0.3">
      <c r="A2416" s="1" t="s">
        <v>3908</v>
      </c>
      <c r="B2416" s="16">
        <v>16500000</v>
      </c>
    </row>
    <row r="2417" spans="1:2" ht="14.4" x14ac:dyDescent="0.3">
      <c r="A2417" s="1" t="s">
        <v>9867</v>
      </c>
      <c r="B2417" s="16">
        <v>12300000</v>
      </c>
    </row>
    <row r="2418" spans="1:2" ht="14.4" x14ac:dyDescent="0.3">
      <c r="A2418" s="1" t="s">
        <v>9978</v>
      </c>
      <c r="B2418" s="16">
        <v>14000000</v>
      </c>
    </row>
    <row r="2419" spans="1:2" ht="14.4" x14ac:dyDescent="0.3">
      <c r="A2419" s="1" t="s">
        <v>9979</v>
      </c>
      <c r="B2419" s="16">
        <v>5300000</v>
      </c>
    </row>
    <row r="2420" spans="1:2" ht="14.4" x14ac:dyDescent="0.3">
      <c r="A2420" s="1" t="s">
        <v>9980</v>
      </c>
      <c r="B2420" s="16">
        <v>7500000</v>
      </c>
    </row>
    <row r="2421" spans="1:2" ht="14.4" x14ac:dyDescent="0.3">
      <c r="A2421" s="1" t="s">
        <v>338</v>
      </c>
      <c r="B2421" s="16">
        <v>11000000</v>
      </c>
    </row>
    <row r="2422" spans="1:2" ht="14.4" x14ac:dyDescent="0.3">
      <c r="A2422" s="1" t="s">
        <v>9981</v>
      </c>
      <c r="B2422" s="16">
        <v>5200000</v>
      </c>
    </row>
    <row r="2423" spans="1:2" ht="14.4" x14ac:dyDescent="0.3">
      <c r="A2423" s="1" t="s">
        <v>9982</v>
      </c>
      <c r="B2423" s="16">
        <v>28000000</v>
      </c>
    </row>
    <row r="2424" spans="1:2" ht="14.4" x14ac:dyDescent="0.3">
      <c r="A2424" s="1" t="s">
        <v>1051</v>
      </c>
      <c r="B2424" s="16">
        <v>27500000</v>
      </c>
    </row>
    <row r="2425" spans="1:2" ht="14.4" x14ac:dyDescent="0.3">
      <c r="A2425" s="1" t="s">
        <v>9983</v>
      </c>
      <c r="B2425" s="16">
        <v>8780000</v>
      </c>
    </row>
    <row r="2426" spans="1:2" ht="14.4" x14ac:dyDescent="0.3">
      <c r="A2426" s="1" t="s">
        <v>8010</v>
      </c>
      <c r="B2426" s="16">
        <v>19000000</v>
      </c>
    </row>
    <row r="2427" spans="1:2" ht="14.4" x14ac:dyDescent="0.3">
      <c r="A2427" s="1" t="s">
        <v>8010</v>
      </c>
      <c r="B2427" s="16">
        <v>19170000</v>
      </c>
    </row>
    <row r="2428" spans="1:2" ht="14.4" x14ac:dyDescent="0.3">
      <c r="A2428" s="1" t="s">
        <v>9984</v>
      </c>
      <c r="B2428" s="16">
        <v>12800000</v>
      </c>
    </row>
    <row r="2429" spans="1:2" ht="14.4" x14ac:dyDescent="0.3">
      <c r="A2429" s="1" t="s">
        <v>9985</v>
      </c>
      <c r="B2429" s="16">
        <v>28000000</v>
      </c>
    </row>
    <row r="2430" spans="1:2" ht="14.4" x14ac:dyDescent="0.3">
      <c r="A2430" s="1" t="s">
        <v>9833</v>
      </c>
      <c r="B2430" s="16">
        <v>12000000</v>
      </c>
    </row>
    <row r="2431" spans="1:2" ht="14.4" x14ac:dyDescent="0.3">
      <c r="A2431" s="1" t="s">
        <v>3527</v>
      </c>
      <c r="B2431" s="16">
        <v>29000000</v>
      </c>
    </row>
    <row r="2432" spans="1:2" ht="14.4" x14ac:dyDescent="0.3">
      <c r="A2432" s="1" t="s">
        <v>9986</v>
      </c>
      <c r="B2432" s="16">
        <v>11000000</v>
      </c>
    </row>
    <row r="2433" spans="1:2" ht="14.4" x14ac:dyDescent="0.3">
      <c r="A2433" s="1" t="s">
        <v>9760</v>
      </c>
      <c r="B2433" s="16">
        <v>17500000</v>
      </c>
    </row>
    <row r="2434" spans="1:2" ht="14.4" x14ac:dyDescent="0.3">
      <c r="A2434" s="1" t="s">
        <v>9987</v>
      </c>
      <c r="B2434" s="16">
        <v>9200000</v>
      </c>
    </row>
    <row r="2435" spans="1:2" ht="14.4" x14ac:dyDescent="0.3">
      <c r="A2435" s="1" t="s">
        <v>9825</v>
      </c>
      <c r="B2435" s="16">
        <v>35000000</v>
      </c>
    </row>
    <row r="2436" spans="1:2" ht="14.4" x14ac:dyDescent="0.3">
      <c r="A2436" s="1" t="s">
        <v>9988</v>
      </c>
      <c r="B2436" s="16">
        <v>10000000</v>
      </c>
    </row>
    <row r="2437" spans="1:2" ht="14.4" x14ac:dyDescent="0.3">
      <c r="A2437" s="1" t="s">
        <v>9989</v>
      </c>
      <c r="B2437" s="16">
        <v>6200000</v>
      </c>
    </row>
    <row r="2438" spans="1:2" ht="14.4" x14ac:dyDescent="0.3">
      <c r="A2438" s="1" t="s">
        <v>9733</v>
      </c>
      <c r="B2438" s="16">
        <v>13500000</v>
      </c>
    </row>
    <row r="2439" spans="1:2" ht="14.4" x14ac:dyDescent="0.3">
      <c r="A2439" s="1" t="s">
        <v>9990</v>
      </c>
      <c r="B2439" s="16">
        <v>14000000</v>
      </c>
    </row>
    <row r="2440" spans="1:2" ht="14.4" x14ac:dyDescent="0.3">
      <c r="A2440" s="1" t="s">
        <v>9991</v>
      </c>
      <c r="B2440" s="16">
        <v>11000000</v>
      </c>
    </row>
    <row r="2441" spans="1:2" ht="14.4" x14ac:dyDescent="0.3">
      <c r="A2441" s="1" t="s">
        <v>9992</v>
      </c>
      <c r="B2441" s="16">
        <v>7200000</v>
      </c>
    </row>
    <row r="2442" spans="1:2" ht="14.4" x14ac:dyDescent="0.3">
      <c r="A2442" s="1" t="s">
        <v>9993</v>
      </c>
      <c r="B2442" s="16">
        <v>6500000</v>
      </c>
    </row>
    <row r="2443" spans="1:2" ht="14.4" x14ac:dyDescent="0.3">
      <c r="A2443" s="1" t="s">
        <v>9994</v>
      </c>
      <c r="B2443" s="16">
        <v>21000000</v>
      </c>
    </row>
    <row r="2444" spans="1:2" ht="14.4" x14ac:dyDescent="0.3">
      <c r="A2444" s="1" t="s">
        <v>9995</v>
      </c>
      <c r="B2444" s="16">
        <v>6500000</v>
      </c>
    </row>
    <row r="2445" spans="1:2" ht="14.4" x14ac:dyDescent="0.3">
      <c r="A2445" s="1" t="s">
        <v>9996</v>
      </c>
      <c r="B2445" s="16">
        <v>19400000</v>
      </c>
    </row>
    <row r="2446" spans="1:2" ht="14.4" x14ac:dyDescent="0.3">
      <c r="A2446" s="1" t="s">
        <v>9997</v>
      </c>
      <c r="B2446" s="16">
        <v>15800000</v>
      </c>
    </row>
    <row r="2447" spans="1:2" ht="14.4" x14ac:dyDescent="0.3">
      <c r="A2447" s="1" t="s">
        <v>9827</v>
      </c>
      <c r="B2447" s="16">
        <v>14000000</v>
      </c>
    </row>
    <row r="2448" spans="1:2" ht="14.4" x14ac:dyDescent="0.3">
      <c r="A2448" s="1" t="s">
        <v>9998</v>
      </c>
      <c r="B2448" s="16">
        <v>10400000</v>
      </c>
    </row>
    <row r="2449" spans="1:2" ht="14.4" x14ac:dyDescent="0.3">
      <c r="A2449" s="1" t="s">
        <v>3031</v>
      </c>
      <c r="B2449" s="16">
        <v>22000000</v>
      </c>
    </row>
    <row r="2450" spans="1:2" ht="14.4" x14ac:dyDescent="0.3">
      <c r="A2450" s="1" t="s">
        <v>3480</v>
      </c>
      <c r="B2450" s="16">
        <v>6550000</v>
      </c>
    </row>
    <row r="2451" spans="1:2" ht="14.4" x14ac:dyDescent="0.3">
      <c r="A2451" s="1" t="s">
        <v>9999</v>
      </c>
      <c r="B2451" s="16">
        <v>6500000</v>
      </c>
    </row>
    <row r="2452" spans="1:2" ht="14.4" x14ac:dyDescent="0.3">
      <c r="A2452" s="1" t="s">
        <v>9876</v>
      </c>
      <c r="B2452" s="16">
        <v>5500000</v>
      </c>
    </row>
    <row r="2453" spans="1:2" ht="14.4" x14ac:dyDescent="0.3">
      <c r="A2453" s="1" t="s">
        <v>2510</v>
      </c>
      <c r="B2453" s="16">
        <v>9100000</v>
      </c>
    </row>
    <row r="2454" spans="1:2" ht="14.4" x14ac:dyDescent="0.3">
      <c r="A2454" s="1" t="s">
        <v>10000</v>
      </c>
      <c r="B2454" s="16">
        <v>14000000</v>
      </c>
    </row>
    <row r="2455" spans="1:2" ht="14.4" x14ac:dyDescent="0.3">
      <c r="A2455" s="1" t="s">
        <v>10001</v>
      </c>
      <c r="B2455" s="16">
        <v>9000000</v>
      </c>
    </row>
    <row r="2456" spans="1:2" ht="14.4" x14ac:dyDescent="0.3">
      <c r="A2456" s="1" t="s">
        <v>10002</v>
      </c>
      <c r="B2456" s="16">
        <v>27000000</v>
      </c>
    </row>
    <row r="2457" spans="1:2" ht="14.4" x14ac:dyDescent="0.3">
      <c r="A2457" s="1" t="s">
        <v>409</v>
      </c>
      <c r="B2457" s="16">
        <v>16000000</v>
      </c>
    </row>
    <row r="2458" spans="1:2" ht="14.4" x14ac:dyDescent="0.3">
      <c r="A2458" s="1" t="s">
        <v>8745</v>
      </c>
      <c r="B2458" s="16">
        <v>7300000</v>
      </c>
    </row>
    <row r="2459" spans="1:2" ht="14.4" x14ac:dyDescent="0.3">
      <c r="A2459" s="1" t="s">
        <v>10003</v>
      </c>
      <c r="B2459" s="16">
        <v>14000000</v>
      </c>
    </row>
    <row r="2460" spans="1:2" ht="14.4" x14ac:dyDescent="0.3">
      <c r="A2460" s="1" t="s">
        <v>7374</v>
      </c>
      <c r="B2460" s="16">
        <v>11240000</v>
      </c>
    </row>
    <row r="2461" spans="1:2" ht="14.4" x14ac:dyDescent="0.3">
      <c r="A2461" s="1" t="s">
        <v>9870</v>
      </c>
      <c r="B2461" s="16">
        <v>8200000</v>
      </c>
    </row>
    <row r="2462" spans="1:2" ht="14.4" x14ac:dyDescent="0.3">
      <c r="A2462" s="1" t="s">
        <v>10004</v>
      </c>
      <c r="B2462" s="16">
        <v>6000000</v>
      </c>
    </row>
    <row r="2463" spans="1:2" ht="14.4" x14ac:dyDescent="0.3">
      <c r="A2463" s="1" t="s">
        <v>139</v>
      </c>
      <c r="B2463" s="16">
        <v>14170000</v>
      </c>
    </row>
    <row r="2464" spans="1:2" ht="14.4" x14ac:dyDescent="0.3">
      <c r="A2464" s="1" t="s">
        <v>3759</v>
      </c>
      <c r="B2464" s="16">
        <v>21000000</v>
      </c>
    </row>
    <row r="2465" spans="1:2" ht="14.4" x14ac:dyDescent="0.3">
      <c r="A2465" s="1" t="s">
        <v>10005</v>
      </c>
      <c r="B2465" s="16">
        <v>15800000</v>
      </c>
    </row>
    <row r="2466" spans="1:2" ht="14.4" x14ac:dyDescent="0.3">
      <c r="A2466" s="1" t="s">
        <v>7500</v>
      </c>
      <c r="B2466" s="16">
        <v>20610000</v>
      </c>
    </row>
    <row r="2467" spans="1:2" ht="14.4" x14ac:dyDescent="0.3">
      <c r="A2467" s="1" t="s">
        <v>416</v>
      </c>
      <c r="B2467" s="16">
        <v>20500000</v>
      </c>
    </row>
    <row r="2468" spans="1:2" ht="14.4" x14ac:dyDescent="0.3">
      <c r="A2468" s="1" t="s">
        <v>10006</v>
      </c>
      <c r="B2468" s="16">
        <v>23500000</v>
      </c>
    </row>
    <row r="2469" spans="1:2" ht="14.4" x14ac:dyDescent="0.3">
      <c r="A2469" s="1" t="s">
        <v>10007</v>
      </c>
      <c r="B2469" s="16">
        <v>9800000</v>
      </c>
    </row>
    <row r="2470" spans="1:2" ht="14.4" x14ac:dyDescent="0.3">
      <c r="A2470" s="1" t="s">
        <v>10008</v>
      </c>
      <c r="B2470" s="16">
        <v>40000000</v>
      </c>
    </row>
    <row r="2471" spans="1:2" ht="14.4" x14ac:dyDescent="0.3">
      <c r="A2471" s="1" t="s">
        <v>10009</v>
      </c>
      <c r="B2471" s="16">
        <v>21700000</v>
      </c>
    </row>
    <row r="2472" spans="1:2" ht="14.4" x14ac:dyDescent="0.3">
      <c r="A2472" s="1" t="s">
        <v>10010</v>
      </c>
      <c r="B2472" s="16">
        <v>8000000</v>
      </c>
    </row>
    <row r="2473" spans="1:2" ht="14.4" x14ac:dyDescent="0.3">
      <c r="A2473" s="1"/>
      <c r="B2473" s="16"/>
    </row>
    <row r="2474" spans="1:2" ht="14.4" x14ac:dyDescent="0.3">
      <c r="A2474" s="1"/>
      <c r="B2474" s="16"/>
    </row>
    <row r="2475" spans="1:2" ht="14.4" x14ac:dyDescent="0.3">
      <c r="A2475" s="1"/>
      <c r="B2475" s="16"/>
    </row>
    <row r="2476" spans="1:2" ht="14.4" x14ac:dyDescent="0.3">
      <c r="A2476" s="1"/>
      <c r="B2476" s="16"/>
    </row>
    <row r="2477" spans="1:2" ht="14.4" x14ac:dyDescent="0.3">
      <c r="A2477" s="1"/>
      <c r="B2477" s="16"/>
    </row>
    <row r="2478" spans="1:2" ht="14.4" x14ac:dyDescent="0.3">
      <c r="A2478" s="1"/>
      <c r="B2478" s="16"/>
    </row>
    <row r="2479" spans="1:2" ht="14.4" x14ac:dyDescent="0.3">
      <c r="A2479" s="1"/>
      <c r="B2479" s="16"/>
    </row>
    <row r="2480" spans="1:2" ht="14.4" x14ac:dyDescent="0.3">
      <c r="A2480" s="1"/>
      <c r="B2480" s="16"/>
    </row>
    <row r="2481" spans="1:2" ht="14.4" x14ac:dyDescent="0.3">
      <c r="A2481" s="1"/>
      <c r="B2481" s="16"/>
    </row>
    <row r="2482" spans="1:2" ht="14.4" x14ac:dyDescent="0.3">
      <c r="A2482" s="1"/>
      <c r="B2482" s="16"/>
    </row>
    <row r="2483" spans="1:2" ht="14.4" x14ac:dyDescent="0.3">
      <c r="A2483" s="1"/>
      <c r="B2483" s="16"/>
    </row>
    <row r="2484" spans="1:2" ht="14.4" x14ac:dyDescent="0.3">
      <c r="A2484" s="1"/>
      <c r="B2484" s="16"/>
    </row>
    <row r="2485" spans="1:2" ht="14.4" x14ac:dyDescent="0.3">
      <c r="A2485" s="1"/>
      <c r="B2485" s="16"/>
    </row>
    <row r="2486" spans="1:2" ht="14.4" x14ac:dyDescent="0.3">
      <c r="A2486" s="1"/>
      <c r="B2486" s="16"/>
    </row>
    <row r="2487" spans="1:2" ht="14.4" x14ac:dyDescent="0.3">
      <c r="A2487" s="1"/>
      <c r="B2487" s="16"/>
    </row>
    <row r="2488" spans="1:2" ht="14.4" x14ac:dyDescent="0.3">
      <c r="A2488" s="1"/>
      <c r="B2488" s="16"/>
    </row>
    <row r="2489" spans="1:2" ht="14.4" x14ac:dyDescent="0.3">
      <c r="A2489" s="1"/>
      <c r="B2489" s="16"/>
    </row>
    <row r="2490" spans="1:2" ht="14.4" x14ac:dyDescent="0.3">
      <c r="A2490" s="1"/>
      <c r="B2490" s="16"/>
    </row>
    <row r="2491" spans="1:2" ht="14.4" x14ac:dyDescent="0.3">
      <c r="A2491" s="1"/>
      <c r="B2491" s="16"/>
    </row>
    <row r="2492" spans="1:2" ht="14.4" x14ac:dyDescent="0.3">
      <c r="A2492" s="1"/>
      <c r="B2492" s="16"/>
    </row>
    <row r="2493" spans="1:2" ht="14.4" x14ac:dyDescent="0.3">
      <c r="A2493" s="1"/>
      <c r="B2493" s="16"/>
    </row>
    <row r="2494" spans="1:2" ht="14.4" x14ac:dyDescent="0.3">
      <c r="A2494" s="1"/>
      <c r="B2494" s="16"/>
    </row>
    <row r="2495" spans="1:2" ht="14.4" x14ac:dyDescent="0.3">
      <c r="A2495" s="1"/>
      <c r="B2495" s="16"/>
    </row>
    <row r="2496" spans="1:2" ht="14.4" x14ac:dyDescent="0.3">
      <c r="A2496" s="1"/>
      <c r="B2496" s="16"/>
    </row>
    <row r="2497" spans="1:2" ht="14.4" x14ac:dyDescent="0.3">
      <c r="A2497" s="1"/>
      <c r="B2497" s="16"/>
    </row>
    <row r="2498" spans="1:2" ht="14.4" x14ac:dyDescent="0.3">
      <c r="A2498" s="1"/>
      <c r="B2498" s="16"/>
    </row>
    <row r="2499" spans="1:2" ht="14.4" x14ac:dyDescent="0.3">
      <c r="A2499" s="1"/>
      <c r="B2499" s="16"/>
    </row>
    <row r="2500" spans="1:2" ht="14.4" x14ac:dyDescent="0.3">
      <c r="A2500" s="1"/>
      <c r="B2500" s="16"/>
    </row>
    <row r="2501" spans="1:2" ht="14.4" x14ac:dyDescent="0.3">
      <c r="A2501" s="1"/>
      <c r="B2501" s="16"/>
    </row>
    <row r="2502" spans="1:2" ht="14.4" x14ac:dyDescent="0.3">
      <c r="A2502" s="1"/>
      <c r="B2502" s="16"/>
    </row>
    <row r="2503" spans="1:2" ht="14.4" x14ac:dyDescent="0.3">
      <c r="A2503" s="1"/>
      <c r="B2503" s="16"/>
    </row>
    <row r="2504" spans="1:2" ht="14.4" x14ac:dyDescent="0.3">
      <c r="A2504" s="1"/>
      <c r="B2504" s="16"/>
    </row>
    <row r="2505" spans="1:2" ht="14.4" x14ac:dyDescent="0.3">
      <c r="A2505" s="1"/>
      <c r="B2505" s="16"/>
    </row>
    <row r="2506" spans="1:2" ht="14.4" x14ac:dyDescent="0.3">
      <c r="A2506" s="1"/>
      <c r="B2506" s="16"/>
    </row>
    <row r="2507" spans="1:2" ht="14.4" x14ac:dyDescent="0.3">
      <c r="A2507" s="1"/>
      <c r="B2507" s="16"/>
    </row>
    <row r="2508" spans="1:2" ht="14.4" x14ac:dyDescent="0.3">
      <c r="A2508" s="1"/>
      <c r="B2508" s="16"/>
    </row>
    <row r="2509" spans="1:2" ht="14.4" x14ac:dyDescent="0.3">
      <c r="A2509" s="1"/>
      <c r="B2509" s="16"/>
    </row>
    <row r="2510" spans="1:2" ht="14.4" x14ac:dyDescent="0.3">
      <c r="A2510" s="1"/>
      <c r="B2510" s="16"/>
    </row>
    <row r="2511" spans="1:2" ht="14.4" x14ac:dyDescent="0.3">
      <c r="A2511" s="1"/>
      <c r="B2511" s="16"/>
    </row>
    <row r="2512" spans="1:2" ht="14.4" x14ac:dyDescent="0.3">
      <c r="A2512" s="1"/>
      <c r="B2512" s="16"/>
    </row>
    <row r="2513" spans="1:2" ht="14.4" x14ac:dyDescent="0.3">
      <c r="A2513" s="1"/>
      <c r="B2513" s="16"/>
    </row>
    <row r="2514" spans="1:2" ht="14.4" x14ac:dyDescent="0.3">
      <c r="A2514" s="1"/>
      <c r="B2514" s="16"/>
    </row>
    <row r="2515" spans="1:2" ht="14.4" x14ac:dyDescent="0.3">
      <c r="A2515" s="1"/>
      <c r="B2515" s="16"/>
    </row>
    <row r="2516" spans="1:2" ht="14.4" x14ac:dyDescent="0.3">
      <c r="A2516" s="1"/>
      <c r="B2516" s="16"/>
    </row>
    <row r="2517" spans="1:2" ht="14.4" x14ac:dyDescent="0.3">
      <c r="A2517" s="1"/>
      <c r="B2517" s="16"/>
    </row>
    <row r="2518" spans="1:2" ht="14.4" x14ac:dyDescent="0.3">
      <c r="A2518" s="1"/>
      <c r="B2518" s="16"/>
    </row>
    <row r="2519" spans="1:2" ht="14.4" x14ac:dyDescent="0.3">
      <c r="A2519" s="1"/>
      <c r="B2519" s="16"/>
    </row>
    <row r="2520" spans="1:2" ht="14.4" x14ac:dyDescent="0.3">
      <c r="A2520" s="1"/>
      <c r="B2520" s="16"/>
    </row>
    <row r="2521" spans="1:2" ht="14.4" x14ac:dyDescent="0.3">
      <c r="A2521" s="1"/>
      <c r="B2521" s="16"/>
    </row>
    <row r="2522" spans="1:2" ht="14.4" x14ac:dyDescent="0.3">
      <c r="A2522" s="1"/>
      <c r="B2522" s="16"/>
    </row>
    <row r="2523" spans="1:2" ht="14.4" x14ac:dyDescent="0.3">
      <c r="A2523" s="1"/>
      <c r="B2523" s="16"/>
    </row>
    <row r="2524" spans="1:2" ht="14.4" x14ac:dyDescent="0.3">
      <c r="A2524" s="1"/>
      <c r="B2524" s="16"/>
    </row>
    <row r="2525" spans="1:2" ht="14.4" x14ac:dyDescent="0.3">
      <c r="A2525" s="1"/>
      <c r="B2525" s="16"/>
    </row>
    <row r="2526" spans="1:2" ht="14.4" x14ac:dyDescent="0.3">
      <c r="A2526" s="1"/>
      <c r="B2526" s="16"/>
    </row>
    <row r="2527" spans="1:2" ht="14.4" x14ac:dyDescent="0.3">
      <c r="A2527" s="1"/>
      <c r="B2527" s="16"/>
    </row>
    <row r="2528" spans="1:2" ht="14.4" x14ac:dyDescent="0.3">
      <c r="A2528" s="1"/>
      <c r="B2528" s="16"/>
    </row>
    <row r="2529" spans="1:2" ht="14.4" x14ac:dyDescent="0.3">
      <c r="A2529" s="1"/>
      <c r="B2529" s="16"/>
    </row>
    <row r="2530" spans="1:2" ht="14.4" x14ac:dyDescent="0.3">
      <c r="A2530" s="1"/>
      <c r="B2530" s="16"/>
    </row>
    <row r="2531" spans="1:2" ht="14.4" x14ac:dyDescent="0.3">
      <c r="A2531" s="1"/>
      <c r="B2531" s="16"/>
    </row>
    <row r="2532" spans="1:2" ht="14.4" x14ac:dyDescent="0.3">
      <c r="A2532" s="1"/>
      <c r="B2532" s="16"/>
    </row>
    <row r="2533" spans="1:2" ht="14.4" x14ac:dyDescent="0.3">
      <c r="A2533" s="1"/>
      <c r="B2533" s="16"/>
    </row>
    <row r="2534" spans="1:2" ht="14.4" x14ac:dyDescent="0.3">
      <c r="A2534" s="1"/>
      <c r="B2534" s="16"/>
    </row>
    <row r="2535" spans="1:2" ht="14.4" x14ac:dyDescent="0.3">
      <c r="A2535" s="1"/>
      <c r="B2535" s="16"/>
    </row>
    <row r="2536" spans="1:2" ht="14.4" x14ac:dyDescent="0.3">
      <c r="A2536" s="1"/>
      <c r="B2536" s="16"/>
    </row>
    <row r="2537" spans="1:2" ht="14.4" x14ac:dyDescent="0.3">
      <c r="A2537" s="1"/>
      <c r="B2537" s="16"/>
    </row>
    <row r="2538" spans="1:2" ht="14.4" x14ac:dyDescent="0.3">
      <c r="A2538" s="1"/>
      <c r="B2538" s="16"/>
    </row>
    <row r="2539" spans="1:2" ht="14.4" x14ac:dyDescent="0.3">
      <c r="A2539" s="1"/>
      <c r="B2539" s="16"/>
    </row>
    <row r="2540" spans="1:2" ht="14.4" x14ac:dyDescent="0.3">
      <c r="A2540" s="1"/>
      <c r="B2540" s="16"/>
    </row>
    <row r="2541" spans="1:2" ht="14.4" x14ac:dyDescent="0.3">
      <c r="A2541" s="1"/>
      <c r="B2541" s="16"/>
    </row>
    <row r="2542" spans="1:2" ht="14.4" x14ac:dyDescent="0.3">
      <c r="A2542" s="1"/>
      <c r="B2542" s="16"/>
    </row>
    <row r="2543" spans="1:2" ht="14.4" x14ac:dyDescent="0.3">
      <c r="A2543" s="1"/>
      <c r="B2543" s="16"/>
    </row>
    <row r="2544" spans="1:2" ht="14.4" x14ac:dyDescent="0.3">
      <c r="A2544" s="1"/>
      <c r="B2544" s="16"/>
    </row>
    <row r="2545" spans="1:2" ht="14.4" x14ac:dyDescent="0.3">
      <c r="A2545" s="1"/>
      <c r="B2545" s="16"/>
    </row>
    <row r="2546" spans="1:2" ht="14.4" x14ac:dyDescent="0.3">
      <c r="A2546" s="1"/>
      <c r="B2546" s="16"/>
    </row>
    <row r="2547" spans="1:2" ht="14.4" x14ac:dyDescent="0.3">
      <c r="A2547" s="1"/>
      <c r="B2547" s="16"/>
    </row>
    <row r="2548" spans="1:2" ht="14.4" x14ac:dyDescent="0.3">
      <c r="A2548" s="1"/>
      <c r="B2548" s="16"/>
    </row>
    <row r="2549" spans="1:2" ht="14.4" x14ac:dyDescent="0.3">
      <c r="A2549" s="1"/>
      <c r="B2549" s="16"/>
    </row>
    <row r="2550" spans="1:2" ht="14.4" x14ac:dyDescent="0.3">
      <c r="A2550" s="1"/>
      <c r="B2550" s="16"/>
    </row>
    <row r="2551" spans="1:2" ht="14.4" x14ac:dyDescent="0.3">
      <c r="A2551" s="1"/>
      <c r="B2551" s="16"/>
    </row>
    <row r="2552" spans="1:2" ht="14.4" x14ac:dyDescent="0.3">
      <c r="A2552" s="1"/>
      <c r="B2552" s="16"/>
    </row>
    <row r="2553" spans="1:2" ht="14.4" x14ac:dyDescent="0.3">
      <c r="A2553" s="1"/>
      <c r="B2553" s="16"/>
    </row>
    <row r="2554" spans="1:2" ht="14.4" x14ac:dyDescent="0.3">
      <c r="A2554" s="1"/>
      <c r="B2554" s="16"/>
    </row>
    <row r="2555" spans="1:2" ht="14.4" x14ac:dyDescent="0.3">
      <c r="A2555" s="1"/>
      <c r="B2555" s="16"/>
    </row>
    <row r="2556" spans="1:2" ht="14.4" x14ac:dyDescent="0.3">
      <c r="A2556" s="1"/>
      <c r="B2556" s="16"/>
    </row>
    <row r="2557" spans="1:2" ht="14.4" x14ac:dyDescent="0.3">
      <c r="A2557" s="1"/>
      <c r="B2557" s="16"/>
    </row>
    <row r="2558" spans="1:2" ht="14.4" x14ac:dyDescent="0.3">
      <c r="A2558" s="1"/>
      <c r="B2558" s="16"/>
    </row>
    <row r="2559" spans="1:2" ht="14.4" x14ac:dyDescent="0.3">
      <c r="A2559" s="1"/>
      <c r="B2559" s="16"/>
    </row>
    <row r="2560" spans="1:2" ht="14.4" x14ac:dyDescent="0.3">
      <c r="A2560" s="1"/>
      <c r="B2560" s="16"/>
    </row>
    <row r="2561" spans="1:2" ht="14.4" x14ac:dyDescent="0.3">
      <c r="A2561" s="1"/>
      <c r="B2561" s="16"/>
    </row>
    <row r="2562" spans="1:2" ht="14.4" x14ac:dyDescent="0.3">
      <c r="A2562" s="1"/>
      <c r="B2562" s="16"/>
    </row>
    <row r="2563" spans="1:2" ht="14.4" x14ac:dyDescent="0.3">
      <c r="A2563" s="1"/>
      <c r="B2563" s="16"/>
    </row>
    <row r="2564" spans="1:2" ht="14.4" x14ac:dyDescent="0.3">
      <c r="A2564" s="1"/>
      <c r="B2564" s="16"/>
    </row>
    <row r="2565" spans="1:2" ht="14.4" x14ac:dyDescent="0.3">
      <c r="A2565" s="1"/>
      <c r="B2565" s="16"/>
    </row>
    <row r="2566" spans="1:2" ht="14.4" x14ac:dyDescent="0.3">
      <c r="A2566" s="1"/>
      <c r="B2566" s="16"/>
    </row>
    <row r="2567" spans="1:2" ht="14.4" x14ac:dyDescent="0.3">
      <c r="A2567" s="1"/>
      <c r="B2567" s="16"/>
    </row>
    <row r="2568" spans="1:2" ht="14.4" x14ac:dyDescent="0.3">
      <c r="A2568" s="1"/>
      <c r="B2568" s="16"/>
    </row>
    <row r="2569" spans="1:2" ht="14.4" x14ac:dyDescent="0.3">
      <c r="A2569" s="1"/>
      <c r="B2569" s="16"/>
    </row>
    <row r="2570" spans="1:2" ht="14.4" x14ac:dyDescent="0.3">
      <c r="A2570" s="1"/>
      <c r="B2570" s="16"/>
    </row>
    <row r="2571" spans="1:2" ht="14.4" x14ac:dyDescent="0.3">
      <c r="A2571" s="1"/>
      <c r="B2571" s="16"/>
    </row>
    <row r="2572" spans="1:2" ht="14.4" x14ac:dyDescent="0.3">
      <c r="A2572" s="1"/>
      <c r="B2572" s="16"/>
    </row>
    <row r="2573" spans="1:2" ht="14.4" x14ac:dyDescent="0.3">
      <c r="A2573" s="1"/>
      <c r="B2573" s="16"/>
    </row>
    <row r="2574" spans="1:2" ht="14.4" x14ac:dyDescent="0.3">
      <c r="A2574" s="1"/>
      <c r="B2574" s="16"/>
    </row>
    <row r="2575" spans="1:2" ht="14.4" x14ac:dyDescent="0.3">
      <c r="A2575" s="1"/>
      <c r="B2575" s="16"/>
    </row>
    <row r="2576" spans="1:2" ht="14.4" x14ac:dyDescent="0.3">
      <c r="A2576" s="1"/>
      <c r="B2576" s="16"/>
    </row>
    <row r="2577" spans="1:2" ht="14.4" x14ac:dyDescent="0.3">
      <c r="A2577" s="1"/>
      <c r="B2577" s="16"/>
    </row>
    <row r="2578" spans="1:2" ht="14.4" x14ac:dyDescent="0.3">
      <c r="A2578" s="1"/>
      <c r="B2578" s="16"/>
    </row>
    <row r="2579" spans="1:2" ht="14.4" x14ac:dyDescent="0.3">
      <c r="A2579" s="1"/>
      <c r="B2579" s="16"/>
    </row>
    <row r="2580" spans="1:2" ht="14.4" x14ac:dyDescent="0.3">
      <c r="A2580" s="1"/>
      <c r="B2580" s="16"/>
    </row>
    <row r="2581" spans="1:2" ht="14.4" x14ac:dyDescent="0.3">
      <c r="A2581" s="1"/>
      <c r="B2581" s="16"/>
    </row>
    <row r="2582" spans="1:2" ht="14.4" x14ac:dyDescent="0.3">
      <c r="A2582" s="1"/>
      <c r="B2582" s="16"/>
    </row>
    <row r="2583" spans="1:2" ht="14.4" x14ac:dyDescent="0.3">
      <c r="A2583" s="1"/>
      <c r="B2583" s="16"/>
    </row>
    <row r="2584" spans="1:2" ht="14.4" x14ac:dyDescent="0.3">
      <c r="A2584" s="1"/>
      <c r="B2584" s="16"/>
    </row>
    <row r="2585" spans="1:2" ht="14.4" x14ac:dyDescent="0.3">
      <c r="A2585" s="1"/>
      <c r="B2585" s="16"/>
    </row>
    <row r="2586" spans="1:2" ht="14.4" x14ac:dyDescent="0.3">
      <c r="A2586" s="1"/>
      <c r="B2586" s="16"/>
    </row>
    <row r="2587" spans="1:2" ht="14.4" x14ac:dyDescent="0.3">
      <c r="A2587" s="1"/>
      <c r="B2587" s="16"/>
    </row>
    <row r="2588" spans="1:2" ht="14.4" x14ac:dyDescent="0.3">
      <c r="A2588" s="1"/>
      <c r="B2588" s="16"/>
    </row>
    <row r="2589" spans="1:2" ht="14.4" x14ac:dyDescent="0.3">
      <c r="A2589" s="1"/>
      <c r="B2589" s="16"/>
    </row>
    <row r="2590" spans="1:2" ht="14.4" x14ac:dyDescent="0.3">
      <c r="A2590" s="1"/>
      <c r="B2590" s="16"/>
    </row>
    <row r="2591" spans="1:2" ht="14.4" x14ac:dyDescent="0.3">
      <c r="A2591" s="1"/>
      <c r="B2591" s="16"/>
    </row>
    <row r="2592" spans="1:2" ht="14.4" x14ac:dyDescent="0.3">
      <c r="A2592" s="1"/>
      <c r="B2592" s="16"/>
    </row>
    <row r="2593" spans="1:2" ht="14.4" x14ac:dyDescent="0.3">
      <c r="A2593" s="1"/>
      <c r="B2593" s="16"/>
    </row>
    <row r="2594" spans="1:2" ht="14.4" x14ac:dyDescent="0.3">
      <c r="A2594" s="1"/>
      <c r="B2594" s="16"/>
    </row>
    <row r="2595" spans="1:2" ht="14.4" x14ac:dyDescent="0.3">
      <c r="A2595" s="1"/>
      <c r="B2595" s="16"/>
    </row>
    <row r="2596" spans="1:2" ht="14.4" x14ac:dyDescent="0.3">
      <c r="A2596" s="1"/>
      <c r="B2596" s="16"/>
    </row>
    <row r="2597" spans="1:2" ht="14.4" x14ac:dyDescent="0.3">
      <c r="A2597" s="1"/>
      <c r="B2597" s="16"/>
    </row>
    <row r="2598" spans="1:2" ht="14.4" x14ac:dyDescent="0.3">
      <c r="A2598" s="1"/>
      <c r="B2598" s="16"/>
    </row>
    <row r="2599" spans="1:2" ht="14.4" x14ac:dyDescent="0.3">
      <c r="A2599" s="1"/>
      <c r="B2599" s="16"/>
    </row>
    <row r="2600" spans="1:2" ht="14.4" x14ac:dyDescent="0.3">
      <c r="A2600" s="1"/>
      <c r="B2600" s="16"/>
    </row>
    <row r="2601" spans="1:2" ht="14.4" x14ac:dyDescent="0.3">
      <c r="A2601" s="1"/>
      <c r="B2601" s="16"/>
    </row>
    <row r="2602" spans="1:2" ht="14.4" x14ac:dyDescent="0.3">
      <c r="A2602" s="1"/>
      <c r="B2602" s="16"/>
    </row>
    <row r="2603" spans="1:2" ht="14.4" x14ac:dyDescent="0.3">
      <c r="A2603" s="1"/>
      <c r="B2603" s="16"/>
    </row>
    <row r="2604" spans="1:2" ht="14.4" x14ac:dyDescent="0.3">
      <c r="A2604" s="1"/>
      <c r="B2604" s="16"/>
    </row>
    <row r="2605" spans="1:2" ht="14.4" x14ac:dyDescent="0.3">
      <c r="A2605" s="1"/>
      <c r="B2605" s="16"/>
    </row>
    <row r="2606" spans="1:2" ht="14.4" x14ac:dyDescent="0.3">
      <c r="A2606" s="1"/>
      <c r="B2606" s="16"/>
    </row>
    <row r="2607" spans="1:2" ht="14.4" x14ac:dyDescent="0.3">
      <c r="A2607" s="1"/>
      <c r="B2607" s="16"/>
    </row>
    <row r="2608" spans="1:2" ht="14.4" x14ac:dyDescent="0.3">
      <c r="A2608" s="1"/>
      <c r="B2608" s="16"/>
    </row>
    <row r="2609" spans="1:2" ht="14.4" x14ac:dyDescent="0.3">
      <c r="A2609" s="1"/>
      <c r="B2609" s="16"/>
    </row>
    <row r="2610" spans="1:2" ht="14.4" x14ac:dyDescent="0.3">
      <c r="A2610" s="1"/>
      <c r="B2610" s="16"/>
    </row>
    <row r="2611" spans="1:2" ht="14.4" x14ac:dyDescent="0.3">
      <c r="A2611" s="1"/>
      <c r="B2611" s="16"/>
    </row>
    <row r="2612" spans="1:2" ht="14.4" x14ac:dyDescent="0.3">
      <c r="A2612" s="1"/>
      <c r="B2612" s="16"/>
    </row>
    <row r="2613" spans="1:2" ht="14.4" x14ac:dyDescent="0.3">
      <c r="A2613" s="1"/>
      <c r="B2613" s="16"/>
    </row>
    <row r="2614" spans="1:2" ht="14.4" x14ac:dyDescent="0.3">
      <c r="A2614" s="1"/>
      <c r="B2614" s="16"/>
    </row>
    <row r="2615" spans="1:2" ht="14.4" x14ac:dyDescent="0.3">
      <c r="A2615" s="1"/>
      <c r="B2615" s="16"/>
    </row>
    <row r="2616" spans="1:2" ht="14.4" x14ac:dyDescent="0.3">
      <c r="A2616" s="1"/>
      <c r="B2616" s="16"/>
    </row>
    <row r="2617" spans="1:2" ht="14.4" x14ac:dyDescent="0.3">
      <c r="A2617" s="1"/>
      <c r="B2617" s="16"/>
    </row>
    <row r="2618" spans="1:2" ht="14.4" x14ac:dyDescent="0.3">
      <c r="A2618" s="1"/>
      <c r="B2618" s="16"/>
    </row>
    <row r="2619" spans="1:2" ht="14.4" x14ac:dyDescent="0.3">
      <c r="A2619" s="1"/>
      <c r="B2619" s="16"/>
    </row>
    <row r="2620" spans="1:2" ht="14.4" x14ac:dyDescent="0.3">
      <c r="A2620" s="1"/>
      <c r="B2620" s="16"/>
    </row>
    <row r="2621" spans="1:2" ht="14.4" x14ac:dyDescent="0.3">
      <c r="A2621" s="1"/>
      <c r="B2621" s="16"/>
    </row>
    <row r="2622" spans="1:2" ht="14.4" x14ac:dyDescent="0.3">
      <c r="A2622" s="1"/>
      <c r="B2622" s="16"/>
    </row>
    <row r="2623" spans="1:2" ht="14.4" x14ac:dyDescent="0.3">
      <c r="A2623" s="1"/>
      <c r="B2623" s="16"/>
    </row>
    <row r="2624" spans="1:2" ht="14.4" x14ac:dyDescent="0.3">
      <c r="A2624" s="1"/>
      <c r="B2624" s="16"/>
    </row>
    <row r="2625" spans="1:2" ht="14.4" x14ac:dyDescent="0.3">
      <c r="A2625" s="1"/>
      <c r="B2625" s="16"/>
    </row>
    <row r="2626" spans="1:2" ht="14.4" x14ac:dyDescent="0.3">
      <c r="A2626" s="1"/>
      <c r="B2626" s="16"/>
    </row>
    <row r="2627" spans="1:2" ht="14.4" x14ac:dyDescent="0.3">
      <c r="A2627" s="1"/>
      <c r="B2627" s="16"/>
    </row>
    <row r="2628" spans="1:2" ht="14.4" x14ac:dyDescent="0.3">
      <c r="A2628" s="1"/>
      <c r="B2628" s="16"/>
    </row>
    <row r="2629" spans="1:2" ht="14.4" x14ac:dyDescent="0.3">
      <c r="A2629" s="1"/>
      <c r="B2629" s="16"/>
    </row>
    <row r="2630" spans="1:2" ht="14.4" x14ac:dyDescent="0.3">
      <c r="A2630" s="1"/>
      <c r="B2630" s="16"/>
    </row>
    <row r="2631" spans="1:2" ht="14.4" x14ac:dyDescent="0.3">
      <c r="A2631" s="1"/>
      <c r="B2631" s="16"/>
    </row>
    <row r="2632" spans="1:2" ht="14.4" x14ac:dyDescent="0.3">
      <c r="A2632" s="1"/>
      <c r="B2632" s="16"/>
    </row>
    <row r="2633" spans="1:2" ht="14.4" x14ac:dyDescent="0.3">
      <c r="A2633" s="1"/>
      <c r="B2633" s="16"/>
    </row>
    <row r="2634" spans="1:2" ht="14.4" x14ac:dyDescent="0.3">
      <c r="A2634" s="1"/>
      <c r="B2634" s="16"/>
    </row>
    <row r="2635" spans="1:2" ht="14.4" x14ac:dyDescent="0.3">
      <c r="A2635" s="1"/>
      <c r="B2635" s="16"/>
    </row>
    <row r="2636" spans="1:2" ht="14.4" x14ac:dyDescent="0.3">
      <c r="A2636" s="1"/>
      <c r="B2636" s="16"/>
    </row>
    <row r="2637" spans="1:2" ht="14.4" x14ac:dyDescent="0.3">
      <c r="A2637" s="1"/>
      <c r="B2637" s="16"/>
    </row>
    <row r="2638" spans="1:2" ht="14.4" x14ac:dyDescent="0.3">
      <c r="A2638" s="1"/>
      <c r="B2638" s="16"/>
    </row>
    <row r="2639" spans="1:2" ht="14.4" x14ac:dyDescent="0.3">
      <c r="A2639" s="1"/>
      <c r="B2639" s="16"/>
    </row>
    <row r="2640" spans="1:2" ht="14.4" x14ac:dyDescent="0.3">
      <c r="A2640" s="1"/>
      <c r="B2640" s="16"/>
    </row>
    <row r="2641" spans="1:2" ht="14.4" x14ac:dyDescent="0.3">
      <c r="A2641" s="1"/>
      <c r="B2641" s="16"/>
    </row>
    <row r="2642" spans="1:2" ht="14.4" x14ac:dyDescent="0.3">
      <c r="A2642" s="1"/>
      <c r="B2642" s="16"/>
    </row>
    <row r="2643" spans="1:2" ht="14.4" x14ac:dyDescent="0.3">
      <c r="A2643" s="1"/>
      <c r="B2643" s="16"/>
    </row>
    <row r="2644" spans="1:2" ht="14.4" x14ac:dyDescent="0.3">
      <c r="A2644" s="1"/>
      <c r="B2644" s="16"/>
    </row>
    <row r="2645" spans="1:2" ht="14.4" x14ac:dyDescent="0.3">
      <c r="A2645" s="1"/>
      <c r="B2645" s="16"/>
    </row>
    <row r="2646" spans="1:2" ht="14.4" x14ac:dyDescent="0.3">
      <c r="A2646" s="1"/>
      <c r="B2646" s="16"/>
    </row>
    <row r="2647" spans="1:2" ht="14.4" x14ac:dyDescent="0.3">
      <c r="A2647" s="1"/>
      <c r="B2647" s="16"/>
    </row>
    <row r="2648" spans="1:2" ht="14.4" x14ac:dyDescent="0.3">
      <c r="A2648" s="1"/>
      <c r="B2648" s="16"/>
    </row>
    <row r="2649" spans="1:2" ht="14.4" x14ac:dyDescent="0.3">
      <c r="A2649" s="1"/>
      <c r="B2649" s="16"/>
    </row>
    <row r="2650" spans="1:2" ht="14.4" x14ac:dyDescent="0.3">
      <c r="A2650" s="1"/>
      <c r="B2650" s="16"/>
    </row>
    <row r="2651" spans="1:2" ht="14.4" x14ac:dyDescent="0.3">
      <c r="A2651" s="1"/>
      <c r="B2651" s="16"/>
    </row>
    <row r="2652" spans="1:2" ht="14.4" x14ac:dyDescent="0.3">
      <c r="A2652" s="1"/>
      <c r="B2652" s="16"/>
    </row>
    <row r="2653" spans="1:2" ht="14.4" x14ac:dyDescent="0.3">
      <c r="A2653" s="1"/>
      <c r="B2653" s="16"/>
    </row>
    <row r="2654" spans="1:2" ht="14.4" x14ac:dyDescent="0.3">
      <c r="A2654" s="1"/>
      <c r="B2654" s="16"/>
    </row>
    <row r="2655" spans="1:2" ht="14.4" x14ac:dyDescent="0.3">
      <c r="A2655" s="1"/>
      <c r="B2655" s="16"/>
    </row>
    <row r="2656" spans="1:2" ht="14.4" x14ac:dyDescent="0.3">
      <c r="A2656" s="1"/>
      <c r="B2656" s="16"/>
    </row>
    <row r="2657" spans="1:2" ht="14.4" x14ac:dyDescent="0.3">
      <c r="A2657" s="1"/>
      <c r="B2657" s="16"/>
    </row>
    <row r="2658" spans="1:2" ht="14.4" x14ac:dyDescent="0.3">
      <c r="A2658" s="1"/>
      <c r="B2658" s="16"/>
    </row>
    <row r="2659" spans="1:2" ht="14.4" x14ac:dyDescent="0.3">
      <c r="A2659" s="1"/>
      <c r="B2659" s="16"/>
    </row>
    <row r="2660" spans="1:2" ht="14.4" x14ac:dyDescent="0.3">
      <c r="A2660" s="1"/>
      <c r="B2660" s="16"/>
    </row>
    <row r="2661" spans="1:2" ht="14.4" x14ac:dyDescent="0.3">
      <c r="A2661" s="1"/>
      <c r="B2661" s="16"/>
    </row>
    <row r="2662" spans="1:2" ht="14.4" x14ac:dyDescent="0.3">
      <c r="A2662" s="1"/>
      <c r="B2662" s="16"/>
    </row>
    <row r="2663" spans="1:2" ht="14.4" x14ac:dyDescent="0.3">
      <c r="A2663" s="1"/>
      <c r="B2663" s="16"/>
    </row>
    <row r="2664" spans="1:2" ht="14.4" x14ac:dyDescent="0.3">
      <c r="A2664" s="1"/>
      <c r="B2664" s="16"/>
    </row>
    <row r="2665" spans="1:2" ht="14.4" x14ac:dyDescent="0.3">
      <c r="A2665" s="1"/>
      <c r="B2665" s="16"/>
    </row>
    <row r="2666" spans="1:2" ht="14.4" x14ac:dyDescent="0.3">
      <c r="A2666" s="1"/>
      <c r="B2666" s="16"/>
    </row>
    <row r="2667" spans="1:2" ht="14.4" x14ac:dyDescent="0.3">
      <c r="A2667" s="1"/>
      <c r="B2667" s="16"/>
    </row>
    <row r="2668" spans="1:2" ht="14.4" x14ac:dyDescent="0.3">
      <c r="A2668" s="1"/>
      <c r="B2668" s="16"/>
    </row>
    <row r="2669" spans="1:2" ht="14.4" x14ac:dyDescent="0.3">
      <c r="A2669" s="1"/>
      <c r="B2669" s="16"/>
    </row>
    <row r="2670" spans="1:2" ht="14.4" x14ac:dyDescent="0.3">
      <c r="A2670" s="1"/>
      <c r="B2670" s="16"/>
    </row>
    <row r="2671" spans="1:2" ht="14.4" x14ac:dyDescent="0.3">
      <c r="A2671" s="1"/>
      <c r="B2671" s="16"/>
    </row>
    <row r="2672" spans="1:2" ht="14.4" x14ac:dyDescent="0.3">
      <c r="A2672" s="1"/>
      <c r="B2672" s="16"/>
    </row>
    <row r="2673" spans="1:2" ht="14.4" x14ac:dyDescent="0.3">
      <c r="A2673" s="1"/>
      <c r="B2673" s="16"/>
    </row>
    <row r="2674" spans="1:2" ht="14.4" x14ac:dyDescent="0.3">
      <c r="A2674" s="1"/>
      <c r="B2674" s="16"/>
    </row>
    <row r="2675" spans="1:2" ht="14.4" x14ac:dyDescent="0.3">
      <c r="A2675" s="1"/>
      <c r="B2675" s="16"/>
    </row>
    <row r="2676" spans="1:2" ht="14.4" x14ac:dyDescent="0.3">
      <c r="A2676" s="1"/>
      <c r="B2676" s="16"/>
    </row>
    <row r="2677" spans="1:2" ht="14.4" x14ac:dyDescent="0.3">
      <c r="A2677" s="1"/>
      <c r="B2677" s="16"/>
    </row>
    <row r="2678" spans="1:2" ht="14.4" x14ac:dyDescent="0.3">
      <c r="A2678" s="1"/>
      <c r="B2678" s="16"/>
    </row>
    <row r="2679" spans="1:2" ht="14.4" x14ac:dyDescent="0.3">
      <c r="A2679" s="1"/>
      <c r="B2679" s="16"/>
    </row>
    <row r="2680" spans="1:2" ht="14.4" x14ac:dyDescent="0.3">
      <c r="A2680" s="1"/>
      <c r="B2680" s="16"/>
    </row>
    <row r="2681" spans="1:2" ht="14.4" x14ac:dyDescent="0.3">
      <c r="A2681" s="1"/>
      <c r="B2681" s="16"/>
    </row>
    <row r="2682" spans="1:2" ht="14.4" x14ac:dyDescent="0.3">
      <c r="A2682" s="1"/>
      <c r="B2682" s="16"/>
    </row>
    <row r="2683" spans="1:2" ht="14.4" x14ac:dyDescent="0.3">
      <c r="A2683" s="1"/>
      <c r="B2683" s="16"/>
    </row>
    <row r="2684" spans="1:2" ht="14.4" x14ac:dyDescent="0.3">
      <c r="A2684" s="1"/>
      <c r="B2684" s="16"/>
    </row>
    <row r="2685" spans="1:2" ht="14.4" x14ac:dyDescent="0.3">
      <c r="A2685" s="1"/>
      <c r="B2685" s="16"/>
    </row>
    <row r="2686" spans="1:2" ht="14.4" x14ac:dyDescent="0.3">
      <c r="A2686" s="1"/>
      <c r="B2686" s="16"/>
    </row>
    <row r="2687" spans="1:2" ht="14.4" x14ac:dyDescent="0.3">
      <c r="A2687" s="1"/>
      <c r="B2687" s="16"/>
    </row>
    <row r="2688" spans="1:2" ht="14.4" x14ac:dyDescent="0.3">
      <c r="A2688" s="1"/>
      <c r="B2688" s="16"/>
    </row>
    <row r="2689" spans="1:2" ht="14.4" x14ac:dyDescent="0.3">
      <c r="A2689" s="1"/>
      <c r="B2689" s="16"/>
    </row>
    <row r="2690" spans="1:2" ht="14.4" x14ac:dyDescent="0.3">
      <c r="A2690" s="1"/>
      <c r="B2690" s="16"/>
    </row>
    <row r="2691" spans="1:2" ht="14.4" x14ac:dyDescent="0.3">
      <c r="A2691" s="1"/>
      <c r="B2691" s="16"/>
    </row>
    <row r="2692" spans="1:2" ht="14.4" x14ac:dyDescent="0.3">
      <c r="A2692" s="1"/>
      <c r="B2692" s="16"/>
    </row>
    <row r="2693" spans="1:2" ht="14.4" x14ac:dyDescent="0.3">
      <c r="A2693" s="1"/>
      <c r="B2693" s="16"/>
    </row>
    <row r="2694" spans="1:2" ht="14.4" x14ac:dyDescent="0.3">
      <c r="A2694" s="1"/>
      <c r="B2694" s="16"/>
    </row>
    <row r="2695" spans="1:2" ht="14.4" x14ac:dyDescent="0.3">
      <c r="A2695" s="1"/>
      <c r="B2695" s="16"/>
    </row>
    <row r="2696" spans="1:2" ht="14.4" x14ac:dyDescent="0.3">
      <c r="A2696" s="1"/>
      <c r="B2696" s="16"/>
    </row>
    <row r="2697" spans="1:2" ht="14.4" x14ac:dyDescent="0.3">
      <c r="A2697" s="1"/>
      <c r="B2697" s="16"/>
    </row>
    <row r="2698" spans="1:2" ht="14.4" x14ac:dyDescent="0.3">
      <c r="A2698" s="1"/>
      <c r="B2698" s="16"/>
    </row>
    <row r="2699" spans="1:2" ht="14.4" x14ac:dyDescent="0.3">
      <c r="A2699" s="1"/>
      <c r="B2699" s="16"/>
    </row>
    <row r="2700" spans="1:2" ht="14.4" x14ac:dyDescent="0.3">
      <c r="A2700" s="1"/>
      <c r="B2700" s="16"/>
    </row>
    <row r="2701" spans="1:2" ht="14.4" x14ac:dyDescent="0.3">
      <c r="A2701" s="1"/>
      <c r="B2701" s="16"/>
    </row>
    <row r="2702" spans="1:2" ht="14.4" x14ac:dyDescent="0.3">
      <c r="A2702" s="1"/>
      <c r="B2702" s="16"/>
    </row>
    <row r="2703" spans="1:2" ht="14.4" x14ac:dyDescent="0.3">
      <c r="A2703" s="1"/>
      <c r="B2703" s="16"/>
    </row>
    <row r="2704" spans="1:2" ht="14.4" x14ac:dyDescent="0.3">
      <c r="A2704" s="1"/>
      <c r="B2704" s="16"/>
    </row>
    <row r="2705" spans="1:2" ht="14.4" x14ac:dyDescent="0.3">
      <c r="A2705" s="1"/>
      <c r="B2705" s="16"/>
    </row>
    <row r="2706" spans="1:2" ht="14.4" x14ac:dyDescent="0.3">
      <c r="A2706" s="1"/>
      <c r="B2706" s="16"/>
    </row>
    <row r="2707" spans="1:2" ht="14.4" x14ac:dyDescent="0.3">
      <c r="A2707" s="1"/>
      <c r="B2707" s="16"/>
    </row>
    <row r="2708" spans="1:2" ht="14.4" x14ac:dyDescent="0.3">
      <c r="A2708" s="1"/>
      <c r="B2708" s="16"/>
    </row>
    <row r="2709" spans="1:2" ht="14.4" x14ac:dyDescent="0.3">
      <c r="A2709" s="1"/>
      <c r="B2709" s="16"/>
    </row>
    <row r="2710" spans="1:2" ht="14.4" x14ac:dyDescent="0.3">
      <c r="A2710" s="1"/>
      <c r="B2710" s="16"/>
    </row>
    <row r="2711" spans="1:2" ht="14.4" x14ac:dyDescent="0.3">
      <c r="A2711" s="1"/>
      <c r="B2711" s="16"/>
    </row>
    <row r="2712" spans="1:2" ht="14.4" x14ac:dyDescent="0.3">
      <c r="A2712" s="1"/>
      <c r="B2712" s="16"/>
    </row>
    <row r="2713" spans="1:2" ht="14.4" x14ac:dyDescent="0.3">
      <c r="A2713" s="1"/>
      <c r="B2713" s="16"/>
    </row>
    <row r="2714" spans="1:2" ht="14.4" x14ac:dyDescent="0.3">
      <c r="A2714" s="1"/>
      <c r="B2714" s="16"/>
    </row>
    <row r="2715" spans="1:2" ht="14.4" x14ac:dyDescent="0.3">
      <c r="A2715" s="1"/>
      <c r="B2715" s="16"/>
    </row>
    <row r="2716" spans="1:2" ht="14.4" x14ac:dyDescent="0.3">
      <c r="A2716" s="1"/>
      <c r="B2716" s="16"/>
    </row>
    <row r="2717" spans="1:2" ht="14.4" x14ac:dyDescent="0.3">
      <c r="A2717" s="1"/>
      <c r="B2717" s="16"/>
    </row>
    <row r="2718" spans="1:2" ht="14.4" x14ac:dyDescent="0.3">
      <c r="A2718" s="1"/>
      <c r="B2718" s="16"/>
    </row>
    <row r="2719" spans="1:2" ht="14.4" x14ac:dyDescent="0.3">
      <c r="A2719" s="1"/>
      <c r="B2719" s="16"/>
    </row>
    <row r="2720" spans="1:2" ht="14.4" x14ac:dyDescent="0.3">
      <c r="A2720" s="1"/>
      <c r="B2720" s="16"/>
    </row>
    <row r="2721" spans="1:26" ht="14.4" x14ac:dyDescent="0.3">
      <c r="A2721" s="1"/>
      <c r="B2721" s="16"/>
    </row>
    <row r="2722" spans="1:26" ht="14.4" x14ac:dyDescent="0.3">
      <c r="A2722" s="1"/>
      <c r="B2722" s="16"/>
    </row>
    <row r="2723" spans="1:26" ht="14.4" x14ac:dyDescent="0.3">
      <c r="A2723" s="1"/>
      <c r="B2723" s="16"/>
    </row>
    <row r="2724" spans="1:26" ht="14.4" x14ac:dyDescent="0.3">
      <c r="A2724" s="1"/>
      <c r="B2724" s="16"/>
    </row>
    <row r="2725" spans="1:26" ht="14.4" x14ac:dyDescent="0.3">
      <c r="A2725" s="1"/>
      <c r="B2725" s="16"/>
    </row>
    <row r="2726" spans="1:26" ht="14.4" x14ac:dyDescent="0.3">
      <c r="A2726" s="1"/>
      <c r="B2726" s="16"/>
    </row>
    <row r="2727" spans="1:26" ht="14.4" x14ac:dyDescent="0.3">
      <c r="A2727" s="1"/>
      <c r="B2727" s="16"/>
    </row>
    <row r="2728" spans="1:26" ht="14.4" x14ac:dyDescent="0.3">
      <c r="A2728" s="1"/>
      <c r="B2728" s="16"/>
    </row>
    <row r="2729" spans="1:26" ht="14.4" x14ac:dyDescent="0.3">
      <c r="A2729" s="11"/>
      <c r="B2729" s="8"/>
      <c r="C2729" s="11"/>
      <c r="D2729" s="11"/>
      <c r="E2729" s="11"/>
      <c r="F2729" s="11"/>
      <c r="G2729" s="11"/>
      <c r="H2729" s="11"/>
      <c r="I2729" s="11"/>
      <c r="J2729" s="11"/>
      <c r="K2729" s="11"/>
      <c r="L2729" s="11"/>
      <c r="M2729" s="11"/>
      <c r="N2729" s="11"/>
      <c r="O2729" s="11"/>
      <c r="P2729" s="11"/>
      <c r="Q2729" s="11"/>
      <c r="R2729" s="11"/>
      <c r="S2729" s="11"/>
      <c r="T2729" s="11"/>
      <c r="U2729" s="11"/>
      <c r="V2729" s="11"/>
      <c r="W2729" s="11"/>
      <c r="X2729" s="11"/>
      <c r="Y2729" s="11"/>
      <c r="Z2729" s="11"/>
    </row>
    <row r="2730" spans="1:26" ht="14.4" x14ac:dyDescent="0.3">
      <c r="A2730" s="11"/>
      <c r="B2730" s="8"/>
      <c r="C2730" s="11"/>
      <c r="D2730" s="11"/>
      <c r="E2730" s="11"/>
      <c r="F2730" s="11"/>
      <c r="G2730" s="11"/>
      <c r="H2730" s="11"/>
      <c r="I2730" s="11"/>
      <c r="J2730" s="11"/>
      <c r="K2730" s="11"/>
      <c r="L2730" s="11"/>
      <c r="M2730" s="11"/>
      <c r="N2730" s="11"/>
      <c r="O2730" s="11"/>
      <c r="P2730" s="11"/>
      <c r="Q2730" s="11"/>
      <c r="R2730" s="11"/>
      <c r="S2730" s="11"/>
      <c r="T2730" s="11"/>
      <c r="U2730" s="11"/>
      <c r="V2730" s="11"/>
      <c r="W2730" s="11"/>
      <c r="X2730" s="11"/>
      <c r="Y2730" s="11"/>
      <c r="Z2730" s="11"/>
    </row>
    <row r="2731" spans="1:26" ht="14.4" x14ac:dyDescent="0.3">
      <c r="A2731" s="11"/>
      <c r="B2731" s="8"/>
      <c r="C2731" s="11"/>
      <c r="D2731" s="11"/>
      <c r="E2731" s="11"/>
      <c r="F2731" s="11"/>
      <c r="G2731" s="11"/>
      <c r="H2731" s="11"/>
      <c r="I2731" s="11"/>
      <c r="J2731" s="11"/>
      <c r="K2731" s="11"/>
      <c r="L2731" s="11"/>
      <c r="M2731" s="11"/>
      <c r="N2731" s="11"/>
      <c r="O2731" s="11"/>
      <c r="P2731" s="11"/>
      <c r="Q2731" s="11"/>
      <c r="R2731" s="11"/>
      <c r="S2731" s="11"/>
      <c r="T2731" s="11"/>
      <c r="U2731" s="11"/>
      <c r="V2731" s="11"/>
      <c r="W2731" s="11"/>
      <c r="X2731" s="11"/>
      <c r="Y2731" s="11"/>
      <c r="Z2731" s="11"/>
    </row>
    <row r="2732" spans="1:26" ht="14.4" x14ac:dyDescent="0.3">
      <c r="A2732" s="1"/>
      <c r="B2732" s="16"/>
    </row>
    <row r="2733" spans="1:26" ht="14.4" x14ac:dyDescent="0.3">
      <c r="A2733" s="1"/>
      <c r="B2733" s="16"/>
    </row>
    <row r="2734" spans="1:26" ht="14.4" x14ac:dyDescent="0.3">
      <c r="A2734" s="1"/>
      <c r="B2734" s="16"/>
    </row>
    <row r="2735" spans="1:26" ht="14.4" x14ac:dyDescent="0.3">
      <c r="A2735" s="1"/>
      <c r="B2735" s="16"/>
    </row>
    <row r="2736" spans="1:26" ht="14.4" x14ac:dyDescent="0.3">
      <c r="A2736" s="1"/>
      <c r="B2736" s="16"/>
    </row>
    <row r="2737" spans="1:2" ht="14.4" x14ac:dyDescent="0.3">
      <c r="A2737" s="1"/>
      <c r="B2737" s="16"/>
    </row>
    <row r="2738" spans="1:2" ht="14.4" x14ac:dyDescent="0.3">
      <c r="A2738" s="1"/>
      <c r="B2738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4201"/>
  <sheetViews>
    <sheetView workbookViewId="0">
      <pane ySplit="1" topLeftCell="A4183" activePane="bottomLeft" state="frozen"/>
      <selection pane="bottomLeft" activeCell="D4202" sqref="D4202"/>
    </sheetView>
  </sheetViews>
  <sheetFormatPr baseColWidth="10" defaultColWidth="12.6640625" defaultRowHeight="15" customHeight="1" x14ac:dyDescent="0.3"/>
  <cols>
    <col min="1" max="1" width="18" customWidth="1"/>
    <col min="5" max="5" width="18.88671875" customWidth="1"/>
  </cols>
  <sheetData>
    <row r="1" spans="1:5" ht="14.4" x14ac:dyDescent="0.3">
      <c r="A1" s="1" t="s">
        <v>2469</v>
      </c>
      <c r="B1" s="1" t="s">
        <v>2470</v>
      </c>
      <c r="C1" s="1" t="s">
        <v>2471</v>
      </c>
      <c r="D1" s="1" t="s">
        <v>2472</v>
      </c>
      <c r="E1" s="1" t="s">
        <v>2473</v>
      </c>
    </row>
    <row r="2" spans="1:5" ht="14.4" x14ac:dyDescent="0.3">
      <c r="A2" s="17" t="s">
        <v>10079</v>
      </c>
      <c r="B2" s="1" t="s">
        <v>220</v>
      </c>
      <c r="C2" s="1" t="s">
        <v>223</v>
      </c>
      <c r="D2" s="1" t="s">
        <v>1541</v>
      </c>
      <c r="E2" s="1">
        <v>21800000</v>
      </c>
    </row>
    <row r="3" spans="1:5" ht="14.4" x14ac:dyDescent="0.3">
      <c r="A3" s="17" t="s">
        <v>10080</v>
      </c>
      <c r="B3" s="1" t="s">
        <v>241</v>
      </c>
      <c r="C3" s="1">
        <v>3008</v>
      </c>
      <c r="D3" s="1" t="s">
        <v>2477</v>
      </c>
      <c r="E3" s="1">
        <v>15400000</v>
      </c>
    </row>
    <row r="4" spans="1:5" ht="14.4" x14ac:dyDescent="0.3">
      <c r="A4" s="17" t="s">
        <v>10081</v>
      </c>
      <c r="B4" s="1" t="s">
        <v>86</v>
      </c>
      <c r="C4" s="1" t="s">
        <v>2476</v>
      </c>
      <c r="D4" s="1" t="s">
        <v>10082</v>
      </c>
      <c r="E4" s="1">
        <v>27800000</v>
      </c>
    </row>
    <row r="5" spans="1:5" ht="14.4" x14ac:dyDescent="0.3">
      <c r="A5" s="17" t="s">
        <v>10083</v>
      </c>
      <c r="B5" s="1" t="s">
        <v>28</v>
      </c>
      <c r="C5" s="1" t="s">
        <v>2670</v>
      </c>
      <c r="D5" s="1" t="s">
        <v>10084</v>
      </c>
      <c r="E5" s="1">
        <v>14100000</v>
      </c>
    </row>
    <row r="6" spans="1:5" ht="14.4" x14ac:dyDescent="0.3">
      <c r="A6" s="17" t="s">
        <v>10085</v>
      </c>
      <c r="B6" s="1" t="s">
        <v>86</v>
      </c>
      <c r="C6" s="1" t="s">
        <v>134</v>
      </c>
      <c r="D6" s="1" t="s">
        <v>10086</v>
      </c>
      <c r="E6" s="1">
        <v>16400000</v>
      </c>
    </row>
    <row r="7" spans="1:5" ht="14.4" x14ac:dyDescent="0.3">
      <c r="A7" s="17" t="s">
        <v>10087</v>
      </c>
      <c r="B7" s="1" t="s">
        <v>68</v>
      </c>
      <c r="C7" s="1">
        <v>500</v>
      </c>
      <c r="D7" s="1" t="s">
        <v>10088</v>
      </c>
      <c r="E7" s="1">
        <v>8800000</v>
      </c>
    </row>
    <row r="8" spans="1:5" ht="14.4" x14ac:dyDescent="0.3">
      <c r="A8" s="17" t="s">
        <v>10089</v>
      </c>
      <c r="B8" s="1" t="s">
        <v>68</v>
      </c>
      <c r="C8" s="1">
        <v>580</v>
      </c>
      <c r="D8" s="1" t="s">
        <v>10090</v>
      </c>
      <c r="E8" s="1">
        <v>12700000</v>
      </c>
    </row>
    <row r="9" spans="1:5" ht="14.4" x14ac:dyDescent="0.3">
      <c r="A9" s="17" t="s">
        <v>10091</v>
      </c>
      <c r="B9" s="1" t="s">
        <v>291</v>
      </c>
      <c r="C9" s="1" t="s">
        <v>3080</v>
      </c>
      <c r="D9" s="1" t="s">
        <v>10092</v>
      </c>
      <c r="E9" s="1">
        <v>18000000</v>
      </c>
    </row>
    <row r="10" spans="1:5" ht="14.4" x14ac:dyDescent="0.3">
      <c r="A10" s="17" t="s">
        <v>10093</v>
      </c>
      <c r="B10" s="1" t="s">
        <v>2498</v>
      </c>
      <c r="C10" s="1" t="s">
        <v>10094</v>
      </c>
      <c r="D10" s="1" t="s">
        <v>10095</v>
      </c>
      <c r="E10" s="1">
        <v>5820000</v>
      </c>
    </row>
    <row r="11" spans="1:5" ht="14.4" x14ac:dyDescent="0.3">
      <c r="A11" s="17" t="s">
        <v>10096</v>
      </c>
      <c r="B11" s="1" t="s">
        <v>86</v>
      </c>
      <c r="C11" s="1" t="s">
        <v>2476</v>
      </c>
      <c r="D11" s="1" t="s">
        <v>10097</v>
      </c>
      <c r="E11" s="1">
        <v>43800000</v>
      </c>
    </row>
    <row r="12" spans="1:5" ht="14.4" x14ac:dyDescent="0.3">
      <c r="A12" s="17" t="s">
        <v>10098</v>
      </c>
      <c r="B12" s="1" t="s">
        <v>220</v>
      </c>
      <c r="C12" s="1" t="s">
        <v>2577</v>
      </c>
      <c r="D12" s="1" t="s">
        <v>10099</v>
      </c>
      <c r="E12" s="1">
        <v>11800000</v>
      </c>
    </row>
    <row r="13" spans="1:5" ht="14.4" x14ac:dyDescent="0.3">
      <c r="A13" s="17" t="s">
        <v>10100</v>
      </c>
      <c r="B13" s="1" t="s">
        <v>45</v>
      </c>
      <c r="C13" s="1" t="s">
        <v>2480</v>
      </c>
      <c r="D13" s="1" t="s">
        <v>10101</v>
      </c>
      <c r="E13" s="1">
        <v>13400000</v>
      </c>
    </row>
    <row r="14" spans="1:5" ht="14.4" x14ac:dyDescent="0.3">
      <c r="A14" s="17" t="s">
        <v>8861</v>
      </c>
      <c r="B14" s="1" t="s">
        <v>2474</v>
      </c>
      <c r="C14" s="1" t="s">
        <v>2475</v>
      </c>
      <c r="D14" s="1" t="s">
        <v>1659</v>
      </c>
      <c r="E14" s="1">
        <v>13100000</v>
      </c>
    </row>
    <row r="15" spans="1:5" ht="14.4" x14ac:dyDescent="0.3">
      <c r="A15" s="17" t="s">
        <v>8884</v>
      </c>
      <c r="B15" s="1" t="s">
        <v>86</v>
      </c>
      <c r="C15" s="1" t="s">
        <v>2476</v>
      </c>
      <c r="D15" s="1" t="s">
        <v>474</v>
      </c>
      <c r="E15" s="1">
        <v>43400000</v>
      </c>
    </row>
    <row r="16" spans="1:5" ht="14.4" x14ac:dyDescent="0.3">
      <c r="A16" s="17" t="s">
        <v>8885</v>
      </c>
      <c r="B16" s="1" t="s">
        <v>86</v>
      </c>
      <c r="C16" s="1" t="s">
        <v>87</v>
      </c>
      <c r="D16" s="1" t="s">
        <v>2477</v>
      </c>
      <c r="E16" s="1">
        <v>48700000</v>
      </c>
    </row>
    <row r="17" spans="1:5" ht="14.4" x14ac:dyDescent="0.3">
      <c r="A17" s="17" t="s">
        <v>8886</v>
      </c>
      <c r="B17" s="1" t="s">
        <v>241</v>
      </c>
      <c r="C17" s="1" t="s">
        <v>2478</v>
      </c>
      <c r="D17" s="1" t="s">
        <v>1404</v>
      </c>
      <c r="E17" s="1">
        <v>16500000</v>
      </c>
    </row>
    <row r="18" spans="1:5" ht="14.4" x14ac:dyDescent="0.3">
      <c r="A18" s="17" t="s">
        <v>8887</v>
      </c>
      <c r="B18" s="1" t="s">
        <v>156</v>
      </c>
      <c r="C18" s="1" t="s">
        <v>2479</v>
      </c>
      <c r="D18" s="1" t="s">
        <v>491</v>
      </c>
      <c r="E18" s="1">
        <v>10500000</v>
      </c>
    </row>
    <row r="19" spans="1:5" ht="14.4" x14ac:dyDescent="0.3">
      <c r="A19" s="17" t="s">
        <v>8888</v>
      </c>
      <c r="B19" s="1" t="s">
        <v>45</v>
      </c>
      <c r="C19" s="1" t="s">
        <v>2480</v>
      </c>
      <c r="D19" s="1" t="s">
        <v>59</v>
      </c>
      <c r="E19" s="1">
        <v>11000000</v>
      </c>
    </row>
    <row r="20" spans="1:5" ht="14.4" x14ac:dyDescent="0.3">
      <c r="A20" s="17" t="s">
        <v>8889</v>
      </c>
      <c r="B20" s="1" t="s">
        <v>241</v>
      </c>
      <c r="C20" s="1">
        <v>3008</v>
      </c>
      <c r="D20" s="1" t="s">
        <v>253</v>
      </c>
      <c r="E20" s="1">
        <v>15000000</v>
      </c>
    </row>
    <row r="21" spans="1:5" ht="14.4" x14ac:dyDescent="0.3">
      <c r="A21" s="17" t="s">
        <v>8890</v>
      </c>
      <c r="B21" s="1" t="s">
        <v>214</v>
      </c>
      <c r="C21" s="1" t="s">
        <v>2481</v>
      </c>
      <c r="D21" s="1" t="s">
        <v>486</v>
      </c>
      <c r="E21" s="1">
        <v>20200000</v>
      </c>
    </row>
    <row r="22" spans="1:5" ht="14.4" x14ac:dyDescent="0.3">
      <c r="A22" s="17" t="s">
        <v>8913</v>
      </c>
      <c r="B22" s="1" t="s">
        <v>86</v>
      </c>
      <c r="C22" s="1" t="s">
        <v>2476</v>
      </c>
      <c r="D22" s="1" t="s">
        <v>474</v>
      </c>
      <c r="E22" s="1">
        <v>43400000</v>
      </c>
    </row>
    <row r="23" spans="1:5" ht="14.4" x14ac:dyDescent="0.3">
      <c r="A23" s="17" t="s">
        <v>8891</v>
      </c>
      <c r="B23" s="1" t="s">
        <v>180</v>
      </c>
      <c r="C23" s="1" t="s">
        <v>183</v>
      </c>
      <c r="D23" s="1" t="s">
        <v>2482</v>
      </c>
      <c r="E23" s="1">
        <v>43000000</v>
      </c>
    </row>
    <row r="24" spans="1:5" ht="14.4" x14ac:dyDescent="0.3">
      <c r="A24" s="17" t="s">
        <v>8892</v>
      </c>
      <c r="B24" s="1" t="s">
        <v>288</v>
      </c>
      <c r="C24" s="1" t="s">
        <v>2483</v>
      </c>
      <c r="D24" s="1" t="s">
        <v>490</v>
      </c>
      <c r="E24" s="1">
        <v>6780000</v>
      </c>
    </row>
    <row r="25" spans="1:5" ht="14.4" x14ac:dyDescent="0.3">
      <c r="A25" s="17" t="s">
        <v>8893</v>
      </c>
      <c r="B25" s="1" t="s">
        <v>241</v>
      </c>
      <c r="C25" s="1" t="s">
        <v>2484</v>
      </c>
      <c r="D25" s="1" t="s">
        <v>497</v>
      </c>
      <c r="E25" s="1">
        <v>12400000</v>
      </c>
    </row>
    <row r="26" spans="1:5" ht="14.4" x14ac:dyDescent="0.3">
      <c r="A26" s="17" t="s">
        <v>8894</v>
      </c>
      <c r="B26" s="1" t="s">
        <v>241</v>
      </c>
      <c r="C26" s="1" t="s">
        <v>2485</v>
      </c>
      <c r="D26" s="1" t="s">
        <v>2486</v>
      </c>
      <c r="E26" s="1">
        <v>19000000</v>
      </c>
    </row>
    <row r="27" spans="1:5" ht="14.4" x14ac:dyDescent="0.3">
      <c r="A27" s="17" t="s">
        <v>8895</v>
      </c>
      <c r="B27" s="1" t="s">
        <v>68</v>
      </c>
      <c r="C27" s="1">
        <v>560</v>
      </c>
      <c r="D27" s="1" t="s">
        <v>70</v>
      </c>
      <c r="E27" s="1">
        <v>8200000</v>
      </c>
    </row>
    <row r="28" spans="1:5" ht="14.4" x14ac:dyDescent="0.3">
      <c r="A28" s="17" t="s">
        <v>8896</v>
      </c>
      <c r="B28" s="1" t="s">
        <v>241</v>
      </c>
      <c r="C28" s="1" t="s">
        <v>2487</v>
      </c>
      <c r="D28" s="1" t="s">
        <v>260</v>
      </c>
      <c r="E28" s="1">
        <v>15200000</v>
      </c>
    </row>
    <row r="29" spans="1:5" ht="14.4" x14ac:dyDescent="0.3">
      <c r="A29" s="17" t="s">
        <v>8897</v>
      </c>
      <c r="B29" s="1" t="s">
        <v>86</v>
      </c>
      <c r="C29" s="1" t="s">
        <v>2488</v>
      </c>
      <c r="D29" s="1" t="s">
        <v>2489</v>
      </c>
      <c r="E29" s="1">
        <v>45800000</v>
      </c>
    </row>
    <row r="30" spans="1:5" ht="14.4" x14ac:dyDescent="0.3">
      <c r="A30" s="17" t="s">
        <v>8898</v>
      </c>
      <c r="B30" s="1" t="s">
        <v>28</v>
      </c>
      <c r="C30" s="1" t="s">
        <v>42</v>
      </c>
      <c r="D30" s="1" t="s">
        <v>494</v>
      </c>
      <c r="E30" s="1">
        <v>11500000</v>
      </c>
    </row>
    <row r="31" spans="1:5" ht="14.4" x14ac:dyDescent="0.3">
      <c r="A31" s="17" t="s">
        <v>8899</v>
      </c>
      <c r="B31" s="1" t="s">
        <v>28</v>
      </c>
      <c r="C31" s="1" t="s">
        <v>2490</v>
      </c>
      <c r="D31" s="1" t="s">
        <v>473</v>
      </c>
      <c r="E31" s="1">
        <v>14700000</v>
      </c>
    </row>
    <row r="32" spans="1:5" ht="14.4" x14ac:dyDescent="0.3">
      <c r="A32" s="17" t="s">
        <v>8900</v>
      </c>
      <c r="B32" s="1" t="s">
        <v>306</v>
      </c>
      <c r="C32" s="1" t="s">
        <v>2491</v>
      </c>
      <c r="D32" s="1" t="s">
        <v>477</v>
      </c>
      <c r="E32" s="1">
        <v>23300000</v>
      </c>
    </row>
    <row r="33" spans="1:5" ht="14.4" x14ac:dyDescent="0.3">
      <c r="A33" s="17" t="s">
        <v>8901</v>
      </c>
      <c r="B33" s="1" t="s">
        <v>278</v>
      </c>
      <c r="C33" s="1">
        <v>1500</v>
      </c>
      <c r="D33" s="1" t="s">
        <v>280</v>
      </c>
      <c r="E33" s="1">
        <v>31400000</v>
      </c>
    </row>
    <row r="34" spans="1:5" ht="14.4" x14ac:dyDescent="0.3">
      <c r="A34" s="17" t="s">
        <v>8902</v>
      </c>
      <c r="B34" s="1" t="s">
        <v>220</v>
      </c>
      <c r="C34" s="1" t="s">
        <v>2492</v>
      </c>
      <c r="D34" s="1" t="s">
        <v>495</v>
      </c>
      <c r="E34" s="1">
        <v>20100000</v>
      </c>
    </row>
    <row r="35" spans="1:5" ht="14.4" x14ac:dyDescent="0.3">
      <c r="A35" s="17" t="s">
        <v>8903</v>
      </c>
      <c r="B35" s="1" t="s">
        <v>2493</v>
      </c>
      <c r="C35" s="1" t="s">
        <v>83</v>
      </c>
      <c r="D35" s="1" t="s">
        <v>493</v>
      </c>
      <c r="E35" s="1">
        <v>14700000</v>
      </c>
    </row>
    <row r="36" spans="1:5" ht="14.4" x14ac:dyDescent="0.3">
      <c r="A36" s="17" t="s">
        <v>8904</v>
      </c>
      <c r="B36" s="1" t="s">
        <v>2494</v>
      </c>
      <c r="C36" s="1" t="s">
        <v>2495</v>
      </c>
      <c r="D36" s="1" t="s">
        <v>492</v>
      </c>
      <c r="E36" s="1">
        <v>5850000</v>
      </c>
    </row>
    <row r="37" spans="1:5" ht="14.4" x14ac:dyDescent="0.3">
      <c r="A37" s="17" t="s">
        <v>8905</v>
      </c>
      <c r="B37" s="1" t="s">
        <v>241</v>
      </c>
      <c r="C37" s="1">
        <v>3008</v>
      </c>
      <c r="D37" s="1" t="s">
        <v>488</v>
      </c>
      <c r="E37" s="1">
        <v>25800000</v>
      </c>
    </row>
    <row r="38" spans="1:5" ht="14.4" x14ac:dyDescent="0.3">
      <c r="A38" s="17" t="s">
        <v>8906</v>
      </c>
      <c r="B38" s="1" t="s">
        <v>28</v>
      </c>
      <c r="C38" s="1" t="s">
        <v>2496</v>
      </c>
      <c r="D38" s="1" t="s">
        <v>2497</v>
      </c>
      <c r="E38" s="1">
        <v>7600000</v>
      </c>
    </row>
    <row r="39" spans="1:5" ht="14.4" x14ac:dyDescent="0.3">
      <c r="A39" s="17" t="s">
        <v>8907</v>
      </c>
      <c r="B39" s="1" t="s">
        <v>2498</v>
      </c>
      <c r="C39" s="1" t="s">
        <v>2499</v>
      </c>
      <c r="D39" s="1" t="s">
        <v>464</v>
      </c>
      <c r="E39" s="1">
        <v>8600000</v>
      </c>
    </row>
    <row r="40" spans="1:5" ht="14.4" x14ac:dyDescent="0.3">
      <c r="A40" s="17" t="s">
        <v>8908</v>
      </c>
      <c r="B40" s="1" t="s">
        <v>220</v>
      </c>
      <c r="C40" s="1" t="s">
        <v>223</v>
      </c>
      <c r="D40" s="1" t="s">
        <v>2500</v>
      </c>
      <c r="E40" s="1">
        <v>13000000</v>
      </c>
    </row>
    <row r="41" spans="1:5" ht="14.4" x14ac:dyDescent="0.3">
      <c r="A41" s="17" t="s">
        <v>8909</v>
      </c>
      <c r="B41" s="1" t="s">
        <v>241</v>
      </c>
      <c r="C41" s="1" t="s">
        <v>2501</v>
      </c>
      <c r="D41" s="1" t="s">
        <v>2502</v>
      </c>
      <c r="E41" s="1">
        <v>23700000</v>
      </c>
    </row>
    <row r="42" spans="1:5" ht="14.4" x14ac:dyDescent="0.3">
      <c r="A42" s="17" t="s">
        <v>8862</v>
      </c>
      <c r="B42" s="1" t="s">
        <v>241</v>
      </c>
      <c r="C42" s="1" t="s">
        <v>269</v>
      </c>
      <c r="D42" s="1" t="s">
        <v>2503</v>
      </c>
      <c r="E42" s="1">
        <v>17200000</v>
      </c>
    </row>
    <row r="43" spans="1:5" ht="14.4" x14ac:dyDescent="0.3">
      <c r="A43" s="17" t="s">
        <v>8863</v>
      </c>
      <c r="B43" s="1" t="s">
        <v>28</v>
      </c>
      <c r="C43" s="1" t="s">
        <v>31</v>
      </c>
      <c r="D43" s="1" t="s">
        <v>34</v>
      </c>
      <c r="E43" s="1">
        <v>8400000</v>
      </c>
    </row>
    <row r="44" spans="1:5" ht="14.4" x14ac:dyDescent="0.3">
      <c r="A44" s="17" t="s">
        <v>8864</v>
      </c>
      <c r="B44" s="1" t="s">
        <v>86</v>
      </c>
      <c r="C44" s="1" t="s">
        <v>2504</v>
      </c>
      <c r="D44" s="1" t="s">
        <v>115</v>
      </c>
      <c r="E44" s="1">
        <v>45300000</v>
      </c>
    </row>
    <row r="45" spans="1:5" ht="14.4" x14ac:dyDescent="0.3">
      <c r="A45" s="17" t="s">
        <v>8865</v>
      </c>
      <c r="B45" s="1" t="s">
        <v>241</v>
      </c>
      <c r="C45" s="1" t="s">
        <v>2505</v>
      </c>
      <c r="D45" s="1" t="s">
        <v>248</v>
      </c>
      <c r="E45" s="1">
        <v>23900000</v>
      </c>
    </row>
    <row r="46" spans="1:5" ht="14.4" x14ac:dyDescent="0.3">
      <c r="A46" s="17" t="s">
        <v>8866</v>
      </c>
      <c r="B46" s="1" t="s">
        <v>241</v>
      </c>
      <c r="C46" s="1" t="s">
        <v>2484</v>
      </c>
      <c r="D46" s="1" t="s">
        <v>618</v>
      </c>
      <c r="E46" s="1">
        <v>16900000</v>
      </c>
    </row>
    <row r="47" spans="1:5" ht="14.4" x14ac:dyDescent="0.3">
      <c r="A47" s="17" t="s">
        <v>8867</v>
      </c>
      <c r="B47" s="1" t="s">
        <v>86</v>
      </c>
      <c r="C47" s="1" t="s">
        <v>2506</v>
      </c>
      <c r="D47" s="1" t="s">
        <v>504</v>
      </c>
      <c r="E47" s="1">
        <v>49700000</v>
      </c>
    </row>
    <row r="48" spans="1:5" ht="14.4" x14ac:dyDescent="0.3">
      <c r="A48" s="17" t="s">
        <v>8868</v>
      </c>
      <c r="B48" s="1" t="s">
        <v>86</v>
      </c>
      <c r="C48" s="1" t="s">
        <v>2507</v>
      </c>
      <c r="D48" s="1" t="s">
        <v>131</v>
      </c>
      <c r="E48" s="1">
        <v>26400000</v>
      </c>
    </row>
    <row r="49" spans="1:5" ht="14.4" x14ac:dyDescent="0.3">
      <c r="A49" s="17" t="s">
        <v>8910</v>
      </c>
      <c r="B49" s="1" t="s">
        <v>14</v>
      </c>
      <c r="C49" s="1" t="s">
        <v>2508</v>
      </c>
      <c r="D49" s="1" t="s">
        <v>469</v>
      </c>
      <c r="E49" s="1">
        <v>12000000</v>
      </c>
    </row>
    <row r="50" spans="1:5" ht="14.4" x14ac:dyDescent="0.3">
      <c r="A50" s="17" t="s">
        <v>8869</v>
      </c>
      <c r="B50" s="1" t="s">
        <v>241</v>
      </c>
      <c r="C50" s="1" t="s">
        <v>2487</v>
      </c>
      <c r="D50" s="1" t="s">
        <v>754</v>
      </c>
      <c r="E50" s="1">
        <v>18100000</v>
      </c>
    </row>
    <row r="51" spans="1:5" ht="14.4" x14ac:dyDescent="0.3">
      <c r="A51" s="17" t="s">
        <v>8870</v>
      </c>
      <c r="B51" s="1" t="s">
        <v>241</v>
      </c>
      <c r="C51" s="1" t="s">
        <v>269</v>
      </c>
      <c r="D51" s="1" t="s">
        <v>274</v>
      </c>
      <c r="E51" s="1">
        <v>22900000</v>
      </c>
    </row>
    <row r="52" spans="1:5" ht="14.4" x14ac:dyDescent="0.3">
      <c r="A52" s="17" t="s">
        <v>8871</v>
      </c>
      <c r="B52" s="1" t="s">
        <v>220</v>
      </c>
      <c r="C52" s="1" t="s">
        <v>2509</v>
      </c>
      <c r="D52" s="1" t="s">
        <v>1003</v>
      </c>
      <c r="E52" s="1">
        <v>16000000</v>
      </c>
    </row>
    <row r="53" spans="1:5" ht="14.4" x14ac:dyDescent="0.3">
      <c r="A53" s="17" t="s">
        <v>8872</v>
      </c>
      <c r="B53" s="1" t="s">
        <v>241</v>
      </c>
      <c r="C53" s="1" t="s">
        <v>2485</v>
      </c>
      <c r="D53" s="1" t="s">
        <v>2510</v>
      </c>
      <c r="E53" s="1">
        <v>12600000</v>
      </c>
    </row>
    <row r="54" spans="1:5" ht="14.4" x14ac:dyDescent="0.3">
      <c r="A54" s="17" t="s">
        <v>8873</v>
      </c>
      <c r="B54" s="1" t="s">
        <v>2511</v>
      </c>
      <c r="C54" s="1" t="s">
        <v>2512</v>
      </c>
      <c r="D54" s="1" t="s">
        <v>509</v>
      </c>
      <c r="E54" s="1">
        <v>12700000</v>
      </c>
    </row>
    <row r="55" spans="1:5" ht="14.4" x14ac:dyDescent="0.3">
      <c r="A55" s="17" t="s">
        <v>8874</v>
      </c>
      <c r="B55" s="1" t="s">
        <v>86</v>
      </c>
      <c r="C55" s="1" t="s">
        <v>93</v>
      </c>
      <c r="D55" s="1" t="s">
        <v>95</v>
      </c>
      <c r="E55" s="1">
        <v>26100000</v>
      </c>
    </row>
    <row r="56" spans="1:5" ht="14.4" x14ac:dyDescent="0.3">
      <c r="A56" s="17" t="s">
        <v>8875</v>
      </c>
      <c r="B56" s="1" t="s">
        <v>68</v>
      </c>
      <c r="C56" s="1">
        <v>580</v>
      </c>
      <c r="D56" s="1" t="s">
        <v>796</v>
      </c>
      <c r="E56" s="1">
        <v>10300000</v>
      </c>
    </row>
    <row r="57" spans="1:5" ht="14.4" x14ac:dyDescent="0.3">
      <c r="A57" s="17" t="s">
        <v>8876</v>
      </c>
      <c r="B57" s="1" t="s">
        <v>220</v>
      </c>
      <c r="C57" s="1" t="s">
        <v>2509</v>
      </c>
      <c r="D57" s="1" t="s">
        <v>887</v>
      </c>
      <c r="E57" s="1">
        <v>15600000</v>
      </c>
    </row>
    <row r="58" spans="1:5" ht="14.4" x14ac:dyDescent="0.3">
      <c r="A58" s="17" t="s">
        <v>8877</v>
      </c>
      <c r="B58" s="1" t="s">
        <v>241</v>
      </c>
      <c r="C58" s="1" t="s">
        <v>2513</v>
      </c>
      <c r="D58" s="1" t="s">
        <v>2514</v>
      </c>
      <c r="E58" s="1">
        <v>20500000</v>
      </c>
    </row>
    <row r="59" spans="1:5" ht="14.4" x14ac:dyDescent="0.3">
      <c r="A59" s="17" t="s">
        <v>8878</v>
      </c>
      <c r="B59" s="1" t="s">
        <v>241</v>
      </c>
      <c r="C59" s="1">
        <v>2008</v>
      </c>
      <c r="D59" s="1" t="s">
        <v>2515</v>
      </c>
      <c r="E59" s="1">
        <v>12900000</v>
      </c>
    </row>
    <row r="60" spans="1:5" ht="14.4" x14ac:dyDescent="0.3">
      <c r="A60" s="17" t="s">
        <v>8879</v>
      </c>
      <c r="B60" s="1" t="s">
        <v>86</v>
      </c>
      <c r="C60" s="1" t="s">
        <v>134</v>
      </c>
      <c r="D60" s="1" t="s">
        <v>137</v>
      </c>
      <c r="E60" s="1">
        <v>12800000</v>
      </c>
    </row>
    <row r="61" spans="1:5" ht="14.4" x14ac:dyDescent="0.3">
      <c r="A61" s="17" t="s">
        <v>8880</v>
      </c>
      <c r="B61" s="1" t="s">
        <v>147</v>
      </c>
      <c r="C61" s="1" t="s">
        <v>2516</v>
      </c>
      <c r="D61" s="1" t="s">
        <v>510</v>
      </c>
      <c r="E61" s="1">
        <v>12300000</v>
      </c>
    </row>
    <row r="62" spans="1:5" ht="14.4" x14ac:dyDescent="0.3">
      <c r="A62" s="17" t="s">
        <v>8881</v>
      </c>
      <c r="B62" s="1" t="s">
        <v>241</v>
      </c>
      <c r="C62" s="1" t="s">
        <v>2478</v>
      </c>
      <c r="D62" s="1" t="s">
        <v>1565</v>
      </c>
      <c r="E62" s="1">
        <v>17900000</v>
      </c>
    </row>
    <row r="63" spans="1:5" ht="14.4" x14ac:dyDescent="0.3">
      <c r="A63" s="17" t="s">
        <v>8911</v>
      </c>
      <c r="B63" s="1" t="s">
        <v>2517</v>
      </c>
      <c r="C63" s="1" t="s">
        <v>2518</v>
      </c>
      <c r="D63" s="1" t="s">
        <v>2519</v>
      </c>
      <c r="E63" s="1">
        <v>5270000</v>
      </c>
    </row>
    <row r="64" spans="1:5" ht="14.4" x14ac:dyDescent="0.3">
      <c r="A64" s="17" t="s">
        <v>8882</v>
      </c>
      <c r="B64" s="1" t="s">
        <v>60</v>
      </c>
      <c r="C64" s="1" t="s">
        <v>2520</v>
      </c>
      <c r="D64" s="1" t="s">
        <v>67</v>
      </c>
      <c r="E64" s="1">
        <v>13500000</v>
      </c>
    </row>
    <row r="65" spans="1:5" ht="14.4" x14ac:dyDescent="0.3">
      <c r="A65" s="17" t="s">
        <v>8883</v>
      </c>
      <c r="B65" s="1" t="s">
        <v>2521</v>
      </c>
      <c r="C65" s="1" t="s">
        <v>2522</v>
      </c>
      <c r="D65" s="1" t="s">
        <v>595</v>
      </c>
      <c r="E65" s="1">
        <v>21500000</v>
      </c>
    </row>
    <row r="66" spans="1:5" ht="14.4" x14ac:dyDescent="0.3">
      <c r="A66" s="17" t="s">
        <v>8912</v>
      </c>
      <c r="B66" s="1" t="s">
        <v>2498</v>
      </c>
      <c r="C66" s="1" t="s">
        <v>2523</v>
      </c>
      <c r="D66" s="1" t="s">
        <v>2524</v>
      </c>
      <c r="E66" s="1">
        <v>12300000</v>
      </c>
    </row>
    <row r="67" spans="1:5" ht="14.4" x14ac:dyDescent="0.3">
      <c r="A67" s="17" t="s">
        <v>8914</v>
      </c>
      <c r="B67" s="1" t="s">
        <v>45</v>
      </c>
      <c r="C67" s="1" t="s">
        <v>2525</v>
      </c>
      <c r="D67" s="1" t="s">
        <v>1395</v>
      </c>
      <c r="E67" s="1">
        <v>23200000</v>
      </c>
    </row>
    <row r="68" spans="1:5" ht="14.4" x14ac:dyDescent="0.3">
      <c r="A68" s="17" t="s">
        <v>8915</v>
      </c>
      <c r="B68" s="1" t="s">
        <v>241</v>
      </c>
      <c r="C68" s="1" t="s">
        <v>2513</v>
      </c>
      <c r="D68" s="1" t="s">
        <v>770</v>
      </c>
      <c r="E68" s="1">
        <v>20600000</v>
      </c>
    </row>
    <row r="69" spans="1:5" ht="14.4" x14ac:dyDescent="0.3">
      <c r="A69" s="17" t="s">
        <v>8916</v>
      </c>
      <c r="B69" s="1" t="s">
        <v>68</v>
      </c>
      <c r="C69" s="1">
        <v>580</v>
      </c>
      <c r="D69" s="1" t="s">
        <v>77</v>
      </c>
      <c r="E69" s="1">
        <v>10000000</v>
      </c>
    </row>
    <row r="70" spans="1:5" ht="14.4" x14ac:dyDescent="0.3">
      <c r="A70" s="17" t="s">
        <v>8917</v>
      </c>
      <c r="B70" s="1" t="s">
        <v>241</v>
      </c>
      <c r="C70" s="1" t="s">
        <v>2501</v>
      </c>
      <c r="D70" s="1" t="s">
        <v>268</v>
      </c>
      <c r="E70" s="1">
        <v>24900000</v>
      </c>
    </row>
    <row r="71" spans="1:5" ht="14.4" x14ac:dyDescent="0.3">
      <c r="A71" s="17" t="s">
        <v>8918</v>
      </c>
      <c r="B71" s="1" t="s">
        <v>241</v>
      </c>
      <c r="C71" s="1" t="s">
        <v>269</v>
      </c>
      <c r="D71" s="1" t="s">
        <v>741</v>
      </c>
      <c r="E71" s="1">
        <v>18400000</v>
      </c>
    </row>
    <row r="72" spans="1:5" ht="14.4" x14ac:dyDescent="0.3">
      <c r="A72" s="17" t="s">
        <v>8919</v>
      </c>
      <c r="B72" s="1" t="s">
        <v>2526</v>
      </c>
      <c r="C72" s="1" t="s">
        <v>2527</v>
      </c>
      <c r="D72" s="1" t="s">
        <v>622</v>
      </c>
      <c r="E72" s="1">
        <v>8800000</v>
      </c>
    </row>
    <row r="73" spans="1:5" ht="14.4" x14ac:dyDescent="0.3">
      <c r="A73" s="17" t="s">
        <v>8920</v>
      </c>
      <c r="B73" s="1" t="s">
        <v>86</v>
      </c>
      <c r="C73" s="1" t="s">
        <v>2476</v>
      </c>
      <c r="D73" s="1" t="s">
        <v>676</v>
      </c>
      <c r="E73" s="1">
        <v>49800000</v>
      </c>
    </row>
    <row r="74" spans="1:5" ht="14.4" x14ac:dyDescent="0.3">
      <c r="A74" s="17" t="s">
        <v>8921</v>
      </c>
      <c r="B74" s="1" t="s">
        <v>241</v>
      </c>
      <c r="C74" s="1" t="s">
        <v>2487</v>
      </c>
      <c r="D74" s="1" t="s">
        <v>892</v>
      </c>
      <c r="E74" s="1">
        <v>20700000</v>
      </c>
    </row>
    <row r="75" spans="1:5" ht="14.4" x14ac:dyDescent="0.3">
      <c r="A75" s="17" t="s">
        <v>8922</v>
      </c>
      <c r="B75" s="1" t="s">
        <v>147</v>
      </c>
      <c r="C75" s="1" t="s">
        <v>2528</v>
      </c>
      <c r="D75" s="1" t="s">
        <v>566</v>
      </c>
      <c r="E75" s="1">
        <v>19400000</v>
      </c>
    </row>
    <row r="76" spans="1:5" ht="14.4" x14ac:dyDescent="0.3">
      <c r="A76" s="17" t="s">
        <v>8923</v>
      </c>
      <c r="B76" s="1" t="s">
        <v>237</v>
      </c>
      <c r="C76" s="1" t="s">
        <v>65</v>
      </c>
      <c r="D76" s="1" t="s">
        <v>239</v>
      </c>
      <c r="E76" s="1">
        <v>12800000</v>
      </c>
    </row>
    <row r="77" spans="1:5" ht="14.4" x14ac:dyDescent="0.3">
      <c r="A77" s="17" t="s">
        <v>8924</v>
      </c>
      <c r="B77" s="1" t="s">
        <v>241</v>
      </c>
      <c r="C77" s="1" t="s">
        <v>269</v>
      </c>
      <c r="D77" s="1" t="s">
        <v>738</v>
      </c>
      <c r="E77" s="1">
        <v>17700000</v>
      </c>
    </row>
    <row r="78" spans="1:5" ht="14.4" x14ac:dyDescent="0.3">
      <c r="A78" s="17" t="s">
        <v>8925</v>
      </c>
      <c r="B78" s="1" t="s">
        <v>220</v>
      </c>
      <c r="C78" s="1" t="s">
        <v>231</v>
      </c>
      <c r="D78" s="1" t="s">
        <v>233</v>
      </c>
      <c r="E78" s="1">
        <v>9800000</v>
      </c>
    </row>
    <row r="79" spans="1:5" ht="14.4" x14ac:dyDescent="0.3">
      <c r="A79" s="17" t="s">
        <v>8926</v>
      </c>
      <c r="B79" s="1" t="s">
        <v>167</v>
      </c>
      <c r="C79" s="1" t="s">
        <v>2529</v>
      </c>
      <c r="D79" s="1" t="s">
        <v>500</v>
      </c>
      <c r="E79" s="1">
        <v>9000000</v>
      </c>
    </row>
    <row r="80" spans="1:5" ht="14.4" x14ac:dyDescent="0.3">
      <c r="A80" s="17" t="s">
        <v>8927</v>
      </c>
      <c r="B80" s="1" t="s">
        <v>278</v>
      </c>
      <c r="C80" s="1" t="s">
        <v>2530</v>
      </c>
      <c r="D80" s="1" t="s">
        <v>537</v>
      </c>
      <c r="E80" s="1">
        <v>34300000</v>
      </c>
    </row>
    <row r="81" spans="1:5" ht="14.4" x14ac:dyDescent="0.3">
      <c r="A81" s="17" t="s">
        <v>8928</v>
      </c>
      <c r="B81" s="1" t="s">
        <v>2494</v>
      </c>
      <c r="C81" s="1" t="s">
        <v>2531</v>
      </c>
      <c r="D81" s="1" t="s">
        <v>550</v>
      </c>
      <c r="E81" s="1">
        <v>9500000</v>
      </c>
    </row>
    <row r="82" spans="1:5" ht="14.4" x14ac:dyDescent="0.3">
      <c r="A82" s="17" t="s">
        <v>8929</v>
      </c>
      <c r="B82" s="1" t="s">
        <v>241</v>
      </c>
      <c r="C82" s="1" t="s">
        <v>2501</v>
      </c>
      <c r="D82" s="1" t="s">
        <v>264</v>
      </c>
      <c r="E82" s="1">
        <v>23600000</v>
      </c>
    </row>
    <row r="83" spans="1:5" ht="14.4" x14ac:dyDescent="0.3">
      <c r="A83" s="17" t="s">
        <v>8930</v>
      </c>
      <c r="B83" s="1" t="s">
        <v>86</v>
      </c>
      <c r="C83" s="1" t="s">
        <v>2476</v>
      </c>
      <c r="D83" s="1" t="s">
        <v>119</v>
      </c>
      <c r="E83" s="1">
        <v>22100000</v>
      </c>
    </row>
    <row r="84" spans="1:5" ht="14.4" x14ac:dyDescent="0.3">
      <c r="A84" s="17" t="s">
        <v>8931</v>
      </c>
      <c r="B84" s="1" t="s">
        <v>45</v>
      </c>
      <c r="C84" s="1" t="s">
        <v>49</v>
      </c>
      <c r="D84" s="1" t="s">
        <v>51</v>
      </c>
      <c r="E84" s="1">
        <v>47500000</v>
      </c>
    </row>
    <row r="85" spans="1:5" ht="14.4" x14ac:dyDescent="0.3">
      <c r="A85" s="17" t="s">
        <v>8932</v>
      </c>
      <c r="B85" s="1" t="s">
        <v>86</v>
      </c>
      <c r="C85" s="1" t="s">
        <v>2504</v>
      </c>
      <c r="D85" s="1" t="s">
        <v>117</v>
      </c>
      <c r="E85" s="1">
        <v>42400000</v>
      </c>
    </row>
    <row r="86" spans="1:5" ht="14.4" x14ac:dyDescent="0.3">
      <c r="A86" s="17" t="s">
        <v>8933</v>
      </c>
      <c r="B86" s="1" t="s">
        <v>167</v>
      </c>
      <c r="C86" s="1" t="s">
        <v>2532</v>
      </c>
      <c r="D86" s="1" t="s">
        <v>972</v>
      </c>
      <c r="E86" s="1">
        <v>16600000</v>
      </c>
    </row>
    <row r="87" spans="1:5" ht="14.4" x14ac:dyDescent="0.3">
      <c r="A87" s="17" t="s">
        <v>8934</v>
      </c>
      <c r="B87" s="1" t="s">
        <v>241</v>
      </c>
      <c r="C87" s="1" t="s">
        <v>269</v>
      </c>
      <c r="D87" s="1" t="s">
        <v>271</v>
      </c>
      <c r="E87" s="1">
        <v>15300000</v>
      </c>
    </row>
    <row r="88" spans="1:5" ht="14.4" x14ac:dyDescent="0.3">
      <c r="A88" s="17" t="s">
        <v>8935</v>
      </c>
      <c r="B88" s="1" t="s">
        <v>220</v>
      </c>
      <c r="C88" s="1" t="s">
        <v>231</v>
      </c>
      <c r="D88" s="1" t="s">
        <v>548</v>
      </c>
      <c r="E88" s="1">
        <v>10900000</v>
      </c>
    </row>
    <row r="89" spans="1:5" ht="14.4" x14ac:dyDescent="0.3">
      <c r="A89" s="17" t="s">
        <v>8936</v>
      </c>
      <c r="B89" s="1" t="s">
        <v>241</v>
      </c>
      <c r="C89" s="1" t="s">
        <v>2484</v>
      </c>
      <c r="D89" s="1" t="s">
        <v>616</v>
      </c>
      <c r="E89" s="1">
        <v>13200000</v>
      </c>
    </row>
    <row r="90" spans="1:5" ht="14.4" x14ac:dyDescent="0.3">
      <c r="A90" s="17" t="s">
        <v>8937</v>
      </c>
      <c r="B90" s="1" t="s">
        <v>241</v>
      </c>
      <c r="C90" s="1" t="s">
        <v>2487</v>
      </c>
      <c r="D90" s="1" t="s">
        <v>251</v>
      </c>
      <c r="E90" s="1">
        <v>13800000</v>
      </c>
    </row>
    <row r="91" spans="1:5" ht="14.4" x14ac:dyDescent="0.3">
      <c r="A91" s="17" t="s">
        <v>8938</v>
      </c>
      <c r="B91" s="1" t="s">
        <v>2533</v>
      </c>
      <c r="C91" s="1" t="s">
        <v>2534</v>
      </c>
      <c r="D91" s="1" t="s">
        <v>487</v>
      </c>
      <c r="E91" s="1">
        <v>11600000</v>
      </c>
    </row>
    <row r="92" spans="1:5" ht="14.4" x14ac:dyDescent="0.3">
      <c r="A92" s="17" t="s">
        <v>8939</v>
      </c>
      <c r="B92" s="1" t="s">
        <v>167</v>
      </c>
      <c r="C92" s="1" t="s">
        <v>2535</v>
      </c>
      <c r="D92" s="1" t="s">
        <v>172</v>
      </c>
      <c r="E92" s="1">
        <v>15400000</v>
      </c>
    </row>
    <row r="93" spans="1:5" ht="14.4" x14ac:dyDescent="0.3">
      <c r="A93" s="17" t="s">
        <v>8940</v>
      </c>
      <c r="B93" s="1" t="s">
        <v>86</v>
      </c>
      <c r="C93" s="1" t="s">
        <v>111</v>
      </c>
      <c r="D93" s="1" t="s">
        <v>112</v>
      </c>
      <c r="E93" s="1">
        <v>29800000</v>
      </c>
    </row>
    <row r="94" spans="1:5" ht="14.4" x14ac:dyDescent="0.3">
      <c r="A94" s="17" t="s">
        <v>8941</v>
      </c>
      <c r="B94" s="1" t="s">
        <v>241</v>
      </c>
      <c r="C94" s="1">
        <v>3008</v>
      </c>
      <c r="D94" s="1" t="s">
        <v>793</v>
      </c>
      <c r="E94" s="1">
        <v>17100000</v>
      </c>
    </row>
    <row r="95" spans="1:5" ht="14.4" x14ac:dyDescent="0.3">
      <c r="A95" s="17" t="s">
        <v>9021</v>
      </c>
      <c r="B95" s="1" t="s">
        <v>86</v>
      </c>
      <c r="C95" s="1" t="s">
        <v>134</v>
      </c>
      <c r="D95" s="1" t="s">
        <v>2536</v>
      </c>
      <c r="E95" s="1">
        <v>13100000</v>
      </c>
    </row>
    <row r="96" spans="1:5" ht="14.4" x14ac:dyDescent="0.3">
      <c r="A96" s="17" t="s">
        <v>8942</v>
      </c>
      <c r="B96" s="1" t="s">
        <v>241</v>
      </c>
      <c r="C96" s="1" t="s">
        <v>2484</v>
      </c>
      <c r="D96" s="1" t="s">
        <v>729</v>
      </c>
      <c r="E96" s="1">
        <v>18800000</v>
      </c>
    </row>
    <row r="97" spans="1:5" ht="14.4" x14ac:dyDescent="0.3">
      <c r="A97" s="17" t="s">
        <v>8943</v>
      </c>
      <c r="B97" s="1" t="s">
        <v>2498</v>
      </c>
      <c r="C97" s="1" t="s">
        <v>190</v>
      </c>
      <c r="D97" s="1" t="s">
        <v>1008</v>
      </c>
      <c r="E97" s="1">
        <v>30400000</v>
      </c>
    </row>
    <row r="98" spans="1:5" ht="14.4" x14ac:dyDescent="0.3">
      <c r="A98" s="17" t="s">
        <v>8944</v>
      </c>
      <c r="B98" s="1" t="s">
        <v>291</v>
      </c>
      <c r="C98" s="1" t="s">
        <v>2537</v>
      </c>
      <c r="D98" s="1" t="s">
        <v>294</v>
      </c>
      <c r="E98" s="1">
        <v>12100000</v>
      </c>
    </row>
    <row r="99" spans="1:5" ht="14.4" x14ac:dyDescent="0.3">
      <c r="A99" s="17" t="s">
        <v>9022</v>
      </c>
      <c r="B99" s="1" t="s">
        <v>241</v>
      </c>
      <c r="C99" s="1" t="s">
        <v>2487</v>
      </c>
      <c r="D99" s="1" t="s">
        <v>2538</v>
      </c>
      <c r="E99" s="1">
        <v>19200000</v>
      </c>
    </row>
    <row r="100" spans="1:5" ht="14.4" x14ac:dyDescent="0.3">
      <c r="A100" s="17" t="s">
        <v>8945</v>
      </c>
      <c r="B100" s="1" t="s">
        <v>156</v>
      </c>
      <c r="C100" s="1" t="s">
        <v>2539</v>
      </c>
      <c r="D100" s="1" t="s">
        <v>162</v>
      </c>
      <c r="E100" s="1">
        <v>32100000</v>
      </c>
    </row>
    <row r="101" spans="1:5" ht="14.4" x14ac:dyDescent="0.3">
      <c r="A101" s="17" t="s">
        <v>8946</v>
      </c>
      <c r="B101" s="1" t="s">
        <v>241</v>
      </c>
      <c r="C101" s="1" t="s">
        <v>2501</v>
      </c>
      <c r="D101" s="1" t="s">
        <v>619</v>
      </c>
      <c r="E101" s="1">
        <v>22000000</v>
      </c>
    </row>
    <row r="102" spans="1:5" ht="14.4" x14ac:dyDescent="0.3">
      <c r="A102" s="17" t="s">
        <v>8947</v>
      </c>
      <c r="B102" s="1" t="s">
        <v>86</v>
      </c>
      <c r="C102" s="1" t="s">
        <v>122</v>
      </c>
      <c r="D102" s="1" t="s">
        <v>534</v>
      </c>
      <c r="E102" s="1">
        <v>18700000</v>
      </c>
    </row>
    <row r="103" spans="1:5" ht="14.4" x14ac:dyDescent="0.3">
      <c r="A103" s="17" t="s">
        <v>8948</v>
      </c>
      <c r="B103" s="1" t="s">
        <v>45</v>
      </c>
      <c r="C103" s="1" t="s">
        <v>2540</v>
      </c>
      <c r="D103" s="1" t="s">
        <v>503</v>
      </c>
      <c r="E103" s="1">
        <v>9900000</v>
      </c>
    </row>
    <row r="104" spans="1:5" ht="14.4" x14ac:dyDescent="0.3">
      <c r="A104" s="17" t="s">
        <v>8949</v>
      </c>
      <c r="B104" s="1" t="s">
        <v>86</v>
      </c>
      <c r="C104" s="1" t="s">
        <v>2507</v>
      </c>
      <c r="D104" s="1" t="s">
        <v>124</v>
      </c>
      <c r="E104" s="1">
        <v>36200000</v>
      </c>
    </row>
    <row r="105" spans="1:5" ht="14.4" x14ac:dyDescent="0.3">
      <c r="A105" s="17" t="s">
        <v>9023</v>
      </c>
      <c r="B105" s="1" t="s">
        <v>300</v>
      </c>
      <c r="C105" s="1" t="s">
        <v>2541</v>
      </c>
      <c r="D105" s="1" t="s">
        <v>2542</v>
      </c>
      <c r="E105" s="1">
        <v>9800000</v>
      </c>
    </row>
    <row r="106" spans="1:5" ht="14.4" x14ac:dyDescent="0.3">
      <c r="A106" s="17" t="s">
        <v>8950</v>
      </c>
      <c r="B106" s="1" t="s">
        <v>2521</v>
      </c>
      <c r="C106" s="1" t="s">
        <v>2543</v>
      </c>
      <c r="D106" s="1" t="s">
        <v>508</v>
      </c>
      <c r="E106" s="1">
        <v>11500000</v>
      </c>
    </row>
    <row r="107" spans="1:5" ht="14.4" x14ac:dyDescent="0.3">
      <c r="A107" s="17" t="s">
        <v>8951</v>
      </c>
      <c r="B107" s="1" t="s">
        <v>204</v>
      </c>
      <c r="C107" s="1" t="s">
        <v>2544</v>
      </c>
      <c r="D107" s="1" t="s">
        <v>598</v>
      </c>
      <c r="E107" s="1">
        <v>6640000</v>
      </c>
    </row>
    <row r="108" spans="1:5" ht="14.4" x14ac:dyDescent="0.3">
      <c r="A108" s="17" t="s">
        <v>8952</v>
      </c>
      <c r="B108" s="1" t="s">
        <v>2545</v>
      </c>
      <c r="C108" s="1" t="s">
        <v>2546</v>
      </c>
      <c r="D108" s="1" t="s">
        <v>499</v>
      </c>
      <c r="E108" s="1">
        <v>16800000</v>
      </c>
    </row>
    <row r="109" spans="1:5" ht="14.4" x14ac:dyDescent="0.3">
      <c r="A109" s="17" t="s">
        <v>9024</v>
      </c>
      <c r="B109" s="1" t="s">
        <v>28</v>
      </c>
      <c r="C109" s="1" t="s">
        <v>2547</v>
      </c>
      <c r="D109" s="1" t="s">
        <v>2548</v>
      </c>
      <c r="E109" s="1">
        <v>9100000</v>
      </c>
    </row>
    <row r="110" spans="1:5" ht="14.4" x14ac:dyDescent="0.3">
      <c r="A110" s="17" t="s">
        <v>8953</v>
      </c>
      <c r="B110" s="1" t="s">
        <v>207</v>
      </c>
      <c r="C110" s="1" t="s">
        <v>211</v>
      </c>
      <c r="D110" s="1" t="s">
        <v>213</v>
      </c>
      <c r="E110" s="1">
        <v>40700000</v>
      </c>
    </row>
    <row r="111" spans="1:5" ht="14.4" x14ac:dyDescent="0.3">
      <c r="A111" s="17" t="s">
        <v>8954</v>
      </c>
      <c r="B111" s="1" t="s">
        <v>2549</v>
      </c>
      <c r="C111" s="1" t="s">
        <v>2550</v>
      </c>
      <c r="D111" s="1" t="s">
        <v>1151</v>
      </c>
      <c r="E111" s="1">
        <v>17400000</v>
      </c>
    </row>
    <row r="112" spans="1:5" ht="14.4" x14ac:dyDescent="0.3">
      <c r="A112" s="17" t="s">
        <v>8955</v>
      </c>
      <c r="B112" s="1" t="s">
        <v>68</v>
      </c>
      <c r="C112" s="1">
        <v>560</v>
      </c>
      <c r="D112" s="1" t="s">
        <v>703</v>
      </c>
      <c r="E112" s="1">
        <v>8900000</v>
      </c>
    </row>
    <row r="113" spans="1:5" ht="14.4" x14ac:dyDescent="0.3">
      <c r="A113" s="17" t="s">
        <v>8956</v>
      </c>
      <c r="B113" s="1" t="s">
        <v>220</v>
      </c>
      <c r="C113" s="1" t="s">
        <v>223</v>
      </c>
      <c r="D113" s="1" t="s">
        <v>227</v>
      </c>
      <c r="E113" s="1">
        <v>17300000</v>
      </c>
    </row>
    <row r="114" spans="1:5" ht="14.4" x14ac:dyDescent="0.3">
      <c r="A114" s="17" t="s">
        <v>8957</v>
      </c>
      <c r="B114" s="1" t="s">
        <v>220</v>
      </c>
      <c r="C114" s="1" t="s">
        <v>223</v>
      </c>
      <c r="D114" s="1" t="s">
        <v>226</v>
      </c>
      <c r="E114" s="1">
        <v>17400000</v>
      </c>
    </row>
    <row r="115" spans="1:5" ht="14.4" x14ac:dyDescent="0.3">
      <c r="A115" s="17" t="s">
        <v>8958</v>
      </c>
      <c r="B115" s="1" t="s">
        <v>180</v>
      </c>
      <c r="C115" s="1" t="s">
        <v>181</v>
      </c>
      <c r="D115" s="1" t="s">
        <v>182</v>
      </c>
      <c r="E115" s="1">
        <v>24400000</v>
      </c>
    </row>
    <row r="116" spans="1:5" ht="14.4" x14ac:dyDescent="0.3">
      <c r="A116" s="17" t="s">
        <v>9025</v>
      </c>
      <c r="B116" s="1" t="s">
        <v>86</v>
      </c>
      <c r="C116" s="1" t="s">
        <v>2507</v>
      </c>
      <c r="D116" s="1" t="s">
        <v>479</v>
      </c>
      <c r="E116" s="1">
        <v>49500000</v>
      </c>
    </row>
    <row r="117" spans="1:5" ht="14.4" x14ac:dyDescent="0.3">
      <c r="A117" s="17" t="s">
        <v>8959</v>
      </c>
      <c r="B117" s="1" t="s">
        <v>220</v>
      </c>
      <c r="C117" s="1" t="s">
        <v>223</v>
      </c>
      <c r="D117" s="1" t="s">
        <v>1446</v>
      </c>
      <c r="E117" s="1">
        <v>22700000</v>
      </c>
    </row>
    <row r="118" spans="1:5" ht="14.4" x14ac:dyDescent="0.3">
      <c r="A118" s="17" t="s">
        <v>8960</v>
      </c>
      <c r="B118" s="1" t="s">
        <v>220</v>
      </c>
      <c r="C118" s="1" t="s">
        <v>2492</v>
      </c>
      <c r="D118" s="1" t="s">
        <v>934</v>
      </c>
      <c r="E118" s="1">
        <v>27600000</v>
      </c>
    </row>
    <row r="119" spans="1:5" ht="14.4" x14ac:dyDescent="0.3">
      <c r="A119" s="17" t="s">
        <v>9026</v>
      </c>
      <c r="B119" s="1" t="s">
        <v>86</v>
      </c>
      <c r="C119" s="1" t="s">
        <v>134</v>
      </c>
      <c r="D119" s="1" t="s">
        <v>2551</v>
      </c>
      <c r="E119" s="1">
        <v>12400000</v>
      </c>
    </row>
    <row r="120" spans="1:5" ht="14.4" x14ac:dyDescent="0.3">
      <c r="A120" s="17" t="s">
        <v>8961</v>
      </c>
      <c r="B120" s="1" t="s">
        <v>306</v>
      </c>
      <c r="C120" s="1" t="s">
        <v>307</v>
      </c>
      <c r="D120" s="1" t="s">
        <v>308</v>
      </c>
      <c r="E120" s="1">
        <v>19000000</v>
      </c>
    </row>
    <row r="121" spans="1:5" ht="14.4" x14ac:dyDescent="0.3">
      <c r="A121" s="17" t="s">
        <v>9027</v>
      </c>
      <c r="B121" s="1" t="s">
        <v>306</v>
      </c>
      <c r="C121" s="1" t="s">
        <v>2491</v>
      </c>
      <c r="D121" s="1" t="s">
        <v>2552</v>
      </c>
      <c r="E121" s="1">
        <v>21900000</v>
      </c>
    </row>
    <row r="122" spans="1:5" ht="14.4" x14ac:dyDescent="0.3">
      <c r="A122" s="17" t="s">
        <v>9028</v>
      </c>
      <c r="B122" s="1" t="s">
        <v>241</v>
      </c>
      <c r="C122" s="1" t="s">
        <v>2484</v>
      </c>
      <c r="D122" s="1" t="s">
        <v>2553</v>
      </c>
      <c r="E122" s="1">
        <v>13400000</v>
      </c>
    </row>
    <row r="123" spans="1:5" ht="14.4" x14ac:dyDescent="0.3">
      <c r="A123" s="17" t="s">
        <v>9029</v>
      </c>
      <c r="B123" s="1" t="s">
        <v>241</v>
      </c>
      <c r="C123" s="1" t="s">
        <v>2485</v>
      </c>
      <c r="D123" s="1" t="s">
        <v>2554</v>
      </c>
      <c r="E123" s="1">
        <v>12400000</v>
      </c>
    </row>
    <row r="124" spans="1:5" ht="14.4" x14ac:dyDescent="0.3">
      <c r="A124" s="17" t="s">
        <v>9030</v>
      </c>
      <c r="B124" s="1" t="s">
        <v>45</v>
      </c>
      <c r="C124" s="1" t="s">
        <v>2555</v>
      </c>
      <c r="D124" s="1" t="s">
        <v>480</v>
      </c>
      <c r="E124" s="1">
        <v>24600000</v>
      </c>
    </row>
    <row r="125" spans="1:5" ht="14.4" x14ac:dyDescent="0.3">
      <c r="A125" s="17" t="s">
        <v>9031</v>
      </c>
      <c r="B125" s="1" t="s">
        <v>241</v>
      </c>
      <c r="C125" s="1" t="s">
        <v>2485</v>
      </c>
      <c r="D125" s="1" t="s">
        <v>2554</v>
      </c>
      <c r="E125" s="1">
        <v>11800000</v>
      </c>
    </row>
    <row r="126" spans="1:5" ht="14.4" x14ac:dyDescent="0.3">
      <c r="A126" s="17" t="s">
        <v>8962</v>
      </c>
      <c r="B126" s="1" t="s">
        <v>241</v>
      </c>
      <c r="C126" s="1">
        <v>3008</v>
      </c>
      <c r="D126" s="1" t="s">
        <v>1737</v>
      </c>
      <c r="E126" s="1">
        <v>13200000</v>
      </c>
    </row>
    <row r="127" spans="1:5" ht="14.4" x14ac:dyDescent="0.3">
      <c r="A127" s="17" t="s">
        <v>8963</v>
      </c>
      <c r="B127" s="1" t="s">
        <v>86</v>
      </c>
      <c r="C127" s="1" t="s">
        <v>2556</v>
      </c>
      <c r="D127" s="1" t="s">
        <v>97</v>
      </c>
      <c r="E127" s="1">
        <v>19200000</v>
      </c>
    </row>
    <row r="128" spans="1:5" ht="14.4" x14ac:dyDescent="0.3">
      <c r="A128" s="17" t="s">
        <v>8964</v>
      </c>
      <c r="B128" s="1" t="s">
        <v>86</v>
      </c>
      <c r="C128" s="1" t="s">
        <v>134</v>
      </c>
      <c r="D128" s="1" t="s">
        <v>136</v>
      </c>
      <c r="E128" s="1">
        <v>13200000</v>
      </c>
    </row>
    <row r="129" spans="1:5" ht="14.4" x14ac:dyDescent="0.3">
      <c r="A129" s="17" t="s">
        <v>8965</v>
      </c>
      <c r="B129" s="1" t="s">
        <v>86</v>
      </c>
      <c r="C129" s="1" t="s">
        <v>103</v>
      </c>
      <c r="D129" s="1" t="s">
        <v>105</v>
      </c>
      <c r="E129" s="1">
        <v>16300000</v>
      </c>
    </row>
    <row r="130" spans="1:5" ht="14.4" x14ac:dyDescent="0.3">
      <c r="A130" s="17" t="s">
        <v>9032</v>
      </c>
      <c r="B130" s="1" t="s">
        <v>288</v>
      </c>
      <c r="C130" s="1" t="s">
        <v>2557</v>
      </c>
      <c r="D130" s="1" t="s">
        <v>2558</v>
      </c>
      <c r="E130" s="1">
        <v>8600000</v>
      </c>
    </row>
    <row r="131" spans="1:5" ht="14.4" x14ac:dyDescent="0.3">
      <c r="A131" s="17" t="s">
        <v>8966</v>
      </c>
      <c r="B131" s="1" t="s">
        <v>291</v>
      </c>
      <c r="C131" s="1" t="s">
        <v>295</v>
      </c>
      <c r="D131" s="1" t="s">
        <v>296</v>
      </c>
      <c r="E131" s="1">
        <v>8300000</v>
      </c>
    </row>
    <row r="132" spans="1:5" ht="14.4" x14ac:dyDescent="0.3">
      <c r="A132" s="17" t="s">
        <v>8967</v>
      </c>
      <c r="B132" s="1" t="s">
        <v>60</v>
      </c>
      <c r="C132" s="1" t="s">
        <v>2559</v>
      </c>
      <c r="D132" s="1" t="s">
        <v>64</v>
      </c>
      <c r="E132" s="1">
        <v>10700000</v>
      </c>
    </row>
    <row r="133" spans="1:5" ht="14.4" x14ac:dyDescent="0.3">
      <c r="A133" s="17" t="s">
        <v>8968</v>
      </c>
      <c r="B133" s="1" t="s">
        <v>45</v>
      </c>
      <c r="C133" s="1" t="s">
        <v>2480</v>
      </c>
      <c r="D133" s="1" t="s">
        <v>556</v>
      </c>
      <c r="E133" s="1">
        <v>11800000</v>
      </c>
    </row>
    <row r="134" spans="1:5" ht="14.4" x14ac:dyDescent="0.3">
      <c r="A134" s="17" t="s">
        <v>8969</v>
      </c>
      <c r="B134" s="1" t="s">
        <v>241</v>
      </c>
      <c r="C134" s="1" t="s">
        <v>2487</v>
      </c>
      <c r="D134" s="1" t="s">
        <v>1239</v>
      </c>
      <c r="E134" s="1">
        <v>13800000</v>
      </c>
    </row>
    <row r="135" spans="1:5" ht="14.4" x14ac:dyDescent="0.3">
      <c r="A135" s="17" t="s">
        <v>9033</v>
      </c>
      <c r="B135" s="1" t="s">
        <v>214</v>
      </c>
      <c r="C135" s="1" t="s">
        <v>2560</v>
      </c>
      <c r="D135" s="1" t="s">
        <v>2375</v>
      </c>
      <c r="E135" s="1">
        <v>11700000</v>
      </c>
    </row>
    <row r="136" spans="1:5" ht="14.4" x14ac:dyDescent="0.3">
      <c r="A136" s="17" t="s">
        <v>9034</v>
      </c>
      <c r="B136" s="1" t="s">
        <v>2533</v>
      </c>
      <c r="C136" s="1" t="s">
        <v>2561</v>
      </c>
      <c r="D136" s="1" t="s">
        <v>2562</v>
      </c>
      <c r="E136" s="1">
        <v>6600000</v>
      </c>
    </row>
    <row r="137" spans="1:5" ht="14.4" x14ac:dyDescent="0.3">
      <c r="A137" s="17" t="s">
        <v>8970</v>
      </c>
      <c r="B137" s="1" t="s">
        <v>86</v>
      </c>
      <c r="C137" s="1" t="s">
        <v>122</v>
      </c>
      <c r="D137" s="1" t="s">
        <v>476</v>
      </c>
      <c r="E137" s="1">
        <v>28500000</v>
      </c>
    </row>
    <row r="138" spans="1:5" ht="14.4" x14ac:dyDescent="0.3">
      <c r="A138" s="17" t="s">
        <v>9035</v>
      </c>
      <c r="B138" s="1" t="s">
        <v>2498</v>
      </c>
      <c r="C138" s="1" t="s">
        <v>2563</v>
      </c>
      <c r="D138" s="1" t="s">
        <v>485</v>
      </c>
      <c r="E138" s="1">
        <v>14100000</v>
      </c>
    </row>
    <row r="139" spans="1:5" ht="14.4" x14ac:dyDescent="0.3">
      <c r="A139" s="17" t="s">
        <v>9036</v>
      </c>
      <c r="B139" s="1" t="s">
        <v>306</v>
      </c>
      <c r="C139" s="1" t="s">
        <v>2564</v>
      </c>
      <c r="D139" s="1" t="s">
        <v>483</v>
      </c>
      <c r="E139" s="1">
        <v>11200000</v>
      </c>
    </row>
    <row r="140" spans="1:5" ht="14.4" x14ac:dyDescent="0.3">
      <c r="A140" s="17" t="s">
        <v>9037</v>
      </c>
      <c r="B140" s="1" t="s">
        <v>288</v>
      </c>
      <c r="C140" s="1" t="s">
        <v>2565</v>
      </c>
      <c r="D140" s="1" t="s">
        <v>2566</v>
      </c>
      <c r="E140" s="1">
        <v>9400000</v>
      </c>
    </row>
    <row r="141" spans="1:5" ht="14.4" x14ac:dyDescent="0.3">
      <c r="A141" s="17" t="s">
        <v>8971</v>
      </c>
      <c r="B141" s="1" t="s">
        <v>214</v>
      </c>
      <c r="C141" s="1" t="s">
        <v>2567</v>
      </c>
      <c r="D141" s="1" t="s">
        <v>781</v>
      </c>
      <c r="E141" s="1">
        <v>15000000</v>
      </c>
    </row>
    <row r="142" spans="1:5" ht="14.4" x14ac:dyDescent="0.3">
      <c r="A142" s="17" t="s">
        <v>8972</v>
      </c>
      <c r="B142" s="1" t="s">
        <v>86</v>
      </c>
      <c r="C142" s="1" t="s">
        <v>2507</v>
      </c>
      <c r="D142" s="1" t="s">
        <v>129</v>
      </c>
      <c r="E142" s="1">
        <v>44800000</v>
      </c>
    </row>
    <row r="143" spans="1:5" ht="14.4" x14ac:dyDescent="0.3">
      <c r="A143" s="17" t="s">
        <v>8973</v>
      </c>
      <c r="B143" s="1" t="s">
        <v>68</v>
      </c>
      <c r="C143" s="1" t="s">
        <v>2568</v>
      </c>
      <c r="D143" s="1" t="s">
        <v>667</v>
      </c>
      <c r="E143" s="1">
        <v>7280000</v>
      </c>
    </row>
    <row r="144" spans="1:5" ht="14.4" x14ac:dyDescent="0.3">
      <c r="A144" s="17" t="s">
        <v>8974</v>
      </c>
      <c r="B144" s="1" t="s">
        <v>220</v>
      </c>
      <c r="C144" s="1" t="s">
        <v>2569</v>
      </c>
      <c r="D144" s="1" t="s">
        <v>517</v>
      </c>
      <c r="E144" s="1">
        <v>9200000</v>
      </c>
    </row>
    <row r="145" spans="1:5" ht="14.4" x14ac:dyDescent="0.3">
      <c r="A145" s="17" t="s">
        <v>8975</v>
      </c>
      <c r="B145" s="1" t="s">
        <v>207</v>
      </c>
      <c r="C145" s="1" t="s">
        <v>2570</v>
      </c>
      <c r="D145" s="1" t="s">
        <v>697</v>
      </c>
      <c r="E145" s="1">
        <v>29500000</v>
      </c>
    </row>
    <row r="146" spans="1:5" ht="14.4" x14ac:dyDescent="0.3">
      <c r="A146" s="17" t="s">
        <v>8976</v>
      </c>
      <c r="B146" s="1" t="s">
        <v>241</v>
      </c>
      <c r="C146" s="1">
        <v>308</v>
      </c>
      <c r="D146" s="1" t="s">
        <v>1236</v>
      </c>
      <c r="E146" s="1">
        <v>11100000</v>
      </c>
    </row>
    <row r="147" spans="1:5" ht="14.4" x14ac:dyDescent="0.3">
      <c r="A147" s="17" t="s">
        <v>8977</v>
      </c>
      <c r="B147" s="1" t="s">
        <v>220</v>
      </c>
      <c r="C147" s="1" t="s">
        <v>231</v>
      </c>
      <c r="D147" s="1" t="s">
        <v>547</v>
      </c>
      <c r="E147" s="1">
        <v>11800000</v>
      </c>
    </row>
    <row r="148" spans="1:5" ht="14.4" x14ac:dyDescent="0.3">
      <c r="A148" s="17" t="s">
        <v>8978</v>
      </c>
      <c r="B148" s="1" t="s">
        <v>241</v>
      </c>
      <c r="C148" s="1" t="s">
        <v>2501</v>
      </c>
      <c r="D148" s="1" t="s">
        <v>950</v>
      </c>
      <c r="E148" s="1">
        <v>23100000</v>
      </c>
    </row>
    <row r="149" spans="1:5" ht="14.4" x14ac:dyDescent="0.3">
      <c r="A149" s="17" t="s">
        <v>8979</v>
      </c>
      <c r="B149" s="1" t="s">
        <v>86</v>
      </c>
      <c r="C149" s="1" t="s">
        <v>106</v>
      </c>
      <c r="D149" s="1" t="s">
        <v>108</v>
      </c>
      <c r="E149" s="1">
        <v>29800000</v>
      </c>
    </row>
    <row r="150" spans="1:5" ht="14.4" x14ac:dyDescent="0.3">
      <c r="A150" s="17" t="s">
        <v>8980</v>
      </c>
      <c r="B150" s="1" t="s">
        <v>220</v>
      </c>
      <c r="C150" s="1" t="s">
        <v>223</v>
      </c>
      <c r="D150" s="1" t="s">
        <v>929</v>
      </c>
      <c r="E150" s="1">
        <v>22000000</v>
      </c>
    </row>
    <row r="151" spans="1:5" ht="14.4" x14ac:dyDescent="0.3">
      <c r="A151" s="17" t="s">
        <v>8981</v>
      </c>
      <c r="B151" s="1" t="s">
        <v>68</v>
      </c>
      <c r="C151" s="1">
        <v>580</v>
      </c>
      <c r="D151" s="1" t="s">
        <v>647</v>
      </c>
      <c r="E151" s="1">
        <v>9700000</v>
      </c>
    </row>
    <row r="152" spans="1:5" ht="14.4" x14ac:dyDescent="0.3">
      <c r="A152" s="17" t="s">
        <v>8982</v>
      </c>
      <c r="B152" s="1" t="s">
        <v>311</v>
      </c>
      <c r="C152" s="1" t="s">
        <v>312</v>
      </c>
      <c r="D152" s="1" t="s">
        <v>314</v>
      </c>
      <c r="E152" s="1">
        <v>31500000</v>
      </c>
    </row>
    <row r="153" spans="1:5" ht="14.4" x14ac:dyDescent="0.3">
      <c r="A153" s="17" t="s">
        <v>8983</v>
      </c>
      <c r="B153" s="1" t="s">
        <v>28</v>
      </c>
      <c r="C153" s="1" t="s">
        <v>2496</v>
      </c>
      <c r="D153" s="1" t="s">
        <v>528</v>
      </c>
      <c r="E153" s="1">
        <v>7800000</v>
      </c>
    </row>
    <row r="154" spans="1:5" ht="14.4" x14ac:dyDescent="0.3">
      <c r="A154" s="17" t="s">
        <v>8984</v>
      </c>
      <c r="B154" s="1" t="s">
        <v>156</v>
      </c>
      <c r="C154" s="1" t="s">
        <v>165</v>
      </c>
      <c r="D154" s="1" t="s">
        <v>166</v>
      </c>
      <c r="E154" s="1">
        <v>23900000</v>
      </c>
    </row>
    <row r="155" spans="1:5" ht="14.4" x14ac:dyDescent="0.3">
      <c r="A155" s="17" t="s">
        <v>9038</v>
      </c>
      <c r="B155" s="1" t="s">
        <v>241</v>
      </c>
      <c r="C155" s="1">
        <v>3008</v>
      </c>
      <c r="D155" s="1" t="s">
        <v>246</v>
      </c>
      <c r="E155" s="1">
        <v>12000000</v>
      </c>
    </row>
    <row r="156" spans="1:5" ht="14.4" x14ac:dyDescent="0.3">
      <c r="A156" s="17" t="s">
        <v>8985</v>
      </c>
      <c r="B156" s="1" t="s">
        <v>86</v>
      </c>
      <c r="C156" s="1" t="s">
        <v>134</v>
      </c>
      <c r="D156" s="1" t="s">
        <v>564</v>
      </c>
      <c r="E156" s="1">
        <v>13000000</v>
      </c>
    </row>
    <row r="157" spans="1:5" ht="14.4" x14ac:dyDescent="0.3">
      <c r="A157" s="17" t="s">
        <v>9039</v>
      </c>
      <c r="B157" s="1" t="s">
        <v>2498</v>
      </c>
      <c r="C157" s="1" t="s">
        <v>188</v>
      </c>
      <c r="D157" s="1" t="s">
        <v>467</v>
      </c>
      <c r="E157" s="1">
        <v>7830000</v>
      </c>
    </row>
    <row r="158" spans="1:5" ht="14.4" x14ac:dyDescent="0.3">
      <c r="A158" s="17" t="s">
        <v>9040</v>
      </c>
      <c r="B158" s="1" t="s">
        <v>2533</v>
      </c>
      <c r="C158" s="1" t="s">
        <v>2571</v>
      </c>
      <c r="D158" s="1" t="s">
        <v>468</v>
      </c>
      <c r="E158" s="1">
        <v>8400000</v>
      </c>
    </row>
    <row r="159" spans="1:5" ht="14.4" x14ac:dyDescent="0.3">
      <c r="A159" s="17" t="s">
        <v>8986</v>
      </c>
      <c r="B159" s="1" t="s">
        <v>241</v>
      </c>
      <c r="C159" s="1" t="s">
        <v>2478</v>
      </c>
      <c r="D159" s="1" t="s">
        <v>1232</v>
      </c>
      <c r="E159" s="1">
        <v>15300000</v>
      </c>
    </row>
    <row r="160" spans="1:5" ht="14.4" x14ac:dyDescent="0.3">
      <c r="A160" s="17" t="s">
        <v>8987</v>
      </c>
      <c r="B160" s="1" t="s">
        <v>28</v>
      </c>
      <c r="C160" s="1" t="s">
        <v>38</v>
      </c>
      <c r="D160" s="1" t="s">
        <v>539</v>
      </c>
      <c r="E160" s="1">
        <v>13900000</v>
      </c>
    </row>
    <row r="161" spans="1:5" ht="14.4" x14ac:dyDescent="0.3">
      <c r="A161" s="17" t="s">
        <v>8988</v>
      </c>
      <c r="B161" s="1" t="s">
        <v>241</v>
      </c>
      <c r="C161" s="1" t="s">
        <v>2487</v>
      </c>
      <c r="D161" s="1" t="s">
        <v>255</v>
      </c>
      <c r="E161" s="1">
        <v>14500000</v>
      </c>
    </row>
    <row r="162" spans="1:5" ht="14.4" x14ac:dyDescent="0.3">
      <c r="A162" s="17" t="s">
        <v>8989</v>
      </c>
      <c r="B162" s="1" t="s">
        <v>28</v>
      </c>
      <c r="C162" s="1" t="s">
        <v>2496</v>
      </c>
      <c r="D162" s="1" t="s">
        <v>511</v>
      </c>
      <c r="E162" s="1">
        <v>7050000</v>
      </c>
    </row>
    <row r="163" spans="1:5" ht="14.4" x14ac:dyDescent="0.3">
      <c r="A163" s="17" t="s">
        <v>8990</v>
      </c>
      <c r="B163" s="1" t="s">
        <v>2533</v>
      </c>
      <c r="C163" s="1" t="s">
        <v>2571</v>
      </c>
      <c r="D163" s="1" t="s">
        <v>514</v>
      </c>
      <c r="E163" s="1">
        <v>8300000</v>
      </c>
    </row>
    <row r="164" spans="1:5" ht="14.4" x14ac:dyDescent="0.3">
      <c r="A164" s="17" t="s">
        <v>8991</v>
      </c>
      <c r="B164" s="1" t="s">
        <v>241</v>
      </c>
      <c r="C164" s="1">
        <v>3008</v>
      </c>
      <c r="D164" s="1" t="s">
        <v>256</v>
      </c>
      <c r="E164" s="1">
        <v>16500000</v>
      </c>
    </row>
    <row r="165" spans="1:5" ht="14.4" x14ac:dyDescent="0.3">
      <c r="A165" s="17" t="s">
        <v>9041</v>
      </c>
      <c r="B165" s="1" t="s">
        <v>156</v>
      </c>
      <c r="C165" s="1" t="s">
        <v>2572</v>
      </c>
      <c r="D165" s="1" t="s">
        <v>2573</v>
      </c>
      <c r="E165" s="1">
        <v>12400000</v>
      </c>
    </row>
    <row r="166" spans="1:5" ht="14.4" x14ac:dyDescent="0.3">
      <c r="A166" s="17" t="s">
        <v>8992</v>
      </c>
      <c r="B166" s="1" t="s">
        <v>2493</v>
      </c>
      <c r="C166" s="1" t="s">
        <v>2574</v>
      </c>
      <c r="D166" s="1" t="s">
        <v>608</v>
      </c>
      <c r="E166" s="1">
        <v>19300000</v>
      </c>
    </row>
    <row r="167" spans="1:5" ht="14.4" x14ac:dyDescent="0.3">
      <c r="A167" s="17" t="s">
        <v>8993</v>
      </c>
      <c r="B167" s="1" t="s">
        <v>28</v>
      </c>
      <c r="C167" s="1" t="s">
        <v>2575</v>
      </c>
      <c r="D167" s="1" t="s">
        <v>525</v>
      </c>
      <c r="E167" s="1">
        <v>9000000</v>
      </c>
    </row>
    <row r="168" spans="1:5" ht="14.4" x14ac:dyDescent="0.3">
      <c r="A168" s="17" t="s">
        <v>8994</v>
      </c>
      <c r="B168" s="1" t="s">
        <v>220</v>
      </c>
      <c r="C168" s="1" t="s">
        <v>2576</v>
      </c>
      <c r="D168" s="1" t="s">
        <v>956</v>
      </c>
      <c r="E168" s="1">
        <v>24200000</v>
      </c>
    </row>
    <row r="169" spans="1:5" ht="14.4" x14ac:dyDescent="0.3">
      <c r="A169" s="17" t="s">
        <v>9042</v>
      </c>
      <c r="B169" s="1" t="s">
        <v>2545</v>
      </c>
      <c r="C169" s="1" t="s">
        <v>2546</v>
      </c>
      <c r="D169" s="1" t="s">
        <v>484</v>
      </c>
      <c r="E169" s="1">
        <v>18300000</v>
      </c>
    </row>
    <row r="170" spans="1:5" ht="14.4" x14ac:dyDescent="0.3">
      <c r="A170" s="17" t="s">
        <v>9043</v>
      </c>
      <c r="B170" s="1" t="s">
        <v>68</v>
      </c>
      <c r="C170" s="1">
        <v>500</v>
      </c>
      <c r="D170" s="1" t="s">
        <v>325</v>
      </c>
      <c r="E170" s="1">
        <v>11300000</v>
      </c>
    </row>
    <row r="171" spans="1:5" ht="14.4" x14ac:dyDescent="0.3">
      <c r="A171" s="17" t="s">
        <v>9044</v>
      </c>
      <c r="B171" s="1" t="s">
        <v>220</v>
      </c>
      <c r="C171" s="1" t="s">
        <v>2577</v>
      </c>
      <c r="D171" s="1" t="s">
        <v>2578</v>
      </c>
      <c r="E171" s="1">
        <v>12100000</v>
      </c>
    </row>
    <row r="172" spans="1:5" ht="14.4" x14ac:dyDescent="0.3">
      <c r="A172" s="17" t="s">
        <v>9045</v>
      </c>
      <c r="B172" s="1" t="s">
        <v>2498</v>
      </c>
      <c r="C172" s="1" t="s">
        <v>188</v>
      </c>
      <c r="D172" s="1" t="s">
        <v>475</v>
      </c>
      <c r="E172" s="1">
        <v>8200000</v>
      </c>
    </row>
    <row r="173" spans="1:5" ht="14.4" x14ac:dyDescent="0.3">
      <c r="A173" s="17" t="s">
        <v>9046</v>
      </c>
      <c r="B173" s="1" t="s">
        <v>214</v>
      </c>
      <c r="C173" s="1" t="s">
        <v>215</v>
      </c>
      <c r="D173" s="1" t="s">
        <v>2579</v>
      </c>
      <c r="E173" s="1">
        <v>8200000</v>
      </c>
    </row>
    <row r="174" spans="1:5" ht="14.4" x14ac:dyDescent="0.3">
      <c r="A174" s="17" t="s">
        <v>9047</v>
      </c>
      <c r="B174" s="1" t="s">
        <v>86</v>
      </c>
      <c r="C174" s="1" t="s">
        <v>122</v>
      </c>
      <c r="D174" s="1" t="s">
        <v>476</v>
      </c>
      <c r="E174" s="1">
        <v>28500000</v>
      </c>
    </row>
    <row r="175" spans="1:5" ht="14.4" x14ac:dyDescent="0.3">
      <c r="A175" s="17" t="s">
        <v>8995</v>
      </c>
      <c r="B175" s="1" t="s">
        <v>311</v>
      </c>
      <c r="C175" s="1" t="s">
        <v>2580</v>
      </c>
      <c r="D175" s="1" t="s">
        <v>561</v>
      </c>
      <c r="E175" s="1">
        <v>10600000</v>
      </c>
    </row>
    <row r="176" spans="1:5" ht="14.4" x14ac:dyDescent="0.3">
      <c r="A176" s="17" t="s">
        <v>8996</v>
      </c>
      <c r="B176" s="1" t="s">
        <v>241</v>
      </c>
      <c r="C176" s="1" t="s">
        <v>2485</v>
      </c>
      <c r="D176" s="1" t="s">
        <v>505</v>
      </c>
      <c r="E176" s="1">
        <v>9400000</v>
      </c>
    </row>
    <row r="177" spans="1:5" ht="14.4" x14ac:dyDescent="0.3">
      <c r="A177" s="17" t="s">
        <v>8997</v>
      </c>
      <c r="B177" s="1" t="s">
        <v>86</v>
      </c>
      <c r="C177" s="1" t="s">
        <v>2507</v>
      </c>
      <c r="D177" s="1" t="s">
        <v>1051</v>
      </c>
      <c r="E177" s="1">
        <v>36400000</v>
      </c>
    </row>
    <row r="178" spans="1:5" ht="14.4" x14ac:dyDescent="0.3">
      <c r="A178" s="17" t="s">
        <v>8998</v>
      </c>
      <c r="B178" s="1" t="s">
        <v>173</v>
      </c>
      <c r="C178" s="1">
        <v>7</v>
      </c>
      <c r="D178" s="1" t="s">
        <v>538</v>
      </c>
      <c r="E178" s="1">
        <v>17800000</v>
      </c>
    </row>
    <row r="179" spans="1:5" ht="14.4" x14ac:dyDescent="0.3">
      <c r="A179" s="17" t="s">
        <v>8999</v>
      </c>
      <c r="B179" s="1" t="s">
        <v>28</v>
      </c>
      <c r="C179" s="1" t="s">
        <v>2575</v>
      </c>
      <c r="D179" s="1" t="s">
        <v>1757</v>
      </c>
      <c r="E179" s="1">
        <v>8500000</v>
      </c>
    </row>
    <row r="180" spans="1:5" ht="14.4" x14ac:dyDescent="0.3">
      <c r="A180" s="17" t="s">
        <v>9000</v>
      </c>
      <c r="B180" s="1" t="s">
        <v>241</v>
      </c>
      <c r="C180" s="1" t="s">
        <v>2487</v>
      </c>
      <c r="D180" s="1" t="s">
        <v>760</v>
      </c>
      <c r="E180" s="1">
        <v>17800000</v>
      </c>
    </row>
    <row r="181" spans="1:5" ht="14.4" x14ac:dyDescent="0.3">
      <c r="A181" s="17" t="s">
        <v>9001</v>
      </c>
      <c r="B181" s="1" t="s">
        <v>180</v>
      </c>
      <c r="C181" s="1" t="s">
        <v>183</v>
      </c>
      <c r="D181" s="1" t="s">
        <v>185</v>
      </c>
      <c r="E181" s="1">
        <v>11200000</v>
      </c>
    </row>
    <row r="182" spans="1:5" ht="14.4" x14ac:dyDescent="0.3">
      <c r="A182" s="17" t="s">
        <v>9002</v>
      </c>
      <c r="B182" s="1" t="s">
        <v>86</v>
      </c>
      <c r="C182" s="1" t="s">
        <v>90</v>
      </c>
      <c r="D182" s="1" t="s">
        <v>632</v>
      </c>
      <c r="E182" s="1">
        <v>9500000</v>
      </c>
    </row>
    <row r="183" spans="1:5" ht="14.4" x14ac:dyDescent="0.3">
      <c r="A183" s="17" t="s">
        <v>9003</v>
      </c>
      <c r="B183" s="1" t="s">
        <v>241</v>
      </c>
      <c r="C183" s="1" t="s">
        <v>2505</v>
      </c>
      <c r="D183" s="1" t="s">
        <v>671</v>
      </c>
      <c r="E183" s="1">
        <v>29100000</v>
      </c>
    </row>
    <row r="184" spans="1:5" ht="14.4" x14ac:dyDescent="0.3">
      <c r="A184" s="17" t="s">
        <v>9004</v>
      </c>
      <c r="B184" s="1" t="s">
        <v>241</v>
      </c>
      <c r="C184" s="1" t="s">
        <v>2487</v>
      </c>
      <c r="D184" s="1" t="s">
        <v>259</v>
      </c>
      <c r="E184" s="1">
        <v>18200000</v>
      </c>
    </row>
    <row r="185" spans="1:5" ht="14.4" x14ac:dyDescent="0.3">
      <c r="A185" s="17" t="s">
        <v>9048</v>
      </c>
      <c r="B185" s="1" t="s">
        <v>60</v>
      </c>
      <c r="C185" s="1" t="s">
        <v>2520</v>
      </c>
      <c r="D185" s="1" t="s">
        <v>482</v>
      </c>
      <c r="E185" s="1">
        <v>18800000</v>
      </c>
    </row>
    <row r="186" spans="1:5" ht="14.4" x14ac:dyDescent="0.3">
      <c r="A186" s="17" t="s">
        <v>9005</v>
      </c>
      <c r="B186" s="1" t="s">
        <v>45</v>
      </c>
      <c r="C186" s="1" t="s">
        <v>2581</v>
      </c>
      <c r="D186" s="1" t="s">
        <v>48</v>
      </c>
      <c r="E186" s="1">
        <v>9300000</v>
      </c>
    </row>
    <row r="187" spans="1:5" ht="14.4" x14ac:dyDescent="0.3">
      <c r="A187" s="17" t="s">
        <v>9006</v>
      </c>
      <c r="B187" s="1" t="s">
        <v>2533</v>
      </c>
      <c r="C187" s="1" t="s">
        <v>2582</v>
      </c>
      <c r="D187" s="1" t="s">
        <v>591</v>
      </c>
      <c r="E187" s="1">
        <v>6960000</v>
      </c>
    </row>
    <row r="188" spans="1:5" ht="14.4" x14ac:dyDescent="0.3">
      <c r="A188" s="17" t="s">
        <v>9049</v>
      </c>
      <c r="B188" s="1" t="s">
        <v>311</v>
      </c>
      <c r="C188" s="1" t="s">
        <v>315</v>
      </c>
      <c r="D188" s="1" t="s">
        <v>2583</v>
      </c>
      <c r="E188" s="1">
        <v>8300000</v>
      </c>
    </row>
    <row r="189" spans="1:5" ht="14.4" x14ac:dyDescent="0.3">
      <c r="A189" s="17" t="s">
        <v>9050</v>
      </c>
      <c r="B189" s="1" t="s">
        <v>241</v>
      </c>
      <c r="C189" s="1" t="s">
        <v>2484</v>
      </c>
      <c r="D189" s="1" t="s">
        <v>1141</v>
      </c>
      <c r="E189" s="1">
        <v>13800000</v>
      </c>
    </row>
    <row r="190" spans="1:5" ht="14.4" x14ac:dyDescent="0.3">
      <c r="A190" s="17" t="s">
        <v>9051</v>
      </c>
      <c r="B190" s="1" t="s">
        <v>86</v>
      </c>
      <c r="C190" s="1" t="s">
        <v>2476</v>
      </c>
      <c r="D190" s="1" t="s">
        <v>1317</v>
      </c>
      <c r="E190" s="1">
        <v>34200000</v>
      </c>
    </row>
    <row r="191" spans="1:5" ht="14.4" x14ac:dyDescent="0.3">
      <c r="A191" s="17" t="s">
        <v>9007</v>
      </c>
      <c r="B191" s="1" t="s">
        <v>2498</v>
      </c>
      <c r="C191" s="1" t="s">
        <v>196</v>
      </c>
      <c r="D191" s="1" t="s">
        <v>519</v>
      </c>
      <c r="E191" s="1">
        <v>18300000</v>
      </c>
    </row>
    <row r="192" spans="1:5" ht="14.4" x14ac:dyDescent="0.3">
      <c r="A192" s="17" t="s">
        <v>9008</v>
      </c>
      <c r="B192" s="1" t="s">
        <v>241</v>
      </c>
      <c r="C192" s="1">
        <v>3008</v>
      </c>
      <c r="D192" s="1" t="s">
        <v>249</v>
      </c>
      <c r="E192" s="1">
        <v>12200000</v>
      </c>
    </row>
    <row r="193" spans="1:5" ht="14.4" x14ac:dyDescent="0.3">
      <c r="A193" s="17" t="s">
        <v>9009</v>
      </c>
      <c r="B193" s="1" t="s">
        <v>28</v>
      </c>
      <c r="C193" s="1" t="s">
        <v>38</v>
      </c>
      <c r="D193" s="1" t="s">
        <v>577</v>
      </c>
      <c r="E193" s="1">
        <v>11600000</v>
      </c>
    </row>
    <row r="194" spans="1:5" ht="14.4" x14ac:dyDescent="0.3">
      <c r="A194" s="17" t="s">
        <v>9010</v>
      </c>
      <c r="B194" s="1" t="s">
        <v>86</v>
      </c>
      <c r="C194" s="1" t="s">
        <v>2476</v>
      </c>
      <c r="D194" s="1" t="s">
        <v>546</v>
      </c>
      <c r="E194" s="1">
        <v>30300000</v>
      </c>
    </row>
    <row r="195" spans="1:5" ht="14.4" x14ac:dyDescent="0.3">
      <c r="A195" s="17" t="s">
        <v>9011</v>
      </c>
      <c r="B195" s="1" t="s">
        <v>241</v>
      </c>
      <c r="C195" s="1" t="s">
        <v>2584</v>
      </c>
      <c r="D195" s="1" t="s">
        <v>2585</v>
      </c>
      <c r="E195" s="1">
        <v>18300000</v>
      </c>
    </row>
    <row r="196" spans="1:5" ht="14.4" x14ac:dyDescent="0.3">
      <c r="A196" s="17" t="s">
        <v>9012</v>
      </c>
      <c r="B196" s="1" t="s">
        <v>2498</v>
      </c>
      <c r="C196" s="1" t="s">
        <v>2499</v>
      </c>
      <c r="D196" s="1" t="s">
        <v>2586</v>
      </c>
      <c r="E196" s="1">
        <v>10700000</v>
      </c>
    </row>
    <row r="197" spans="1:5" ht="14.4" x14ac:dyDescent="0.3">
      <c r="A197" s="17" t="s">
        <v>9013</v>
      </c>
      <c r="B197" s="1" t="s">
        <v>2498</v>
      </c>
      <c r="C197" s="1" t="s">
        <v>2587</v>
      </c>
      <c r="D197" s="1" t="s">
        <v>2588</v>
      </c>
      <c r="E197" s="1">
        <v>20000000</v>
      </c>
    </row>
    <row r="198" spans="1:5" ht="14.4" x14ac:dyDescent="0.3">
      <c r="A198" s="17" t="s">
        <v>9014</v>
      </c>
      <c r="B198" s="1" t="s">
        <v>241</v>
      </c>
      <c r="C198" s="1" t="s">
        <v>2487</v>
      </c>
      <c r="D198" s="1" t="s">
        <v>2589</v>
      </c>
      <c r="E198" s="1">
        <v>15100000</v>
      </c>
    </row>
    <row r="199" spans="1:5" ht="14.4" x14ac:dyDescent="0.3">
      <c r="A199" s="17" t="s">
        <v>9015</v>
      </c>
      <c r="B199" s="1" t="s">
        <v>241</v>
      </c>
      <c r="C199" s="1">
        <v>3008</v>
      </c>
      <c r="D199" s="1" t="s">
        <v>2590</v>
      </c>
      <c r="E199" s="1">
        <v>18000000</v>
      </c>
    </row>
    <row r="200" spans="1:5" ht="14.4" x14ac:dyDescent="0.3">
      <c r="A200" s="17" t="s">
        <v>9016</v>
      </c>
      <c r="B200" s="1" t="s">
        <v>241</v>
      </c>
      <c r="C200" s="1" t="s">
        <v>269</v>
      </c>
      <c r="D200" s="1" t="s">
        <v>2591</v>
      </c>
      <c r="E200" s="1">
        <v>25900000</v>
      </c>
    </row>
    <row r="201" spans="1:5" ht="14.4" x14ac:dyDescent="0.3">
      <c r="A201" s="17" t="s">
        <v>9017</v>
      </c>
      <c r="B201" s="1" t="s">
        <v>241</v>
      </c>
      <c r="C201" s="1" t="s">
        <v>269</v>
      </c>
      <c r="D201" s="1" t="s">
        <v>2592</v>
      </c>
      <c r="E201" s="1">
        <v>22700000</v>
      </c>
    </row>
    <row r="202" spans="1:5" ht="14.4" x14ac:dyDescent="0.3">
      <c r="A202" s="17" t="s">
        <v>9018</v>
      </c>
      <c r="B202" s="1" t="s">
        <v>241</v>
      </c>
      <c r="C202" s="1" t="s">
        <v>2593</v>
      </c>
      <c r="D202" s="1" t="s">
        <v>2594</v>
      </c>
      <c r="E202" s="1">
        <v>17200000</v>
      </c>
    </row>
    <row r="203" spans="1:5" ht="14.4" x14ac:dyDescent="0.3">
      <c r="A203" s="17" t="s">
        <v>9052</v>
      </c>
      <c r="B203" s="1" t="s">
        <v>156</v>
      </c>
      <c r="C203" s="1" t="s">
        <v>2539</v>
      </c>
      <c r="D203" s="1" t="s">
        <v>160</v>
      </c>
      <c r="E203" s="1">
        <v>28400000</v>
      </c>
    </row>
    <row r="204" spans="1:5" ht="14.4" x14ac:dyDescent="0.3">
      <c r="A204" s="17" t="s">
        <v>9053</v>
      </c>
      <c r="B204" s="1" t="s">
        <v>156</v>
      </c>
      <c r="C204" s="1" t="s">
        <v>2595</v>
      </c>
      <c r="D204" s="1" t="s">
        <v>472</v>
      </c>
      <c r="E204" s="1">
        <v>6900000</v>
      </c>
    </row>
    <row r="205" spans="1:5" ht="14.4" x14ac:dyDescent="0.3">
      <c r="A205" s="17" t="s">
        <v>9054</v>
      </c>
      <c r="B205" s="1" t="s">
        <v>306</v>
      </c>
      <c r="C205" s="1" t="s">
        <v>2596</v>
      </c>
      <c r="D205" s="1" t="s">
        <v>2597</v>
      </c>
      <c r="E205" s="1">
        <v>10700000</v>
      </c>
    </row>
    <row r="206" spans="1:5" ht="14.4" x14ac:dyDescent="0.3">
      <c r="A206" s="17" t="s">
        <v>9055</v>
      </c>
      <c r="B206" s="1" t="s">
        <v>28</v>
      </c>
      <c r="C206" s="1" t="s">
        <v>2575</v>
      </c>
      <c r="D206" s="1" t="s">
        <v>2598</v>
      </c>
      <c r="E206" s="1">
        <v>9200000</v>
      </c>
    </row>
    <row r="207" spans="1:5" ht="14.4" x14ac:dyDescent="0.3">
      <c r="A207" s="17" t="s">
        <v>9056</v>
      </c>
      <c r="B207" s="1" t="s">
        <v>278</v>
      </c>
      <c r="C207" s="1">
        <v>700</v>
      </c>
      <c r="D207" s="1" t="s">
        <v>481</v>
      </c>
      <c r="E207" s="1">
        <v>12800000</v>
      </c>
    </row>
    <row r="208" spans="1:5" ht="14.4" x14ac:dyDescent="0.3">
      <c r="A208" s="17" t="s">
        <v>9057</v>
      </c>
      <c r="B208" s="1" t="s">
        <v>2533</v>
      </c>
      <c r="C208" s="1" t="s">
        <v>2599</v>
      </c>
      <c r="D208" s="1" t="s">
        <v>2600</v>
      </c>
      <c r="E208" s="1">
        <v>9300000</v>
      </c>
    </row>
    <row r="209" spans="1:5" ht="14.4" x14ac:dyDescent="0.3">
      <c r="A209" s="17" t="s">
        <v>9058</v>
      </c>
      <c r="B209" s="1" t="s">
        <v>241</v>
      </c>
      <c r="C209" s="1" t="s">
        <v>2584</v>
      </c>
      <c r="D209" s="1" t="s">
        <v>2601</v>
      </c>
      <c r="E209" s="1">
        <v>24400000</v>
      </c>
    </row>
    <row r="210" spans="1:5" ht="14.4" x14ac:dyDescent="0.3">
      <c r="A210" s="17" t="s">
        <v>9059</v>
      </c>
      <c r="B210" s="1" t="s">
        <v>2498</v>
      </c>
      <c r="C210" s="1" t="s">
        <v>188</v>
      </c>
      <c r="D210" s="1" t="s">
        <v>2602</v>
      </c>
      <c r="E210" s="1">
        <v>4670000</v>
      </c>
    </row>
    <row r="211" spans="1:5" ht="14.4" x14ac:dyDescent="0.3">
      <c r="A211" s="17" t="s">
        <v>9060</v>
      </c>
      <c r="B211" s="1" t="s">
        <v>207</v>
      </c>
      <c r="C211" s="1" t="s">
        <v>2603</v>
      </c>
      <c r="D211" s="1" t="s">
        <v>2604</v>
      </c>
      <c r="E211" s="1">
        <v>16600000</v>
      </c>
    </row>
    <row r="212" spans="1:5" ht="14.4" x14ac:dyDescent="0.3">
      <c r="A212" s="17" t="s">
        <v>9019</v>
      </c>
      <c r="B212" s="1" t="s">
        <v>204</v>
      </c>
      <c r="C212" s="1" t="s">
        <v>2544</v>
      </c>
      <c r="D212" s="1" t="s">
        <v>206</v>
      </c>
      <c r="E212" s="1">
        <v>6480000</v>
      </c>
    </row>
    <row r="213" spans="1:5" ht="14.4" x14ac:dyDescent="0.3">
      <c r="A213" s="17" t="s">
        <v>9020</v>
      </c>
      <c r="B213" s="1" t="s">
        <v>241</v>
      </c>
      <c r="C213" s="1">
        <v>3008</v>
      </c>
      <c r="D213" s="1" t="s">
        <v>2605</v>
      </c>
      <c r="E213" s="1">
        <v>17800000</v>
      </c>
    </row>
    <row r="214" spans="1:5" ht="14.4" x14ac:dyDescent="0.3">
      <c r="A214" s="17" t="s">
        <v>9061</v>
      </c>
      <c r="B214" s="1" t="s">
        <v>2533</v>
      </c>
      <c r="C214" s="1" t="s">
        <v>2606</v>
      </c>
      <c r="D214" s="1" t="s">
        <v>2607</v>
      </c>
      <c r="E214" s="1">
        <v>7780000</v>
      </c>
    </row>
    <row r="215" spans="1:5" ht="14.4" x14ac:dyDescent="0.3">
      <c r="A215" s="17" t="s">
        <v>9099</v>
      </c>
      <c r="B215" s="1" t="s">
        <v>86</v>
      </c>
      <c r="C215" s="1" t="s">
        <v>2507</v>
      </c>
      <c r="D215" s="1" t="s">
        <v>129</v>
      </c>
      <c r="E215" s="1">
        <v>44700000</v>
      </c>
    </row>
    <row r="216" spans="1:5" ht="14.4" x14ac:dyDescent="0.3">
      <c r="A216" s="17" t="s">
        <v>9062</v>
      </c>
      <c r="B216" s="1" t="s">
        <v>2533</v>
      </c>
      <c r="C216" s="1" t="s">
        <v>2606</v>
      </c>
      <c r="D216" s="1" t="s">
        <v>2607</v>
      </c>
      <c r="E216" s="1">
        <v>7740000</v>
      </c>
    </row>
    <row r="217" spans="1:5" ht="14.4" x14ac:dyDescent="0.3">
      <c r="A217" s="17" t="s">
        <v>9100</v>
      </c>
      <c r="B217" s="1" t="s">
        <v>2608</v>
      </c>
      <c r="C217" s="1" t="s">
        <v>2609</v>
      </c>
      <c r="D217" s="1" t="s">
        <v>2610</v>
      </c>
      <c r="E217" s="1">
        <v>40000000</v>
      </c>
    </row>
    <row r="218" spans="1:5" ht="14.4" x14ac:dyDescent="0.3">
      <c r="A218" s="17" t="s">
        <v>9101</v>
      </c>
      <c r="B218" s="1" t="s">
        <v>86</v>
      </c>
      <c r="C218" s="1" t="s">
        <v>2507</v>
      </c>
      <c r="D218" s="1" t="s">
        <v>450</v>
      </c>
      <c r="E218" s="1">
        <v>34800000</v>
      </c>
    </row>
    <row r="219" spans="1:5" ht="14.4" x14ac:dyDescent="0.3">
      <c r="A219" s="17" t="s">
        <v>9102</v>
      </c>
      <c r="B219" s="1" t="s">
        <v>86</v>
      </c>
      <c r="C219" s="1" t="s">
        <v>93</v>
      </c>
      <c r="D219" s="1" t="s">
        <v>2611</v>
      </c>
      <c r="E219" s="1">
        <v>28200000</v>
      </c>
    </row>
    <row r="220" spans="1:5" ht="14.4" x14ac:dyDescent="0.3">
      <c r="A220" s="17" t="s">
        <v>9063</v>
      </c>
      <c r="B220" s="1" t="s">
        <v>2549</v>
      </c>
      <c r="C220" s="1" t="s">
        <v>2550</v>
      </c>
      <c r="D220" s="1" t="s">
        <v>2612</v>
      </c>
      <c r="E220" s="1">
        <v>19000000</v>
      </c>
    </row>
    <row r="221" spans="1:5" ht="14.4" x14ac:dyDescent="0.3">
      <c r="A221" s="17" t="s">
        <v>9064</v>
      </c>
      <c r="B221" s="1" t="s">
        <v>241</v>
      </c>
      <c r="C221" s="1" t="s">
        <v>2478</v>
      </c>
      <c r="D221" s="1" t="s">
        <v>2613</v>
      </c>
      <c r="E221" s="1">
        <v>16000000</v>
      </c>
    </row>
    <row r="222" spans="1:5" ht="14.4" x14ac:dyDescent="0.3">
      <c r="A222" s="17" t="s">
        <v>9065</v>
      </c>
      <c r="B222" s="1" t="s">
        <v>241</v>
      </c>
      <c r="C222" s="1" t="s">
        <v>269</v>
      </c>
      <c r="D222" s="1" t="s">
        <v>2614</v>
      </c>
      <c r="E222" s="1">
        <v>25900000</v>
      </c>
    </row>
    <row r="223" spans="1:5" ht="14.4" x14ac:dyDescent="0.3">
      <c r="A223" s="17" t="s">
        <v>9066</v>
      </c>
      <c r="B223" s="1" t="s">
        <v>241</v>
      </c>
      <c r="C223" s="1">
        <v>3008</v>
      </c>
      <c r="D223" s="1" t="s">
        <v>2615</v>
      </c>
      <c r="E223" s="1">
        <v>24200000</v>
      </c>
    </row>
    <row r="224" spans="1:5" ht="14.4" x14ac:dyDescent="0.3">
      <c r="A224" s="17" t="s">
        <v>9067</v>
      </c>
      <c r="B224" s="1" t="s">
        <v>241</v>
      </c>
      <c r="C224" s="1">
        <v>2008</v>
      </c>
      <c r="D224" s="1" t="s">
        <v>2616</v>
      </c>
      <c r="E224" s="1">
        <v>14800000</v>
      </c>
    </row>
    <row r="225" spans="1:5" ht="14.4" x14ac:dyDescent="0.3">
      <c r="A225" s="17" t="s">
        <v>9068</v>
      </c>
      <c r="B225" s="1" t="s">
        <v>241</v>
      </c>
      <c r="C225" s="1">
        <v>3008</v>
      </c>
      <c r="D225" s="1" t="s">
        <v>2617</v>
      </c>
      <c r="E225" s="1">
        <v>29600000</v>
      </c>
    </row>
    <row r="226" spans="1:5" ht="14.4" x14ac:dyDescent="0.3">
      <c r="A226" s="17" t="s">
        <v>9069</v>
      </c>
      <c r="B226" s="1" t="s">
        <v>241</v>
      </c>
      <c r="C226" s="1" t="s">
        <v>269</v>
      </c>
      <c r="D226" s="1" t="s">
        <v>2618</v>
      </c>
      <c r="E226" s="1">
        <v>20800000</v>
      </c>
    </row>
    <row r="227" spans="1:5" ht="14.4" x14ac:dyDescent="0.3">
      <c r="A227" s="17" t="s">
        <v>9070</v>
      </c>
      <c r="B227" s="1" t="s">
        <v>241</v>
      </c>
      <c r="C227" s="1">
        <v>3008</v>
      </c>
      <c r="D227" s="1" t="s">
        <v>2619</v>
      </c>
      <c r="E227" s="1">
        <v>17900000</v>
      </c>
    </row>
    <row r="228" spans="1:5" ht="14.4" x14ac:dyDescent="0.3">
      <c r="A228" s="17" t="s">
        <v>9071</v>
      </c>
      <c r="B228" s="1" t="s">
        <v>220</v>
      </c>
      <c r="C228" s="1" t="s">
        <v>223</v>
      </c>
      <c r="D228" s="1" t="s">
        <v>2620</v>
      </c>
      <c r="E228" s="1">
        <v>19900000</v>
      </c>
    </row>
    <row r="229" spans="1:5" ht="14.4" x14ac:dyDescent="0.3">
      <c r="A229" s="17" t="s">
        <v>9072</v>
      </c>
      <c r="B229" s="1" t="s">
        <v>241</v>
      </c>
      <c r="C229" s="1" t="s">
        <v>2621</v>
      </c>
      <c r="D229" s="1" t="s">
        <v>2622</v>
      </c>
      <c r="E229" s="1">
        <v>22700000</v>
      </c>
    </row>
    <row r="230" spans="1:5" ht="14.4" x14ac:dyDescent="0.3">
      <c r="A230" s="17" t="s">
        <v>9073</v>
      </c>
      <c r="B230" s="1" t="s">
        <v>241</v>
      </c>
      <c r="C230" s="1" t="s">
        <v>269</v>
      </c>
      <c r="D230" s="1" t="s">
        <v>2623</v>
      </c>
      <c r="E230" s="1">
        <v>25900000</v>
      </c>
    </row>
    <row r="231" spans="1:5" ht="14.4" x14ac:dyDescent="0.3">
      <c r="A231" s="17" t="s">
        <v>9074</v>
      </c>
      <c r="B231" s="1" t="s">
        <v>241</v>
      </c>
      <c r="C231" s="1">
        <v>2008</v>
      </c>
      <c r="D231" s="1" t="s">
        <v>2624</v>
      </c>
      <c r="E231" s="1">
        <v>16200000</v>
      </c>
    </row>
    <row r="232" spans="1:5" ht="14.4" x14ac:dyDescent="0.3">
      <c r="A232" s="17" t="s">
        <v>9075</v>
      </c>
      <c r="B232" s="1" t="s">
        <v>241</v>
      </c>
      <c r="C232" s="1" t="s">
        <v>2478</v>
      </c>
      <c r="D232" s="1" t="s">
        <v>2625</v>
      </c>
      <c r="E232" s="1">
        <v>16500000</v>
      </c>
    </row>
    <row r="233" spans="1:5" ht="14.4" x14ac:dyDescent="0.3">
      <c r="A233" s="17" t="s">
        <v>9076</v>
      </c>
      <c r="B233" s="1" t="s">
        <v>241</v>
      </c>
      <c r="C233" s="1">
        <v>2008</v>
      </c>
      <c r="D233" s="1" t="s">
        <v>2626</v>
      </c>
      <c r="E233" s="1">
        <v>14800000</v>
      </c>
    </row>
    <row r="234" spans="1:5" ht="14.4" x14ac:dyDescent="0.3">
      <c r="A234" s="17" t="s">
        <v>9077</v>
      </c>
      <c r="B234" s="1" t="s">
        <v>214</v>
      </c>
      <c r="C234" s="1" t="s">
        <v>2627</v>
      </c>
      <c r="D234" s="1" t="s">
        <v>2628</v>
      </c>
      <c r="E234" s="1">
        <v>22400000</v>
      </c>
    </row>
    <row r="235" spans="1:5" ht="14.4" x14ac:dyDescent="0.3">
      <c r="A235" s="17" t="s">
        <v>9078</v>
      </c>
      <c r="B235" s="1" t="s">
        <v>241</v>
      </c>
      <c r="C235" s="1" t="s">
        <v>269</v>
      </c>
      <c r="D235" s="1" t="s">
        <v>2629</v>
      </c>
      <c r="E235" s="1">
        <v>25900000</v>
      </c>
    </row>
    <row r="236" spans="1:5" ht="14.4" x14ac:dyDescent="0.3">
      <c r="A236" s="17" t="s">
        <v>9079</v>
      </c>
      <c r="B236" s="1" t="s">
        <v>241</v>
      </c>
      <c r="C236" s="1" t="s">
        <v>2630</v>
      </c>
      <c r="D236" s="1" t="s">
        <v>2631</v>
      </c>
      <c r="E236" s="1">
        <v>18600000</v>
      </c>
    </row>
    <row r="237" spans="1:5" ht="14.4" x14ac:dyDescent="0.3">
      <c r="A237" s="17" t="s">
        <v>9080</v>
      </c>
      <c r="B237" s="1" t="s">
        <v>241</v>
      </c>
      <c r="C237" s="1">
        <v>208</v>
      </c>
      <c r="D237" s="1" t="s">
        <v>2632</v>
      </c>
      <c r="E237" s="1">
        <v>14400000</v>
      </c>
    </row>
    <row r="238" spans="1:5" ht="14.4" x14ac:dyDescent="0.3">
      <c r="A238" s="17" t="s">
        <v>9081</v>
      </c>
      <c r="B238" s="1" t="s">
        <v>241</v>
      </c>
      <c r="C238" s="1" t="s">
        <v>2478</v>
      </c>
      <c r="D238" s="1" t="s">
        <v>2633</v>
      </c>
      <c r="E238" s="1">
        <v>16500000</v>
      </c>
    </row>
    <row r="239" spans="1:5" ht="14.4" x14ac:dyDescent="0.3">
      <c r="A239" s="17" t="s">
        <v>9082</v>
      </c>
      <c r="B239" s="1" t="s">
        <v>2498</v>
      </c>
      <c r="C239" s="1" t="s">
        <v>2587</v>
      </c>
      <c r="D239" s="1" t="s">
        <v>2634</v>
      </c>
      <c r="E239" s="1">
        <v>20100000</v>
      </c>
    </row>
    <row r="240" spans="1:5" ht="14.4" x14ac:dyDescent="0.3">
      <c r="A240" s="17" t="s">
        <v>9083</v>
      </c>
      <c r="B240" s="1" t="s">
        <v>241</v>
      </c>
      <c r="C240" s="1">
        <v>3008</v>
      </c>
      <c r="D240" s="1" t="s">
        <v>2635</v>
      </c>
      <c r="E240" s="1">
        <v>17900000</v>
      </c>
    </row>
    <row r="241" spans="1:5" ht="14.4" x14ac:dyDescent="0.3">
      <c r="A241" s="17" t="s">
        <v>9084</v>
      </c>
      <c r="B241" s="1" t="s">
        <v>241</v>
      </c>
      <c r="C241" s="1" t="s">
        <v>2584</v>
      </c>
      <c r="D241" s="1" t="s">
        <v>2636</v>
      </c>
      <c r="E241" s="1">
        <v>17000000</v>
      </c>
    </row>
    <row r="242" spans="1:5" ht="14.4" x14ac:dyDescent="0.3">
      <c r="A242" s="17" t="s">
        <v>9085</v>
      </c>
      <c r="B242" s="1" t="s">
        <v>241</v>
      </c>
      <c r="C242" s="1">
        <v>308</v>
      </c>
      <c r="D242" s="1" t="s">
        <v>2637</v>
      </c>
      <c r="E242" s="1">
        <v>18100000</v>
      </c>
    </row>
    <row r="243" spans="1:5" ht="14.4" x14ac:dyDescent="0.3">
      <c r="A243" s="17" t="s">
        <v>9086</v>
      </c>
      <c r="B243" s="1" t="s">
        <v>241</v>
      </c>
      <c r="C243" s="1" t="s">
        <v>2485</v>
      </c>
      <c r="D243" s="1" t="s">
        <v>2638</v>
      </c>
      <c r="E243" s="1">
        <v>13900000</v>
      </c>
    </row>
    <row r="244" spans="1:5" ht="14.4" x14ac:dyDescent="0.3">
      <c r="A244" s="17" t="s">
        <v>9087</v>
      </c>
      <c r="B244" s="1" t="s">
        <v>241</v>
      </c>
      <c r="C244" s="1" t="s">
        <v>269</v>
      </c>
      <c r="D244" s="1" t="s">
        <v>2639</v>
      </c>
      <c r="E244" s="1">
        <v>25900000</v>
      </c>
    </row>
    <row r="245" spans="1:5" ht="14.4" x14ac:dyDescent="0.3">
      <c r="A245" s="17" t="s">
        <v>9088</v>
      </c>
      <c r="B245" s="1" t="s">
        <v>173</v>
      </c>
      <c r="C245" s="1">
        <v>7</v>
      </c>
      <c r="D245" s="1" t="s">
        <v>2640</v>
      </c>
      <c r="E245" s="1">
        <v>17700000</v>
      </c>
    </row>
    <row r="246" spans="1:5" ht="14.4" x14ac:dyDescent="0.3">
      <c r="A246" s="17" t="s">
        <v>9089</v>
      </c>
      <c r="B246" s="1" t="s">
        <v>18</v>
      </c>
      <c r="C246" s="1" t="s">
        <v>2641</v>
      </c>
      <c r="D246" s="1" t="s">
        <v>2642</v>
      </c>
      <c r="E246" s="1">
        <v>24700000</v>
      </c>
    </row>
    <row r="247" spans="1:5" ht="14.4" x14ac:dyDescent="0.3">
      <c r="A247" s="17" t="s">
        <v>9090</v>
      </c>
      <c r="B247" s="1" t="s">
        <v>2493</v>
      </c>
      <c r="C247" s="1" t="s">
        <v>83</v>
      </c>
      <c r="D247" s="1" t="s">
        <v>2643</v>
      </c>
      <c r="E247" s="1">
        <v>15100000</v>
      </c>
    </row>
    <row r="248" spans="1:5" ht="14.4" x14ac:dyDescent="0.3">
      <c r="A248" s="17" t="s">
        <v>9091</v>
      </c>
      <c r="B248" s="1" t="s">
        <v>167</v>
      </c>
      <c r="C248" s="1" t="s">
        <v>2644</v>
      </c>
      <c r="D248" s="1" t="s">
        <v>2645</v>
      </c>
      <c r="E248" s="1">
        <v>31900000</v>
      </c>
    </row>
    <row r="249" spans="1:5" ht="14.4" x14ac:dyDescent="0.3">
      <c r="A249" s="17" t="s">
        <v>9092</v>
      </c>
      <c r="B249" s="1" t="s">
        <v>173</v>
      </c>
      <c r="C249" s="1">
        <v>7</v>
      </c>
      <c r="D249" s="1" t="s">
        <v>2646</v>
      </c>
      <c r="E249" s="1">
        <v>15700000</v>
      </c>
    </row>
    <row r="250" spans="1:5" ht="14.4" x14ac:dyDescent="0.3">
      <c r="A250" s="17" t="s">
        <v>9093</v>
      </c>
      <c r="B250" s="1" t="s">
        <v>241</v>
      </c>
      <c r="C250" s="1">
        <v>3008</v>
      </c>
      <c r="D250" s="1" t="s">
        <v>2647</v>
      </c>
      <c r="E250" s="1">
        <v>17000000</v>
      </c>
    </row>
    <row r="251" spans="1:5" ht="14.4" x14ac:dyDescent="0.3">
      <c r="A251" s="17" t="s">
        <v>9094</v>
      </c>
      <c r="B251" s="1" t="s">
        <v>241</v>
      </c>
      <c r="C251" s="1">
        <v>2008</v>
      </c>
      <c r="D251" s="1" t="s">
        <v>2648</v>
      </c>
      <c r="E251" s="1">
        <v>13700000</v>
      </c>
    </row>
    <row r="252" spans="1:5" ht="14.4" x14ac:dyDescent="0.3">
      <c r="A252" s="17" t="s">
        <v>9095</v>
      </c>
      <c r="B252" s="1" t="s">
        <v>241</v>
      </c>
      <c r="C252" s="1">
        <v>208</v>
      </c>
      <c r="D252" s="1" t="s">
        <v>2649</v>
      </c>
      <c r="E252" s="1">
        <v>14400000</v>
      </c>
    </row>
    <row r="253" spans="1:5" ht="14.4" x14ac:dyDescent="0.3">
      <c r="A253" s="17" t="s">
        <v>9096</v>
      </c>
      <c r="B253" s="1" t="s">
        <v>241</v>
      </c>
      <c r="C253" s="1" t="s">
        <v>269</v>
      </c>
      <c r="D253" s="1" t="s">
        <v>2650</v>
      </c>
      <c r="E253" s="1">
        <v>20900000</v>
      </c>
    </row>
    <row r="254" spans="1:5" ht="14.4" x14ac:dyDescent="0.3">
      <c r="A254" s="17" t="s">
        <v>9097</v>
      </c>
      <c r="B254" s="1" t="s">
        <v>2545</v>
      </c>
      <c r="C254" s="1" t="s">
        <v>2651</v>
      </c>
      <c r="D254" s="1" t="s">
        <v>2477</v>
      </c>
      <c r="E254" s="1">
        <v>24800000</v>
      </c>
    </row>
    <row r="255" spans="1:5" ht="14.4" x14ac:dyDescent="0.3">
      <c r="A255" s="17" t="s">
        <v>9103</v>
      </c>
      <c r="B255" s="1" t="s">
        <v>68</v>
      </c>
      <c r="C255" s="1">
        <v>580</v>
      </c>
      <c r="D255" s="1" t="s">
        <v>2652</v>
      </c>
      <c r="E255" s="1">
        <v>9000000</v>
      </c>
    </row>
    <row r="256" spans="1:5" ht="14.4" x14ac:dyDescent="0.3">
      <c r="A256" s="17" t="s">
        <v>9104</v>
      </c>
      <c r="B256" s="1" t="s">
        <v>300</v>
      </c>
      <c r="C256" s="1" t="s">
        <v>2653</v>
      </c>
      <c r="D256" s="1" t="s">
        <v>2654</v>
      </c>
      <c r="E256" s="1">
        <v>8400000</v>
      </c>
    </row>
    <row r="257" spans="1:6" ht="14.4" x14ac:dyDescent="0.3">
      <c r="A257" s="17" t="s">
        <v>9105</v>
      </c>
      <c r="B257" s="1" t="s">
        <v>28</v>
      </c>
      <c r="C257" s="1" t="s">
        <v>2575</v>
      </c>
      <c r="D257" s="1" t="s">
        <v>689</v>
      </c>
      <c r="E257" s="1">
        <v>9400000</v>
      </c>
    </row>
    <row r="258" spans="1:6" ht="14.4" x14ac:dyDescent="0.3">
      <c r="A258" s="17" t="s">
        <v>9106</v>
      </c>
      <c r="B258" s="1" t="s">
        <v>2549</v>
      </c>
      <c r="C258" s="1" t="s">
        <v>2655</v>
      </c>
      <c r="D258" s="1" t="s">
        <v>2656</v>
      </c>
      <c r="E258" s="1">
        <v>16500000</v>
      </c>
    </row>
    <row r="259" spans="1:6" ht="14.4" x14ac:dyDescent="0.3">
      <c r="A259" s="17" t="s">
        <v>9107</v>
      </c>
      <c r="B259" s="1" t="s">
        <v>28</v>
      </c>
      <c r="C259" s="1" t="s">
        <v>42</v>
      </c>
      <c r="D259" s="1" t="s">
        <v>471</v>
      </c>
      <c r="E259" s="1">
        <v>13900000</v>
      </c>
    </row>
    <row r="260" spans="1:6" ht="14.4" x14ac:dyDescent="0.3">
      <c r="A260" s="17" t="s">
        <v>9098</v>
      </c>
      <c r="B260" s="1" t="s">
        <v>28</v>
      </c>
      <c r="C260" s="1" t="s">
        <v>38</v>
      </c>
      <c r="D260" s="1" t="s">
        <v>41</v>
      </c>
      <c r="E260" s="1">
        <v>11900000</v>
      </c>
    </row>
    <row r="261" spans="1:6" ht="14.4" x14ac:dyDescent="0.3">
      <c r="A261" s="17" t="s">
        <v>9108</v>
      </c>
      <c r="B261" s="1" t="s">
        <v>180</v>
      </c>
      <c r="C261" s="1" t="s">
        <v>183</v>
      </c>
      <c r="D261" s="1" t="s">
        <v>2657</v>
      </c>
      <c r="E261" s="1">
        <v>30300000</v>
      </c>
    </row>
    <row r="262" spans="1:6" ht="14.4" x14ac:dyDescent="0.3">
      <c r="A262" s="17" t="s">
        <v>9109</v>
      </c>
      <c r="B262" s="1" t="s">
        <v>156</v>
      </c>
      <c r="C262" s="1" t="s">
        <v>2658</v>
      </c>
      <c r="D262" s="1" t="s">
        <v>2659</v>
      </c>
      <c r="E262" s="1">
        <v>18000000</v>
      </c>
    </row>
    <row r="263" spans="1:6" ht="14.4" x14ac:dyDescent="0.3">
      <c r="A263" s="17" t="s">
        <v>9110</v>
      </c>
      <c r="B263" s="1" t="s">
        <v>68</v>
      </c>
      <c r="C263" s="1">
        <v>580</v>
      </c>
      <c r="D263" s="1" t="s">
        <v>326</v>
      </c>
      <c r="E263" s="1">
        <v>10700000</v>
      </c>
    </row>
    <row r="264" spans="1:6" ht="14.4" x14ac:dyDescent="0.3">
      <c r="A264" s="17" t="s">
        <v>9111</v>
      </c>
      <c r="B264" s="1" t="s">
        <v>241</v>
      </c>
      <c r="C264" s="1">
        <v>3008</v>
      </c>
      <c r="D264" s="1" t="s">
        <v>2660</v>
      </c>
      <c r="E264" s="1">
        <v>15000000</v>
      </c>
    </row>
    <row r="265" spans="1:6" ht="14.4" x14ac:dyDescent="0.3">
      <c r="A265" s="17" t="s">
        <v>9112</v>
      </c>
      <c r="B265" s="1" t="s">
        <v>2533</v>
      </c>
      <c r="C265" s="1" t="s">
        <v>2582</v>
      </c>
      <c r="D265" s="1" t="s">
        <v>478</v>
      </c>
      <c r="E265" s="1">
        <v>8200000</v>
      </c>
    </row>
    <row r="266" spans="1:6" ht="14.4" x14ac:dyDescent="0.3">
      <c r="A266" s="17" t="s">
        <v>9113</v>
      </c>
      <c r="B266" s="1" t="s">
        <v>45</v>
      </c>
      <c r="C266" s="1" t="s">
        <v>2661</v>
      </c>
      <c r="D266" s="1" t="s">
        <v>465</v>
      </c>
      <c r="E266" s="1">
        <v>10100000</v>
      </c>
    </row>
    <row r="267" spans="1:6" ht="14.4" x14ac:dyDescent="0.3">
      <c r="A267" s="17" t="s">
        <v>5676</v>
      </c>
      <c r="B267" s="1" t="s">
        <v>180</v>
      </c>
      <c r="C267" s="1" t="s">
        <v>2662</v>
      </c>
      <c r="D267" s="1" t="s">
        <v>470</v>
      </c>
      <c r="E267" s="1">
        <v>11900000</v>
      </c>
      <c r="F267" s="28" t="s">
        <v>10286</v>
      </c>
    </row>
    <row r="268" spans="1:6" ht="14.4" x14ac:dyDescent="0.3">
      <c r="A268" s="17" t="s">
        <v>5677</v>
      </c>
      <c r="B268" s="1" t="s">
        <v>2498</v>
      </c>
      <c r="C268" s="1" t="s">
        <v>2663</v>
      </c>
      <c r="D268" s="1" t="s">
        <v>466</v>
      </c>
      <c r="E268" s="1">
        <v>7710000</v>
      </c>
    </row>
    <row r="269" spans="1:6" ht="14.4" x14ac:dyDescent="0.3">
      <c r="A269" s="17" t="s">
        <v>5678</v>
      </c>
      <c r="B269" s="1" t="s">
        <v>291</v>
      </c>
      <c r="C269" s="1" t="s">
        <v>297</v>
      </c>
      <c r="D269" s="1" t="s">
        <v>299</v>
      </c>
      <c r="E269" s="1">
        <v>19300000</v>
      </c>
    </row>
    <row r="270" spans="1:6" ht="14.4" x14ac:dyDescent="0.3">
      <c r="A270" s="17" t="s">
        <v>5679</v>
      </c>
      <c r="B270" s="1" t="s">
        <v>2498</v>
      </c>
      <c r="C270" s="1" t="s">
        <v>2664</v>
      </c>
      <c r="D270" s="1" t="s">
        <v>457</v>
      </c>
      <c r="E270" s="1">
        <v>12100000</v>
      </c>
    </row>
    <row r="271" spans="1:6" ht="14.4" x14ac:dyDescent="0.3">
      <c r="A271" s="17" t="s">
        <v>5680</v>
      </c>
      <c r="B271" s="1" t="s">
        <v>2665</v>
      </c>
      <c r="C271" s="1" t="s">
        <v>2666</v>
      </c>
      <c r="D271" s="1" t="s">
        <v>2667</v>
      </c>
      <c r="E271" s="1">
        <v>24500000</v>
      </c>
    </row>
    <row r="272" spans="1:6" ht="14.4" x14ac:dyDescent="0.3">
      <c r="A272" s="17" t="s">
        <v>5681</v>
      </c>
      <c r="B272" s="1" t="s">
        <v>28</v>
      </c>
      <c r="C272" s="1" t="s">
        <v>2496</v>
      </c>
      <c r="D272" s="1" t="s">
        <v>376</v>
      </c>
      <c r="E272" s="1">
        <v>8500000</v>
      </c>
    </row>
    <row r="273" spans="1:5" ht="14.4" x14ac:dyDescent="0.3">
      <c r="A273" s="17" t="s">
        <v>5682</v>
      </c>
      <c r="B273" s="1" t="s">
        <v>86</v>
      </c>
      <c r="C273" s="1" t="s">
        <v>106</v>
      </c>
      <c r="D273" s="1" t="s">
        <v>2668</v>
      </c>
      <c r="E273" s="1">
        <v>17400000</v>
      </c>
    </row>
    <row r="274" spans="1:5" ht="14.4" x14ac:dyDescent="0.3">
      <c r="A274" s="17" t="s">
        <v>5683</v>
      </c>
      <c r="B274" s="1" t="s">
        <v>28</v>
      </c>
      <c r="C274" s="1" t="s">
        <v>2496</v>
      </c>
      <c r="D274" s="1" t="s">
        <v>2669</v>
      </c>
      <c r="E274" s="1">
        <v>7490000</v>
      </c>
    </row>
    <row r="275" spans="1:5" ht="14.4" x14ac:dyDescent="0.3">
      <c r="A275" s="17" t="s">
        <v>5684</v>
      </c>
      <c r="B275" s="1" t="s">
        <v>28</v>
      </c>
      <c r="C275" s="1" t="s">
        <v>2670</v>
      </c>
      <c r="D275" s="1" t="s">
        <v>2671</v>
      </c>
      <c r="E275" s="1">
        <v>10400000</v>
      </c>
    </row>
    <row r="276" spans="1:5" ht="14.4" x14ac:dyDescent="0.3">
      <c r="A276" s="17" t="s">
        <v>5685</v>
      </c>
      <c r="B276" s="1" t="s">
        <v>306</v>
      </c>
      <c r="C276" s="1" t="s">
        <v>2491</v>
      </c>
      <c r="D276" s="1" t="s">
        <v>2672</v>
      </c>
      <c r="E276" s="1">
        <v>19100000</v>
      </c>
    </row>
    <row r="277" spans="1:5" ht="14.4" x14ac:dyDescent="0.3">
      <c r="A277" s="17" t="s">
        <v>5686</v>
      </c>
      <c r="B277" s="1" t="s">
        <v>291</v>
      </c>
      <c r="C277" s="1" t="s">
        <v>2537</v>
      </c>
      <c r="D277" s="1" t="s">
        <v>459</v>
      </c>
      <c r="E277" s="1">
        <v>11500000</v>
      </c>
    </row>
    <row r="278" spans="1:5" ht="14.4" x14ac:dyDescent="0.3">
      <c r="A278" s="17" t="s">
        <v>5687</v>
      </c>
      <c r="B278" s="1" t="s">
        <v>180</v>
      </c>
      <c r="C278" s="1" t="s">
        <v>2673</v>
      </c>
      <c r="D278" s="1" t="s">
        <v>2674</v>
      </c>
      <c r="E278" s="1">
        <v>13500000</v>
      </c>
    </row>
    <row r="279" spans="1:5" ht="14.4" x14ac:dyDescent="0.3">
      <c r="A279" s="17" t="s">
        <v>5688</v>
      </c>
      <c r="B279" s="1" t="s">
        <v>214</v>
      </c>
      <c r="C279" s="1" t="s">
        <v>2675</v>
      </c>
      <c r="D279" s="1" t="s">
        <v>2676</v>
      </c>
      <c r="E279" s="1">
        <v>16600000</v>
      </c>
    </row>
    <row r="280" spans="1:5" ht="14.4" x14ac:dyDescent="0.3">
      <c r="A280" s="17" t="s">
        <v>5689</v>
      </c>
      <c r="B280" s="1" t="s">
        <v>2498</v>
      </c>
      <c r="C280" s="1" t="s">
        <v>199</v>
      </c>
      <c r="D280" s="1" t="s">
        <v>2677</v>
      </c>
      <c r="E280" s="1">
        <v>20900000</v>
      </c>
    </row>
    <row r="281" spans="1:5" ht="14.4" x14ac:dyDescent="0.3">
      <c r="A281" s="17" t="s">
        <v>5690</v>
      </c>
      <c r="B281" s="1" t="s">
        <v>28</v>
      </c>
      <c r="C281" s="1" t="s">
        <v>2490</v>
      </c>
      <c r="D281" s="1" t="s">
        <v>541</v>
      </c>
      <c r="E281" s="1">
        <v>13600000</v>
      </c>
    </row>
    <row r="282" spans="1:5" ht="14.4" x14ac:dyDescent="0.3">
      <c r="A282" s="17" t="s">
        <v>5691</v>
      </c>
      <c r="B282" s="1" t="s">
        <v>2498</v>
      </c>
      <c r="C282" s="1" t="s">
        <v>188</v>
      </c>
      <c r="D282" s="1" t="s">
        <v>2678</v>
      </c>
      <c r="E282" s="1">
        <v>10200000</v>
      </c>
    </row>
    <row r="283" spans="1:5" ht="14.4" x14ac:dyDescent="0.3">
      <c r="A283" s="17" t="s">
        <v>5692</v>
      </c>
      <c r="B283" s="1" t="s">
        <v>86</v>
      </c>
      <c r="C283" s="1" t="s">
        <v>134</v>
      </c>
      <c r="D283" s="1" t="s">
        <v>2679</v>
      </c>
      <c r="E283" s="1">
        <v>16100000</v>
      </c>
    </row>
    <row r="284" spans="1:5" ht="14.4" x14ac:dyDescent="0.3">
      <c r="A284" s="17" t="s">
        <v>5693</v>
      </c>
      <c r="B284" s="1" t="s">
        <v>220</v>
      </c>
      <c r="C284" s="1" t="s">
        <v>2576</v>
      </c>
      <c r="D284" s="1" t="s">
        <v>2680</v>
      </c>
      <c r="E284" s="1">
        <v>24100000</v>
      </c>
    </row>
    <row r="285" spans="1:5" ht="14.4" x14ac:dyDescent="0.3">
      <c r="A285" s="17" t="s">
        <v>5694</v>
      </c>
      <c r="B285" s="1" t="s">
        <v>241</v>
      </c>
      <c r="C285" s="1" t="s">
        <v>2584</v>
      </c>
      <c r="D285" s="1" t="s">
        <v>2681</v>
      </c>
      <c r="E285" s="1">
        <v>16200000</v>
      </c>
    </row>
    <row r="286" spans="1:5" ht="14.4" x14ac:dyDescent="0.3">
      <c r="A286" s="17" t="s">
        <v>5695</v>
      </c>
      <c r="B286" s="1" t="s">
        <v>220</v>
      </c>
      <c r="C286" s="1" t="s">
        <v>2682</v>
      </c>
      <c r="D286" s="1" t="s">
        <v>2477</v>
      </c>
      <c r="E286" s="1">
        <v>29500000</v>
      </c>
    </row>
    <row r="287" spans="1:5" ht="14.4" x14ac:dyDescent="0.3">
      <c r="A287" s="17" t="s">
        <v>5696</v>
      </c>
      <c r="B287" s="1" t="s">
        <v>241</v>
      </c>
      <c r="C287" s="1" t="s">
        <v>2487</v>
      </c>
      <c r="D287" s="1" t="s">
        <v>2683</v>
      </c>
      <c r="E287" s="1">
        <v>13300000</v>
      </c>
    </row>
    <row r="288" spans="1:5" ht="14.4" x14ac:dyDescent="0.3">
      <c r="A288" s="17" t="s">
        <v>5697</v>
      </c>
      <c r="B288" s="1" t="s">
        <v>214</v>
      </c>
      <c r="C288" s="1" t="s">
        <v>2675</v>
      </c>
      <c r="D288" s="1" t="s">
        <v>2684</v>
      </c>
      <c r="E288" s="1">
        <v>16400000</v>
      </c>
    </row>
    <row r="289" spans="1:5" ht="14.4" x14ac:dyDescent="0.3">
      <c r="A289" s="17" t="s">
        <v>5698</v>
      </c>
      <c r="B289" s="1" t="s">
        <v>2474</v>
      </c>
      <c r="C289" s="1" t="s">
        <v>2685</v>
      </c>
      <c r="D289" s="1" t="s">
        <v>2686</v>
      </c>
      <c r="E289" s="1">
        <v>12800000</v>
      </c>
    </row>
    <row r="290" spans="1:5" ht="14.4" x14ac:dyDescent="0.3">
      <c r="A290" s="17" t="s">
        <v>5699</v>
      </c>
      <c r="B290" s="1" t="s">
        <v>214</v>
      </c>
      <c r="C290" s="1" t="s">
        <v>2675</v>
      </c>
      <c r="D290" s="1" t="s">
        <v>2687</v>
      </c>
      <c r="E290" s="1">
        <v>19300000</v>
      </c>
    </row>
    <row r="291" spans="1:5" ht="14.4" x14ac:dyDescent="0.3">
      <c r="A291" s="17" t="s">
        <v>5700</v>
      </c>
      <c r="B291" s="1" t="s">
        <v>2517</v>
      </c>
      <c r="C291" s="1" t="s">
        <v>2688</v>
      </c>
      <c r="D291" s="1" t="s">
        <v>2689</v>
      </c>
      <c r="E291" s="1">
        <v>7490000</v>
      </c>
    </row>
    <row r="292" spans="1:5" ht="14.4" x14ac:dyDescent="0.3">
      <c r="A292" s="17" t="s">
        <v>5701</v>
      </c>
      <c r="B292" s="1" t="s">
        <v>311</v>
      </c>
      <c r="C292" s="1" t="s">
        <v>312</v>
      </c>
      <c r="D292" s="1" t="s">
        <v>314</v>
      </c>
      <c r="E292" s="1">
        <v>31400000</v>
      </c>
    </row>
    <row r="293" spans="1:5" ht="14.4" x14ac:dyDescent="0.3">
      <c r="A293" s="17" t="s">
        <v>5702</v>
      </c>
      <c r="B293" s="1" t="s">
        <v>60</v>
      </c>
      <c r="C293" s="1" t="s">
        <v>2559</v>
      </c>
      <c r="D293" s="1" t="s">
        <v>2690</v>
      </c>
      <c r="E293" s="1">
        <v>10600000</v>
      </c>
    </row>
    <row r="294" spans="1:5" ht="14.4" x14ac:dyDescent="0.3">
      <c r="A294" s="17" t="s">
        <v>5703</v>
      </c>
      <c r="B294" s="1" t="s">
        <v>86</v>
      </c>
      <c r="C294" s="1" t="s">
        <v>134</v>
      </c>
      <c r="D294" s="1" t="s">
        <v>2691</v>
      </c>
      <c r="E294" s="1">
        <v>12500000</v>
      </c>
    </row>
    <row r="295" spans="1:5" ht="14.4" x14ac:dyDescent="0.3">
      <c r="A295" s="17" t="s">
        <v>5704</v>
      </c>
      <c r="B295" s="1" t="s">
        <v>311</v>
      </c>
      <c r="C295" s="1" t="s">
        <v>2692</v>
      </c>
      <c r="D295" s="1" t="s">
        <v>2693</v>
      </c>
      <c r="E295" s="1">
        <v>7230000</v>
      </c>
    </row>
    <row r="296" spans="1:5" ht="14.4" x14ac:dyDescent="0.3">
      <c r="A296" s="17" t="s">
        <v>5705</v>
      </c>
      <c r="B296" s="1" t="s">
        <v>241</v>
      </c>
      <c r="C296" s="1" t="s">
        <v>2485</v>
      </c>
      <c r="D296" s="1" t="s">
        <v>463</v>
      </c>
      <c r="E296" s="1">
        <v>11200000</v>
      </c>
    </row>
    <row r="297" spans="1:5" ht="14.4" x14ac:dyDescent="0.3">
      <c r="A297" s="17" t="s">
        <v>5706</v>
      </c>
      <c r="B297" s="1" t="s">
        <v>2533</v>
      </c>
      <c r="C297" s="1" t="s">
        <v>2694</v>
      </c>
      <c r="D297" s="1" t="s">
        <v>2695</v>
      </c>
      <c r="E297" s="1">
        <v>9600000</v>
      </c>
    </row>
    <row r="298" spans="1:5" ht="14.4" x14ac:dyDescent="0.3">
      <c r="A298" s="17" t="s">
        <v>5707</v>
      </c>
      <c r="B298" s="1" t="s">
        <v>2498</v>
      </c>
      <c r="C298" s="1" t="s">
        <v>188</v>
      </c>
      <c r="D298" s="1" t="s">
        <v>460</v>
      </c>
      <c r="E298" s="1">
        <v>8100000</v>
      </c>
    </row>
    <row r="299" spans="1:5" ht="14.4" x14ac:dyDescent="0.3">
      <c r="A299" s="17" t="s">
        <v>5708</v>
      </c>
      <c r="B299" s="1" t="s">
        <v>2549</v>
      </c>
      <c r="C299" s="1" t="s">
        <v>2655</v>
      </c>
      <c r="D299" s="1" t="s">
        <v>2696</v>
      </c>
      <c r="E299" s="1">
        <v>12700000</v>
      </c>
    </row>
    <row r="300" spans="1:5" ht="14.4" x14ac:dyDescent="0.3">
      <c r="A300" s="17" t="s">
        <v>5709</v>
      </c>
      <c r="B300" s="1" t="s">
        <v>278</v>
      </c>
      <c r="C300" s="1" t="s">
        <v>2530</v>
      </c>
      <c r="D300" s="1" t="s">
        <v>2697</v>
      </c>
      <c r="E300" s="1">
        <v>44200000</v>
      </c>
    </row>
    <row r="301" spans="1:5" ht="14.4" x14ac:dyDescent="0.3">
      <c r="A301" s="17" t="s">
        <v>5710</v>
      </c>
      <c r="B301" s="1" t="s">
        <v>241</v>
      </c>
      <c r="C301" s="1" t="s">
        <v>2484</v>
      </c>
      <c r="D301" s="1" t="s">
        <v>456</v>
      </c>
      <c r="E301" s="1">
        <v>12900000</v>
      </c>
    </row>
    <row r="302" spans="1:5" ht="14.4" x14ac:dyDescent="0.3">
      <c r="A302" s="17" t="s">
        <v>5711</v>
      </c>
      <c r="B302" s="1" t="s">
        <v>2498</v>
      </c>
      <c r="C302" s="1" t="s">
        <v>199</v>
      </c>
      <c r="D302" s="1" t="s">
        <v>594</v>
      </c>
      <c r="E302" s="1">
        <v>19500000</v>
      </c>
    </row>
    <row r="303" spans="1:5" ht="14.4" x14ac:dyDescent="0.3">
      <c r="A303" s="17" t="s">
        <v>5712</v>
      </c>
      <c r="B303" s="1" t="s">
        <v>241</v>
      </c>
      <c r="C303" s="1" t="s">
        <v>2584</v>
      </c>
      <c r="D303" s="1" t="s">
        <v>2698</v>
      </c>
      <c r="E303" s="1">
        <v>16000000</v>
      </c>
    </row>
    <row r="304" spans="1:5" ht="14.4" x14ac:dyDescent="0.3">
      <c r="A304" s="17" t="s">
        <v>5713</v>
      </c>
      <c r="B304" s="1" t="s">
        <v>45</v>
      </c>
      <c r="C304" s="1" t="s">
        <v>2525</v>
      </c>
      <c r="D304" s="1" t="s">
        <v>2699</v>
      </c>
      <c r="E304" s="1">
        <v>24200000</v>
      </c>
    </row>
    <row r="305" spans="1:5" ht="14.4" x14ac:dyDescent="0.3">
      <c r="A305" s="17" t="s">
        <v>5714</v>
      </c>
      <c r="B305" s="1" t="s">
        <v>28</v>
      </c>
      <c r="C305" s="1" t="s">
        <v>2575</v>
      </c>
      <c r="D305" s="1" t="s">
        <v>2700</v>
      </c>
      <c r="E305" s="1">
        <v>7990000</v>
      </c>
    </row>
    <row r="306" spans="1:5" ht="14.4" x14ac:dyDescent="0.3">
      <c r="A306" s="17" t="s">
        <v>5715</v>
      </c>
      <c r="B306" s="1" t="s">
        <v>86</v>
      </c>
      <c r="C306" s="1" t="s">
        <v>122</v>
      </c>
      <c r="D306" s="1" t="s">
        <v>126</v>
      </c>
      <c r="E306" s="1">
        <v>33400000</v>
      </c>
    </row>
    <row r="307" spans="1:5" ht="14.4" x14ac:dyDescent="0.3">
      <c r="A307" s="17" t="s">
        <v>5716</v>
      </c>
      <c r="B307" s="1" t="s">
        <v>220</v>
      </c>
      <c r="C307" s="1" t="s">
        <v>223</v>
      </c>
      <c r="D307" s="1" t="s">
        <v>2701</v>
      </c>
      <c r="E307" s="1">
        <v>24300000</v>
      </c>
    </row>
    <row r="308" spans="1:5" ht="14.4" x14ac:dyDescent="0.3">
      <c r="A308" s="17" t="s">
        <v>5717</v>
      </c>
      <c r="B308" s="1" t="s">
        <v>241</v>
      </c>
      <c r="C308" s="1" t="s">
        <v>2487</v>
      </c>
      <c r="D308" s="1" t="s">
        <v>2702</v>
      </c>
      <c r="E308" s="1">
        <v>14100000</v>
      </c>
    </row>
    <row r="309" spans="1:5" ht="14.4" x14ac:dyDescent="0.3">
      <c r="A309" s="17" t="s">
        <v>5718</v>
      </c>
      <c r="B309" s="1" t="s">
        <v>68</v>
      </c>
      <c r="C309" s="1">
        <v>580</v>
      </c>
      <c r="D309" s="1" t="s">
        <v>2703</v>
      </c>
      <c r="E309" s="1">
        <v>9200000</v>
      </c>
    </row>
    <row r="310" spans="1:5" ht="14.4" x14ac:dyDescent="0.3">
      <c r="A310" s="17" t="s">
        <v>5719</v>
      </c>
      <c r="B310" s="1" t="s">
        <v>2521</v>
      </c>
      <c r="C310" s="1" t="s">
        <v>2704</v>
      </c>
      <c r="D310" s="1" t="s">
        <v>2705</v>
      </c>
      <c r="E310" s="1">
        <v>29200000</v>
      </c>
    </row>
    <row r="311" spans="1:5" ht="14.4" x14ac:dyDescent="0.3">
      <c r="A311" s="17" t="s">
        <v>5720</v>
      </c>
      <c r="B311" s="1" t="s">
        <v>220</v>
      </c>
      <c r="C311" s="1" t="s">
        <v>2569</v>
      </c>
      <c r="D311" s="1" t="s">
        <v>2706</v>
      </c>
      <c r="E311" s="1">
        <v>11000000</v>
      </c>
    </row>
    <row r="312" spans="1:5" ht="14.4" x14ac:dyDescent="0.3">
      <c r="A312" s="17" t="s">
        <v>5721</v>
      </c>
      <c r="B312" s="1" t="s">
        <v>156</v>
      </c>
      <c r="C312" s="1" t="s">
        <v>2707</v>
      </c>
      <c r="D312" s="1" t="s">
        <v>462</v>
      </c>
      <c r="E312" s="1">
        <v>9200000</v>
      </c>
    </row>
    <row r="313" spans="1:5" ht="14.4" x14ac:dyDescent="0.3">
      <c r="A313" s="17" t="s">
        <v>5722</v>
      </c>
      <c r="B313" s="1" t="s">
        <v>220</v>
      </c>
      <c r="C313" s="1" t="s">
        <v>2682</v>
      </c>
      <c r="D313" s="1" t="s">
        <v>2708</v>
      </c>
      <c r="E313" s="1">
        <v>14600000</v>
      </c>
    </row>
    <row r="314" spans="1:5" ht="14.4" x14ac:dyDescent="0.3">
      <c r="A314" s="17" t="s">
        <v>5723</v>
      </c>
      <c r="B314" s="1" t="s">
        <v>86</v>
      </c>
      <c r="C314" s="1" t="s">
        <v>122</v>
      </c>
      <c r="D314" s="1" t="s">
        <v>2709</v>
      </c>
      <c r="E314" s="1">
        <v>18700000</v>
      </c>
    </row>
    <row r="315" spans="1:5" ht="14.4" x14ac:dyDescent="0.3">
      <c r="A315" s="17" t="s">
        <v>5724</v>
      </c>
      <c r="B315" s="1" t="s">
        <v>2533</v>
      </c>
      <c r="C315" s="1" t="s">
        <v>2571</v>
      </c>
      <c r="D315" s="1" t="s">
        <v>2710</v>
      </c>
      <c r="E315" s="1">
        <v>8200000</v>
      </c>
    </row>
    <row r="316" spans="1:5" ht="14.4" x14ac:dyDescent="0.3">
      <c r="A316" s="17" t="s">
        <v>5725</v>
      </c>
      <c r="B316" s="1" t="s">
        <v>2533</v>
      </c>
      <c r="C316" s="1" t="s">
        <v>2582</v>
      </c>
      <c r="D316" s="1" t="s">
        <v>2711</v>
      </c>
      <c r="E316" s="1">
        <v>6180000</v>
      </c>
    </row>
    <row r="317" spans="1:5" ht="14.4" x14ac:dyDescent="0.3">
      <c r="A317" s="17" t="s">
        <v>5726</v>
      </c>
      <c r="B317" s="1" t="s">
        <v>241</v>
      </c>
      <c r="C317" s="1" t="s">
        <v>2630</v>
      </c>
      <c r="D317" s="1" t="s">
        <v>2712</v>
      </c>
      <c r="E317" s="1">
        <v>16800000</v>
      </c>
    </row>
    <row r="318" spans="1:5" ht="14.4" x14ac:dyDescent="0.3">
      <c r="A318" s="17" t="s">
        <v>5727</v>
      </c>
      <c r="B318" s="1" t="s">
        <v>86</v>
      </c>
      <c r="C318" s="1" t="s">
        <v>106</v>
      </c>
      <c r="D318" s="1" t="s">
        <v>1277</v>
      </c>
      <c r="E318" s="1">
        <v>25600000</v>
      </c>
    </row>
    <row r="319" spans="1:5" ht="14.4" x14ac:dyDescent="0.3">
      <c r="A319" s="17" t="s">
        <v>5728</v>
      </c>
      <c r="B319" s="1" t="s">
        <v>207</v>
      </c>
      <c r="C319" s="1" t="s">
        <v>2582</v>
      </c>
      <c r="D319" s="1" t="s">
        <v>461</v>
      </c>
      <c r="E319" s="1">
        <v>10000000</v>
      </c>
    </row>
    <row r="320" spans="1:5" ht="14.4" x14ac:dyDescent="0.3">
      <c r="A320" s="17" t="s">
        <v>5729</v>
      </c>
      <c r="B320" s="1" t="s">
        <v>156</v>
      </c>
      <c r="C320" s="1" t="s">
        <v>2713</v>
      </c>
      <c r="D320" s="1" t="s">
        <v>2714</v>
      </c>
      <c r="E320" s="1">
        <v>8000000</v>
      </c>
    </row>
    <row r="321" spans="1:5" ht="14.4" x14ac:dyDescent="0.3">
      <c r="A321" s="17" t="s">
        <v>5730</v>
      </c>
      <c r="B321" s="1" t="s">
        <v>2494</v>
      </c>
      <c r="C321" s="1" t="s">
        <v>2495</v>
      </c>
      <c r="D321" s="1" t="s">
        <v>2715</v>
      </c>
      <c r="E321" s="1">
        <v>6960000</v>
      </c>
    </row>
    <row r="322" spans="1:5" ht="14.4" x14ac:dyDescent="0.3">
      <c r="A322" s="17" t="s">
        <v>5731</v>
      </c>
      <c r="B322" s="1" t="s">
        <v>220</v>
      </c>
      <c r="C322" s="1" t="s">
        <v>2716</v>
      </c>
      <c r="D322" s="1" t="s">
        <v>2717</v>
      </c>
      <c r="E322" s="1">
        <v>15800000</v>
      </c>
    </row>
    <row r="323" spans="1:5" ht="14.4" x14ac:dyDescent="0.3">
      <c r="A323" s="17" t="s">
        <v>5732</v>
      </c>
      <c r="B323" s="1" t="s">
        <v>220</v>
      </c>
      <c r="C323" s="1" t="s">
        <v>2576</v>
      </c>
      <c r="D323" s="1" t="s">
        <v>2718</v>
      </c>
      <c r="E323" s="1">
        <v>23600000</v>
      </c>
    </row>
    <row r="324" spans="1:5" ht="14.4" x14ac:dyDescent="0.3">
      <c r="A324" s="17" t="s">
        <v>5733</v>
      </c>
      <c r="B324" s="1" t="s">
        <v>14</v>
      </c>
      <c r="C324" s="1" t="s">
        <v>2508</v>
      </c>
      <c r="D324" s="1" t="s">
        <v>2719</v>
      </c>
      <c r="E324" s="1">
        <v>8400000</v>
      </c>
    </row>
    <row r="325" spans="1:5" ht="14.4" x14ac:dyDescent="0.3">
      <c r="A325" s="17" t="s">
        <v>5734</v>
      </c>
      <c r="B325" s="1" t="s">
        <v>45</v>
      </c>
      <c r="C325" s="1" t="s">
        <v>2720</v>
      </c>
      <c r="D325" s="1" t="s">
        <v>2721</v>
      </c>
      <c r="E325" s="1">
        <v>15800000</v>
      </c>
    </row>
    <row r="326" spans="1:5" ht="14.4" x14ac:dyDescent="0.3">
      <c r="A326" s="17" t="s">
        <v>5735</v>
      </c>
      <c r="B326" s="1" t="s">
        <v>28</v>
      </c>
      <c r="C326" s="1" t="s">
        <v>2496</v>
      </c>
      <c r="D326" s="1" t="s">
        <v>454</v>
      </c>
      <c r="E326" s="1">
        <v>7760000</v>
      </c>
    </row>
    <row r="327" spans="1:5" ht="14.4" x14ac:dyDescent="0.3">
      <c r="A327" s="17" t="s">
        <v>5736</v>
      </c>
      <c r="B327" s="1" t="s">
        <v>300</v>
      </c>
      <c r="C327" s="1" t="s">
        <v>2541</v>
      </c>
      <c r="D327" s="1" t="s">
        <v>2722</v>
      </c>
      <c r="E327" s="1">
        <v>10900000</v>
      </c>
    </row>
    <row r="328" spans="1:5" ht="14.4" x14ac:dyDescent="0.3">
      <c r="A328" s="17" t="s">
        <v>5737</v>
      </c>
      <c r="B328" s="1" t="s">
        <v>241</v>
      </c>
      <c r="C328" s="1">
        <v>308</v>
      </c>
      <c r="D328" s="1" t="s">
        <v>2723</v>
      </c>
      <c r="E328" s="1">
        <v>19800000</v>
      </c>
    </row>
    <row r="329" spans="1:5" ht="14.4" x14ac:dyDescent="0.3">
      <c r="A329" s="17" t="s">
        <v>5738</v>
      </c>
      <c r="B329" s="1" t="s">
        <v>2498</v>
      </c>
      <c r="C329" s="1" t="s">
        <v>2563</v>
      </c>
      <c r="D329" s="1" t="s">
        <v>2724</v>
      </c>
      <c r="E329" s="1">
        <v>15700000</v>
      </c>
    </row>
    <row r="330" spans="1:5" ht="14.4" x14ac:dyDescent="0.3">
      <c r="A330" s="17" t="s">
        <v>5739</v>
      </c>
      <c r="B330" s="1" t="s">
        <v>241</v>
      </c>
      <c r="C330" s="1" t="s">
        <v>2485</v>
      </c>
      <c r="D330" s="1" t="s">
        <v>2725</v>
      </c>
      <c r="E330" s="1">
        <v>12300000</v>
      </c>
    </row>
    <row r="331" spans="1:5" ht="14.4" x14ac:dyDescent="0.3">
      <c r="A331" s="17" t="s">
        <v>5740</v>
      </c>
      <c r="B331" s="1" t="s">
        <v>241</v>
      </c>
      <c r="C331" s="1">
        <v>308</v>
      </c>
      <c r="D331" s="1" t="s">
        <v>2726</v>
      </c>
      <c r="E331" s="1">
        <v>21100000</v>
      </c>
    </row>
    <row r="332" spans="1:5" ht="14.4" x14ac:dyDescent="0.3">
      <c r="A332" s="17" t="s">
        <v>5741</v>
      </c>
      <c r="B332" s="1" t="s">
        <v>241</v>
      </c>
      <c r="C332" s="1">
        <v>308</v>
      </c>
      <c r="D332" s="1" t="s">
        <v>2726</v>
      </c>
      <c r="E332" s="1">
        <v>21100000</v>
      </c>
    </row>
    <row r="333" spans="1:5" ht="14.4" x14ac:dyDescent="0.3">
      <c r="A333" s="17" t="s">
        <v>5742</v>
      </c>
      <c r="B333" s="1" t="s">
        <v>220</v>
      </c>
      <c r="C333" s="1" t="s">
        <v>223</v>
      </c>
      <c r="D333" s="1" t="s">
        <v>2727</v>
      </c>
      <c r="E333" s="1">
        <v>12200000</v>
      </c>
    </row>
    <row r="334" spans="1:5" ht="14.4" x14ac:dyDescent="0.3">
      <c r="A334" s="17" t="s">
        <v>5743</v>
      </c>
      <c r="B334" s="1" t="s">
        <v>28</v>
      </c>
      <c r="C334" s="1" t="s">
        <v>2496</v>
      </c>
      <c r="D334" s="1" t="s">
        <v>2728</v>
      </c>
      <c r="E334" s="1">
        <v>8900000</v>
      </c>
    </row>
    <row r="335" spans="1:5" ht="14.4" x14ac:dyDescent="0.3">
      <c r="A335" s="17" t="s">
        <v>5744</v>
      </c>
      <c r="B335" s="1" t="s">
        <v>220</v>
      </c>
      <c r="C335" s="1" t="s">
        <v>2729</v>
      </c>
      <c r="D335" s="1" t="s">
        <v>449</v>
      </c>
      <c r="E335" s="1">
        <v>9700000</v>
      </c>
    </row>
    <row r="336" spans="1:5" ht="14.4" x14ac:dyDescent="0.3">
      <c r="A336" s="17" t="s">
        <v>5745</v>
      </c>
      <c r="B336" s="1" t="s">
        <v>207</v>
      </c>
      <c r="C336" s="1" t="s">
        <v>2730</v>
      </c>
      <c r="D336" s="1" t="s">
        <v>2731</v>
      </c>
      <c r="E336" s="1">
        <v>12600000</v>
      </c>
    </row>
    <row r="337" spans="1:5" ht="14.4" x14ac:dyDescent="0.3">
      <c r="A337" s="17" t="s">
        <v>5746</v>
      </c>
      <c r="B337" s="1" t="s">
        <v>86</v>
      </c>
      <c r="C337" s="1" t="s">
        <v>93</v>
      </c>
      <c r="D337" s="1" t="s">
        <v>2732</v>
      </c>
      <c r="E337" s="1">
        <v>21400000</v>
      </c>
    </row>
    <row r="338" spans="1:5" ht="14.4" x14ac:dyDescent="0.3">
      <c r="A338" s="17" t="s">
        <v>5747</v>
      </c>
      <c r="B338" s="1" t="s">
        <v>2545</v>
      </c>
      <c r="C338" s="1" t="s">
        <v>2733</v>
      </c>
      <c r="D338" s="1" t="s">
        <v>2734</v>
      </c>
      <c r="E338" s="1">
        <v>20400000</v>
      </c>
    </row>
    <row r="339" spans="1:5" ht="14.4" x14ac:dyDescent="0.3">
      <c r="A339" s="17" t="s">
        <v>5748</v>
      </c>
      <c r="B339" s="1" t="s">
        <v>86</v>
      </c>
      <c r="C339" s="1" t="s">
        <v>2507</v>
      </c>
      <c r="D339" s="1" t="s">
        <v>2477</v>
      </c>
      <c r="E339" s="1">
        <v>40200000</v>
      </c>
    </row>
    <row r="340" spans="1:5" ht="14.4" x14ac:dyDescent="0.3">
      <c r="A340" s="17" t="s">
        <v>5749</v>
      </c>
      <c r="B340" s="1" t="s">
        <v>300</v>
      </c>
      <c r="C340" s="1" t="s">
        <v>2735</v>
      </c>
      <c r="D340" s="1" t="s">
        <v>2736</v>
      </c>
      <c r="E340" s="1">
        <v>5280000</v>
      </c>
    </row>
    <row r="341" spans="1:5" ht="14.4" x14ac:dyDescent="0.3">
      <c r="A341" s="17" t="s">
        <v>5750</v>
      </c>
      <c r="B341" s="1" t="s">
        <v>241</v>
      </c>
      <c r="C341" s="1">
        <v>2008</v>
      </c>
      <c r="D341" s="1" t="s">
        <v>2515</v>
      </c>
      <c r="E341" s="1">
        <v>12300000</v>
      </c>
    </row>
    <row r="342" spans="1:5" ht="14.4" x14ac:dyDescent="0.3">
      <c r="A342" s="17" t="s">
        <v>5751</v>
      </c>
      <c r="B342" s="1" t="s">
        <v>2533</v>
      </c>
      <c r="C342" s="1" t="s">
        <v>2571</v>
      </c>
      <c r="D342" s="1" t="s">
        <v>2737</v>
      </c>
      <c r="E342" s="1">
        <v>7390000</v>
      </c>
    </row>
    <row r="343" spans="1:5" ht="14.4" x14ac:dyDescent="0.3">
      <c r="A343" s="17" t="s">
        <v>5752</v>
      </c>
      <c r="B343" s="1" t="s">
        <v>237</v>
      </c>
      <c r="C343" s="1" t="s">
        <v>65</v>
      </c>
      <c r="D343" s="1" t="s">
        <v>2738</v>
      </c>
      <c r="E343" s="1">
        <v>12200000</v>
      </c>
    </row>
    <row r="344" spans="1:5" ht="14.4" x14ac:dyDescent="0.3">
      <c r="A344" s="17" t="s">
        <v>5753</v>
      </c>
      <c r="B344" s="1" t="s">
        <v>45</v>
      </c>
      <c r="C344" s="1" t="s">
        <v>2661</v>
      </c>
      <c r="D344" s="1" t="s">
        <v>465</v>
      </c>
      <c r="E344" s="1">
        <v>10000000</v>
      </c>
    </row>
    <row r="345" spans="1:5" ht="14.4" x14ac:dyDescent="0.3">
      <c r="A345" s="17" t="s">
        <v>5754</v>
      </c>
      <c r="B345" s="1" t="s">
        <v>68</v>
      </c>
      <c r="C345" s="1">
        <v>500</v>
      </c>
      <c r="D345" s="1" t="s">
        <v>2739</v>
      </c>
      <c r="E345" s="1">
        <v>9500000</v>
      </c>
    </row>
    <row r="346" spans="1:5" ht="14.4" x14ac:dyDescent="0.3">
      <c r="A346" s="17" t="s">
        <v>5755</v>
      </c>
      <c r="B346" s="1" t="s">
        <v>156</v>
      </c>
      <c r="C346" s="1" t="s">
        <v>2479</v>
      </c>
      <c r="D346" s="1" t="s">
        <v>2740</v>
      </c>
      <c r="E346" s="1">
        <v>9200000</v>
      </c>
    </row>
    <row r="347" spans="1:5" ht="14.4" x14ac:dyDescent="0.3">
      <c r="A347" s="17" t="s">
        <v>5756</v>
      </c>
      <c r="B347" s="1" t="s">
        <v>241</v>
      </c>
      <c r="C347" s="1" t="s">
        <v>2505</v>
      </c>
      <c r="D347" s="1" t="s">
        <v>2741</v>
      </c>
      <c r="E347" s="1">
        <v>22800000</v>
      </c>
    </row>
    <row r="348" spans="1:5" ht="14.4" x14ac:dyDescent="0.3">
      <c r="A348" s="17" t="s">
        <v>5757</v>
      </c>
      <c r="B348" s="1" t="s">
        <v>214</v>
      </c>
      <c r="C348" s="1" t="s">
        <v>2481</v>
      </c>
      <c r="D348" s="1" t="s">
        <v>2742</v>
      </c>
      <c r="E348" s="1">
        <v>16300000</v>
      </c>
    </row>
    <row r="349" spans="1:5" ht="14.4" x14ac:dyDescent="0.3">
      <c r="A349" s="17" t="s">
        <v>5758</v>
      </c>
      <c r="B349" s="1" t="s">
        <v>241</v>
      </c>
      <c r="C349" s="1" t="s">
        <v>2630</v>
      </c>
      <c r="D349" s="1" t="s">
        <v>2743</v>
      </c>
      <c r="E349" s="1">
        <v>17700000</v>
      </c>
    </row>
    <row r="350" spans="1:5" ht="14.4" x14ac:dyDescent="0.3">
      <c r="A350" s="17" t="s">
        <v>5759</v>
      </c>
      <c r="B350" s="1" t="s">
        <v>28</v>
      </c>
      <c r="C350" s="1" t="s">
        <v>2575</v>
      </c>
      <c r="D350" s="1" t="s">
        <v>2744</v>
      </c>
      <c r="E350" s="1">
        <v>8000000</v>
      </c>
    </row>
    <row r="351" spans="1:5" ht="14.4" x14ac:dyDescent="0.3">
      <c r="A351" s="17" t="s">
        <v>5760</v>
      </c>
      <c r="B351" s="1" t="s">
        <v>220</v>
      </c>
      <c r="C351" s="1" t="s">
        <v>2509</v>
      </c>
      <c r="D351" s="1" t="s">
        <v>1973</v>
      </c>
      <c r="E351" s="1">
        <v>11600000</v>
      </c>
    </row>
    <row r="352" spans="1:5" ht="14.4" x14ac:dyDescent="0.3">
      <c r="A352" s="17" t="s">
        <v>5761</v>
      </c>
      <c r="B352" s="1" t="s">
        <v>18</v>
      </c>
      <c r="C352" s="1" t="s">
        <v>2641</v>
      </c>
      <c r="D352" s="1" t="s">
        <v>27</v>
      </c>
      <c r="E352" s="1">
        <v>22100000</v>
      </c>
    </row>
    <row r="353" spans="1:5" ht="14.4" x14ac:dyDescent="0.3">
      <c r="A353" s="17" t="s">
        <v>5762</v>
      </c>
      <c r="B353" s="1" t="s">
        <v>306</v>
      </c>
      <c r="C353" s="1" t="s">
        <v>2564</v>
      </c>
      <c r="D353" s="1" t="s">
        <v>2745</v>
      </c>
      <c r="E353" s="1">
        <v>13400000</v>
      </c>
    </row>
    <row r="354" spans="1:5" ht="14.4" x14ac:dyDescent="0.3">
      <c r="A354" s="17" t="s">
        <v>5763</v>
      </c>
      <c r="B354" s="1" t="s">
        <v>241</v>
      </c>
      <c r="C354" s="1" t="s">
        <v>2485</v>
      </c>
      <c r="D354" s="1" t="s">
        <v>2486</v>
      </c>
      <c r="E354" s="1">
        <v>17600000</v>
      </c>
    </row>
    <row r="355" spans="1:5" ht="14.4" x14ac:dyDescent="0.3">
      <c r="A355" s="17" t="s">
        <v>5764</v>
      </c>
      <c r="B355" s="1" t="s">
        <v>86</v>
      </c>
      <c r="C355" s="1" t="s">
        <v>122</v>
      </c>
      <c r="D355" s="1" t="s">
        <v>441</v>
      </c>
      <c r="E355" s="1">
        <v>32200000</v>
      </c>
    </row>
    <row r="356" spans="1:5" ht="14.4" x14ac:dyDescent="0.3">
      <c r="A356" s="17" t="s">
        <v>5765</v>
      </c>
      <c r="B356" s="1" t="s">
        <v>220</v>
      </c>
      <c r="C356" s="1" t="s">
        <v>231</v>
      </c>
      <c r="D356" s="1" t="s">
        <v>2746</v>
      </c>
      <c r="E356" s="1">
        <v>11200000</v>
      </c>
    </row>
    <row r="357" spans="1:5" ht="14.4" x14ac:dyDescent="0.3">
      <c r="A357" s="17" t="s">
        <v>5766</v>
      </c>
      <c r="B357" s="1" t="s">
        <v>86</v>
      </c>
      <c r="C357" s="1" t="s">
        <v>2747</v>
      </c>
      <c r="D357" s="1" t="s">
        <v>2269</v>
      </c>
      <c r="E357" s="1">
        <v>12300000</v>
      </c>
    </row>
    <row r="358" spans="1:5" ht="14.4" x14ac:dyDescent="0.3">
      <c r="A358" s="17" t="s">
        <v>5767</v>
      </c>
      <c r="B358" s="1" t="s">
        <v>2498</v>
      </c>
      <c r="C358" s="1" t="s">
        <v>2499</v>
      </c>
      <c r="D358" s="1" t="s">
        <v>464</v>
      </c>
      <c r="E358" s="1">
        <v>8400000</v>
      </c>
    </row>
    <row r="359" spans="1:5" ht="14.4" x14ac:dyDescent="0.3">
      <c r="A359" s="17" t="s">
        <v>5768</v>
      </c>
      <c r="B359" s="1" t="s">
        <v>28</v>
      </c>
      <c r="C359" s="1" t="s">
        <v>2575</v>
      </c>
      <c r="D359" s="1" t="s">
        <v>2748</v>
      </c>
      <c r="E359" s="1">
        <v>7870000</v>
      </c>
    </row>
    <row r="360" spans="1:5" ht="14.4" x14ac:dyDescent="0.3">
      <c r="A360" s="17" t="s">
        <v>5769</v>
      </c>
      <c r="B360" s="1" t="s">
        <v>2498</v>
      </c>
      <c r="C360" s="1" t="s">
        <v>2749</v>
      </c>
      <c r="D360" s="1" t="s">
        <v>2750</v>
      </c>
      <c r="E360" s="1">
        <v>10200000</v>
      </c>
    </row>
    <row r="361" spans="1:5" ht="14.4" x14ac:dyDescent="0.3">
      <c r="A361" s="17" t="s">
        <v>5770</v>
      </c>
      <c r="B361" s="1" t="s">
        <v>241</v>
      </c>
      <c r="C361" s="1" t="s">
        <v>2487</v>
      </c>
      <c r="D361" s="1" t="s">
        <v>2751</v>
      </c>
      <c r="E361" s="1">
        <v>13300000</v>
      </c>
    </row>
    <row r="362" spans="1:5" ht="14.4" x14ac:dyDescent="0.3">
      <c r="A362" s="17" t="s">
        <v>5771</v>
      </c>
      <c r="B362" s="1" t="s">
        <v>2498</v>
      </c>
      <c r="C362" s="1" t="s">
        <v>2664</v>
      </c>
      <c r="D362" s="1" t="s">
        <v>2752</v>
      </c>
      <c r="E362" s="1">
        <v>13400000</v>
      </c>
    </row>
    <row r="363" spans="1:5" ht="14.4" x14ac:dyDescent="0.3">
      <c r="A363" s="17" t="s">
        <v>5772</v>
      </c>
      <c r="B363" s="1" t="s">
        <v>167</v>
      </c>
      <c r="C363" s="1" t="s">
        <v>2529</v>
      </c>
      <c r="D363" s="1" t="s">
        <v>2753</v>
      </c>
      <c r="E363" s="1">
        <v>9800000</v>
      </c>
    </row>
    <row r="364" spans="1:5" ht="14.4" x14ac:dyDescent="0.3">
      <c r="A364" s="17" t="s">
        <v>5773</v>
      </c>
      <c r="B364" s="1" t="s">
        <v>2494</v>
      </c>
      <c r="C364" s="1" t="s">
        <v>2531</v>
      </c>
      <c r="D364" s="1" t="s">
        <v>2754</v>
      </c>
      <c r="E364" s="1">
        <v>10600000</v>
      </c>
    </row>
    <row r="365" spans="1:5" ht="14.4" x14ac:dyDescent="0.3">
      <c r="A365" s="17" t="s">
        <v>5774</v>
      </c>
      <c r="B365" s="1" t="s">
        <v>2533</v>
      </c>
      <c r="C365" s="1" t="s">
        <v>2571</v>
      </c>
      <c r="D365" s="1" t="s">
        <v>2755</v>
      </c>
      <c r="E365" s="1">
        <v>8000000</v>
      </c>
    </row>
    <row r="366" spans="1:5" ht="14.4" x14ac:dyDescent="0.3">
      <c r="A366" s="17" t="s">
        <v>5775</v>
      </c>
      <c r="B366" s="1" t="s">
        <v>2498</v>
      </c>
      <c r="C366" s="1" t="s">
        <v>199</v>
      </c>
      <c r="D366" s="1" t="s">
        <v>2756</v>
      </c>
      <c r="E366" s="1">
        <v>21200000</v>
      </c>
    </row>
    <row r="367" spans="1:5" ht="14.4" x14ac:dyDescent="0.3">
      <c r="A367" s="17" t="s">
        <v>5776</v>
      </c>
      <c r="B367" s="1" t="s">
        <v>278</v>
      </c>
      <c r="C367" s="1" t="s">
        <v>2530</v>
      </c>
      <c r="D367" s="1" t="s">
        <v>282</v>
      </c>
      <c r="E367" s="1">
        <v>34900000</v>
      </c>
    </row>
    <row r="368" spans="1:5" ht="14.4" x14ac:dyDescent="0.3">
      <c r="A368" s="17" t="s">
        <v>5777</v>
      </c>
      <c r="B368" s="1" t="s">
        <v>167</v>
      </c>
      <c r="C368" s="1" t="s">
        <v>2529</v>
      </c>
      <c r="D368" s="1" t="s">
        <v>2757</v>
      </c>
      <c r="E368" s="1">
        <v>8200000</v>
      </c>
    </row>
    <row r="369" spans="1:5" ht="14.4" x14ac:dyDescent="0.3">
      <c r="A369" s="17" t="s">
        <v>5778</v>
      </c>
      <c r="B369" s="1" t="s">
        <v>237</v>
      </c>
      <c r="C369" s="1" t="s">
        <v>65</v>
      </c>
      <c r="D369" s="1" t="s">
        <v>2758</v>
      </c>
      <c r="E369" s="1">
        <v>15100000</v>
      </c>
    </row>
    <row r="370" spans="1:5" ht="14.4" x14ac:dyDescent="0.3">
      <c r="A370" s="17" t="s">
        <v>5779</v>
      </c>
      <c r="B370" s="1" t="s">
        <v>18</v>
      </c>
      <c r="C370" s="1" t="s">
        <v>2759</v>
      </c>
      <c r="D370" s="1" t="s">
        <v>2477</v>
      </c>
      <c r="E370" s="1">
        <v>27900000</v>
      </c>
    </row>
    <row r="371" spans="1:5" ht="14.4" x14ac:dyDescent="0.3">
      <c r="A371" s="17" t="s">
        <v>5780</v>
      </c>
      <c r="B371" s="1" t="s">
        <v>68</v>
      </c>
      <c r="C371" s="1">
        <v>560</v>
      </c>
      <c r="D371" s="1" t="s">
        <v>2760</v>
      </c>
      <c r="E371" s="1">
        <v>9100000</v>
      </c>
    </row>
    <row r="372" spans="1:5" ht="14.4" x14ac:dyDescent="0.3">
      <c r="A372" s="17" t="s">
        <v>5781</v>
      </c>
      <c r="B372" s="1" t="s">
        <v>220</v>
      </c>
      <c r="C372" s="1" t="s">
        <v>2682</v>
      </c>
      <c r="D372" s="1" t="s">
        <v>2761</v>
      </c>
      <c r="E372" s="1">
        <v>24400000</v>
      </c>
    </row>
    <row r="373" spans="1:5" ht="14.4" x14ac:dyDescent="0.3">
      <c r="A373" s="17" t="s">
        <v>5782</v>
      </c>
      <c r="B373" s="1" t="s">
        <v>220</v>
      </c>
      <c r="C373" s="1" t="s">
        <v>2762</v>
      </c>
      <c r="D373" s="1" t="s">
        <v>2763</v>
      </c>
      <c r="E373" s="1">
        <v>14000000</v>
      </c>
    </row>
    <row r="374" spans="1:5" ht="14.4" x14ac:dyDescent="0.3">
      <c r="A374" s="17" t="s">
        <v>5783</v>
      </c>
      <c r="B374" s="1" t="s">
        <v>45</v>
      </c>
      <c r="C374" s="1" t="s">
        <v>2764</v>
      </c>
      <c r="D374" s="1" t="s">
        <v>2765</v>
      </c>
      <c r="E374" s="1">
        <v>10600000</v>
      </c>
    </row>
    <row r="375" spans="1:5" ht="14.4" x14ac:dyDescent="0.3">
      <c r="A375" s="17" t="s">
        <v>5784</v>
      </c>
      <c r="B375" s="1" t="s">
        <v>2511</v>
      </c>
      <c r="C375" s="1" t="s">
        <v>2766</v>
      </c>
      <c r="D375" s="1" t="s">
        <v>458</v>
      </c>
      <c r="E375" s="1">
        <v>12500000</v>
      </c>
    </row>
    <row r="376" spans="1:5" ht="14.4" x14ac:dyDescent="0.3">
      <c r="A376" s="17" t="s">
        <v>5785</v>
      </c>
      <c r="B376" s="1" t="s">
        <v>237</v>
      </c>
      <c r="C376" s="1" t="s">
        <v>65</v>
      </c>
      <c r="D376" s="1" t="s">
        <v>2477</v>
      </c>
      <c r="E376" s="1">
        <v>15800000</v>
      </c>
    </row>
    <row r="377" spans="1:5" ht="14.4" x14ac:dyDescent="0.3">
      <c r="A377" s="17" t="s">
        <v>5786</v>
      </c>
      <c r="B377" s="1" t="s">
        <v>241</v>
      </c>
      <c r="C377" s="1" t="s">
        <v>2501</v>
      </c>
      <c r="D377" s="1" t="s">
        <v>263</v>
      </c>
      <c r="E377" s="1">
        <v>17800000</v>
      </c>
    </row>
    <row r="378" spans="1:5" ht="14.4" x14ac:dyDescent="0.3">
      <c r="A378" s="17" t="s">
        <v>5787</v>
      </c>
      <c r="B378" s="1" t="s">
        <v>86</v>
      </c>
      <c r="C378" s="1" t="s">
        <v>2507</v>
      </c>
      <c r="D378" s="1" t="s">
        <v>452</v>
      </c>
      <c r="E378" s="1">
        <v>40200000</v>
      </c>
    </row>
    <row r="379" spans="1:5" ht="14.4" x14ac:dyDescent="0.3">
      <c r="A379" s="17" t="s">
        <v>5788</v>
      </c>
      <c r="B379" s="1" t="s">
        <v>180</v>
      </c>
      <c r="C379" s="1" t="s">
        <v>2662</v>
      </c>
      <c r="D379" s="1" t="s">
        <v>2767</v>
      </c>
      <c r="E379" s="1">
        <v>11400000</v>
      </c>
    </row>
    <row r="380" spans="1:5" ht="14.4" x14ac:dyDescent="0.3">
      <c r="A380" s="17" t="s">
        <v>5789</v>
      </c>
      <c r="B380" s="1" t="s">
        <v>142</v>
      </c>
      <c r="C380" s="1" t="s">
        <v>2768</v>
      </c>
      <c r="D380" s="1" t="s">
        <v>442</v>
      </c>
      <c r="E380" s="1">
        <v>12800000</v>
      </c>
    </row>
    <row r="381" spans="1:5" ht="14.4" x14ac:dyDescent="0.3">
      <c r="A381" s="17" t="s">
        <v>5790</v>
      </c>
      <c r="B381" s="1" t="s">
        <v>220</v>
      </c>
      <c r="C381" s="1" t="s">
        <v>2762</v>
      </c>
      <c r="D381" s="1" t="s">
        <v>2769</v>
      </c>
      <c r="E381" s="1">
        <v>17500000</v>
      </c>
    </row>
    <row r="382" spans="1:5" ht="14.4" x14ac:dyDescent="0.3">
      <c r="A382" s="17" t="s">
        <v>5791</v>
      </c>
      <c r="B382" s="1" t="s">
        <v>2545</v>
      </c>
      <c r="C382" s="1" t="s">
        <v>2770</v>
      </c>
      <c r="D382" s="1" t="s">
        <v>2771</v>
      </c>
      <c r="E382" s="1">
        <v>11500000</v>
      </c>
    </row>
    <row r="383" spans="1:5" ht="14.4" x14ac:dyDescent="0.3">
      <c r="A383" s="17" t="s">
        <v>5792</v>
      </c>
      <c r="B383" s="1" t="s">
        <v>28</v>
      </c>
      <c r="C383" s="1" t="s">
        <v>42</v>
      </c>
      <c r="D383" s="1" t="s">
        <v>2772</v>
      </c>
      <c r="E383" s="1">
        <v>11200000</v>
      </c>
    </row>
    <row r="384" spans="1:5" ht="14.4" x14ac:dyDescent="0.3">
      <c r="A384" s="17" t="s">
        <v>5793</v>
      </c>
      <c r="B384" s="1" t="s">
        <v>241</v>
      </c>
      <c r="C384" s="1" t="s">
        <v>269</v>
      </c>
      <c r="D384" s="1" t="s">
        <v>2650</v>
      </c>
      <c r="E384" s="1">
        <v>21000000</v>
      </c>
    </row>
    <row r="385" spans="1:5" ht="14.4" x14ac:dyDescent="0.3">
      <c r="A385" s="17" t="s">
        <v>5794</v>
      </c>
      <c r="B385" s="1" t="s">
        <v>241</v>
      </c>
      <c r="C385" s="1">
        <v>208</v>
      </c>
      <c r="D385" s="1" t="s">
        <v>2649</v>
      </c>
      <c r="E385" s="1">
        <v>14400000</v>
      </c>
    </row>
    <row r="386" spans="1:5" ht="14.4" x14ac:dyDescent="0.3">
      <c r="A386" s="17" t="s">
        <v>5795</v>
      </c>
      <c r="B386" s="1" t="s">
        <v>241</v>
      </c>
      <c r="C386" s="1">
        <v>2008</v>
      </c>
      <c r="D386" s="1" t="s">
        <v>2648</v>
      </c>
      <c r="E386" s="1">
        <v>13200000</v>
      </c>
    </row>
    <row r="387" spans="1:5" ht="14.4" x14ac:dyDescent="0.3">
      <c r="A387" s="17" t="s">
        <v>5796</v>
      </c>
      <c r="B387" s="1" t="s">
        <v>241</v>
      </c>
      <c r="C387" s="1">
        <v>3008</v>
      </c>
      <c r="D387" s="1" t="s">
        <v>2647</v>
      </c>
      <c r="E387" s="1">
        <v>17000000</v>
      </c>
    </row>
    <row r="388" spans="1:5" ht="14.4" x14ac:dyDescent="0.3">
      <c r="A388" s="17" t="s">
        <v>5797</v>
      </c>
      <c r="B388" s="1" t="s">
        <v>173</v>
      </c>
      <c r="C388" s="1">
        <v>7</v>
      </c>
      <c r="D388" s="1" t="s">
        <v>2646</v>
      </c>
      <c r="E388" s="1">
        <v>15700000</v>
      </c>
    </row>
    <row r="389" spans="1:5" ht="14.4" x14ac:dyDescent="0.3">
      <c r="A389" s="17" t="s">
        <v>5798</v>
      </c>
      <c r="B389" s="1" t="s">
        <v>167</v>
      </c>
      <c r="C389" s="1" t="s">
        <v>2644</v>
      </c>
      <c r="D389" s="1" t="s">
        <v>2645</v>
      </c>
      <c r="E389" s="1">
        <v>31800000</v>
      </c>
    </row>
    <row r="390" spans="1:5" ht="14.4" x14ac:dyDescent="0.3">
      <c r="A390" s="17" t="s">
        <v>5799</v>
      </c>
      <c r="B390" s="1" t="s">
        <v>2493</v>
      </c>
      <c r="C390" s="1" t="s">
        <v>83</v>
      </c>
      <c r="D390" s="1" t="s">
        <v>2643</v>
      </c>
      <c r="E390" s="1">
        <v>15100000</v>
      </c>
    </row>
    <row r="391" spans="1:5" ht="14.4" x14ac:dyDescent="0.3">
      <c r="A391" s="17" t="s">
        <v>5800</v>
      </c>
      <c r="B391" s="1" t="s">
        <v>2533</v>
      </c>
      <c r="C391" s="1" t="s">
        <v>2606</v>
      </c>
      <c r="D391" s="1" t="s">
        <v>2773</v>
      </c>
      <c r="E391" s="1">
        <v>10900000</v>
      </c>
    </row>
    <row r="392" spans="1:5" ht="14.4" x14ac:dyDescent="0.3">
      <c r="A392" s="17" t="s">
        <v>5801</v>
      </c>
      <c r="B392" s="1" t="s">
        <v>18</v>
      </c>
      <c r="C392" s="1" t="s">
        <v>2641</v>
      </c>
      <c r="D392" s="1" t="s">
        <v>2642</v>
      </c>
      <c r="E392" s="1">
        <v>23700000</v>
      </c>
    </row>
    <row r="393" spans="1:5" ht="14.4" x14ac:dyDescent="0.3">
      <c r="A393" s="17" t="s">
        <v>5802</v>
      </c>
      <c r="B393" s="1" t="s">
        <v>173</v>
      </c>
      <c r="C393" s="1">
        <v>7</v>
      </c>
      <c r="D393" s="1" t="s">
        <v>2640</v>
      </c>
      <c r="E393" s="1">
        <v>17600000</v>
      </c>
    </row>
    <row r="394" spans="1:5" ht="14.4" x14ac:dyDescent="0.3">
      <c r="A394" s="17" t="s">
        <v>5803</v>
      </c>
      <c r="B394" s="1" t="s">
        <v>241</v>
      </c>
      <c r="C394" s="1" t="s">
        <v>269</v>
      </c>
      <c r="D394" s="1" t="s">
        <v>2639</v>
      </c>
      <c r="E394" s="1">
        <v>25900000</v>
      </c>
    </row>
    <row r="395" spans="1:5" ht="14.4" x14ac:dyDescent="0.3">
      <c r="A395" s="17" t="s">
        <v>5804</v>
      </c>
      <c r="B395" s="1" t="s">
        <v>241</v>
      </c>
      <c r="C395" s="1" t="s">
        <v>2485</v>
      </c>
      <c r="D395" s="1" t="s">
        <v>2638</v>
      </c>
      <c r="E395" s="1">
        <v>13800000</v>
      </c>
    </row>
    <row r="396" spans="1:5" ht="14.4" x14ac:dyDescent="0.3">
      <c r="A396" s="17" t="s">
        <v>5805</v>
      </c>
      <c r="B396" s="1" t="s">
        <v>241</v>
      </c>
      <c r="C396" s="1">
        <v>308</v>
      </c>
      <c r="D396" s="1" t="s">
        <v>2637</v>
      </c>
      <c r="E396" s="1">
        <v>17700000</v>
      </c>
    </row>
    <row r="397" spans="1:5" ht="14.4" x14ac:dyDescent="0.3">
      <c r="A397" s="17" t="s">
        <v>5806</v>
      </c>
      <c r="B397" s="1" t="s">
        <v>241</v>
      </c>
      <c r="C397" s="1" t="s">
        <v>2484</v>
      </c>
      <c r="D397" s="1" t="s">
        <v>2774</v>
      </c>
      <c r="E397" s="1">
        <v>16000000</v>
      </c>
    </row>
    <row r="398" spans="1:5" ht="14.4" x14ac:dyDescent="0.3">
      <c r="A398" s="17" t="s">
        <v>5807</v>
      </c>
      <c r="B398" s="1" t="s">
        <v>241</v>
      </c>
      <c r="C398" s="1" t="s">
        <v>2584</v>
      </c>
      <c r="D398" s="1" t="s">
        <v>2636</v>
      </c>
      <c r="E398" s="1">
        <v>17100000</v>
      </c>
    </row>
    <row r="399" spans="1:5" ht="14.4" x14ac:dyDescent="0.3">
      <c r="A399" s="17" t="s">
        <v>5808</v>
      </c>
      <c r="B399" s="1" t="s">
        <v>241</v>
      </c>
      <c r="C399" s="1">
        <v>3008</v>
      </c>
      <c r="D399" s="1" t="s">
        <v>2635</v>
      </c>
      <c r="E399" s="1">
        <v>17900000</v>
      </c>
    </row>
    <row r="400" spans="1:5" ht="14.4" x14ac:dyDescent="0.3">
      <c r="A400" s="17" t="s">
        <v>5809</v>
      </c>
      <c r="B400" s="1" t="s">
        <v>2498</v>
      </c>
      <c r="C400" s="1" t="s">
        <v>2587</v>
      </c>
      <c r="D400" s="1" t="s">
        <v>2634</v>
      </c>
      <c r="E400" s="1">
        <v>20100000</v>
      </c>
    </row>
    <row r="401" spans="1:5" ht="14.4" x14ac:dyDescent="0.3">
      <c r="A401" s="17" t="s">
        <v>5810</v>
      </c>
      <c r="B401" s="1" t="s">
        <v>241</v>
      </c>
      <c r="C401" s="1" t="s">
        <v>2478</v>
      </c>
      <c r="D401" s="1" t="s">
        <v>2633</v>
      </c>
      <c r="E401" s="1">
        <v>16400000</v>
      </c>
    </row>
    <row r="402" spans="1:5" ht="14.4" x14ac:dyDescent="0.3">
      <c r="A402" s="17" t="s">
        <v>5811</v>
      </c>
      <c r="B402" s="1" t="s">
        <v>241</v>
      </c>
      <c r="C402" s="1">
        <v>208</v>
      </c>
      <c r="D402" s="1" t="s">
        <v>2632</v>
      </c>
      <c r="E402" s="1">
        <v>14400000</v>
      </c>
    </row>
    <row r="403" spans="1:5" ht="14.4" x14ac:dyDescent="0.3">
      <c r="A403" s="17" t="s">
        <v>5812</v>
      </c>
      <c r="B403" s="1" t="s">
        <v>237</v>
      </c>
      <c r="C403" s="1" t="s">
        <v>65</v>
      </c>
      <c r="D403" s="1" t="s">
        <v>2775</v>
      </c>
      <c r="E403" s="1">
        <v>14700000</v>
      </c>
    </row>
    <row r="404" spans="1:5" ht="14.4" x14ac:dyDescent="0.3">
      <c r="A404" s="17" t="s">
        <v>5813</v>
      </c>
      <c r="B404" s="1" t="s">
        <v>241</v>
      </c>
      <c r="C404" s="1" t="s">
        <v>2630</v>
      </c>
      <c r="D404" s="1" t="s">
        <v>2631</v>
      </c>
      <c r="E404" s="1">
        <v>18800000</v>
      </c>
    </row>
    <row r="405" spans="1:5" ht="14.4" x14ac:dyDescent="0.3">
      <c r="A405" s="17" t="s">
        <v>5814</v>
      </c>
      <c r="B405" s="1" t="s">
        <v>14</v>
      </c>
      <c r="C405" s="1" t="s">
        <v>2508</v>
      </c>
      <c r="D405" s="1" t="s">
        <v>438</v>
      </c>
      <c r="E405" s="1">
        <v>8700000</v>
      </c>
    </row>
    <row r="406" spans="1:5" ht="14.4" x14ac:dyDescent="0.3">
      <c r="A406" s="17" t="s">
        <v>5815</v>
      </c>
      <c r="B406" s="1" t="s">
        <v>241</v>
      </c>
      <c r="C406" s="1" t="s">
        <v>269</v>
      </c>
      <c r="D406" s="1" t="s">
        <v>2629</v>
      </c>
      <c r="E406" s="1">
        <v>25900000</v>
      </c>
    </row>
    <row r="407" spans="1:5" ht="14.4" x14ac:dyDescent="0.3">
      <c r="A407" s="17" t="s">
        <v>5816</v>
      </c>
      <c r="B407" s="1" t="s">
        <v>214</v>
      </c>
      <c r="C407" s="1" t="s">
        <v>2627</v>
      </c>
      <c r="D407" s="1" t="s">
        <v>2628</v>
      </c>
      <c r="E407" s="1">
        <v>22500000</v>
      </c>
    </row>
    <row r="408" spans="1:5" ht="14.4" x14ac:dyDescent="0.3">
      <c r="A408" s="17" t="s">
        <v>5817</v>
      </c>
      <c r="B408" s="1" t="s">
        <v>28</v>
      </c>
      <c r="C408" s="1" t="s">
        <v>2496</v>
      </c>
      <c r="D408" s="1" t="s">
        <v>2776</v>
      </c>
      <c r="E408" s="1">
        <v>7420000</v>
      </c>
    </row>
    <row r="409" spans="1:5" ht="14.4" x14ac:dyDescent="0.3">
      <c r="A409" s="17" t="s">
        <v>5818</v>
      </c>
      <c r="B409" s="1" t="s">
        <v>2498</v>
      </c>
      <c r="C409" s="1" t="s">
        <v>188</v>
      </c>
      <c r="D409" s="1" t="s">
        <v>2777</v>
      </c>
      <c r="E409" s="1">
        <v>8900000</v>
      </c>
    </row>
    <row r="410" spans="1:5" ht="14.4" x14ac:dyDescent="0.3">
      <c r="A410" s="17" t="s">
        <v>5819</v>
      </c>
      <c r="B410" s="1" t="s">
        <v>180</v>
      </c>
      <c r="C410" s="1" t="s">
        <v>183</v>
      </c>
      <c r="D410" s="1" t="s">
        <v>2482</v>
      </c>
      <c r="E410" s="1">
        <v>43500000</v>
      </c>
    </row>
    <row r="411" spans="1:5" ht="14.4" x14ac:dyDescent="0.3">
      <c r="A411" s="17" t="s">
        <v>5820</v>
      </c>
      <c r="B411" s="1" t="s">
        <v>241</v>
      </c>
      <c r="C411" s="1" t="s">
        <v>2487</v>
      </c>
      <c r="D411" s="1" t="s">
        <v>2778</v>
      </c>
      <c r="E411" s="1">
        <v>14400000</v>
      </c>
    </row>
    <row r="412" spans="1:5" ht="14.4" x14ac:dyDescent="0.3">
      <c r="A412" s="17" t="s">
        <v>5821</v>
      </c>
      <c r="B412" s="1" t="s">
        <v>241</v>
      </c>
      <c r="C412" s="1" t="s">
        <v>2584</v>
      </c>
      <c r="D412" s="1" t="s">
        <v>2626</v>
      </c>
      <c r="E412" s="1">
        <v>15800000</v>
      </c>
    </row>
    <row r="413" spans="1:5" ht="14.4" x14ac:dyDescent="0.3">
      <c r="A413" s="17" t="s">
        <v>5822</v>
      </c>
      <c r="B413" s="1" t="s">
        <v>2494</v>
      </c>
      <c r="C413" s="1" t="s">
        <v>2779</v>
      </c>
      <c r="D413" s="1" t="s">
        <v>2780</v>
      </c>
      <c r="E413" s="1">
        <v>16200000</v>
      </c>
    </row>
    <row r="414" spans="1:5" ht="14.4" x14ac:dyDescent="0.3">
      <c r="A414" s="17" t="s">
        <v>5823</v>
      </c>
      <c r="B414" s="1" t="s">
        <v>241</v>
      </c>
      <c r="C414" s="1" t="s">
        <v>2484</v>
      </c>
      <c r="D414" s="1" t="s">
        <v>244</v>
      </c>
      <c r="E414" s="1">
        <v>11200000</v>
      </c>
    </row>
    <row r="415" spans="1:5" ht="14.4" x14ac:dyDescent="0.3">
      <c r="A415" s="17" t="s">
        <v>5824</v>
      </c>
      <c r="B415" s="1" t="s">
        <v>241</v>
      </c>
      <c r="C415" s="1" t="s">
        <v>2584</v>
      </c>
      <c r="D415" s="1" t="s">
        <v>2781</v>
      </c>
      <c r="E415" s="1">
        <v>23800000</v>
      </c>
    </row>
    <row r="416" spans="1:5" ht="14.4" x14ac:dyDescent="0.3">
      <c r="A416" s="17" t="s">
        <v>5825</v>
      </c>
      <c r="B416" s="1" t="s">
        <v>241</v>
      </c>
      <c r="C416" s="1" t="s">
        <v>2478</v>
      </c>
      <c r="D416" s="1" t="s">
        <v>2782</v>
      </c>
      <c r="E416" s="1">
        <v>15900000</v>
      </c>
    </row>
    <row r="417" spans="1:5" ht="14.4" x14ac:dyDescent="0.3">
      <c r="A417" s="17" t="s">
        <v>5826</v>
      </c>
      <c r="B417" s="1" t="s">
        <v>28</v>
      </c>
      <c r="C417" s="1" t="s">
        <v>42</v>
      </c>
      <c r="D417" s="1" t="s">
        <v>2783</v>
      </c>
      <c r="E417" s="1">
        <v>13600000</v>
      </c>
    </row>
    <row r="418" spans="1:5" ht="14.4" x14ac:dyDescent="0.3">
      <c r="A418" s="17" t="s">
        <v>5827</v>
      </c>
      <c r="B418" s="1" t="s">
        <v>241</v>
      </c>
      <c r="C418" s="1" t="s">
        <v>2478</v>
      </c>
      <c r="D418" s="1" t="s">
        <v>2784</v>
      </c>
      <c r="E418" s="1">
        <v>16900000</v>
      </c>
    </row>
    <row r="419" spans="1:5" ht="14.4" x14ac:dyDescent="0.3">
      <c r="A419" s="17" t="s">
        <v>5828</v>
      </c>
      <c r="B419" s="1" t="s">
        <v>207</v>
      </c>
      <c r="C419" s="1" t="s">
        <v>208</v>
      </c>
      <c r="D419" s="1" t="s">
        <v>446</v>
      </c>
      <c r="E419" s="1">
        <v>21000000</v>
      </c>
    </row>
    <row r="420" spans="1:5" ht="14.4" x14ac:dyDescent="0.3">
      <c r="A420" s="17" t="s">
        <v>5829</v>
      </c>
      <c r="B420" s="1" t="s">
        <v>278</v>
      </c>
      <c r="C420" s="1">
        <v>700</v>
      </c>
      <c r="D420" s="1" t="s">
        <v>2785</v>
      </c>
      <c r="E420" s="1">
        <v>11600000</v>
      </c>
    </row>
    <row r="421" spans="1:5" ht="14.4" x14ac:dyDescent="0.3">
      <c r="A421" s="17" t="s">
        <v>5830</v>
      </c>
      <c r="B421" s="1" t="s">
        <v>45</v>
      </c>
      <c r="C421" s="1" t="s">
        <v>2480</v>
      </c>
      <c r="D421" s="1" t="s">
        <v>434</v>
      </c>
      <c r="E421" s="1">
        <v>11000000</v>
      </c>
    </row>
    <row r="422" spans="1:5" ht="14.4" x14ac:dyDescent="0.3">
      <c r="A422" s="17" t="s">
        <v>5831</v>
      </c>
      <c r="B422" s="1" t="s">
        <v>220</v>
      </c>
      <c r="C422" s="1" t="s">
        <v>223</v>
      </c>
      <c r="D422" s="1" t="s">
        <v>929</v>
      </c>
      <c r="E422" s="1">
        <v>21400000</v>
      </c>
    </row>
    <row r="423" spans="1:5" ht="14.4" x14ac:dyDescent="0.3">
      <c r="A423" s="17" t="s">
        <v>5832</v>
      </c>
      <c r="B423" s="1" t="s">
        <v>86</v>
      </c>
      <c r="C423" s="1" t="s">
        <v>93</v>
      </c>
      <c r="D423" s="1" t="s">
        <v>95</v>
      </c>
      <c r="E423" s="1">
        <v>26700000</v>
      </c>
    </row>
    <row r="424" spans="1:5" ht="14.4" x14ac:dyDescent="0.3">
      <c r="A424" s="17" t="s">
        <v>5833</v>
      </c>
      <c r="B424" s="1" t="s">
        <v>220</v>
      </c>
      <c r="C424" s="1" t="s">
        <v>223</v>
      </c>
      <c r="D424" s="1" t="s">
        <v>227</v>
      </c>
      <c r="E424" s="1">
        <v>17600000</v>
      </c>
    </row>
    <row r="425" spans="1:5" ht="14.4" x14ac:dyDescent="0.3">
      <c r="A425" s="17" t="s">
        <v>5834</v>
      </c>
      <c r="B425" s="1" t="s">
        <v>173</v>
      </c>
      <c r="C425" s="1">
        <v>7</v>
      </c>
      <c r="D425" s="1" t="s">
        <v>538</v>
      </c>
      <c r="E425" s="1">
        <v>17700000</v>
      </c>
    </row>
    <row r="426" spans="1:5" ht="14.4" x14ac:dyDescent="0.3">
      <c r="A426" s="17" t="s">
        <v>5835</v>
      </c>
      <c r="B426" s="1" t="s">
        <v>241</v>
      </c>
      <c r="C426" s="1">
        <v>2008</v>
      </c>
      <c r="D426" s="1" t="s">
        <v>2515</v>
      </c>
      <c r="E426" s="1">
        <v>12800000</v>
      </c>
    </row>
    <row r="427" spans="1:5" ht="14.4" x14ac:dyDescent="0.3">
      <c r="A427" s="17" t="s">
        <v>5836</v>
      </c>
      <c r="B427" s="1" t="s">
        <v>241</v>
      </c>
      <c r="C427" s="1" t="s">
        <v>2485</v>
      </c>
      <c r="D427" s="1" t="s">
        <v>2638</v>
      </c>
      <c r="E427" s="1">
        <v>13800000</v>
      </c>
    </row>
    <row r="428" spans="1:5" ht="14.4" x14ac:dyDescent="0.3">
      <c r="A428" s="17" t="s">
        <v>5837</v>
      </c>
      <c r="B428" s="1" t="s">
        <v>220</v>
      </c>
      <c r="C428" s="1" t="s">
        <v>2786</v>
      </c>
      <c r="D428" s="1" t="s">
        <v>2022</v>
      </c>
      <c r="E428" s="1">
        <v>24400000</v>
      </c>
    </row>
    <row r="429" spans="1:5" ht="14.4" x14ac:dyDescent="0.3">
      <c r="A429" s="17" t="s">
        <v>5838</v>
      </c>
      <c r="B429" s="1" t="s">
        <v>86</v>
      </c>
      <c r="C429" s="1" t="s">
        <v>103</v>
      </c>
      <c r="D429" s="1" t="s">
        <v>105</v>
      </c>
      <c r="E429" s="1">
        <v>17700000</v>
      </c>
    </row>
    <row r="430" spans="1:5" ht="14.4" x14ac:dyDescent="0.3">
      <c r="A430" s="17" t="s">
        <v>5839</v>
      </c>
      <c r="B430" s="1" t="s">
        <v>241</v>
      </c>
      <c r="C430" s="1" t="s">
        <v>2478</v>
      </c>
      <c r="D430" s="1" t="s">
        <v>2625</v>
      </c>
      <c r="E430" s="1">
        <v>16400000</v>
      </c>
    </row>
    <row r="431" spans="1:5" ht="14.4" x14ac:dyDescent="0.3">
      <c r="A431" s="17" t="s">
        <v>5840</v>
      </c>
      <c r="B431" s="1" t="s">
        <v>241</v>
      </c>
      <c r="C431" s="1" t="s">
        <v>2584</v>
      </c>
      <c r="D431" s="1" t="s">
        <v>2626</v>
      </c>
      <c r="E431" s="1">
        <v>15800000</v>
      </c>
    </row>
    <row r="432" spans="1:5" ht="14.4" x14ac:dyDescent="0.3">
      <c r="A432" s="17" t="s">
        <v>5841</v>
      </c>
      <c r="B432" s="1" t="s">
        <v>241</v>
      </c>
      <c r="C432" s="1" t="s">
        <v>2478</v>
      </c>
      <c r="D432" s="1" t="s">
        <v>1565</v>
      </c>
      <c r="E432" s="1">
        <v>17300000</v>
      </c>
    </row>
    <row r="433" spans="1:5" ht="14.4" x14ac:dyDescent="0.3">
      <c r="A433" s="17" t="s">
        <v>5842</v>
      </c>
      <c r="B433" s="1" t="s">
        <v>220</v>
      </c>
      <c r="C433" s="1" t="s">
        <v>223</v>
      </c>
      <c r="D433" s="1" t="s">
        <v>1446</v>
      </c>
      <c r="E433" s="1">
        <v>22000000</v>
      </c>
    </row>
    <row r="434" spans="1:5" ht="14.4" x14ac:dyDescent="0.3">
      <c r="A434" s="17" t="s">
        <v>5843</v>
      </c>
      <c r="B434" s="1" t="s">
        <v>2493</v>
      </c>
      <c r="C434" s="1" t="s">
        <v>2574</v>
      </c>
      <c r="D434" s="1" t="s">
        <v>2477</v>
      </c>
      <c r="E434" s="1">
        <v>19800000</v>
      </c>
    </row>
    <row r="435" spans="1:5" ht="14.4" x14ac:dyDescent="0.3">
      <c r="A435" s="17" t="s">
        <v>5844</v>
      </c>
      <c r="B435" s="1" t="s">
        <v>45</v>
      </c>
      <c r="C435" s="1" t="s">
        <v>2525</v>
      </c>
      <c r="D435" s="1" t="s">
        <v>1395</v>
      </c>
      <c r="E435" s="1">
        <v>23700000</v>
      </c>
    </row>
    <row r="436" spans="1:5" ht="14.4" x14ac:dyDescent="0.3">
      <c r="A436" s="17" t="s">
        <v>5845</v>
      </c>
      <c r="B436" s="1" t="s">
        <v>241</v>
      </c>
      <c r="C436" s="1">
        <v>3008</v>
      </c>
      <c r="D436" s="1" t="s">
        <v>2647</v>
      </c>
      <c r="E436" s="1">
        <v>17000000</v>
      </c>
    </row>
    <row r="437" spans="1:5" ht="14.4" x14ac:dyDescent="0.3">
      <c r="A437" s="17" t="s">
        <v>5846</v>
      </c>
      <c r="B437" s="1" t="s">
        <v>306</v>
      </c>
      <c r="C437" s="1" t="s">
        <v>2787</v>
      </c>
      <c r="D437" s="1" t="s">
        <v>2788</v>
      </c>
      <c r="E437" s="1">
        <v>17100000</v>
      </c>
    </row>
    <row r="438" spans="1:5" ht="14.4" x14ac:dyDescent="0.3">
      <c r="A438" s="17" t="s">
        <v>5847</v>
      </c>
      <c r="B438" s="1" t="s">
        <v>220</v>
      </c>
      <c r="C438" s="1" t="s">
        <v>2682</v>
      </c>
      <c r="D438" s="1" t="s">
        <v>1368</v>
      </c>
      <c r="E438" s="1">
        <v>18500000</v>
      </c>
    </row>
    <row r="439" spans="1:5" ht="14.4" x14ac:dyDescent="0.3">
      <c r="A439" s="17" t="s">
        <v>5848</v>
      </c>
      <c r="B439" s="1" t="s">
        <v>156</v>
      </c>
      <c r="C439" s="1" t="s">
        <v>2789</v>
      </c>
      <c r="D439" s="1" t="s">
        <v>2790</v>
      </c>
      <c r="E439" s="1">
        <v>9100000</v>
      </c>
    </row>
    <row r="440" spans="1:5" ht="14.4" x14ac:dyDescent="0.3">
      <c r="A440" s="17" t="s">
        <v>5849</v>
      </c>
      <c r="B440" s="1" t="s">
        <v>241</v>
      </c>
      <c r="C440" s="1">
        <v>5008</v>
      </c>
      <c r="D440" s="1" t="s">
        <v>2791</v>
      </c>
      <c r="E440" s="1">
        <v>14200000</v>
      </c>
    </row>
    <row r="441" spans="1:5" ht="14.4" x14ac:dyDescent="0.3">
      <c r="A441" s="17" t="s">
        <v>5850</v>
      </c>
      <c r="B441" s="1" t="s">
        <v>2533</v>
      </c>
      <c r="C441" s="1" t="s">
        <v>2571</v>
      </c>
      <c r="D441" s="1" t="s">
        <v>2792</v>
      </c>
      <c r="E441" s="1">
        <v>9000000</v>
      </c>
    </row>
    <row r="442" spans="1:5" ht="14.4" x14ac:dyDescent="0.3">
      <c r="A442" s="17" t="s">
        <v>5851</v>
      </c>
      <c r="B442" s="1" t="s">
        <v>86</v>
      </c>
      <c r="C442" s="1" t="s">
        <v>2793</v>
      </c>
      <c r="D442" s="1" t="s">
        <v>2794</v>
      </c>
      <c r="E442" s="1">
        <v>16300000</v>
      </c>
    </row>
    <row r="443" spans="1:5" ht="14.4" x14ac:dyDescent="0.3">
      <c r="A443" s="17" t="s">
        <v>5852</v>
      </c>
      <c r="B443" s="1" t="s">
        <v>86</v>
      </c>
      <c r="C443" s="1" t="s">
        <v>122</v>
      </c>
      <c r="D443" s="1" t="s">
        <v>2795</v>
      </c>
      <c r="E443" s="1">
        <v>18000000</v>
      </c>
    </row>
    <row r="444" spans="1:5" ht="14.4" x14ac:dyDescent="0.3">
      <c r="A444" s="17" t="s">
        <v>5853</v>
      </c>
      <c r="B444" s="1" t="s">
        <v>2796</v>
      </c>
      <c r="C444" s="1" t="s">
        <v>2797</v>
      </c>
      <c r="D444" s="1" t="s">
        <v>2798</v>
      </c>
      <c r="E444" s="1">
        <v>20800000</v>
      </c>
    </row>
    <row r="445" spans="1:5" ht="14.4" x14ac:dyDescent="0.3">
      <c r="A445" s="17" t="s">
        <v>5854</v>
      </c>
      <c r="B445" s="1" t="s">
        <v>2796</v>
      </c>
      <c r="C445" s="1" t="s">
        <v>2797</v>
      </c>
      <c r="D445" s="1" t="s">
        <v>2477</v>
      </c>
      <c r="E445" s="1">
        <v>20800000</v>
      </c>
    </row>
    <row r="446" spans="1:5" ht="14.4" x14ac:dyDescent="0.3">
      <c r="A446" s="17" t="s">
        <v>5855</v>
      </c>
      <c r="B446" s="1" t="s">
        <v>86</v>
      </c>
      <c r="C446" s="1" t="s">
        <v>134</v>
      </c>
      <c r="D446" s="1" t="s">
        <v>2799</v>
      </c>
      <c r="E446" s="1">
        <v>13900000</v>
      </c>
    </row>
    <row r="447" spans="1:5" ht="14.4" x14ac:dyDescent="0.3">
      <c r="A447" s="17" t="s">
        <v>5856</v>
      </c>
      <c r="B447" s="1" t="s">
        <v>86</v>
      </c>
      <c r="C447" s="1" t="s">
        <v>134</v>
      </c>
      <c r="D447" s="1" t="s">
        <v>2800</v>
      </c>
      <c r="E447" s="1">
        <v>12600000</v>
      </c>
    </row>
    <row r="448" spans="1:5" ht="14.4" x14ac:dyDescent="0.3">
      <c r="A448" s="17" t="s">
        <v>5857</v>
      </c>
      <c r="B448" s="1" t="s">
        <v>86</v>
      </c>
      <c r="C448" s="1" t="s">
        <v>2556</v>
      </c>
      <c r="D448" s="1" t="s">
        <v>2801</v>
      </c>
      <c r="E448" s="1">
        <v>17800000</v>
      </c>
    </row>
    <row r="449" spans="1:5" ht="14.4" x14ac:dyDescent="0.3">
      <c r="A449" s="17" t="s">
        <v>5858</v>
      </c>
      <c r="B449" s="1" t="s">
        <v>2498</v>
      </c>
      <c r="C449" s="1" t="s">
        <v>199</v>
      </c>
      <c r="D449" s="1" t="s">
        <v>501</v>
      </c>
      <c r="E449" s="1">
        <v>18700000</v>
      </c>
    </row>
    <row r="450" spans="1:5" ht="14.4" x14ac:dyDescent="0.3">
      <c r="A450" s="17" t="s">
        <v>5859</v>
      </c>
      <c r="B450" s="1" t="s">
        <v>220</v>
      </c>
      <c r="C450" s="1" t="s">
        <v>2682</v>
      </c>
      <c r="D450" s="1" t="s">
        <v>495</v>
      </c>
      <c r="E450" s="1">
        <v>19900000</v>
      </c>
    </row>
    <row r="451" spans="1:5" ht="14.4" x14ac:dyDescent="0.3">
      <c r="A451" s="17" t="s">
        <v>5860</v>
      </c>
      <c r="B451" s="1" t="s">
        <v>86</v>
      </c>
      <c r="C451" s="1" t="s">
        <v>134</v>
      </c>
      <c r="D451" s="1" t="s">
        <v>2802</v>
      </c>
      <c r="E451" s="1">
        <v>13200000</v>
      </c>
    </row>
    <row r="452" spans="1:5" ht="14.4" x14ac:dyDescent="0.3">
      <c r="A452" s="17" t="s">
        <v>5861</v>
      </c>
      <c r="B452" s="1" t="s">
        <v>2498</v>
      </c>
      <c r="C452" s="1" t="s">
        <v>199</v>
      </c>
      <c r="D452" s="1" t="s">
        <v>2803</v>
      </c>
      <c r="E452" s="1">
        <v>23300000</v>
      </c>
    </row>
    <row r="453" spans="1:5" ht="14.4" x14ac:dyDescent="0.3">
      <c r="A453" s="17" t="s">
        <v>5862</v>
      </c>
      <c r="B453" s="1" t="s">
        <v>214</v>
      </c>
      <c r="C453" s="1" t="s">
        <v>2804</v>
      </c>
      <c r="D453" s="1" t="s">
        <v>2805</v>
      </c>
      <c r="E453" s="1">
        <v>29300000</v>
      </c>
    </row>
    <row r="454" spans="1:5" ht="14.4" x14ac:dyDescent="0.3">
      <c r="A454" s="17" t="s">
        <v>5863</v>
      </c>
      <c r="B454" s="1" t="s">
        <v>207</v>
      </c>
      <c r="C454" s="1" t="s">
        <v>2806</v>
      </c>
      <c r="D454" s="1" t="s">
        <v>2807</v>
      </c>
      <c r="E454" s="1">
        <v>18700000</v>
      </c>
    </row>
    <row r="455" spans="1:5" ht="14.4" x14ac:dyDescent="0.3">
      <c r="A455" s="17" t="s">
        <v>5864</v>
      </c>
      <c r="B455" s="1" t="s">
        <v>278</v>
      </c>
      <c r="C455" s="1" t="s">
        <v>2530</v>
      </c>
      <c r="D455" s="1" t="s">
        <v>421</v>
      </c>
      <c r="E455" s="1">
        <v>31600000</v>
      </c>
    </row>
    <row r="456" spans="1:5" ht="14.4" x14ac:dyDescent="0.3">
      <c r="A456" s="17" t="s">
        <v>5865</v>
      </c>
      <c r="B456" s="1" t="s">
        <v>2498</v>
      </c>
      <c r="C456" s="1" t="s">
        <v>2664</v>
      </c>
      <c r="D456" s="1" t="s">
        <v>507</v>
      </c>
      <c r="E456" s="1">
        <v>12800000</v>
      </c>
    </row>
    <row r="457" spans="1:5" ht="14.4" x14ac:dyDescent="0.3">
      <c r="A457" s="17" t="s">
        <v>5866</v>
      </c>
      <c r="B457" s="1" t="s">
        <v>2545</v>
      </c>
      <c r="C457" s="1" t="s">
        <v>2808</v>
      </c>
      <c r="D457" s="1" t="s">
        <v>2809</v>
      </c>
      <c r="E457" s="1">
        <v>19600000</v>
      </c>
    </row>
    <row r="458" spans="1:5" ht="14.4" x14ac:dyDescent="0.3">
      <c r="A458" s="17" t="s">
        <v>5867</v>
      </c>
      <c r="B458" s="1" t="s">
        <v>167</v>
      </c>
      <c r="C458" s="1" t="s">
        <v>168</v>
      </c>
      <c r="D458" s="1" t="s">
        <v>2810</v>
      </c>
      <c r="E458" s="1">
        <v>9200000</v>
      </c>
    </row>
    <row r="459" spans="1:5" ht="14.4" x14ac:dyDescent="0.3">
      <c r="A459" s="17" t="s">
        <v>5868</v>
      </c>
      <c r="B459" s="1" t="s">
        <v>2494</v>
      </c>
      <c r="C459" s="1" t="s">
        <v>2811</v>
      </c>
      <c r="D459" s="1" t="s">
        <v>448</v>
      </c>
      <c r="E459" s="1">
        <v>13200000</v>
      </c>
    </row>
    <row r="460" spans="1:5" ht="14.4" x14ac:dyDescent="0.3">
      <c r="A460" s="17" t="s">
        <v>5869</v>
      </c>
      <c r="B460" s="1" t="s">
        <v>28</v>
      </c>
      <c r="C460" s="1" t="s">
        <v>2496</v>
      </c>
      <c r="D460" s="1" t="s">
        <v>451</v>
      </c>
      <c r="E460" s="1">
        <v>9000000</v>
      </c>
    </row>
    <row r="461" spans="1:5" ht="14.4" x14ac:dyDescent="0.3">
      <c r="A461" s="17" t="s">
        <v>5870</v>
      </c>
      <c r="B461" s="1" t="s">
        <v>2533</v>
      </c>
      <c r="C461" s="1" t="s">
        <v>2582</v>
      </c>
      <c r="D461" s="1" t="s">
        <v>2812</v>
      </c>
      <c r="E461" s="1">
        <v>7080000</v>
      </c>
    </row>
    <row r="462" spans="1:5" ht="14.4" x14ac:dyDescent="0.3">
      <c r="A462" s="17" t="s">
        <v>5871</v>
      </c>
      <c r="B462" s="1" t="s">
        <v>167</v>
      </c>
      <c r="C462" s="1" t="s">
        <v>2529</v>
      </c>
      <c r="D462" s="1" t="s">
        <v>2477</v>
      </c>
      <c r="E462" s="1">
        <v>8200000</v>
      </c>
    </row>
    <row r="463" spans="1:5" ht="14.4" x14ac:dyDescent="0.3">
      <c r="A463" s="17" t="s">
        <v>5872</v>
      </c>
      <c r="B463" s="1" t="s">
        <v>241</v>
      </c>
      <c r="C463" s="1" t="s">
        <v>269</v>
      </c>
      <c r="D463" s="1" t="s">
        <v>2477</v>
      </c>
      <c r="E463" s="1">
        <v>25600000</v>
      </c>
    </row>
    <row r="464" spans="1:5" ht="14.4" x14ac:dyDescent="0.3">
      <c r="A464" s="17" t="s">
        <v>5873</v>
      </c>
      <c r="B464" s="1" t="s">
        <v>167</v>
      </c>
      <c r="C464" s="1" t="s">
        <v>2532</v>
      </c>
      <c r="D464" s="1" t="s">
        <v>2477</v>
      </c>
      <c r="E464" s="1">
        <v>16800000</v>
      </c>
    </row>
    <row r="465" spans="1:5" ht="14.4" x14ac:dyDescent="0.3">
      <c r="A465" s="17" t="s">
        <v>5874</v>
      </c>
      <c r="B465" s="1" t="s">
        <v>2521</v>
      </c>
      <c r="C465" s="1" t="s">
        <v>2522</v>
      </c>
      <c r="D465" s="1" t="s">
        <v>2813</v>
      </c>
      <c r="E465" s="1">
        <v>22200000</v>
      </c>
    </row>
    <row r="466" spans="1:5" ht="14.4" x14ac:dyDescent="0.3">
      <c r="A466" s="17" t="s">
        <v>5875</v>
      </c>
      <c r="B466" s="1" t="s">
        <v>156</v>
      </c>
      <c r="C466" s="1" t="s">
        <v>2713</v>
      </c>
      <c r="D466" s="1" t="s">
        <v>2814</v>
      </c>
      <c r="E466" s="1">
        <v>7970000</v>
      </c>
    </row>
    <row r="467" spans="1:5" ht="14.4" x14ac:dyDescent="0.3">
      <c r="A467" s="17" t="s">
        <v>5876</v>
      </c>
      <c r="B467" s="1" t="s">
        <v>45</v>
      </c>
      <c r="C467" s="1" t="s">
        <v>49</v>
      </c>
      <c r="D467" s="1" t="s">
        <v>2815</v>
      </c>
      <c r="E467" s="1">
        <v>33600000</v>
      </c>
    </row>
    <row r="468" spans="1:5" ht="14.4" x14ac:dyDescent="0.3">
      <c r="A468" s="17" t="s">
        <v>5877</v>
      </c>
      <c r="B468" s="1" t="s">
        <v>2816</v>
      </c>
      <c r="C468" s="1" t="s">
        <v>2817</v>
      </c>
      <c r="D468" s="1" t="s">
        <v>2818</v>
      </c>
      <c r="E468" s="1">
        <v>10000000</v>
      </c>
    </row>
    <row r="469" spans="1:5" ht="14.4" x14ac:dyDescent="0.3">
      <c r="A469" s="17" t="s">
        <v>5878</v>
      </c>
      <c r="B469" s="1" t="s">
        <v>241</v>
      </c>
      <c r="C469" s="1" t="s">
        <v>2478</v>
      </c>
      <c r="D469" s="1" t="s">
        <v>2625</v>
      </c>
      <c r="E469" s="1">
        <v>16200000</v>
      </c>
    </row>
    <row r="470" spans="1:5" ht="14.4" x14ac:dyDescent="0.3">
      <c r="A470" s="17" t="s">
        <v>5879</v>
      </c>
      <c r="B470" s="1" t="s">
        <v>241</v>
      </c>
      <c r="C470" s="1">
        <v>2008</v>
      </c>
      <c r="D470" s="1" t="s">
        <v>2624</v>
      </c>
      <c r="E470" s="1">
        <v>16100000</v>
      </c>
    </row>
    <row r="471" spans="1:5" ht="14.4" x14ac:dyDescent="0.3">
      <c r="A471" s="17" t="s">
        <v>5880</v>
      </c>
      <c r="B471" s="1" t="s">
        <v>241</v>
      </c>
      <c r="C471" s="1" t="s">
        <v>2621</v>
      </c>
      <c r="D471" s="1" t="s">
        <v>2622</v>
      </c>
      <c r="E471" s="1">
        <v>22700000</v>
      </c>
    </row>
    <row r="472" spans="1:5" ht="14.4" x14ac:dyDescent="0.3">
      <c r="A472" s="17" t="s">
        <v>5881</v>
      </c>
      <c r="B472" s="1" t="s">
        <v>241</v>
      </c>
      <c r="C472" s="1" t="s">
        <v>269</v>
      </c>
      <c r="D472" s="1" t="s">
        <v>2623</v>
      </c>
      <c r="E472" s="1">
        <v>25800000</v>
      </c>
    </row>
    <row r="473" spans="1:5" ht="14.4" x14ac:dyDescent="0.3">
      <c r="A473" s="17" t="s">
        <v>5882</v>
      </c>
      <c r="B473" s="1" t="s">
        <v>220</v>
      </c>
      <c r="C473" s="1" t="s">
        <v>223</v>
      </c>
      <c r="D473" s="1" t="s">
        <v>2620</v>
      </c>
      <c r="E473" s="1">
        <v>20400000</v>
      </c>
    </row>
    <row r="474" spans="1:5" ht="14.4" x14ac:dyDescent="0.3">
      <c r="A474" s="17" t="s">
        <v>5883</v>
      </c>
      <c r="B474" s="1" t="s">
        <v>241</v>
      </c>
      <c r="C474" s="1">
        <v>3008</v>
      </c>
      <c r="D474" s="1" t="s">
        <v>2619</v>
      </c>
      <c r="E474" s="1">
        <v>17600000</v>
      </c>
    </row>
    <row r="475" spans="1:5" ht="14.4" x14ac:dyDescent="0.3">
      <c r="A475" s="17" t="s">
        <v>5884</v>
      </c>
      <c r="B475" s="1" t="s">
        <v>306</v>
      </c>
      <c r="C475" s="1" t="s">
        <v>2491</v>
      </c>
      <c r="D475" s="1" t="s">
        <v>2819</v>
      </c>
      <c r="E475" s="1">
        <v>16100000</v>
      </c>
    </row>
    <row r="476" spans="1:5" ht="14.4" x14ac:dyDescent="0.3">
      <c r="A476" s="17" t="s">
        <v>5885</v>
      </c>
      <c r="B476" s="1" t="s">
        <v>241</v>
      </c>
      <c r="C476" s="1" t="s">
        <v>2584</v>
      </c>
      <c r="D476" s="1" t="s">
        <v>443</v>
      </c>
      <c r="E476" s="1">
        <v>14300000</v>
      </c>
    </row>
    <row r="477" spans="1:5" ht="14.4" x14ac:dyDescent="0.3">
      <c r="A477" s="17" t="s">
        <v>5886</v>
      </c>
      <c r="B477" s="1" t="s">
        <v>18</v>
      </c>
      <c r="C477" s="1" t="s">
        <v>2820</v>
      </c>
      <c r="D477" s="1" t="s">
        <v>2821</v>
      </c>
      <c r="E477" s="1">
        <v>20200000</v>
      </c>
    </row>
    <row r="478" spans="1:5" ht="14.4" x14ac:dyDescent="0.3">
      <c r="A478" s="17" t="s">
        <v>5887</v>
      </c>
      <c r="B478" s="1" t="s">
        <v>241</v>
      </c>
      <c r="C478" s="1">
        <v>3008</v>
      </c>
      <c r="D478" s="1" t="s">
        <v>2619</v>
      </c>
      <c r="E478" s="1">
        <v>17600000</v>
      </c>
    </row>
    <row r="479" spans="1:5" ht="14.4" x14ac:dyDescent="0.3">
      <c r="A479" s="17" t="s">
        <v>5888</v>
      </c>
      <c r="B479" s="1" t="s">
        <v>241</v>
      </c>
      <c r="C479" s="1" t="s">
        <v>269</v>
      </c>
      <c r="D479" s="1" t="s">
        <v>2618</v>
      </c>
      <c r="E479" s="1">
        <v>21100000</v>
      </c>
    </row>
    <row r="480" spans="1:5" ht="14.4" x14ac:dyDescent="0.3">
      <c r="A480" s="17" t="s">
        <v>5889</v>
      </c>
      <c r="B480" s="1" t="s">
        <v>241</v>
      </c>
      <c r="C480" s="1">
        <v>3008</v>
      </c>
      <c r="D480" s="1" t="s">
        <v>2617</v>
      </c>
      <c r="E480" s="1">
        <v>29500000</v>
      </c>
    </row>
    <row r="481" spans="1:5" ht="14.4" x14ac:dyDescent="0.3">
      <c r="A481" s="17" t="s">
        <v>5890</v>
      </c>
      <c r="B481" s="1" t="s">
        <v>241</v>
      </c>
      <c r="C481" s="1">
        <v>2008</v>
      </c>
      <c r="D481" s="1" t="s">
        <v>2616</v>
      </c>
      <c r="E481" s="1">
        <v>14900000</v>
      </c>
    </row>
    <row r="482" spans="1:5" ht="14.4" x14ac:dyDescent="0.3">
      <c r="A482" s="17" t="s">
        <v>5891</v>
      </c>
      <c r="B482" s="1" t="s">
        <v>241</v>
      </c>
      <c r="C482" s="1">
        <v>3008</v>
      </c>
      <c r="D482" s="1" t="s">
        <v>2615</v>
      </c>
      <c r="E482" s="1">
        <v>24500000</v>
      </c>
    </row>
    <row r="483" spans="1:5" ht="14.4" x14ac:dyDescent="0.3">
      <c r="A483" s="17" t="s">
        <v>5892</v>
      </c>
      <c r="B483" s="1" t="s">
        <v>241</v>
      </c>
      <c r="C483" s="1" t="s">
        <v>269</v>
      </c>
      <c r="D483" s="1" t="s">
        <v>2614</v>
      </c>
      <c r="E483" s="1">
        <v>25800000</v>
      </c>
    </row>
    <row r="484" spans="1:5" ht="14.4" x14ac:dyDescent="0.3">
      <c r="A484" s="17" t="s">
        <v>5893</v>
      </c>
      <c r="B484" s="1" t="s">
        <v>241</v>
      </c>
      <c r="C484" s="1" t="s">
        <v>2478</v>
      </c>
      <c r="D484" s="1" t="s">
        <v>2613</v>
      </c>
      <c r="E484" s="1">
        <v>15200000</v>
      </c>
    </row>
    <row r="485" spans="1:5" ht="14.4" x14ac:dyDescent="0.3">
      <c r="A485" s="17" t="s">
        <v>5894</v>
      </c>
      <c r="B485" s="1" t="s">
        <v>167</v>
      </c>
      <c r="C485" s="1" t="s">
        <v>2529</v>
      </c>
      <c r="D485" s="1" t="s">
        <v>453</v>
      </c>
      <c r="E485" s="1">
        <v>8200000</v>
      </c>
    </row>
    <row r="486" spans="1:5" ht="14.4" x14ac:dyDescent="0.3">
      <c r="A486" s="17" t="s">
        <v>5895</v>
      </c>
      <c r="B486" s="1" t="s">
        <v>45</v>
      </c>
      <c r="C486" s="1" t="s">
        <v>2822</v>
      </c>
      <c r="D486" s="1" t="s">
        <v>2823</v>
      </c>
      <c r="E486" s="1">
        <v>7730000</v>
      </c>
    </row>
    <row r="487" spans="1:5" ht="14.4" x14ac:dyDescent="0.3">
      <c r="A487" s="17" t="s">
        <v>5896</v>
      </c>
      <c r="B487" s="1" t="s">
        <v>2521</v>
      </c>
      <c r="C487" s="1" t="s">
        <v>2522</v>
      </c>
      <c r="D487" s="1" t="s">
        <v>426</v>
      </c>
      <c r="E487" s="1">
        <v>19300000</v>
      </c>
    </row>
    <row r="488" spans="1:5" ht="14.4" x14ac:dyDescent="0.3">
      <c r="A488" s="17" t="s">
        <v>5897</v>
      </c>
      <c r="B488" s="1" t="s">
        <v>241</v>
      </c>
      <c r="C488" s="1" t="s">
        <v>269</v>
      </c>
      <c r="D488" s="1" t="s">
        <v>2477</v>
      </c>
      <c r="E488" s="1">
        <v>25600000</v>
      </c>
    </row>
    <row r="489" spans="1:5" ht="14.4" x14ac:dyDescent="0.3">
      <c r="A489" s="17" t="s">
        <v>5898</v>
      </c>
      <c r="B489" s="1" t="s">
        <v>142</v>
      </c>
      <c r="C489" s="1" t="s">
        <v>2824</v>
      </c>
      <c r="D489" s="1" t="s">
        <v>422</v>
      </c>
      <c r="E489" s="1">
        <v>6970000</v>
      </c>
    </row>
    <row r="490" spans="1:5" ht="14.4" x14ac:dyDescent="0.3">
      <c r="A490" s="17" t="s">
        <v>5899</v>
      </c>
      <c r="B490" s="1" t="s">
        <v>45</v>
      </c>
      <c r="C490" s="1" t="s">
        <v>2825</v>
      </c>
      <c r="D490" s="1" t="s">
        <v>2477</v>
      </c>
      <c r="E490" s="1">
        <v>7890000</v>
      </c>
    </row>
    <row r="491" spans="1:5" ht="14.4" x14ac:dyDescent="0.3">
      <c r="A491" s="17" t="s">
        <v>5900</v>
      </c>
      <c r="B491" s="1" t="s">
        <v>86</v>
      </c>
      <c r="C491" s="1" t="s">
        <v>2826</v>
      </c>
      <c r="D491" s="1" t="s">
        <v>100</v>
      </c>
      <c r="E491" s="1">
        <v>22100000</v>
      </c>
    </row>
    <row r="492" spans="1:5" ht="14.4" x14ac:dyDescent="0.3">
      <c r="A492" s="17" t="s">
        <v>5901</v>
      </c>
      <c r="B492" s="1" t="s">
        <v>142</v>
      </c>
      <c r="C492" s="1" t="s">
        <v>145</v>
      </c>
      <c r="D492" s="1" t="s">
        <v>2827</v>
      </c>
      <c r="E492" s="1">
        <v>17100000</v>
      </c>
    </row>
    <row r="493" spans="1:5" ht="14.4" x14ac:dyDescent="0.3">
      <c r="A493" s="17" t="s">
        <v>5902</v>
      </c>
      <c r="B493" s="1" t="s">
        <v>220</v>
      </c>
      <c r="C493" s="1" t="s">
        <v>2569</v>
      </c>
      <c r="D493" s="1" t="s">
        <v>447</v>
      </c>
      <c r="E493" s="1">
        <v>10600000</v>
      </c>
    </row>
    <row r="494" spans="1:5" ht="14.4" x14ac:dyDescent="0.3">
      <c r="A494" s="17" t="s">
        <v>5903</v>
      </c>
      <c r="B494" s="1" t="s">
        <v>2498</v>
      </c>
      <c r="C494" s="1" t="s">
        <v>199</v>
      </c>
      <c r="D494" s="1" t="s">
        <v>2828</v>
      </c>
      <c r="E494" s="1">
        <v>19600000</v>
      </c>
    </row>
    <row r="495" spans="1:5" ht="14.4" x14ac:dyDescent="0.3">
      <c r="A495" s="17" t="s">
        <v>5904</v>
      </c>
      <c r="B495" s="1" t="s">
        <v>2498</v>
      </c>
      <c r="C495" s="1" t="s">
        <v>199</v>
      </c>
      <c r="D495" s="1" t="s">
        <v>2829</v>
      </c>
      <c r="E495" s="1">
        <v>20000000</v>
      </c>
    </row>
    <row r="496" spans="1:5" ht="14.4" x14ac:dyDescent="0.3">
      <c r="A496" s="17" t="s">
        <v>5905</v>
      </c>
      <c r="B496" s="1" t="s">
        <v>86</v>
      </c>
      <c r="C496" s="1" t="s">
        <v>2507</v>
      </c>
      <c r="D496" s="1" t="s">
        <v>2477</v>
      </c>
      <c r="E496" s="1">
        <v>35000000</v>
      </c>
    </row>
    <row r="497" spans="1:5" ht="14.4" x14ac:dyDescent="0.3">
      <c r="A497" s="17" t="s">
        <v>5906</v>
      </c>
      <c r="B497" s="1" t="s">
        <v>2498</v>
      </c>
      <c r="C497" s="1" t="s">
        <v>2830</v>
      </c>
      <c r="D497" s="1" t="s">
        <v>427</v>
      </c>
      <c r="E497" s="1">
        <v>15500000</v>
      </c>
    </row>
    <row r="498" spans="1:5" ht="14.4" x14ac:dyDescent="0.3">
      <c r="A498" s="17" t="s">
        <v>5907</v>
      </c>
      <c r="B498" s="1" t="s">
        <v>2521</v>
      </c>
      <c r="C498" s="1" t="s">
        <v>2543</v>
      </c>
      <c r="D498" s="1" t="s">
        <v>2831</v>
      </c>
      <c r="E498" s="1">
        <v>11300000</v>
      </c>
    </row>
    <row r="499" spans="1:5" ht="14.4" x14ac:dyDescent="0.3">
      <c r="A499" s="17" t="s">
        <v>5908</v>
      </c>
      <c r="B499" s="1" t="s">
        <v>2517</v>
      </c>
      <c r="C499" s="1" t="s">
        <v>2688</v>
      </c>
      <c r="D499" s="1" t="s">
        <v>2832</v>
      </c>
      <c r="E499" s="1">
        <v>8700000</v>
      </c>
    </row>
    <row r="500" spans="1:5" ht="14.4" x14ac:dyDescent="0.3">
      <c r="A500" s="17" t="s">
        <v>5909</v>
      </c>
      <c r="B500" s="1" t="s">
        <v>2498</v>
      </c>
      <c r="C500" s="1" t="s">
        <v>2833</v>
      </c>
      <c r="D500" s="1" t="s">
        <v>198</v>
      </c>
      <c r="E500" s="1">
        <v>34600000</v>
      </c>
    </row>
    <row r="501" spans="1:5" ht="14.4" x14ac:dyDescent="0.3">
      <c r="A501" s="17" t="s">
        <v>5910</v>
      </c>
      <c r="B501" s="1" t="s">
        <v>45</v>
      </c>
      <c r="C501" s="1" t="s">
        <v>46</v>
      </c>
      <c r="D501" s="1" t="s">
        <v>2834</v>
      </c>
      <c r="E501" s="1">
        <v>12400000</v>
      </c>
    </row>
    <row r="502" spans="1:5" ht="14.4" x14ac:dyDescent="0.3">
      <c r="A502" s="17" t="s">
        <v>5911</v>
      </c>
      <c r="B502" s="1" t="s">
        <v>288</v>
      </c>
      <c r="C502" s="1" t="s">
        <v>2835</v>
      </c>
      <c r="D502" s="1" t="s">
        <v>2836</v>
      </c>
      <c r="E502" s="1">
        <v>12400000</v>
      </c>
    </row>
    <row r="503" spans="1:5" ht="14.4" x14ac:dyDescent="0.3">
      <c r="A503" s="17" t="s">
        <v>5912</v>
      </c>
      <c r="B503" s="1" t="s">
        <v>2498</v>
      </c>
      <c r="C503" s="1" t="s">
        <v>193</v>
      </c>
      <c r="D503" s="1" t="s">
        <v>440</v>
      </c>
      <c r="E503" s="1">
        <v>12800000</v>
      </c>
    </row>
    <row r="504" spans="1:5" ht="14.4" x14ac:dyDescent="0.3">
      <c r="A504" s="17" t="s">
        <v>5913</v>
      </c>
      <c r="B504" s="1" t="s">
        <v>60</v>
      </c>
      <c r="C504" s="1" t="s">
        <v>2837</v>
      </c>
      <c r="D504" s="1" t="s">
        <v>445</v>
      </c>
      <c r="E504" s="1">
        <v>6150000</v>
      </c>
    </row>
    <row r="505" spans="1:5" ht="14.4" x14ac:dyDescent="0.3">
      <c r="A505" s="17" t="s">
        <v>5914</v>
      </c>
      <c r="B505" s="1" t="s">
        <v>86</v>
      </c>
      <c r="C505" s="1" t="s">
        <v>2826</v>
      </c>
      <c r="D505" s="1" t="s">
        <v>2838</v>
      </c>
      <c r="E505" s="1">
        <v>20800000</v>
      </c>
    </row>
    <row r="506" spans="1:5" ht="14.4" x14ac:dyDescent="0.3">
      <c r="A506" s="17" t="s">
        <v>5915</v>
      </c>
      <c r="B506" s="1" t="s">
        <v>86</v>
      </c>
      <c r="C506" s="1" t="s">
        <v>134</v>
      </c>
      <c r="D506" s="1" t="s">
        <v>2839</v>
      </c>
      <c r="E506" s="1">
        <v>13400000</v>
      </c>
    </row>
    <row r="507" spans="1:5" ht="14.4" x14ac:dyDescent="0.3">
      <c r="A507" s="17" t="s">
        <v>5916</v>
      </c>
      <c r="B507" s="1" t="s">
        <v>207</v>
      </c>
      <c r="C507" s="1" t="s">
        <v>2840</v>
      </c>
      <c r="D507" s="1" t="s">
        <v>2841</v>
      </c>
      <c r="E507" s="1">
        <v>14700000</v>
      </c>
    </row>
    <row r="508" spans="1:5" ht="14.4" x14ac:dyDescent="0.3">
      <c r="A508" s="17" t="s">
        <v>5917</v>
      </c>
      <c r="B508" s="1" t="s">
        <v>2498</v>
      </c>
      <c r="C508" s="1" t="s">
        <v>2833</v>
      </c>
      <c r="D508" s="1" t="s">
        <v>2842</v>
      </c>
      <c r="E508" s="1">
        <v>36000000</v>
      </c>
    </row>
    <row r="509" spans="1:5" ht="14.4" x14ac:dyDescent="0.3">
      <c r="A509" s="17" t="s">
        <v>5918</v>
      </c>
      <c r="B509" s="1" t="s">
        <v>207</v>
      </c>
      <c r="C509" s="1" t="s">
        <v>2843</v>
      </c>
      <c r="D509" s="1" t="s">
        <v>2844</v>
      </c>
      <c r="E509" s="1">
        <v>28300000</v>
      </c>
    </row>
    <row r="510" spans="1:5" ht="14.4" x14ac:dyDescent="0.3">
      <c r="A510" s="17" t="s">
        <v>5919</v>
      </c>
      <c r="B510" s="1" t="s">
        <v>147</v>
      </c>
      <c r="C510" s="1" t="s">
        <v>2845</v>
      </c>
      <c r="D510" s="1" t="s">
        <v>2846</v>
      </c>
      <c r="E510" s="1">
        <v>14500000</v>
      </c>
    </row>
    <row r="511" spans="1:5" ht="14.4" x14ac:dyDescent="0.3">
      <c r="A511" s="17" t="s">
        <v>5920</v>
      </c>
      <c r="B511" s="1" t="s">
        <v>278</v>
      </c>
      <c r="C511" s="1" t="s">
        <v>285</v>
      </c>
      <c r="D511" s="1" t="s">
        <v>284</v>
      </c>
      <c r="E511" s="1">
        <v>31700000</v>
      </c>
    </row>
    <row r="512" spans="1:5" ht="14.4" x14ac:dyDescent="0.3">
      <c r="A512" s="17" t="s">
        <v>5921</v>
      </c>
      <c r="B512" s="1" t="s">
        <v>156</v>
      </c>
      <c r="C512" s="1" t="s">
        <v>2595</v>
      </c>
      <c r="D512" s="1" t="s">
        <v>444</v>
      </c>
      <c r="E512" s="1">
        <v>7080000</v>
      </c>
    </row>
    <row r="513" spans="1:5" ht="14.4" x14ac:dyDescent="0.3">
      <c r="A513" s="17" t="s">
        <v>5922</v>
      </c>
      <c r="B513" s="1" t="s">
        <v>288</v>
      </c>
      <c r="C513" s="1" t="s">
        <v>2847</v>
      </c>
      <c r="D513" s="1" t="s">
        <v>2848</v>
      </c>
      <c r="E513" s="1">
        <v>7840000</v>
      </c>
    </row>
    <row r="514" spans="1:5" ht="14.4" x14ac:dyDescent="0.3">
      <c r="A514" s="17" t="s">
        <v>5923</v>
      </c>
      <c r="B514" s="1" t="s">
        <v>86</v>
      </c>
      <c r="C514" s="1" t="s">
        <v>111</v>
      </c>
      <c r="D514" s="1" t="s">
        <v>114</v>
      </c>
      <c r="E514" s="1">
        <v>32800000</v>
      </c>
    </row>
    <row r="515" spans="1:5" ht="14.4" x14ac:dyDescent="0.3">
      <c r="A515" s="17" t="s">
        <v>5924</v>
      </c>
      <c r="B515" s="1" t="s">
        <v>278</v>
      </c>
      <c r="C515" s="1" t="s">
        <v>2530</v>
      </c>
      <c r="D515" s="1" t="s">
        <v>421</v>
      </c>
      <c r="E515" s="1">
        <v>32500000</v>
      </c>
    </row>
    <row r="516" spans="1:5" ht="14.4" x14ac:dyDescent="0.3">
      <c r="A516" s="17" t="s">
        <v>5925</v>
      </c>
      <c r="B516" s="1" t="s">
        <v>220</v>
      </c>
      <c r="C516" s="1" t="s">
        <v>2762</v>
      </c>
      <c r="D516" s="1" t="s">
        <v>2849</v>
      </c>
      <c r="E516" s="1">
        <v>15500000</v>
      </c>
    </row>
    <row r="517" spans="1:5" ht="14.4" x14ac:dyDescent="0.3">
      <c r="A517" s="17" t="s">
        <v>5926</v>
      </c>
      <c r="B517" s="1" t="s">
        <v>241</v>
      </c>
      <c r="C517" s="1" t="s">
        <v>2484</v>
      </c>
      <c r="D517" s="1" t="s">
        <v>2850</v>
      </c>
      <c r="E517" s="1">
        <v>11600000</v>
      </c>
    </row>
    <row r="518" spans="1:5" ht="14.4" x14ac:dyDescent="0.3">
      <c r="A518" s="17" t="s">
        <v>5927</v>
      </c>
      <c r="B518" s="1" t="s">
        <v>241</v>
      </c>
      <c r="C518" s="1" t="s">
        <v>2484</v>
      </c>
      <c r="D518" s="1" t="s">
        <v>2850</v>
      </c>
      <c r="E518" s="1">
        <v>11600000</v>
      </c>
    </row>
    <row r="519" spans="1:5" ht="14.4" x14ac:dyDescent="0.3">
      <c r="A519" s="17" t="s">
        <v>5928</v>
      </c>
      <c r="B519" s="1" t="s">
        <v>241</v>
      </c>
      <c r="C519" s="1" t="s">
        <v>269</v>
      </c>
      <c r="D519" s="1" t="s">
        <v>738</v>
      </c>
      <c r="E519" s="1">
        <v>17600000</v>
      </c>
    </row>
    <row r="520" spans="1:5" ht="14.4" x14ac:dyDescent="0.3">
      <c r="A520" s="17" t="s">
        <v>5929</v>
      </c>
      <c r="B520" s="1" t="s">
        <v>2549</v>
      </c>
      <c r="C520" s="1" t="s">
        <v>2550</v>
      </c>
      <c r="D520" s="1" t="s">
        <v>2612</v>
      </c>
      <c r="E520" s="1">
        <v>19400000</v>
      </c>
    </row>
    <row r="521" spans="1:5" ht="14.4" x14ac:dyDescent="0.3">
      <c r="A521" s="17" t="s">
        <v>5930</v>
      </c>
      <c r="B521" s="1" t="s">
        <v>241</v>
      </c>
      <c r="C521" s="1">
        <v>3008</v>
      </c>
      <c r="D521" s="1" t="s">
        <v>2605</v>
      </c>
      <c r="E521" s="1">
        <v>17500000</v>
      </c>
    </row>
    <row r="522" spans="1:5" ht="14.4" x14ac:dyDescent="0.3">
      <c r="A522" s="17" t="s">
        <v>5931</v>
      </c>
      <c r="B522" s="1" t="s">
        <v>241</v>
      </c>
      <c r="C522" s="1" t="s">
        <v>276</v>
      </c>
      <c r="D522" s="1" t="s">
        <v>2594</v>
      </c>
      <c r="E522" s="1">
        <v>16300000</v>
      </c>
    </row>
    <row r="523" spans="1:5" ht="14.4" x14ac:dyDescent="0.3">
      <c r="A523" s="17" t="s">
        <v>5932</v>
      </c>
      <c r="B523" s="1" t="s">
        <v>2498</v>
      </c>
      <c r="C523" s="1" t="s">
        <v>196</v>
      </c>
      <c r="D523" s="1" t="s">
        <v>2851</v>
      </c>
      <c r="E523" s="1">
        <v>12700000</v>
      </c>
    </row>
    <row r="524" spans="1:5" ht="14.4" x14ac:dyDescent="0.3">
      <c r="A524" s="17" t="s">
        <v>5933</v>
      </c>
      <c r="B524" s="1" t="s">
        <v>2494</v>
      </c>
      <c r="C524" s="1" t="s">
        <v>2495</v>
      </c>
      <c r="D524" s="1" t="s">
        <v>420</v>
      </c>
      <c r="E524" s="1">
        <v>8100000</v>
      </c>
    </row>
    <row r="525" spans="1:5" ht="14.4" x14ac:dyDescent="0.3">
      <c r="A525" s="17" t="s">
        <v>5934</v>
      </c>
      <c r="B525" s="1" t="s">
        <v>220</v>
      </c>
      <c r="C525" s="1" t="s">
        <v>231</v>
      </c>
      <c r="D525" s="1" t="s">
        <v>2852</v>
      </c>
      <c r="E525" s="1">
        <v>10600000</v>
      </c>
    </row>
    <row r="526" spans="1:5" ht="14.4" x14ac:dyDescent="0.3">
      <c r="A526" s="17" t="s">
        <v>5935</v>
      </c>
      <c r="B526" s="1" t="s">
        <v>86</v>
      </c>
      <c r="C526" s="1" t="s">
        <v>134</v>
      </c>
      <c r="D526" s="1" t="s">
        <v>2853</v>
      </c>
      <c r="E526" s="1">
        <v>15500000</v>
      </c>
    </row>
    <row r="527" spans="1:5" ht="14.4" x14ac:dyDescent="0.3">
      <c r="A527" s="17" t="s">
        <v>5936</v>
      </c>
      <c r="B527" s="1" t="s">
        <v>60</v>
      </c>
      <c r="C527" s="1" t="s">
        <v>2854</v>
      </c>
      <c r="D527" s="1" t="s">
        <v>424</v>
      </c>
      <c r="E527" s="1">
        <v>15200000</v>
      </c>
    </row>
    <row r="528" spans="1:5" ht="14.4" x14ac:dyDescent="0.3">
      <c r="A528" s="17" t="s">
        <v>5937</v>
      </c>
      <c r="B528" s="1" t="s">
        <v>45</v>
      </c>
      <c r="C528" s="1" t="s">
        <v>49</v>
      </c>
      <c r="D528" s="1" t="s">
        <v>2855</v>
      </c>
      <c r="E528" s="1">
        <v>43100000</v>
      </c>
    </row>
    <row r="529" spans="1:5" ht="14.4" x14ac:dyDescent="0.3">
      <c r="A529" s="17" t="s">
        <v>5938</v>
      </c>
      <c r="B529" s="1" t="s">
        <v>2498</v>
      </c>
      <c r="C529" s="1" t="s">
        <v>199</v>
      </c>
      <c r="D529" s="1" t="s">
        <v>436</v>
      </c>
      <c r="E529" s="1">
        <v>13700000</v>
      </c>
    </row>
    <row r="530" spans="1:5" ht="14.4" x14ac:dyDescent="0.3">
      <c r="A530" s="17" t="s">
        <v>5939</v>
      </c>
      <c r="B530" s="1" t="s">
        <v>2545</v>
      </c>
      <c r="C530" s="1" t="s">
        <v>2856</v>
      </c>
      <c r="D530" s="1" t="s">
        <v>2857</v>
      </c>
      <c r="E530" s="1">
        <v>18100000</v>
      </c>
    </row>
    <row r="531" spans="1:5" ht="14.4" x14ac:dyDescent="0.3">
      <c r="A531" s="17" t="s">
        <v>5940</v>
      </c>
      <c r="B531" s="1" t="s">
        <v>278</v>
      </c>
      <c r="C531" s="1">
        <v>700</v>
      </c>
      <c r="D531" s="1" t="s">
        <v>2858</v>
      </c>
      <c r="E531" s="1">
        <v>13600000</v>
      </c>
    </row>
    <row r="532" spans="1:5" ht="14.4" x14ac:dyDescent="0.3">
      <c r="A532" s="17" t="s">
        <v>5941</v>
      </c>
      <c r="B532" s="1" t="s">
        <v>86</v>
      </c>
      <c r="C532" s="1" t="s">
        <v>2859</v>
      </c>
      <c r="D532" s="1" t="s">
        <v>2860</v>
      </c>
      <c r="E532" s="1">
        <v>20900000</v>
      </c>
    </row>
    <row r="533" spans="1:5" ht="14.4" x14ac:dyDescent="0.3">
      <c r="A533" s="17" t="s">
        <v>5942</v>
      </c>
      <c r="B533" s="1" t="s">
        <v>207</v>
      </c>
      <c r="C533" s="1">
        <v>6</v>
      </c>
      <c r="D533" s="1" t="s">
        <v>2861</v>
      </c>
      <c r="E533" s="1">
        <v>14800000</v>
      </c>
    </row>
    <row r="534" spans="1:5" ht="14.4" x14ac:dyDescent="0.3">
      <c r="A534" s="17" t="s">
        <v>5943</v>
      </c>
      <c r="B534" s="1" t="s">
        <v>306</v>
      </c>
      <c r="C534" s="1" t="s">
        <v>2862</v>
      </c>
      <c r="D534" s="1" t="s">
        <v>2863</v>
      </c>
      <c r="E534" s="1">
        <v>17300000</v>
      </c>
    </row>
    <row r="535" spans="1:5" ht="14.4" x14ac:dyDescent="0.3">
      <c r="A535" s="17" t="s">
        <v>5944</v>
      </c>
      <c r="B535" s="1" t="s">
        <v>86</v>
      </c>
      <c r="C535" s="1" t="s">
        <v>2859</v>
      </c>
      <c r="D535" s="1" t="s">
        <v>89</v>
      </c>
      <c r="E535" s="1">
        <v>28300000</v>
      </c>
    </row>
    <row r="536" spans="1:5" ht="14.4" x14ac:dyDescent="0.3">
      <c r="A536" s="17" t="s">
        <v>5945</v>
      </c>
      <c r="B536" s="1" t="s">
        <v>2533</v>
      </c>
      <c r="C536" s="1" t="s">
        <v>2582</v>
      </c>
      <c r="D536" s="1" t="s">
        <v>2864</v>
      </c>
      <c r="E536" s="1">
        <v>7150000</v>
      </c>
    </row>
    <row r="537" spans="1:5" ht="14.4" x14ac:dyDescent="0.3">
      <c r="A537" s="17" t="s">
        <v>5946</v>
      </c>
      <c r="B537" s="1" t="s">
        <v>214</v>
      </c>
      <c r="C537" s="1" t="s">
        <v>2560</v>
      </c>
      <c r="D537" s="1" t="s">
        <v>558</v>
      </c>
      <c r="E537" s="1">
        <v>25200000</v>
      </c>
    </row>
    <row r="538" spans="1:5" ht="14.4" x14ac:dyDescent="0.3">
      <c r="A538" s="17" t="s">
        <v>5947</v>
      </c>
      <c r="B538" s="1" t="s">
        <v>241</v>
      </c>
      <c r="C538" s="1" t="s">
        <v>2484</v>
      </c>
      <c r="D538" s="1" t="s">
        <v>729</v>
      </c>
      <c r="E538" s="1">
        <v>18500000</v>
      </c>
    </row>
    <row r="539" spans="1:5" ht="14.4" x14ac:dyDescent="0.3">
      <c r="A539" s="17" t="s">
        <v>5948</v>
      </c>
      <c r="B539" s="1" t="s">
        <v>2498</v>
      </c>
      <c r="C539" s="1" t="s">
        <v>188</v>
      </c>
      <c r="D539" s="1" t="s">
        <v>2865</v>
      </c>
      <c r="E539" s="1">
        <v>8900000</v>
      </c>
    </row>
    <row r="540" spans="1:5" ht="14.4" x14ac:dyDescent="0.3">
      <c r="A540" s="17" t="s">
        <v>5949</v>
      </c>
      <c r="B540" s="1" t="s">
        <v>173</v>
      </c>
      <c r="C540" s="1">
        <v>7</v>
      </c>
      <c r="D540" s="1" t="s">
        <v>2477</v>
      </c>
      <c r="E540" s="1">
        <v>17500000</v>
      </c>
    </row>
    <row r="541" spans="1:5" ht="14.4" x14ac:dyDescent="0.3">
      <c r="A541" s="17" t="s">
        <v>5950</v>
      </c>
      <c r="B541" s="1" t="s">
        <v>241</v>
      </c>
      <c r="C541" s="1">
        <v>2008</v>
      </c>
      <c r="D541" s="1" t="s">
        <v>2866</v>
      </c>
      <c r="E541" s="1">
        <v>14300000</v>
      </c>
    </row>
    <row r="542" spans="1:5" ht="14.4" x14ac:dyDescent="0.3">
      <c r="A542" s="17" t="s">
        <v>5951</v>
      </c>
      <c r="B542" s="1" t="s">
        <v>147</v>
      </c>
      <c r="C542" s="1" t="s">
        <v>2516</v>
      </c>
      <c r="D542" s="1" t="s">
        <v>2867</v>
      </c>
      <c r="E542" s="1">
        <v>13900000</v>
      </c>
    </row>
    <row r="543" spans="1:5" ht="14.4" x14ac:dyDescent="0.3">
      <c r="A543" s="17" t="s">
        <v>5952</v>
      </c>
      <c r="B543" s="1" t="s">
        <v>28</v>
      </c>
      <c r="C543" s="1" t="s">
        <v>42</v>
      </c>
      <c r="D543" s="1" t="s">
        <v>415</v>
      </c>
      <c r="E543" s="1">
        <v>12300000</v>
      </c>
    </row>
    <row r="544" spans="1:5" ht="14.4" x14ac:dyDescent="0.3">
      <c r="A544" s="17" t="s">
        <v>5953</v>
      </c>
      <c r="B544" s="1" t="s">
        <v>156</v>
      </c>
      <c r="C544" s="1" t="s">
        <v>2868</v>
      </c>
      <c r="D544" s="1" t="s">
        <v>2869</v>
      </c>
      <c r="E544" s="1">
        <v>11500000</v>
      </c>
    </row>
    <row r="545" spans="1:5" ht="14.4" x14ac:dyDescent="0.3">
      <c r="A545" s="17" t="s">
        <v>5954</v>
      </c>
      <c r="B545" s="1" t="s">
        <v>2494</v>
      </c>
      <c r="C545" s="1" t="s">
        <v>2531</v>
      </c>
      <c r="D545" s="1" t="s">
        <v>2870</v>
      </c>
      <c r="E545" s="1">
        <v>10100000</v>
      </c>
    </row>
    <row r="546" spans="1:5" ht="14.4" x14ac:dyDescent="0.3">
      <c r="A546" s="17" t="s">
        <v>5955</v>
      </c>
      <c r="B546" s="1" t="s">
        <v>86</v>
      </c>
      <c r="C546" s="1" t="s">
        <v>2504</v>
      </c>
      <c r="D546" s="1" t="s">
        <v>117</v>
      </c>
      <c r="E546" s="1">
        <v>43200000</v>
      </c>
    </row>
    <row r="547" spans="1:5" ht="14.4" x14ac:dyDescent="0.3">
      <c r="A547" s="17" t="s">
        <v>5956</v>
      </c>
      <c r="B547" s="1" t="s">
        <v>86</v>
      </c>
      <c r="C547" s="1" t="s">
        <v>90</v>
      </c>
      <c r="D547" s="1" t="s">
        <v>2871</v>
      </c>
      <c r="E547" s="1">
        <v>10100000</v>
      </c>
    </row>
    <row r="548" spans="1:5" ht="14.4" x14ac:dyDescent="0.3">
      <c r="A548" s="17" t="s">
        <v>5957</v>
      </c>
      <c r="B548" s="1" t="s">
        <v>2498</v>
      </c>
      <c r="C548" s="1" t="s">
        <v>193</v>
      </c>
      <c r="D548" s="1" t="s">
        <v>2872</v>
      </c>
      <c r="E548" s="1">
        <v>16400000</v>
      </c>
    </row>
    <row r="549" spans="1:5" ht="14.4" x14ac:dyDescent="0.3">
      <c r="A549" s="17" t="s">
        <v>5958</v>
      </c>
      <c r="B549" s="1" t="s">
        <v>167</v>
      </c>
      <c r="C549" s="1" t="s">
        <v>170</v>
      </c>
      <c r="D549" s="1" t="s">
        <v>2873</v>
      </c>
      <c r="E549" s="1">
        <v>11700000</v>
      </c>
    </row>
    <row r="550" spans="1:5" ht="14.4" x14ac:dyDescent="0.3">
      <c r="A550" s="17" t="s">
        <v>5959</v>
      </c>
      <c r="B550" s="1" t="s">
        <v>45</v>
      </c>
      <c r="C550" s="1" t="s">
        <v>2874</v>
      </c>
      <c r="D550" s="1" t="s">
        <v>2875</v>
      </c>
      <c r="E550" s="1">
        <v>6900000</v>
      </c>
    </row>
    <row r="551" spans="1:5" ht="14.4" x14ac:dyDescent="0.3">
      <c r="A551" s="17" t="s">
        <v>5960</v>
      </c>
      <c r="B551" s="1" t="s">
        <v>2533</v>
      </c>
      <c r="C551" s="1" t="s">
        <v>2582</v>
      </c>
      <c r="D551" s="1" t="s">
        <v>2876</v>
      </c>
      <c r="E551" s="1">
        <v>7860000</v>
      </c>
    </row>
    <row r="552" spans="1:5" ht="14.4" x14ac:dyDescent="0.3">
      <c r="A552" s="17" t="s">
        <v>5961</v>
      </c>
      <c r="B552" s="1" t="s">
        <v>306</v>
      </c>
      <c r="C552" s="1" t="s">
        <v>2862</v>
      </c>
      <c r="D552" s="1" t="s">
        <v>2877</v>
      </c>
      <c r="E552" s="1">
        <v>33600000</v>
      </c>
    </row>
    <row r="553" spans="1:5" ht="14.4" x14ac:dyDescent="0.3">
      <c r="A553" s="17" t="s">
        <v>5962</v>
      </c>
      <c r="B553" s="1" t="s">
        <v>2545</v>
      </c>
      <c r="C553" s="1" t="s">
        <v>2651</v>
      </c>
      <c r="D553" s="1" t="s">
        <v>2878</v>
      </c>
      <c r="E553" s="1">
        <v>20700000</v>
      </c>
    </row>
    <row r="554" spans="1:5" ht="14.4" x14ac:dyDescent="0.3">
      <c r="A554" s="17" t="s">
        <v>5963</v>
      </c>
      <c r="B554" s="1" t="s">
        <v>180</v>
      </c>
      <c r="C554" s="1" t="s">
        <v>2662</v>
      </c>
      <c r="D554" s="1" t="s">
        <v>2879</v>
      </c>
      <c r="E554" s="1">
        <v>11000000</v>
      </c>
    </row>
    <row r="555" spans="1:5" ht="14.4" x14ac:dyDescent="0.3">
      <c r="A555" s="17" t="s">
        <v>5964</v>
      </c>
      <c r="B555" s="1" t="s">
        <v>306</v>
      </c>
      <c r="C555" s="1" t="s">
        <v>2787</v>
      </c>
      <c r="D555" s="1" t="s">
        <v>2880</v>
      </c>
      <c r="E555" s="1">
        <v>18900000</v>
      </c>
    </row>
    <row r="556" spans="1:5" ht="14.4" x14ac:dyDescent="0.3">
      <c r="A556" s="17" t="s">
        <v>5965</v>
      </c>
      <c r="B556" s="1" t="s">
        <v>173</v>
      </c>
      <c r="C556" s="1">
        <v>7</v>
      </c>
      <c r="D556" s="1" t="s">
        <v>2477</v>
      </c>
      <c r="E556" s="1">
        <v>17500000</v>
      </c>
    </row>
    <row r="557" spans="1:5" ht="14.4" x14ac:dyDescent="0.3">
      <c r="A557" s="17" t="s">
        <v>5966</v>
      </c>
      <c r="B557" s="1" t="s">
        <v>241</v>
      </c>
      <c r="C557" s="1" t="s">
        <v>2484</v>
      </c>
      <c r="D557" s="1" t="s">
        <v>2881</v>
      </c>
      <c r="E557" s="1">
        <v>14800000</v>
      </c>
    </row>
    <row r="558" spans="1:5" ht="14.4" x14ac:dyDescent="0.3">
      <c r="A558" s="17" t="s">
        <v>5967</v>
      </c>
      <c r="B558" s="1" t="s">
        <v>291</v>
      </c>
      <c r="C558" s="1" t="s">
        <v>2537</v>
      </c>
      <c r="D558" s="1" t="s">
        <v>437</v>
      </c>
      <c r="E558" s="1">
        <v>14300000</v>
      </c>
    </row>
    <row r="559" spans="1:5" ht="14.4" x14ac:dyDescent="0.3">
      <c r="A559" s="17" t="s">
        <v>5968</v>
      </c>
      <c r="B559" s="1" t="s">
        <v>2474</v>
      </c>
      <c r="C559" s="1" t="s">
        <v>2475</v>
      </c>
      <c r="D559" s="1" t="s">
        <v>1659</v>
      </c>
      <c r="E559" s="1">
        <v>12400000</v>
      </c>
    </row>
    <row r="560" spans="1:5" ht="14.4" x14ac:dyDescent="0.3">
      <c r="A560" s="17" t="s">
        <v>5969</v>
      </c>
      <c r="B560" s="1" t="s">
        <v>241</v>
      </c>
      <c r="C560" s="1" t="s">
        <v>276</v>
      </c>
      <c r="D560" s="1" t="s">
        <v>2594</v>
      </c>
      <c r="E560" s="1">
        <v>16300000</v>
      </c>
    </row>
    <row r="561" spans="1:5" ht="14.4" x14ac:dyDescent="0.3">
      <c r="A561" s="17" t="s">
        <v>5970</v>
      </c>
      <c r="B561" s="1" t="s">
        <v>241</v>
      </c>
      <c r="C561" s="1" t="s">
        <v>269</v>
      </c>
      <c r="D561" s="1" t="s">
        <v>2592</v>
      </c>
      <c r="E561" s="1">
        <v>22100000</v>
      </c>
    </row>
    <row r="562" spans="1:5" ht="14.4" x14ac:dyDescent="0.3">
      <c r="A562" s="17" t="s">
        <v>5971</v>
      </c>
      <c r="B562" s="1" t="s">
        <v>241</v>
      </c>
      <c r="C562" s="1" t="s">
        <v>269</v>
      </c>
      <c r="D562" s="1" t="s">
        <v>2591</v>
      </c>
      <c r="E562" s="1">
        <v>25800000</v>
      </c>
    </row>
    <row r="563" spans="1:5" ht="14.4" x14ac:dyDescent="0.3">
      <c r="A563" s="17" t="s">
        <v>5972</v>
      </c>
      <c r="B563" s="1" t="s">
        <v>241</v>
      </c>
      <c r="C563" s="1">
        <v>3008</v>
      </c>
      <c r="D563" s="1" t="s">
        <v>2590</v>
      </c>
      <c r="E563" s="1">
        <v>17600000</v>
      </c>
    </row>
    <row r="564" spans="1:5" ht="14.4" x14ac:dyDescent="0.3">
      <c r="A564" s="17" t="s">
        <v>5973</v>
      </c>
      <c r="B564" s="1" t="s">
        <v>241</v>
      </c>
      <c r="C564" s="1" t="s">
        <v>2487</v>
      </c>
      <c r="D564" s="1" t="s">
        <v>2589</v>
      </c>
      <c r="E564" s="1">
        <v>15100000</v>
      </c>
    </row>
    <row r="565" spans="1:5" ht="14.4" x14ac:dyDescent="0.3">
      <c r="A565" s="17" t="s">
        <v>5974</v>
      </c>
      <c r="B565" s="1" t="s">
        <v>300</v>
      </c>
      <c r="C565" s="1" t="s">
        <v>2735</v>
      </c>
      <c r="D565" s="1" t="s">
        <v>439</v>
      </c>
      <c r="E565" s="1">
        <v>5490000</v>
      </c>
    </row>
    <row r="566" spans="1:5" ht="14.4" x14ac:dyDescent="0.3">
      <c r="A566" s="17" t="s">
        <v>5975</v>
      </c>
      <c r="B566" s="1" t="s">
        <v>86</v>
      </c>
      <c r="C566" s="1" t="s">
        <v>2882</v>
      </c>
      <c r="D566" s="1" t="s">
        <v>2883</v>
      </c>
      <c r="E566" s="1">
        <v>33300000</v>
      </c>
    </row>
    <row r="567" spans="1:5" ht="14.4" x14ac:dyDescent="0.3">
      <c r="A567" s="17" t="s">
        <v>5976</v>
      </c>
      <c r="B567" s="1" t="s">
        <v>45</v>
      </c>
      <c r="C567" s="1" t="s">
        <v>2884</v>
      </c>
      <c r="D567" s="1" t="s">
        <v>2885</v>
      </c>
      <c r="E567" s="1">
        <v>9800000</v>
      </c>
    </row>
    <row r="568" spans="1:5" ht="14.4" x14ac:dyDescent="0.3">
      <c r="A568" s="17" t="s">
        <v>5977</v>
      </c>
      <c r="B568" s="1" t="s">
        <v>278</v>
      </c>
      <c r="C568" s="1" t="s">
        <v>285</v>
      </c>
      <c r="D568" s="1" t="s">
        <v>2886</v>
      </c>
      <c r="E568" s="1">
        <v>29200000</v>
      </c>
    </row>
    <row r="569" spans="1:5" ht="14.4" x14ac:dyDescent="0.3">
      <c r="A569" s="17" t="s">
        <v>5978</v>
      </c>
      <c r="B569" s="1" t="s">
        <v>86</v>
      </c>
      <c r="C569" s="1" t="s">
        <v>2507</v>
      </c>
      <c r="D569" s="1" t="s">
        <v>2887</v>
      </c>
      <c r="E569" s="1">
        <v>28000000</v>
      </c>
    </row>
    <row r="570" spans="1:5" ht="14.4" x14ac:dyDescent="0.3">
      <c r="A570" s="17" t="s">
        <v>5979</v>
      </c>
      <c r="B570" s="1" t="s">
        <v>2498</v>
      </c>
      <c r="C570" s="1" t="s">
        <v>188</v>
      </c>
      <c r="D570" s="1" t="s">
        <v>2888</v>
      </c>
      <c r="E570" s="1">
        <v>7880000</v>
      </c>
    </row>
    <row r="571" spans="1:5" ht="14.4" x14ac:dyDescent="0.3">
      <c r="A571" s="17" t="s">
        <v>5980</v>
      </c>
      <c r="B571" s="1" t="s">
        <v>220</v>
      </c>
      <c r="C571" s="1" t="s">
        <v>2509</v>
      </c>
      <c r="D571" s="1" t="s">
        <v>2889</v>
      </c>
      <c r="E571" s="1">
        <v>15200000</v>
      </c>
    </row>
    <row r="572" spans="1:5" ht="14.4" x14ac:dyDescent="0.3">
      <c r="A572" s="17" t="s">
        <v>5981</v>
      </c>
      <c r="B572" s="1" t="s">
        <v>68</v>
      </c>
      <c r="C572" s="1">
        <v>580</v>
      </c>
      <c r="D572" s="1" t="s">
        <v>2890</v>
      </c>
      <c r="E572" s="1">
        <v>8400000</v>
      </c>
    </row>
    <row r="573" spans="1:5" ht="14.4" x14ac:dyDescent="0.3">
      <c r="A573" s="17" t="s">
        <v>5982</v>
      </c>
      <c r="B573" s="1" t="s">
        <v>306</v>
      </c>
      <c r="C573" s="1" t="s">
        <v>2564</v>
      </c>
      <c r="D573" s="1" t="s">
        <v>414</v>
      </c>
      <c r="E573" s="1">
        <v>13400000</v>
      </c>
    </row>
    <row r="574" spans="1:5" ht="14.4" x14ac:dyDescent="0.3">
      <c r="A574" s="17" t="s">
        <v>5983</v>
      </c>
      <c r="B574" s="1" t="s">
        <v>220</v>
      </c>
      <c r="C574" s="1" t="s">
        <v>2891</v>
      </c>
      <c r="D574" s="1" t="s">
        <v>2892</v>
      </c>
      <c r="E574" s="1">
        <v>9900000</v>
      </c>
    </row>
    <row r="575" spans="1:5" ht="14.4" x14ac:dyDescent="0.3">
      <c r="A575" s="17" t="s">
        <v>5984</v>
      </c>
      <c r="B575" s="1" t="s">
        <v>147</v>
      </c>
      <c r="C575" s="1" t="s">
        <v>2893</v>
      </c>
      <c r="D575" s="1" t="s">
        <v>2894</v>
      </c>
      <c r="E575" s="1">
        <v>10200000</v>
      </c>
    </row>
    <row r="576" spans="1:5" ht="14.4" x14ac:dyDescent="0.3">
      <c r="A576" s="17" t="s">
        <v>5985</v>
      </c>
      <c r="B576" s="1" t="s">
        <v>241</v>
      </c>
      <c r="C576" s="1" t="s">
        <v>2501</v>
      </c>
      <c r="D576" s="1" t="s">
        <v>267</v>
      </c>
      <c r="E576" s="1">
        <v>22800000</v>
      </c>
    </row>
    <row r="577" spans="1:5" ht="14.4" x14ac:dyDescent="0.3">
      <c r="A577" s="17" t="s">
        <v>5986</v>
      </c>
      <c r="B577" s="1" t="s">
        <v>306</v>
      </c>
      <c r="C577" s="1" t="s">
        <v>2862</v>
      </c>
      <c r="D577" s="1" t="s">
        <v>2895</v>
      </c>
      <c r="E577" s="1">
        <v>21800000</v>
      </c>
    </row>
    <row r="578" spans="1:5" ht="14.4" x14ac:dyDescent="0.3">
      <c r="A578" s="17" t="s">
        <v>5987</v>
      </c>
      <c r="B578" s="1" t="s">
        <v>45</v>
      </c>
      <c r="C578" s="1" t="s">
        <v>2896</v>
      </c>
      <c r="D578" s="1" t="s">
        <v>2897</v>
      </c>
      <c r="E578" s="1">
        <v>11000000</v>
      </c>
    </row>
    <row r="579" spans="1:5" ht="14.4" x14ac:dyDescent="0.3">
      <c r="A579" s="17" t="s">
        <v>5988</v>
      </c>
      <c r="B579" s="1" t="s">
        <v>14</v>
      </c>
      <c r="C579" s="1" t="s">
        <v>2508</v>
      </c>
      <c r="D579" s="1" t="s">
        <v>438</v>
      </c>
      <c r="E579" s="1">
        <v>9100000</v>
      </c>
    </row>
    <row r="580" spans="1:5" ht="14.4" x14ac:dyDescent="0.3">
      <c r="A580" s="17" t="s">
        <v>5989</v>
      </c>
      <c r="B580" s="1" t="s">
        <v>28</v>
      </c>
      <c r="C580" s="1" t="s">
        <v>42</v>
      </c>
      <c r="D580" s="1" t="s">
        <v>2898</v>
      </c>
      <c r="E580" s="1">
        <v>12200000</v>
      </c>
    </row>
    <row r="581" spans="1:5" ht="14.4" x14ac:dyDescent="0.3">
      <c r="A581" s="17" t="s">
        <v>5990</v>
      </c>
      <c r="B581" s="1" t="s">
        <v>45</v>
      </c>
      <c r="C581" s="1" t="s">
        <v>2899</v>
      </c>
      <c r="D581" s="1" t="s">
        <v>2900</v>
      </c>
      <c r="E581" s="1">
        <v>6660000</v>
      </c>
    </row>
    <row r="582" spans="1:5" ht="14.4" x14ac:dyDescent="0.3">
      <c r="A582" s="17" t="s">
        <v>5991</v>
      </c>
      <c r="B582" s="1" t="s">
        <v>204</v>
      </c>
      <c r="C582" s="1" t="s">
        <v>2901</v>
      </c>
      <c r="D582" s="1" t="s">
        <v>2902</v>
      </c>
      <c r="E582" s="1">
        <v>9800000</v>
      </c>
    </row>
    <row r="583" spans="1:5" ht="14.4" x14ac:dyDescent="0.3">
      <c r="A583" s="17" t="s">
        <v>5992</v>
      </c>
      <c r="B583" s="1" t="s">
        <v>45</v>
      </c>
      <c r="C583" s="1" t="s">
        <v>2903</v>
      </c>
      <c r="D583" s="1" t="s">
        <v>2904</v>
      </c>
      <c r="E583" s="1">
        <v>21100000</v>
      </c>
    </row>
    <row r="584" spans="1:5" ht="14.4" x14ac:dyDescent="0.3">
      <c r="A584" s="17" t="s">
        <v>5993</v>
      </c>
      <c r="B584" s="1" t="s">
        <v>45</v>
      </c>
      <c r="C584" s="1" t="s">
        <v>2905</v>
      </c>
      <c r="D584" s="1" t="s">
        <v>2906</v>
      </c>
      <c r="E584" s="1">
        <v>9000000</v>
      </c>
    </row>
    <row r="585" spans="1:5" ht="14.4" x14ac:dyDescent="0.3">
      <c r="A585" s="17" t="s">
        <v>5994</v>
      </c>
      <c r="B585" s="1" t="s">
        <v>86</v>
      </c>
      <c r="C585" s="1" t="s">
        <v>122</v>
      </c>
      <c r="D585" s="1" t="s">
        <v>2907</v>
      </c>
      <c r="E585" s="1">
        <v>23200000</v>
      </c>
    </row>
    <row r="586" spans="1:5" ht="14.4" x14ac:dyDescent="0.3">
      <c r="A586" s="17" t="s">
        <v>5995</v>
      </c>
      <c r="B586" s="1" t="s">
        <v>300</v>
      </c>
      <c r="C586" s="1" t="s">
        <v>2908</v>
      </c>
      <c r="D586" s="1" t="s">
        <v>2909</v>
      </c>
      <c r="E586" s="1">
        <v>10500000</v>
      </c>
    </row>
    <row r="587" spans="1:5" ht="14.4" x14ac:dyDescent="0.3">
      <c r="A587" s="17" t="s">
        <v>5996</v>
      </c>
      <c r="B587" s="1" t="s">
        <v>220</v>
      </c>
      <c r="C587" s="1" t="s">
        <v>2910</v>
      </c>
      <c r="D587" s="1" t="s">
        <v>2911</v>
      </c>
      <c r="E587" s="1">
        <v>14300000</v>
      </c>
    </row>
    <row r="588" spans="1:5" ht="14.4" x14ac:dyDescent="0.3">
      <c r="A588" s="17" t="s">
        <v>5997</v>
      </c>
      <c r="B588" s="1" t="s">
        <v>28</v>
      </c>
      <c r="C588" s="1" t="s">
        <v>38</v>
      </c>
      <c r="D588" s="1" t="s">
        <v>431</v>
      </c>
      <c r="E588" s="1">
        <v>12600000</v>
      </c>
    </row>
    <row r="589" spans="1:5" ht="14.4" x14ac:dyDescent="0.3">
      <c r="A589" s="17" t="s">
        <v>5998</v>
      </c>
      <c r="B589" s="1" t="s">
        <v>156</v>
      </c>
      <c r="C589" s="1" t="s">
        <v>2912</v>
      </c>
      <c r="D589" s="1" t="s">
        <v>2913</v>
      </c>
      <c r="E589" s="1">
        <v>9800000</v>
      </c>
    </row>
    <row r="590" spans="1:5" ht="14.4" x14ac:dyDescent="0.3">
      <c r="A590" s="17" t="s">
        <v>5999</v>
      </c>
      <c r="B590" s="1" t="s">
        <v>2533</v>
      </c>
      <c r="C590" s="1" t="s">
        <v>2582</v>
      </c>
      <c r="D590" s="1" t="s">
        <v>435</v>
      </c>
      <c r="E590" s="1">
        <v>8500000</v>
      </c>
    </row>
    <row r="591" spans="1:5" ht="14.4" x14ac:dyDescent="0.3">
      <c r="A591" s="17" t="s">
        <v>6000</v>
      </c>
      <c r="B591" s="1" t="s">
        <v>2533</v>
      </c>
      <c r="C591" s="1" t="s">
        <v>2571</v>
      </c>
      <c r="D591" s="1" t="s">
        <v>2914</v>
      </c>
      <c r="E591" s="1">
        <v>7860000</v>
      </c>
    </row>
    <row r="592" spans="1:5" ht="14.4" x14ac:dyDescent="0.3">
      <c r="A592" s="17" t="s">
        <v>6001</v>
      </c>
      <c r="B592" s="1" t="s">
        <v>45</v>
      </c>
      <c r="C592" s="1" t="s">
        <v>2915</v>
      </c>
      <c r="D592" s="1" t="s">
        <v>432</v>
      </c>
      <c r="E592" s="1">
        <v>4860000</v>
      </c>
    </row>
    <row r="593" spans="1:5" ht="14.4" x14ac:dyDescent="0.3">
      <c r="A593" s="17" t="s">
        <v>6002</v>
      </c>
      <c r="B593" s="1" t="s">
        <v>2498</v>
      </c>
      <c r="C593" s="1" t="s">
        <v>2499</v>
      </c>
      <c r="D593" s="1" t="s">
        <v>2916</v>
      </c>
      <c r="E593" s="1">
        <v>8900000</v>
      </c>
    </row>
    <row r="594" spans="1:5" ht="14.4" x14ac:dyDescent="0.3">
      <c r="A594" s="17" t="s">
        <v>6003</v>
      </c>
      <c r="B594" s="1" t="s">
        <v>220</v>
      </c>
      <c r="C594" s="1" t="s">
        <v>223</v>
      </c>
      <c r="D594" s="1" t="s">
        <v>433</v>
      </c>
      <c r="E594" s="1">
        <v>16000000</v>
      </c>
    </row>
    <row r="595" spans="1:5" ht="14.4" x14ac:dyDescent="0.3">
      <c r="A595" s="17" t="s">
        <v>6004</v>
      </c>
      <c r="B595" s="1" t="s">
        <v>220</v>
      </c>
      <c r="C595" s="1" t="s">
        <v>2492</v>
      </c>
      <c r="D595" s="1" t="s">
        <v>236</v>
      </c>
      <c r="E595" s="1">
        <v>23100000</v>
      </c>
    </row>
    <row r="596" spans="1:5" ht="14.4" x14ac:dyDescent="0.3">
      <c r="A596" s="17" t="s">
        <v>6005</v>
      </c>
      <c r="B596" s="1" t="s">
        <v>180</v>
      </c>
      <c r="C596" s="1" t="s">
        <v>2662</v>
      </c>
      <c r="D596" s="1" t="s">
        <v>2917</v>
      </c>
      <c r="E596" s="1">
        <v>9000000</v>
      </c>
    </row>
    <row r="597" spans="1:5" ht="14.4" x14ac:dyDescent="0.3">
      <c r="A597" s="17" t="s">
        <v>6006</v>
      </c>
      <c r="B597" s="1" t="s">
        <v>241</v>
      </c>
      <c r="C597" s="1" t="s">
        <v>2484</v>
      </c>
      <c r="D597" s="1" t="s">
        <v>2918</v>
      </c>
      <c r="E597" s="1">
        <v>19000000</v>
      </c>
    </row>
    <row r="598" spans="1:5" ht="14.4" x14ac:dyDescent="0.3">
      <c r="A598" s="17" t="s">
        <v>6007</v>
      </c>
      <c r="B598" s="1" t="s">
        <v>86</v>
      </c>
      <c r="C598" s="1" t="s">
        <v>103</v>
      </c>
      <c r="D598" s="1" t="s">
        <v>105</v>
      </c>
      <c r="E598" s="1">
        <v>15100000</v>
      </c>
    </row>
    <row r="599" spans="1:5" ht="14.4" x14ac:dyDescent="0.3">
      <c r="A599" s="17" t="s">
        <v>6008</v>
      </c>
      <c r="B599" s="1" t="s">
        <v>86</v>
      </c>
      <c r="C599" s="1" t="s">
        <v>2859</v>
      </c>
      <c r="D599" s="1" t="s">
        <v>2919</v>
      </c>
      <c r="E599" s="1">
        <v>24100000</v>
      </c>
    </row>
    <row r="600" spans="1:5" ht="14.4" x14ac:dyDescent="0.3">
      <c r="A600" s="17" t="s">
        <v>6009</v>
      </c>
      <c r="B600" s="1" t="s">
        <v>2498</v>
      </c>
      <c r="C600" s="1" t="s">
        <v>2920</v>
      </c>
      <c r="D600" s="1" t="s">
        <v>2921</v>
      </c>
      <c r="E600" s="1">
        <v>17100000</v>
      </c>
    </row>
    <row r="601" spans="1:5" ht="14.4" x14ac:dyDescent="0.3">
      <c r="A601" s="17" t="s">
        <v>6010</v>
      </c>
      <c r="B601" s="1" t="s">
        <v>142</v>
      </c>
      <c r="C601" s="1" t="s">
        <v>2922</v>
      </c>
      <c r="D601" s="1" t="s">
        <v>2923</v>
      </c>
      <c r="E601" s="1">
        <v>6240000</v>
      </c>
    </row>
    <row r="602" spans="1:5" ht="14.4" x14ac:dyDescent="0.3">
      <c r="A602" s="17" t="s">
        <v>6011</v>
      </c>
      <c r="B602" s="1" t="s">
        <v>86</v>
      </c>
      <c r="C602" s="1" t="s">
        <v>2859</v>
      </c>
      <c r="D602" s="1" t="s">
        <v>423</v>
      </c>
      <c r="E602" s="1">
        <v>21100000</v>
      </c>
    </row>
    <row r="603" spans="1:5" ht="14.4" x14ac:dyDescent="0.3">
      <c r="A603" s="17" t="s">
        <v>6012</v>
      </c>
      <c r="B603" s="1" t="s">
        <v>86</v>
      </c>
      <c r="C603" s="1" t="s">
        <v>2859</v>
      </c>
      <c r="D603" s="1" t="s">
        <v>89</v>
      </c>
      <c r="E603" s="1">
        <v>28400000</v>
      </c>
    </row>
    <row r="604" spans="1:5" ht="14.4" x14ac:dyDescent="0.3">
      <c r="A604" s="17" t="s">
        <v>6013</v>
      </c>
      <c r="B604" s="1" t="s">
        <v>220</v>
      </c>
      <c r="C604" s="1" t="s">
        <v>228</v>
      </c>
      <c r="D604" s="1" t="s">
        <v>2924</v>
      </c>
      <c r="E604" s="1">
        <v>17300000</v>
      </c>
    </row>
    <row r="605" spans="1:5" ht="14.4" x14ac:dyDescent="0.3">
      <c r="A605" s="17" t="s">
        <v>6014</v>
      </c>
      <c r="B605" s="1" t="s">
        <v>300</v>
      </c>
      <c r="C605" s="1" t="s">
        <v>2925</v>
      </c>
      <c r="D605" s="1" t="s">
        <v>2477</v>
      </c>
      <c r="E605" s="1">
        <v>9800000</v>
      </c>
    </row>
    <row r="606" spans="1:5" ht="14.4" x14ac:dyDescent="0.3">
      <c r="A606" s="17" t="s">
        <v>6015</v>
      </c>
      <c r="B606" s="1" t="s">
        <v>45</v>
      </c>
      <c r="C606" s="1" t="s">
        <v>49</v>
      </c>
      <c r="D606" s="1" t="s">
        <v>2926</v>
      </c>
      <c r="E606" s="1">
        <v>57000000</v>
      </c>
    </row>
    <row r="607" spans="1:5" ht="14.4" x14ac:dyDescent="0.3">
      <c r="A607" s="17" t="s">
        <v>6016</v>
      </c>
      <c r="B607" s="1" t="s">
        <v>220</v>
      </c>
      <c r="C607" s="1" t="s">
        <v>2492</v>
      </c>
      <c r="D607" s="1" t="s">
        <v>2927</v>
      </c>
      <c r="E607" s="1">
        <v>30500000</v>
      </c>
    </row>
    <row r="608" spans="1:5" ht="14.4" x14ac:dyDescent="0.3">
      <c r="A608" s="17" t="s">
        <v>6017</v>
      </c>
      <c r="B608" s="1" t="s">
        <v>220</v>
      </c>
      <c r="C608" s="1" t="s">
        <v>231</v>
      </c>
      <c r="D608" s="1" t="s">
        <v>2928</v>
      </c>
      <c r="E608" s="1">
        <v>9900000</v>
      </c>
    </row>
    <row r="609" spans="1:5" ht="14.4" x14ac:dyDescent="0.3">
      <c r="A609" s="17" t="s">
        <v>6018</v>
      </c>
      <c r="B609" s="1" t="s">
        <v>147</v>
      </c>
      <c r="C609" s="1" t="s">
        <v>153</v>
      </c>
      <c r="D609" s="1" t="s">
        <v>2929</v>
      </c>
      <c r="E609" s="1">
        <v>12500000</v>
      </c>
    </row>
    <row r="610" spans="1:5" ht="14.4" x14ac:dyDescent="0.3">
      <c r="A610" s="17" t="s">
        <v>6019</v>
      </c>
      <c r="B610" s="1" t="s">
        <v>300</v>
      </c>
      <c r="C610" s="1" t="s">
        <v>2930</v>
      </c>
      <c r="D610" s="1" t="s">
        <v>2931</v>
      </c>
      <c r="E610" s="1">
        <v>17500000</v>
      </c>
    </row>
    <row r="611" spans="1:5" ht="14.4" x14ac:dyDescent="0.3">
      <c r="A611" s="17" t="s">
        <v>6020</v>
      </c>
      <c r="B611" s="1" t="s">
        <v>45</v>
      </c>
      <c r="C611" s="1" t="s">
        <v>2932</v>
      </c>
      <c r="D611" s="1" t="s">
        <v>2933</v>
      </c>
      <c r="E611" s="1">
        <v>24500000</v>
      </c>
    </row>
    <row r="612" spans="1:5" ht="14.4" x14ac:dyDescent="0.3">
      <c r="A612" s="17" t="s">
        <v>6021</v>
      </c>
      <c r="B612" s="1" t="s">
        <v>86</v>
      </c>
      <c r="C612" s="1" t="s">
        <v>122</v>
      </c>
      <c r="D612" s="1" t="s">
        <v>2934</v>
      </c>
      <c r="E612" s="1">
        <v>29900000</v>
      </c>
    </row>
    <row r="613" spans="1:5" ht="14.4" x14ac:dyDescent="0.3">
      <c r="A613" s="17" t="s">
        <v>6022</v>
      </c>
      <c r="B613" s="1" t="s">
        <v>156</v>
      </c>
      <c r="C613" s="1" t="s">
        <v>2935</v>
      </c>
      <c r="D613" s="1" t="s">
        <v>2936</v>
      </c>
      <c r="E613" s="1">
        <v>14300000</v>
      </c>
    </row>
    <row r="614" spans="1:5" ht="14.4" x14ac:dyDescent="0.3">
      <c r="A614" s="17" t="s">
        <v>6023</v>
      </c>
      <c r="B614" s="1" t="s">
        <v>28</v>
      </c>
      <c r="C614" s="1" t="s">
        <v>38</v>
      </c>
      <c r="D614" s="1" t="s">
        <v>428</v>
      </c>
      <c r="E614" s="1">
        <v>13100000</v>
      </c>
    </row>
    <row r="615" spans="1:5" ht="14.4" x14ac:dyDescent="0.3">
      <c r="A615" s="17" t="s">
        <v>6024</v>
      </c>
      <c r="B615" s="1" t="s">
        <v>207</v>
      </c>
      <c r="C615" s="1" t="s">
        <v>2937</v>
      </c>
      <c r="D615" s="1" t="s">
        <v>2477</v>
      </c>
      <c r="E615" s="1">
        <v>12100000</v>
      </c>
    </row>
    <row r="616" spans="1:5" ht="14.4" x14ac:dyDescent="0.3">
      <c r="A616" s="17" t="s">
        <v>6025</v>
      </c>
      <c r="B616" s="1" t="s">
        <v>167</v>
      </c>
      <c r="C616" s="1" t="s">
        <v>2529</v>
      </c>
      <c r="D616" s="1" t="s">
        <v>2938</v>
      </c>
      <c r="E616" s="1">
        <v>7100000</v>
      </c>
    </row>
    <row r="617" spans="1:5" ht="14.4" x14ac:dyDescent="0.3">
      <c r="A617" s="17" t="s">
        <v>6026</v>
      </c>
      <c r="B617" s="1" t="s">
        <v>2533</v>
      </c>
      <c r="C617" s="1" t="s">
        <v>2571</v>
      </c>
      <c r="D617" s="1" t="s">
        <v>2939</v>
      </c>
      <c r="E617" s="1">
        <v>8300000</v>
      </c>
    </row>
    <row r="618" spans="1:5" ht="14.4" x14ac:dyDescent="0.3">
      <c r="A618" s="17" t="s">
        <v>6027</v>
      </c>
      <c r="B618" s="1" t="s">
        <v>2494</v>
      </c>
      <c r="C618" s="1" t="s">
        <v>2495</v>
      </c>
      <c r="D618" s="1" t="s">
        <v>2940</v>
      </c>
      <c r="E618" s="1">
        <v>6400000</v>
      </c>
    </row>
    <row r="619" spans="1:5" ht="14.4" x14ac:dyDescent="0.3">
      <c r="A619" s="17" t="s">
        <v>6028</v>
      </c>
      <c r="B619" s="1" t="s">
        <v>291</v>
      </c>
      <c r="C619" s="1" t="s">
        <v>2537</v>
      </c>
      <c r="D619" s="1" t="s">
        <v>2941</v>
      </c>
      <c r="E619" s="1">
        <v>15200000</v>
      </c>
    </row>
    <row r="620" spans="1:5" ht="14.4" x14ac:dyDescent="0.3">
      <c r="A620" s="17" t="s">
        <v>6029</v>
      </c>
      <c r="B620" s="1" t="s">
        <v>241</v>
      </c>
      <c r="C620" s="1" t="s">
        <v>2485</v>
      </c>
      <c r="D620" s="1" t="s">
        <v>2942</v>
      </c>
      <c r="E620" s="1">
        <v>9100000</v>
      </c>
    </row>
    <row r="621" spans="1:5" ht="14.4" x14ac:dyDescent="0.3">
      <c r="A621" s="17" t="s">
        <v>6030</v>
      </c>
      <c r="B621" s="1" t="s">
        <v>241</v>
      </c>
      <c r="C621" s="1" t="s">
        <v>269</v>
      </c>
      <c r="D621" s="1" t="s">
        <v>2943</v>
      </c>
      <c r="E621" s="1">
        <v>13700000</v>
      </c>
    </row>
    <row r="622" spans="1:5" ht="14.4" x14ac:dyDescent="0.3">
      <c r="A622" s="17" t="s">
        <v>6031</v>
      </c>
      <c r="B622" s="1" t="s">
        <v>207</v>
      </c>
      <c r="C622" s="1" t="s">
        <v>2582</v>
      </c>
      <c r="D622" s="1" t="s">
        <v>2477</v>
      </c>
      <c r="E622" s="1">
        <v>15500000</v>
      </c>
    </row>
    <row r="623" spans="1:5" ht="14.4" x14ac:dyDescent="0.3">
      <c r="A623" s="17" t="s">
        <v>6032</v>
      </c>
      <c r="B623" s="1" t="s">
        <v>2498</v>
      </c>
      <c r="C623" s="1" t="s">
        <v>2587</v>
      </c>
      <c r="D623" s="1" t="s">
        <v>2588</v>
      </c>
      <c r="E623" s="1">
        <v>20300000</v>
      </c>
    </row>
    <row r="624" spans="1:5" ht="14.4" x14ac:dyDescent="0.3">
      <c r="A624" s="17" t="s">
        <v>6033</v>
      </c>
      <c r="B624" s="1" t="s">
        <v>2498</v>
      </c>
      <c r="C624" s="1" t="s">
        <v>2499</v>
      </c>
      <c r="D624" s="1" t="s">
        <v>2586</v>
      </c>
      <c r="E624" s="1">
        <v>10800000</v>
      </c>
    </row>
    <row r="625" spans="1:5" ht="14.4" x14ac:dyDescent="0.3">
      <c r="A625" s="17" t="s">
        <v>6034</v>
      </c>
      <c r="B625" s="1" t="s">
        <v>241</v>
      </c>
      <c r="C625" s="1" t="s">
        <v>2584</v>
      </c>
      <c r="D625" s="1" t="s">
        <v>2585</v>
      </c>
      <c r="E625" s="1">
        <v>16900000</v>
      </c>
    </row>
    <row r="626" spans="1:5" ht="14.4" x14ac:dyDescent="0.3">
      <c r="A626" s="17" t="s">
        <v>6035</v>
      </c>
      <c r="B626" s="1" t="s">
        <v>86</v>
      </c>
      <c r="C626" s="1" t="s">
        <v>2476</v>
      </c>
      <c r="D626" s="1" t="s">
        <v>546</v>
      </c>
      <c r="E626" s="1">
        <v>29700000</v>
      </c>
    </row>
    <row r="627" spans="1:5" ht="14.4" x14ac:dyDescent="0.3">
      <c r="A627" s="17" t="s">
        <v>6036</v>
      </c>
      <c r="B627" s="1" t="s">
        <v>28</v>
      </c>
      <c r="C627" s="1" t="s">
        <v>38</v>
      </c>
      <c r="D627" s="1" t="s">
        <v>577</v>
      </c>
      <c r="E627" s="1">
        <v>11600000</v>
      </c>
    </row>
    <row r="628" spans="1:5" ht="14.4" x14ac:dyDescent="0.3">
      <c r="A628" s="17" t="s">
        <v>6037</v>
      </c>
      <c r="B628" s="1" t="s">
        <v>28</v>
      </c>
      <c r="C628" s="1" t="s">
        <v>38</v>
      </c>
      <c r="D628" s="1" t="s">
        <v>577</v>
      </c>
      <c r="E628" s="1">
        <v>11600000</v>
      </c>
    </row>
    <row r="629" spans="1:5" ht="14.4" x14ac:dyDescent="0.3">
      <c r="A629" s="17" t="s">
        <v>6038</v>
      </c>
      <c r="B629" s="1" t="s">
        <v>241</v>
      </c>
      <c r="C629" s="1">
        <v>3008</v>
      </c>
      <c r="D629" s="1" t="s">
        <v>249</v>
      </c>
      <c r="E629" s="1">
        <v>11800000</v>
      </c>
    </row>
    <row r="630" spans="1:5" ht="14.4" x14ac:dyDescent="0.3">
      <c r="A630" s="17" t="s">
        <v>6039</v>
      </c>
      <c r="B630" s="1" t="s">
        <v>2498</v>
      </c>
      <c r="C630" s="1" t="s">
        <v>196</v>
      </c>
      <c r="D630" s="1" t="s">
        <v>519</v>
      </c>
      <c r="E630" s="1">
        <v>17700000</v>
      </c>
    </row>
    <row r="631" spans="1:5" ht="14.4" x14ac:dyDescent="0.3">
      <c r="A631" s="17" t="s">
        <v>6040</v>
      </c>
      <c r="B631" s="1" t="s">
        <v>2533</v>
      </c>
      <c r="C631" s="1" t="s">
        <v>2582</v>
      </c>
      <c r="D631" s="1" t="s">
        <v>591</v>
      </c>
      <c r="E631" s="1">
        <v>7320000</v>
      </c>
    </row>
    <row r="632" spans="1:5" ht="14.4" x14ac:dyDescent="0.3">
      <c r="A632" s="17" t="s">
        <v>6041</v>
      </c>
      <c r="B632" s="1" t="s">
        <v>45</v>
      </c>
      <c r="C632" s="1" t="s">
        <v>2581</v>
      </c>
      <c r="D632" s="1" t="s">
        <v>48</v>
      </c>
      <c r="E632" s="1">
        <v>9100000</v>
      </c>
    </row>
    <row r="633" spans="1:5" ht="14.4" x14ac:dyDescent="0.3">
      <c r="A633" s="17" t="s">
        <v>6042</v>
      </c>
      <c r="B633" s="1" t="s">
        <v>241</v>
      </c>
      <c r="C633" s="1" t="s">
        <v>2487</v>
      </c>
      <c r="D633" s="1" t="s">
        <v>259</v>
      </c>
      <c r="E633" s="1">
        <v>18500000</v>
      </c>
    </row>
    <row r="634" spans="1:5" ht="14.4" x14ac:dyDescent="0.3">
      <c r="A634" s="17" t="s">
        <v>6043</v>
      </c>
      <c r="B634" s="1" t="s">
        <v>241</v>
      </c>
      <c r="C634" s="1" t="s">
        <v>2505</v>
      </c>
      <c r="D634" s="1" t="s">
        <v>671</v>
      </c>
      <c r="E634" s="1">
        <v>28400000</v>
      </c>
    </row>
    <row r="635" spans="1:5" ht="14.4" x14ac:dyDescent="0.3">
      <c r="A635" s="17" t="s">
        <v>6044</v>
      </c>
      <c r="B635" s="1" t="s">
        <v>220</v>
      </c>
      <c r="C635" s="1" t="s">
        <v>231</v>
      </c>
      <c r="D635" s="1" t="s">
        <v>2944</v>
      </c>
      <c r="E635" s="1">
        <v>9700000</v>
      </c>
    </row>
    <row r="636" spans="1:5" ht="14.4" x14ac:dyDescent="0.3">
      <c r="A636" s="17" t="s">
        <v>6045</v>
      </c>
      <c r="B636" s="1" t="s">
        <v>220</v>
      </c>
      <c r="C636" s="1" t="s">
        <v>2729</v>
      </c>
      <c r="D636" s="1" t="s">
        <v>2944</v>
      </c>
      <c r="E636" s="1">
        <v>9500000</v>
      </c>
    </row>
    <row r="637" spans="1:5" ht="14.4" x14ac:dyDescent="0.3">
      <c r="A637" s="17" t="s">
        <v>6046</v>
      </c>
      <c r="B637" s="1" t="s">
        <v>86</v>
      </c>
      <c r="C637" s="1" t="s">
        <v>90</v>
      </c>
      <c r="D637" s="1" t="s">
        <v>632</v>
      </c>
      <c r="E637" s="1">
        <v>8000000</v>
      </c>
    </row>
    <row r="638" spans="1:5" ht="14.4" x14ac:dyDescent="0.3">
      <c r="A638" s="17" t="s">
        <v>6047</v>
      </c>
      <c r="B638" s="1" t="s">
        <v>180</v>
      </c>
      <c r="C638" s="1" t="s">
        <v>183</v>
      </c>
      <c r="D638" s="1" t="s">
        <v>185</v>
      </c>
      <c r="E638" s="1">
        <v>11600000</v>
      </c>
    </row>
    <row r="639" spans="1:5" ht="14.4" x14ac:dyDescent="0.3">
      <c r="A639" s="17" t="s">
        <v>6048</v>
      </c>
      <c r="B639" s="1" t="s">
        <v>241</v>
      </c>
      <c r="C639" s="1" t="s">
        <v>2487</v>
      </c>
      <c r="D639" s="1" t="s">
        <v>760</v>
      </c>
      <c r="E639" s="1">
        <v>17400000</v>
      </c>
    </row>
    <row r="640" spans="1:5" ht="14.4" x14ac:dyDescent="0.3">
      <c r="A640" s="17" t="s">
        <v>6049</v>
      </c>
      <c r="B640" s="1" t="s">
        <v>28</v>
      </c>
      <c r="C640" s="1" t="s">
        <v>2575</v>
      </c>
      <c r="D640" s="1" t="s">
        <v>1757</v>
      </c>
      <c r="E640" s="1">
        <v>8400000</v>
      </c>
    </row>
    <row r="641" spans="1:5" ht="14.4" x14ac:dyDescent="0.3">
      <c r="A641" s="17" t="s">
        <v>6050</v>
      </c>
      <c r="B641" s="1" t="s">
        <v>173</v>
      </c>
      <c r="C641" s="1">
        <v>7</v>
      </c>
      <c r="D641" s="1" t="s">
        <v>538</v>
      </c>
      <c r="E641" s="1">
        <v>17500000</v>
      </c>
    </row>
    <row r="642" spans="1:5" ht="14.4" x14ac:dyDescent="0.3">
      <c r="A642" s="17" t="s">
        <v>6051</v>
      </c>
      <c r="B642" s="1" t="s">
        <v>86</v>
      </c>
      <c r="C642" s="1" t="s">
        <v>2507</v>
      </c>
      <c r="D642" s="1" t="s">
        <v>1051</v>
      </c>
      <c r="E642" s="1">
        <v>36700000</v>
      </c>
    </row>
    <row r="643" spans="1:5" ht="14.4" x14ac:dyDescent="0.3">
      <c r="A643" s="17" t="s">
        <v>6052</v>
      </c>
      <c r="B643" s="1" t="s">
        <v>241</v>
      </c>
      <c r="C643" s="1" t="s">
        <v>2485</v>
      </c>
      <c r="D643" s="1" t="s">
        <v>505</v>
      </c>
      <c r="E643" s="1">
        <v>9500000</v>
      </c>
    </row>
    <row r="644" spans="1:5" ht="14.4" x14ac:dyDescent="0.3">
      <c r="A644" s="17" t="s">
        <v>6053</v>
      </c>
      <c r="B644" s="1" t="s">
        <v>311</v>
      </c>
      <c r="C644" s="1" t="s">
        <v>2580</v>
      </c>
      <c r="D644" s="1" t="s">
        <v>561</v>
      </c>
      <c r="E644" s="1">
        <v>10400000</v>
      </c>
    </row>
    <row r="645" spans="1:5" ht="14.4" x14ac:dyDescent="0.3">
      <c r="A645" s="17" t="s">
        <v>6054</v>
      </c>
      <c r="B645" s="1" t="s">
        <v>220</v>
      </c>
      <c r="C645" s="1" t="s">
        <v>2576</v>
      </c>
      <c r="D645" s="1" t="s">
        <v>956</v>
      </c>
      <c r="E645" s="1">
        <v>22200000</v>
      </c>
    </row>
    <row r="646" spans="1:5" ht="14.4" x14ac:dyDescent="0.3">
      <c r="A646" s="17" t="s">
        <v>6055</v>
      </c>
      <c r="B646" s="1" t="s">
        <v>28</v>
      </c>
      <c r="C646" s="1" t="s">
        <v>2575</v>
      </c>
      <c r="D646" s="1" t="s">
        <v>525</v>
      </c>
      <c r="E646" s="1">
        <v>9000000</v>
      </c>
    </row>
    <row r="647" spans="1:5" ht="14.4" x14ac:dyDescent="0.3">
      <c r="A647" s="17" t="s">
        <v>6056</v>
      </c>
      <c r="B647" s="1" t="s">
        <v>2493</v>
      </c>
      <c r="C647" s="1" t="s">
        <v>2574</v>
      </c>
      <c r="D647" s="1" t="s">
        <v>608</v>
      </c>
      <c r="E647" s="1">
        <v>17100000</v>
      </c>
    </row>
    <row r="648" spans="1:5" ht="14.4" x14ac:dyDescent="0.3">
      <c r="A648" s="17" t="s">
        <v>6057</v>
      </c>
      <c r="B648" s="1" t="s">
        <v>241</v>
      </c>
      <c r="C648" s="1">
        <v>3008</v>
      </c>
      <c r="D648" s="1" t="s">
        <v>256</v>
      </c>
      <c r="E648" s="1">
        <v>16100000</v>
      </c>
    </row>
    <row r="649" spans="1:5" ht="14.4" x14ac:dyDescent="0.3">
      <c r="A649" s="17" t="s">
        <v>6058</v>
      </c>
      <c r="B649" s="1" t="s">
        <v>2533</v>
      </c>
      <c r="C649" s="1" t="s">
        <v>2571</v>
      </c>
      <c r="D649" s="1" t="s">
        <v>514</v>
      </c>
      <c r="E649" s="1">
        <v>8100000</v>
      </c>
    </row>
    <row r="650" spans="1:5" ht="14.4" x14ac:dyDescent="0.3">
      <c r="A650" s="17" t="s">
        <v>6059</v>
      </c>
      <c r="B650" s="1" t="s">
        <v>28</v>
      </c>
      <c r="C650" s="1" t="s">
        <v>2496</v>
      </c>
      <c r="D650" s="1" t="s">
        <v>511</v>
      </c>
      <c r="E650" s="1">
        <v>6880000</v>
      </c>
    </row>
    <row r="651" spans="1:5" ht="14.4" x14ac:dyDescent="0.3">
      <c r="A651" s="17" t="s">
        <v>6060</v>
      </c>
      <c r="B651" s="1" t="s">
        <v>241</v>
      </c>
      <c r="C651" s="1" t="s">
        <v>2487</v>
      </c>
      <c r="D651" s="1" t="s">
        <v>255</v>
      </c>
      <c r="E651" s="1">
        <v>14400000</v>
      </c>
    </row>
    <row r="652" spans="1:5" ht="14.4" x14ac:dyDescent="0.3">
      <c r="A652" s="17" t="s">
        <v>6061</v>
      </c>
      <c r="B652" s="1" t="s">
        <v>86</v>
      </c>
      <c r="C652" s="1" t="s">
        <v>106</v>
      </c>
      <c r="D652" s="1" t="s">
        <v>108</v>
      </c>
      <c r="E652" s="1">
        <v>29900000</v>
      </c>
    </row>
    <row r="653" spans="1:5" ht="14.4" x14ac:dyDescent="0.3">
      <c r="A653" s="17" t="s">
        <v>6062</v>
      </c>
      <c r="B653" s="1" t="s">
        <v>241</v>
      </c>
      <c r="C653" s="1" t="s">
        <v>2501</v>
      </c>
      <c r="D653" s="1" t="s">
        <v>950</v>
      </c>
      <c r="E653" s="1">
        <v>22200000</v>
      </c>
    </row>
    <row r="654" spans="1:5" ht="14.4" x14ac:dyDescent="0.3">
      <c r="A654" s="17" t="s">
        <v>6063</v>
      </c>
      <c r="B654" s="1" t="s">
        <v>220</v>
      </c>
      <c r="C654" s="1" t="s">
        <v>2729</v>
      </c>
      <c r="D654" s="1" t="s">
        <v>547</v>
      </c>
      <c r="E654" s="1">
        <v>12900000</v>
      </c>
    </row>
    <row r="655" spans="1:5" ht="14.4" x14ac:dyDescent="0.3">
      <c r="A655" s="17" t="s">
        <v>6064</v>
      </c>
      <c r="B655" s="1" t="s">
        <v>241</v>
      </c>
      <c r="C655" s="1">
        <v>308</v>
      </c>
      <c r="D655" s="1" t="s">
        <v>1236</v>
      </c>
      <c r="E655" s="1">
        <v>10700000</v>
      </c>
    </row>
    <row r="656" spans="1:5" ht="14.4" x14ac:dyDescent="0.3">
      <c r="A656" s="17" t="s">
        <v>6065</v>
      </c>
      <c r="B656" s="1" t="s">
        <v>2498</v>
      </c>
      <c r="C656" s="1" t="s">
        <v>2587</v>
      </c>
      <c r="D656" s="1" t="s">
        <v>2945</v>
      </c>
      <c r="E656" s="1">
        <v>16700000</v>
      </c>
    </row>
    <row r="657" spans="1:5" ht="14.4" x14ac:dyDescent="0.3">
      <c r="A657" s="17" t="s">
        <v>6066</v>
      </c>
      <c r="B657" s="1" t="s">
        <v>60</v>
      </c>
      <c r="C657" s="1" t="s">
        <v>2946</v>
      </c>
      <c r="D657" s="1" t="s">
        <v>2947</v>
      </c>
      <c r="E657" s="1">
        <v>8400000</v>
      </c>
    </row>
    <row r="658" spans="1:5" ht="14.4" x14ac:dyDescent="0.3">
      <c r="A658" s="17" t="s">
        <v>6067</v>
      </c>
      <c r="B658" s="1" t="s">
        <v>241</v>
      </c>
      <c r="C658" s="1">
        <v>5008</v>
      </c>
      <c r="D658" s="1" t="s">
        <v>2423</v>
      </c>
      <c r="E658" s="1">
        <v>17100000</v>
      </c>
    </row>
    <row r="659" spans="1:5" ht="14.4" x14ac:dyDescent="0.3">
      <c r="A659" s="17" t="s">
        <v>6068</v>
      </c>
      <c r="B659" s="1" t="s">
        <v>86</v>
      </c>
      <c r="C659" s="1" t="s">
        <v>106</v>
      </c>
      <c r="D659" s="1" t="s">
        <v>2948</v>
      </c>
      <c r="E659" s="1">
        <v>17700000</v>
      </c>
    </row>
    <row r="660" spans="1:5" ht="14.4" x14ac:dyDescent="0.3">
      <c r="A660" s="17" t="s">
        <v>6069</v>
      </c>
      <c r="B660" s="1" t="s">
        <v>220</v>
      </c>
      <c r="C660" s="1" t="s">
        <v>2682</v>
      </c>
      <c r="D660" s="1" t="s">
        <v>374</v>
      </c>
      <c r="E660" s="1">
        <v>13400000</v>
      </c>
    </row>
    <row r="661" spans="1:5" ht="14.4" x14ac:dyDescent="0.3">
      <c r="A661" s="17" t="s">
        <v>6070</v>
      </c>
      <c r="B661" s="1" t="s">
        <v>2498</v>
      </c>
      <c r="C661" s="1" t="s">
        <v>2523</v>
      </c>
      <c r="D661" s="1" t="s">
        <v>429</v>
      </c>
      <c r="E661" s="1">
        <v>12200000</v>
      </c>
    </row>
    <row r="662" spans="1:5" ht="14.4" x14ac:dyDescent="0.3">
      <c r="A662" s="17" t="s">
        <v>6071</v>
      </c>
      <c r="B662" s="1" t="s">
        <v>2498</v>
      </c>
      <c r="C662" s="1" t="s">
        <v>2830</v>
      </c>
      <c r="D662" s="1" t="s">
        <v>842</v>
      </c>
      <c r="E662" s="1">
        <v>17700000</v>
      </c>
    </row>
    <row r="663" spans="1:5" ht="14.4" x14ac:dyDescent="0.3">
      <c r="A663" s="17" t="s">
        <v>6072</v>
      </c>
      <c r="B663" s="1" t="s">
        <v>220</v>
      </c>
      <c r="C663" s="1" t="s">
        <v>228</v>
      </c>
      <c r="D663" s="1" t="s">
        <v>230</v>
      </c>
      <c r="E663" s="1">
        <v>11800000</v>
      </c>
    </row>
    <row r="664" spans="1:5" ht="14.4" x14ac:dyDescent="0.3">
      <c r="A664" s="17" t="s">
        <v>6073</v>
      </c>
      <c r="B664" s="1" t="s">
        <v>2494</v>
      </c>
      <c r="C664" s="1" t="s">
        <v>2495</v>
      </c>
      <c r="D664" s="1" t="s">
        <v>2949</v>
      </c>
      <c r="E664" s="1">
        <v>8600000</v>
      </c>
    </row>
    <row r="665" spans="1:5" ht="14.4" x14ac:dyDescent="0.3">
      <c r="A665" s="17" t="s">
        <v>6074</v>
      </c>
      <c r="B665" s="1" t="s">
        <v>2950</v>
      </c>
      <c r="C665" s="1" t="s">
        <v>2951</v>
      </c>
      <c r="D665" s="1" t="s">
        <v>2952</v>
      </c>
      <c r="E665" s="1">
        <v>9500000</v>
      </c>
    </row>
    <row r="666" spans="1:5" ht="14.4" x14ac:dyDescent="0.3">
      <c r="A666" s="17" t="s">
        <v>6075</v>
      </c>
      <c r="B666" s="1" t="s">
        <v>2498</v>
      </c>
      <c r="C666" s="1" t="s">
        <v>199</v>
      </c>
      <c r="D666" s="1" t="s">
        <v>2953</v>
      </c>
      <c r="E666" s="1">
        <v>20600000</v>
      </c>
    </row>
    <row r="667" spans="1:5" ht="14.4" x14ac:dyDescent="0.3">
      <c r="A667" s="17" t="s">
        <v>6076</v>
      </c>
      <c r="B667" s="1" t="s">
        <v>14</v>
      </c>
      <c r="C667" s="1" t="s">
        <v>2508</v>
      </c>
      <c r="D667" s="1" t="s">
        <v>2954</v>
      </c>
      <c r="E667" s="1">
        <v>9200000</v>
      </c>
    </row>
    <row r="668" spans="1:5" ht="14.4" x14ac:dyDescent="0.3">
      <c r="A668" s="17" t="s">
        <v>6077</v>
      </c>
      <c r="B668" s="1" t="s">
        <v>2955</v>
      </c>
      <c r="C668" s="1" t="s">
        <v>2956</v>
      </c>
      <c r="D668" s="1" t="s">
        <v>2957</v>
      </c>
      <c r="E668" s="1">
        <v>10900000</v>
      </c>
    </row>
    <row r="669" spans="1:5" ht="14.4" x14ac:dyDescent="0.3">
      <c r="A669" s="17" t="s">
        <v>6078</v>
      </c>
      <c r="B669" s="1" t="s">
        <v>86</v>
      </c>
      <c r="C669" s="1" t="s">
        <v>2476</v>
      </c>
      <c r="D669" s="1" t="s">
        <v>2958</v>
      </c>
      <c r="E669" s="1">
        <v>28000000</v>
      </c>
    </row>
    <row r="670" spans="1:5" ht="14.4" x14ac:dyDescent="0.3">
      <c r="A670" s="17" t="s">
        <v>6079</v>
      </c>
      <c r="B670" s="1" t="s">
        <v>2494</v>
      </c>
      <c r="C670" s="1" t="s">
        <v>2959</v>
      </c>
      <c r="D670" s="1" t="s">
        <v>2960</v>
      </c>
      <c r="E670" s="1">
        <v>10000000</v>
      </c>
    </row>
    <row r="671" spans="1:5" ht="14.4" x14ac:dyDescent="0.3">
      <c r="A671" s="17" t="s">
        <v>6080</v>
      </c>
      <c r="B671" s="1" t="s">
        <v>2498</v>
      </c>
      <c r="C671" s="1" t="s">
        <v>190</v>
      </c>
      <c r="D671" s="1" t="s">
        <v>1008</v>
      </c>
      <c r="E671" s="1">
        <v>29100000</v>
      </c>
    </row>
    <row r="672" spans="1:5" ht="14.4" x14ac:dyDescent="0.3">
      <c r="A672" s="17" t="s">
        <v>6081</v>
      </c>
      <c r="B672" s="1" t="s">
        <v>241</v>
      </c>
      <c r="C672" s="1" t="s">
        <v>2484</v>
      </c>
      <c r="D672" s="1" t="s">
        <v>729</v>
      </c>
      <c r="E672" s="1">
        <v>14100000</v>
      </c>
    </row>
    <row r="673" spans="1:5" ht="14.4" x14ac:dyDescent="0.3">
      <c r="A673" s="17" t="s">
        <v>6082</v>
      </c>
      <c r="B673" s="1" t="s">
        <v>241</v>
      </c>
      <c r="C673" s="1">
        <v>3008</v>
      </c>
      <c r="D673" s="1" t="s">
        <v>793</v>
      </c>
      <c r="E673" s="1">
        <v>16800000</v>
      </c>
    </row>
    <row r="674" spans="1:5" ht="14.4" x14ac:dyDescent="0.3">
      <c r="A674" s="17" t="s">
        <v>6083</v>
      </c>
      <c r="B674" s="1" t="s">
        <v>86</v>
      </c>
      <c r="C674" s="1" t="s">
        <v>111</v>
      </c>
      <c r="D674" s="1" t="s">
        <v>112</v>
      </c>
      <c r="E674" s="1">
        <v>29100000</v>
      </c>
    </row>
    <row r="675" spans="1:5" ht="14.4" x14ac:dyDescent="0.3">
      <c r="A675" s="17" t="s">
        <v>6084</v>
      </c>
      <c r="B675" s="1" t="s">
        <v>167</v>
      </c>
      <c r="C675" s="1" t="s">
        <v>2535</v>
      </c>
      <c r="D675" s="1" t="s">
        <v>172</v>
      </c>
      <c r="E675" s="1">
        <v>15500000</v>
      </c>
    </row>
    <row r="676" spans="1:5" ht="14.4" x14ac:dyDescent="0.3">
      <c r="A676" s="17" t="s">
        <v>6085</v>
      </c>
      <c r="B676" s="1" t="s">
        <v>2533</v>
      </c>
      <c r="C676" s="1" t="s">
        <v>2534</v>
      </c>
      <c r="D676" s="1" t="s">
        <v>487</v>
      </c>
      <c r="E676" s="1">
        <v>10700000</v>
      </c>
    </row>
    <row r="677" spans="1:5" ht="14.4" x14ac:dyDescent="0.3">
      <c r="A677" s="17" t="s">
        <v>6086</v>
      </c>
      <c r="B677" s="1" t="s">
        <v>241</v>
      </c>
      <c r="C677" s="1">
        <v>3008</v>
      </c>
      <c r="D677" s="1" t="s">
        <v>251</v>
      </c>
      <c r="E677" s="1">
        <v>13800000</v>
      </c>
    </row>
    <row r="678" spans="1:5" ht="14.4" x14ac:dyDescent="0.3">
      <c r="A678" s="17" t="s">
        <v>6087</v>
      </c>
      <c r="B678" s="1" t="s">
        <v>241</v>
      </c>
      <c r="C678" s="1" t="s">
        <v>2484</v>
      </c>
      <c r="D678" s="1" t="s">
        <v>616</v>
      </c>
      <c r="E678" s="1">
        <v>11800000</v>
      </c>
    </row>
    <row r="679" spans="1:5" ht="14.4" x14ac:dyDescent="0.3">
      <c r="A679" s="17" t="s">
        <v>6088</v>
      </c>
      <c r="B679" s="1" t="s">
        <v>220</v>
      </c>
      <c r="C679" s="1" t="s">
        <v>2729</v>
      </c>
      <c r="D679" s="1" t="s">
        <v>548</v>
      </c>
      <c r="E679" s="1">
        <v>11700000</v>
      </c>
    </row>
    <row r="680" spans="1:5" ht="14.4" x14ac:dyDescent="0.3">
      <c r="A680" s="17" t="s">
        <v>6089</v>
      </c>
      <c r="B680" s="1" t="s">
        <v>241</v>
      </c>
      <c r="C680" s="1" t="s">
        <v>269</v>
      </c>
      <c r="D680" s="1" t="s">
        <v>271</v>
      </c>
      <c r="E680" s="1">
        <v>15900000</v>
      </c>
    </row>
    <row r="681" spans="1:5" ht="14.4" x14ac:dyDescent="0.3">
      <c r="A681" s="17" t="s">
        <v>6090</v>
      </c>
      <c r="B681" s="1" t="s">
        <v>167</v>
      </c>
      <c r="C681" s="1" t="s">
        <v>2532</v>
      </c>
      <c r="D681" s="1" t="s">
        <v>972</v>
      </c>
      <c r="E681" s="1">
        <v>16800000</v>
      </c>
    </row>
    <row r="682" spans="1:5" ht="14.4" x14ac:dyDescent="0.3">
      <c r="A682" s="17" t="s">
        <v>6091</v>
      </c>
      <c r="B682" s="1" t="s">
        <v>86</v>
      </c>
      <c r="C682" s="1" t="s">
        <v>2504</v>
      </c>
      <c r="D682" s="1" t="s">
        <v>117</v>
      </c>
      <c r="E682" s="1">
        <v>43400000</v>
      </c>
    </row>
    <row r="683" spans="1:5" ht="14.4" x14ac:dyDescent="0.3">
      <c r="A683" s="17" t="s">
        <v>6092</v>
      </c>
      <c r="B683" s="1" t="s">
        <v>45</v>
      </c>
      <c r="C683" s="1" t="s">
        <v>49</v>
      </c>
      <c r="D683" s="1" t="s">
        <v>51</v>
      </c>
      <c r="E683" s="1">
        <v>47200000</v>
      </c>
    </row>
    <row r="684" spans="1:5" ht="14.4" x14ac:dyDescent="0.3">
      <c r="A684" s="17" t="s">
        <v>6093</v>
      </c>
      <c r="B684" s="1" t="s">
        <v>86</v>
      </c>
      <c r="C684" s="1" t="s">
        <v>2476</v>
      </c>
      <c r="D684" s="1" t="s">
        <v>119</v>
      </c>
      <c r="E684" s="1">
        <v>21300000</v>
      </c>
    </row>
    <row r="685" spans="1:5" ht="14.4" x14ac:dyDescent="0.3">
      <c r="A685" s="17" t="s">
        <v>6094</v>
      </c>
      <c r="B685" s="1" t="s">
        <v>241</v>
      </c>
      <c r="C685" s="1" t="s">
        <v>2501</v>
      </c>
      <c r="D685" s="1" t="s">
        <v>264</v>
      </c>
      <c r="E685" s="1">
        <v>20100000</v>
      </c>
    </row>
    <row r="686" spans="1:5" ht="14.4" x14ac:dyDescent="0.3">
      <c r="A686" s="17" t="s">
        <v>6095</v>
      </c>
      <c r="B686" s="1" t="s">
        <v>2494</v>
      </c>
      <c r="C686" s="1" t="s">
        <v>2531</v>
      </c>
      <c r="D686" s="1" t="s">
        <v>550</v>
      </c>
      <c r="E686" s="1">
        <v>9300000</v>
      </c>
    </row>
    <row r="687" spans="1:5" ht="14.4" x14ac:dyDescent="0.3">
      <c r="A687" s="17" t="s">
        <v>6096</v>
      </c>
      <c r="B687" s="1" t="s">
        <v>241</v>
      </c>
      <c r="C687" s="1" t="s">
        <v>276</v>
      </c>
      <c r="D687" s="1" t="s">
        <v>2961</v>
      </c>
      <c r="E687" s="1">
        <v>15400000</v>
      </c>
    </row>
    <row r="688" spans="1:5" ht="14.4" x14ac:dyDescent="0.3">
      <c r="A688" s="17" t="s">
        <v>6097</v>
      </c>
      <c r="B688" s="1" t="s">
        <v>86</v>
      </c>
      <c r="C688" s="1" t="s">
        <v>2962</v>
      </c>
      <c r="D688" s="1" t="s">
        <v>2963</v>
      </c>
      <c r="E688" s="1">
        <v>21900000</v>
      </c>
    </row>
    <row r="689" spans="1:5" ht="14.4" x14ac:dyDescent="0.3">
      <c r="A689" s="17" t="s">
        <v>6098</v>
      </c>
      <c r="B689" s="1" t="s">
        <v>2521</v>
      </c>
      <c r="C689" s="1" t="s">
        <v>2522</v>
      </c>
      <c r="D689" s="1" t="s">
        <v>418</v>
      </c>
      <c r="E689" s="1">
        <v>19100000</v>
      </c>
    </row>
    <row r="690" spans="1:5" ht="14.4" x14ac:dyDescent="0.3">
      <c r="A690" s="17" t="s">
        <v>6099</v>
      </c>
      <c r="B690" s="1" t="s">
        <v>2533</v>
      </c>
      <c r="C690" s="1" t="s">
        <v>2599</v>
      </c>
      <c r="D690" s="1" t="s">
        <v>2964</v>
      </c>
      <c r="E690" s="1">
        <v>7920000</v>
      </c>
    </row>
    <row r="691" spans="1:5" ht="14.4" x14ac:dyDescent="0.3">
      <c r="A691" s="17" t="s">
        <v>6100</v>
      </c>
      <c r="B691" s="1" t="s">
        <v>2498</v>
      </c>
      <c r="C691" s="1" t="s">
        <v>193</v>
      </c>
      <c r="D691" s="1" t="s">
        <v>425</v>
      </c>
      <c r="E691" s="1">
        <v>12300000</v>
      </c>
    </row>
    <row r="692" spans="1:5" ht="14.4" x14ac:dyDescent="0.3">
      <c r="A692" s="17" t="s">
        <v>6101</v>
      </c>
      <c r="B692" s="1" t="s">
        <v>241</v>
      </c>
      <c r="C692" s="1" t="s">
        <v>2487</v>
      </c>
      <c r="D692" s="1" t="s">
        <v>2477</v>
      </c>
      <c r="E692" s="1">
        <v>19100000</v>
      </c>
    </row>
    <row r="693" spans="1:5" ht="14.4" x14ac:dyDescent="0.3">
      <c r="A693" s="17" t="s">
        <v>6102</v>
      </c>
      <c r="B693" s="1" t="s">
        <v>45</v>
      </c>
      <c r="C693" s="1" t="s">
        <v>2764</v>
      </c>
      <c r="D693" s="1" t="s">
        <v>2965</v>
      </c>
      <c r="E693" s="1">
        <v>9200000</v>
      </c>
    </row>
    <row r="694" spans="1:5" ht="14.4" x14ac:dyDescent="0.3">
      <c r="A694" s="17" t="s">
        <v>6103</v>
      </c>
      <c r="B694" s="1" t="s">
        <v>2494</v>
      </c>
      <c r="C694" s="1" t="s">
        <v>2531</v>
      </c>
      <c r="D694" s="1" t="s">
        <v>2477</v>
      </c>
      <c r="E694" s="1">
        <v>9200000</v>
      </c>
    </row>
    <row r="695" spans="1:5" ht="14.4" x14ac:dyDescent="0.3">
      <c r="A695" s="17" t="s">
        <v>6104</v>
      </c>
      <c r="B695" s="1" t="s">
        <v>278</v>
      </c>
      <c r="C695" s="1" t="s">
        <v>285</v>
      </c>
      <c r="D695" s="1" t="s">
        <v>284</v>
      </c>
      <c r="E695" s="1">
        <v>31500000</v>
      </c>
    </row>
    <row r="696" spans="1:5" ht="14.4" x14ac:dyDescent="0.3">
      <c r="A696" s="17" t="s">
        <v>6105</v>
      </c>
      <c r="B696" s="1" t="s">
        <v>2950</v>
      </c>
      <c r="C696" s="1" t="s">
        <v>2966</v>
      </c>
      <c r="D696" s="1" t="s">
        <v>413</v>
      </c>
      <c r="E696" s="1">
        <v>11300000</v>
      </c>
    </row>
    <row r="697" spans="1:5" ht="14.4" x14ac:dyDescent="0.3">
      <c r="A697" s="17" t="s">
        <v>6106</v>
      </c>
      <c r="B697" s="1" t="s">
        <v>86</v>
      </c>
      <c r="C697" s="1" t="s">
        <v>2859</v>
      </c>
      <c r="D697" s="1" t="s">
        <v>423</v>
      </c>
      <c r="E697" s="1">
        <v>21100000</v>
      </c>
    </row>
    <row r="698" spans="1:5" ht="14.4" x14ac:dyDescent="0.3">
      <c r="A698" s="17" t="s">
        <v>6107</v>
      </c>
      <c r="B698" s="1" t="s">
        <v>237</v>
      </c>
      <c r="C698" s="1" t="s">
        <v>65</v>
      </c>
      <c r="D698" s="1" t="s">
        <v>2967</v>
      </c>
      <c r="E698" s="1">
        <v>14200000</v>
      </c>
    </row>
    <row r="699" spans="1:5" ht="14.4" x14ac:dyDescent="0.3">
      <c r="A699" s="17" t="s">
        <v>6108</v>
      </c>
      <c r="B699" s="1" t="s">
        <v>311</v>
      </c>
      <c r="C699" s="1" t="s">
        <v>2968</v>
      </c>
      <c r="D699" s="1" t="s">
        <v>2969</v>
      </c>
      <c r="E699" s="1">
        <v>9600000</v>
      </c>
    </row>
    <row r="700" spans="1:5" ht="14.4" x14ac:dyDescent="0.3">
      <c r="A700" s="17" t="s">
        <v>6109</v>
      </c>
      <c r="B700" s="1" t="s">
        <v>28</v>
      </c>
      <c r="C700" s="1" t="s">
        <v>2575</v>
      </c>
      <c r="D700" s="1" t="s">
        <v>2970</v>
      </c>
      <c r="E700" s="1">
        <v>8100000</v>
      </c>
    </row>
    <row r="701" spans="1:5" ht="14.4" x14ac:dyDescent="0.3">
      <c r="A701" s="17" t="s">
        <v>6110</v>
      </c>
      <c r="B701" s="1" t="s">
        <v>167</v>
      </c>
      <c r="C701" s="1" t="s">
        <v>170</v>
      </c>
      <c r="D701" s="1" t="s">
        <v>2971</v>
      </c>
      <c r="E701" s="1">
        <v>11700000</v>
      </c>
    </row>
    <row r="702" spans="1:5" ht="14.4" x14ac:dyDescent="0.3">
      <c r="A702" s="17" t="s">
        <v>6111</v>
      </c>
      <c r="B702" s="1" t="s">
        <v>2498</v>
      </c>
      <c r="C702" s="1" t="s">
        <v>193</v>
      </c>
      <c r="D702" s="1" t="s">
        <v>2972</v>
      </c>
      <c r="E702" s="1">
        <v>12900000</v>
      </c>
    </row>
    <row r="703" spans="1:5" ht="14.4" x14ac:dyDescent="0.3">
      <c r="A703" s="17" t="s">
        <v>6112</v>
      </c>
      <c r="B703" s="1" t="s">
        <v>241</v>
      </c>
      <c r="C703" s="1" t="s">
        <v>2584</v>
      </c>
      <c r="D703" s="1" t="s">
        <v>2973</v>
      </c>
      <c r="E703" s="1">
        <v>16200000</v>
      </c>
    </row>
    <row r="704" spans="1:5" ht="14.4" x14ac:dyDescent="0.3">
      <c r="A704" s="17" t="s">
        <v>6113</v>
      </c>
      <c r="B704" s="1" t="s">
        <v>241</v>
      </c>
      <c r="C704" s="1" t="s">
        <v>2505</v>
      </c>
      <c r="D704" s="1" t="s">
        <v>416</v>
      </c>
      <c r="E704" s="1">
        <v>24200000</v>
      </c>
    </row>
    <row r="705" spans="1:5" ht="14.4" x14ac:dyDescent="0.3">
      <c r="A705" s="17" t="s">
        <v>6114</v>
      </c>
      <c r="B705" s="1" t="s">
        <v>2498</v>
      </c>
      <c r="C705" s="1" t="s">
        <v>188</v>
      </c>
      <c r="D705" s="1" t="s">
        <v>2974</v>
      </c>
      <c r="E705" s="1">
        <v>8600000</v>
      </c>
    </row>
    <row r="706" spans="1:5" ht="14.4" x14ac:dyDescent="0.3">
      <c r="A706" s="17" t="s">
        <v>6115</v>
      </c>
      <c r="B706" s="1" t="s">
        <v>2549</v>
      </c>
      <c r="C706" s="1" t="s">
        <v>2655</v>
      </c>
      <c r="D706" s="1" t="s">
        <v>363</v>
      </c>
      <c r="E706" s="1">
        <v>13900000</v>
      </c>
    </row>
    <row r="707" spans="1:5" ht="14.4" x14ac:dyDescent="0.3">
      <c r="A707" s="17" t="s">
        <v>6116</v>
      </c>
      <c r="B707" s="1" t="s">
        <v>207</v>
      </c>
      <c r="C707" s="1" t="s">
        <v>2806</v>
      </c>
      <c r="D707" s="1" t="s">
        <v>2477</v>
      </c>
      <c r="E707" s="1">
        <v>19600000</v>
      </c>
    </row>
    <row r="708" spans="1:5" ht="14.4" x14ac:dyDescent="0.3">
      <c r="A708" s="17" t="s">
        <v>6117</v>
      </c>
      <c r="B708" s="1" t="s">
        <v>207</v>
      </c>
      <c r="C708" s="1" t="s">
        <v>2806</v>
      </c>
      <c r="D708" s="1" t="s">
        <v>2975</v>
      </c>
      <c r="E708" s="1">
        <v>18900000</v>
      </c>
    </row>
    <row r="709" spans="1:5" ht="14.4" x14ac:dyDescent="0.3">
      <c r="A709" s="17" t="s">
        <v>6118</v>
      </c>
      <c r="B709" s="1" t="s">
        <v>86</v>
      </c>
      <c r="C709" s="1" t="s">
        <v>2976</v>
      </c>
      <c r="D709" s="1" t="s">
        <v>2977</v>
      </c>
      <c r="E709" s="1">
        <v>12800000</v>
      </c>
    </row>
    <row r="710" spans="1:5" ht="14.4" x14ac:dyDescent="0.3">
      <c r="A710" s="17" t="s">
        <v>6119</v>
      </c>
      <c r="B710" s="1" t="s">
        <v>241</v>
      </c>
      <c r="C710" s="1" t="s">
        <v>269</v>
      </c>
      <c r="D710" s="1" t="s">
        <v>2978</v>
      </c>
      <c r="E710" s="1">
        <v>21900000</v>
      </c>
    </row>
    <row r="711" spans="1:5" ht="14.4" x14ac:dyDescent="0.3">
      <c r="A711" s="17" t="s">
        <v>6120</v>
      </c>
      <c r="B711" s="1" t="s">
        <v>311</v>
      </c>
      <c r="C711" s="1" t="s">
        <v>2979</v>
      </c>
      <c r="D711" s="1" t="s">
        <v>2980</v>
      </c>
      <c r="E711" s="1">
        <v>9900000</v>
      </c>
    </row>
    <row r="712" spans="1:5" ht="14.4" x14ac:dyDescent="0.3">
      <c r="A712" s="17" t="s">
        <v>6121</v>
      </c>
      <c r="B712" s="1" t="s">
        <v>306</v>
      </c>
      <c r="C712" s="1" t="s">
        <v>2981</v>
      </c>
      <c r="D712" s="1" t="s">
        <v>310</v>
      </c>
      <c r="E712" s="1">
        <v>21700000</v>
      </c>
    </row>
    <row r="713" spans="1:5" ht="14.4" x14ac:dyDescent="0.3">
      <c r="A713" s="17" t="s">
        <v>6122</v>
      </c>
      <c r="B713" s="1" t="s">
        <v>45</v>
      </c>
      <c r="C713" s="1" t="s">
        <v>46</v>
      </c>
      <c r="D713" s="1" t="s">
        <v>2982</v>
      </c>
      <c r="E713" s="1">
        <v>13600000</v>
      </c>
    </row>
    <row r="714" spans="1:5" ht="14.4" x14ac:dyDescent="0.3">
      <c r="A714" s="17" t="s">
        <v>6123</v>
      </c>
      <c r="B714" s="1" t="s">
        <v>2498</v>
      </c>
      <c r="C714" s="1" t="s">
        <v>193</v>
      </c>
      <c r="D714" s="1" t="s">
        <v>2983</v>
      </c>
      <c r="E714" s="1">
        <v>12900000</v>
      </c>
    </row>
    <row r="715" spans="1:5" ht="14.4" x14ac:dyDescent="0.3">
      <c r="A715" s="17" t="s">
        <v>6124</v>
      </c>
      <c r="B715" s="1" t="s">
        <v>156</v>
      </c>
      <c r="C715" s="1" t="s">
        <v>2707</v>
      </c>
      <c r="D715" s="1" t="s">
        <v>2984</v>
      </c>
      <c r="E715" s="1">
        <v>9600000</v>
      </c>
    </row>
    <row r="716" spans="1:5" ht="14.4" x14ac:dyDescent="0.3">
      <c r="A716" s="17" t="s">
        <v>6125</v>
      </c>
      <c r="B716" s="1" t="s">
        <v>207</v>
      </c>
      <c r="C716" s="1" t="s">
        <v>2840</v>
      </c>
      <c r="D716" s="1" t="s">
        <v>2985</v>
      </c>
      <c r="E716" s="1">
        <v>15700000</v>
      </c>
    </row>
    <row r="717" spans="1:5" ht="14.4" x14ac:dyDescent="0.3">
      <c r="A717" s="17" t="s">
        <v>6126</v>
      </c>
      <c r="B717" s="1" t="s">
        <v>2549</v>
      </c>
      <c r="C717" s="1" t="s">
        <v>2655</v>
      </c>
      <c r="D717" s="1" t="s">
        <v>2986</v>
      </c>
      <c r="E717" s="1">
        <v>14900000</v>
      </c>
    </row>
    <row r="718" spans="1:5" ht="14.4" x14ac:dyDescent="0.3">
      <c r="A718" s="17" t="s">
        <v>6127</v>
      </c>
      <c r="B718" s="1" t="s">
        <v>45</v>
      </c>
      <c r="C718" s="1" t="s">
        <v>2525</v>
      </c>
      <c r="D718" s="1" t="s">
        <v>1711</v>
      </c>
      <c r="E718" s="1">
        <v>19800000</v>
      </c>
    </row>
    <row r="719" spans="1:5" ht="14.4" x14ac:dyDescent="0.3">
      <c r="A719" s="17" t="s">
        <v>6128</v>
      </c>
      <c r="B719" s="1" t="s">
        <v>2494</v>
      </c>
      <c r="C719" s="1" t="s">
        <v>2987</v>
      </c>
      <c r="D719" s="1" t="s">
        <v>2988</v>
      </c>
      <c r="E719" s="1">
        <v>9900000</v>
      </c>
    </row>
    <row r="720" spans="1:5" ht="14.4" x14ac:dyDescent="0.3">
      <c r="A720" s="17" t="s">
        <v>6129</v>
      </c>
      <c r="B720" s="1" t="s">
        <v>2498</v>
      </c>
      <c r="C720" s="1" t="s">
        <v>188</v>
      </c>
      <c r="D720" s="1" t="s">
        <v>2989</v>
      </c>
      <c r="E720" s="1">
        <v>8600000</v>
      </c>
    </row>
    <row r="721" spans="1:5" ht="14.4" x14ac:dyDescent="0.3">
      <c r="A721" s="17" t="s">
        <v>6130</v>
      </c>
      <c r="B721" s="1" t="s">
        <v>86</v>
      </c>
      <c r="C721" s="1" t="s">
        <v>2504</v>
      </c>
      <c r="D721" s="1" t="s">
        <v>2477</v>
      </c>
      <c r="E721" s="1">
        <v>44600000</v>
      </c>
    </row>
    <row r="722" spans="1:5" ht="14.4" x14ac:dyDescent="0.3">
      <c r="A722" s="17" t="s">
        <v>6131</v>
      </c>
      <c r="B722" s="1" t="s">
        <v>156</v>
      </c>
      <c r="C722" s="1" t="s">
        <v>2912</v>
      </c>
      <c r="D722" s="1" t="s">
        <v>2990</v>
      </c>
      <c r="E722" s="1">
        <v>10200000</v>
      </c>
    </row>
    <row r="723" spans="1:5" ht="14.4" x14ac:dyDescent="0.3">
      <c r="A723" s="17" t="s">
        <v>6132</v>
      </c>
      <c r="B723" s="1" t="s">
        <v>147</v>
      </c>
      <c r="C723" s="1" t="s">
        <v>2528</v>
      </c>
      <c r="D723" s="1" t="s">
        <v>2991</v>
      </c>
      <c r="E723" s="1">
        <v>18900000</v>
      </c>
    </row>
    <row r="724" spans="1:5" ht="14.4" x14ac:dyDescent="0.3">
      <c r="A724" s="17" t="s">
        <v>6133</v>
      </c>
      <c r="B724" s="1" t="s">
        <v>2992</v>
      </c>
      <c r="C724" s="1" t="s">
        <v>2993</v>
      </c>
      <c r="D724" s="1" t="s">
        <v>2477</v>
      </c>
      <c r="E724" s="1">
        <v>16000000</v>
      </c>
    </row>
    <row r="725" spans="1:5" ht="14.4" x14ac:dyDescent="0.3">
      <c r="A725" s="17" t="s">
        <v>6134</v>
      </c>
      <c r="B725" s="1" t="s">
        <v>86</v>
      </c>
      <c r="C725" s="1" t="s">
        <v>2994</v>
      </c>
      <c r="D725" s="1" t="s">
        <v>2477</v>
      </c>
      <c r="E725" s="1">
        <v>27600000</v>
      </c>
    </row>
    <row r="726" spans="1:5" ht="14.4" x14ac:dyDescent="0.3">
      <c r="A726" s="17" t="s">
        <v>6135</v>
      </c>
      <c r="B726" s="1" t="s">
        <v>237</v>
      </c>
      <c r="C726" s="1" t="s">
        <v>65</v>
      </c>
      <c r="D726" s="1" t="s">
        <v>240</v>
      </c>
      <c r="E726" s="1">
        <v>15700000</v>
      </c>
    </row>
    <row r="727" spans="1:5" ht="14.4" x14ac:dyDescent="0.3">
      <c r="A727" s="17" t="s">
        <v>6136</v>
      </c>
      <c r="B727" s="1" t="s">
        <v>45</v>
      </c>
      <c r="C727" s="1" t="s">
        <v>2995</v>
      </c>
      <c r="D727" s="1" t="s">
        <v>2477</v>
      </c>
      <c r="E727" s="1">
        <v>9400000</v>
      </c>
    </row>
    <row r="728" spans="1:5" ht="14.4" x14ac:dyDescent="0.3">
      <c r="A728" s="17" t="s">
        <v>6137</v>
      </c>
      <c r="B728" s="1" t="s">
        <v>86</v>
      </c>
      <c r="C728" s="1" t="s">
        <v>134</v>
      </c>
      <c r="D728" s="1" t="s">
        <v>2996</v>
      </c>
      <c r="E728" s="1">
        <v>13100000</v>
      </c>
    </row>
    <row r="729" spans="1:5" ht="14.4" x14ac:dyDescent="0.3">
      <c r="A729" s="17" t="s">
        <v>6138</v>
      </c>
      <c r="B729" s="1" t="s">
        <v>2992</v>
      </c>
      <c r="C729" s="1" t="s">
        <v>2993</v>
      </c>
      <c r="D729" s="1" t="s">
        <v>2477</v>
      </c>
      <c r="E729" s="1">
        <v>16000000</v>
      </c>
    </row>
    <row r="730" spans="1:5" ht="14.4" x14ac:dyDescent="0.3">
      <c r="A730" s="17" t="s">
        <v>6139</v>
      </c>
      <c r="B730" s="1" t="s">
        <v>278</v>
      </c>
      <c r="C730" s="1">
        <v>700</v>
      </c>
      <c r="D730" s="1" t="s">
        <v>2997</v>
      </c>
      <c r="E730" s="1">
        <v>13600000</v>
      </c>
    </row>
    <row r="731" spans="1:5" ht="14.4" x14ac:dyDescent="0.3">
      <c r="A731" s="17" t="s">
        <v>6140</v>
      </c>
      <c r="B731" s="1" t="s">
        <v>220</v>
      </c>
      <c r="C731" s="1" t="s">
        <v>231</v>
      </c>
      <c r="D731" s="1" t="s">
        <v>2998</v>
      </c>
      <c r="E731" s="1">
        <v>10800000</v>
      </c>
    </row>
    <row r="732" spans="1:5" ht="14.4" x14ac:dyDescent="0.3">
      <c r="A732" s="17" t="s">
        <v>6141</v>
      </c>
      <c r="B732" s="1" t="s">
        <v>2498</v>
      </c>
      <c r="C732" s="1" t="s">
        <v>199</v>
      </c>
      <c r="D732" s="1" t="s">
        <v>2228</v>
      </c>
      <c r="E732" s="1">
        <v>14300000</v>
      </c>
    </row>
    <row r="733" spans="1:5" ht="14.4" x14ac:dyDescent="0.3">
      <c r="A733" s="17" t="s">
        <v>6142</v>
      </c>
      <c r="B733" s="1" t="s">
        <v>2950</v>
      </c>
      <c r="C733" s="1" t="s">
        <v>2966</v>
      </c>
      <c r="D733" s="1" t="s">
        <v>412</v>
      </c>
      <c r="E733" s="1">
        <v>8600000</v>
      </c>
    </row>
    <row r="734" spans="1:5" ht="14.4" x14ac:dyDescent="0.3">
      <c r="A734" s="17" t="s">
        <v>6143</v>
      </c>
      <c r="B734" s="1" t="s">
        <v>241</v>
      </c>
      <c r="C734" s="1" t="s">
        <v>2584</v>
      </c>
      <c r="D734" s="1" t="s">
        <v>2999</v>
      </c>
      <c r="E734" s="1">
        <v>17500000</v>
      </c>
    </row>
    <row r="735" spans="1:5" ht="14.4" x14ac:dyDescent="0.3">
      <c r="A735" s="17" t="s">
        <v>6144</v>
      </c>
      <c r="B735" s="1" t="s">
        <v>237</v>
      </c>
      <c r="C735" s="1" t="s">
        <v>65</v>
      </c>
      <c r="D735" s="1" t="s">
        <v>3000</v>
      </c>
      <c r="E735" s="1">
        <v>16000000</v>
      </c>
    </row>
    <row r="736" spans="1:5" ht="14.4" x14ac:dyDescent="0.3">
      <c r="A736" s="17" t="s">
        <v>6145</v>
      </c>
      <c r="B736" s="1" t="s">
        <v>288</v>
      </c>
      <c r="C736" s="1" t="s">
        <v>3001</v>
      </c>
      <c r="D736" s="1" t="s">
        <v>3002</v>
      </c>
      <c r="E736" s="1">
        <v>11500000</v>
      </c>
    </row>
    <row r="737" spans="1:5" ht="14.4" x14ac:dyDescent="0.3">
      <c r="A737" s="17" t="s">
        <v>6146</v>
      </c>
      <c r="B737" s="1" t="s">
        <v>173</v>
      </c>
      <c r="C737" s="1">
        <v>8</v>
      </c>
      <c r="D737" s="1" t="s">
        <v>3003</v>
      </c>
      <c r="E737" s="1">
        <v>25600000</v>
      </c>
    </row>
    <row r="738" spans="1:5" ht="14.4" x14ac:dyDescent="0.3">
      <c r="A738" s="17" t="s">
        <v>6147</v>
      </c>
      <c r="B738" s="1" t="s">
        <v>278</v>
      </c>
      <c r="C738" s="1">
        <v>1500</v>
      </c>
      <c r="D738" s="1" t="s">
        <v>3004</v>
      </c>
      <c r="E738" s="1">
        <v>18500000</v>
      </c>
    </row>
    <row r="739" spans="1:5" ht="14.4" x14ac:dyDescent="0.3">
      <c r="A739" s="17" t="s">
        <v>6148</v>
      </c>
      <c r="B739" s="1" t="s">
        <v>28</v>
      </c>
      <c r="C739" s="1" t="s">
        <v>2496</v>
      </c>
      <c r="D739" s="1" t="s">
        <v>417</v>
      </c>
      <c r="E739" s="1">
        <v>9700000</v>
      </c>
    </row>
    <row r="740" spans="1:5" ht="14.4" x14ac:dyDescent="0.3">
      <c r="A740" s="17" t="s">
        <v>6149</v>
      </c>
      <c r="B740" s="1" t="s">
        <v>45</v>
      </c>
      <c r="C740" s="1" t="s">
        <v>2822</v>
      </c>
      <c r="D740" s="1" t="s">
        <v>3005</v>
      </c>
      <c r="E740" s="1">
        <v>7540000</v>
      </c>
    </row>
    <row r="741" spans="1:5" ht="14.4" x14ac:dyDescent="0.3">
      <c r="A741" s="17" t="s">
        <v>6150</v>
      </c>
      <c r="B741" s="1" t="s">
        <v>300</v>
      </c>
      <c r="C741" s="1" t="s">
        <v>3006</v>
      </c>
      <c r="D741" s="1" t="s">
        <v>3007</v>
      </c>
      <c r="E741" s="1">
        <v>8200000</v>
      </c>
    </row>
    <row r="742" spans="1:5" ht="14.4" x14ac:dyDescent="0.3">
      <c r="A742" s="17" t="s">
        <v>6151</v>
      </c>
      <c r="B742" s="1" t="s">
        <v>86</v>
      </c>
      <c r="C742" s="1" t="s">
        <v>122</v>
      </c>
      <c r="D742" s="1" t="s">
        <v>3008</v>
      </c>
      <c r="E742" s="1">
        <v>19900000</v>
      </c>
    </row>
    <row r="743" spans="1:5" ht="14.4" x14ac:dyDescent="0.3">
      <c r="A743" s="17" t="s">
        <v>6152</v>
      </c>
      <c r="B743" s="1" t="s">
        <v>300</v>
      </c>
      <c r="C743" s="1" t="s">
        <v>2908</v>
      </c>
      <c r="D743" s="1" t="s">
        <v>3009</v>
      </c>
      <c r="E743" s="1">
        <v>8600000</v>
      </c>
    </row>
    <row r="744" spans="1:5" ht="14.4" x14ac:dyDescent="0.3">
      <c r="A744" s="17" t="s">
        <v>6153</v>
      </c>
      <c r="B744" s="1" t="s">
        <v>180</v>
      </c>
      <c r="C744" s="1" t="s">
        <v>183</v>
      </c>
      <c r="D744" s="1" t="s">
        <v>3010</v>
      </c>
      <c r="E744" s="1">
        <v>29400000</v>
      </c>
    </row>
    <row r="745" spans="1:5" ht="14.4" x14ac:dyDescent="0.3">
      <c r="A745" s="17" t="s">
        <v>6154</v>
      </c>
      <c r="B745" s="1" t="s">
        <v>241</v>
      </c>
      <c r="C745" s="1" t="s">
        <v>2501</v>
      </c>
      <c r="D745" s="1" t="s">
        <v>3011</v>
      </c>
      <c r="E745" s="1">
        <v>20600000</v>
      </c>
    </row>
    <row r="746" spans="1:5" ht="14.4" x14ac:dyDescent="0.3">
      <c r="A746" s="17" t="s">
        <v>6155</v>
      </c>
      <c r="B746" s="1" t="s">
        <v>156</v>
      </c>
      <c r="C746" s="1" t="s">
        <v>2479</v>
      </c>
      <c r="D746" s="1" t="s">
        <v>3012</v>
      </c>
      <c r="E746" s="1">
        <v>10500000</v>
      </c>
    </row>
    <row r="747" spans="1:5" ht="14.4" x14ac:dyDescent="0.3">
      <c r="A747" s="17" t="s">
        <v>6156</v>
      </c>
      <c r="B747" s="1" t="s">
        <v>28</v>
      </c>
      <c r="C747" s="1" t="s">
        <v>42</v>
      </c>
      <c r="D747" s="1" t="s">
        <v>44</v>
      </c>
      <c r="E747" s="1">
        <v>11600000</v>
      </c>
    </row>
    <row r="748" spans="1:5" ht="14.4" x14ac:dyDescent="0.3">
      <c r="A748" s="17" t="s">
        <v>6157</v>
      </c>
      <c r="B748" s="1" t="s">
        <v>2498</v>
      </c>
      <c r="C748" s="1" t="s">
        <v>188</v>
      </c>
      <c r="D748" s="1" t="s">
        <v>3013</v>
      </c>
      <c r="E748" s="1">
        <v>9200000</v>
      </c>
    </row>
    <row r="749" spans="1:5" ht="14.4" x14ac:dyDescent="0.3">
      <c r="A749" s="17" t="s">
        <v>6158</v>
      </c>
      <c r="B749" s="1" t="s">
        <v>241</v>
      </c>
      <c r="C749" s="1">
        <v>3008</v>
      </c>
      <c r="D749" s="1" t="s">
        <v>3014</v>
      </c>
      <c r="E749" s="1">
        <v>23700000</v>
      </c>
    </row>
    <row r="750" spans="1:5" ht="14.4" x14ac:dyDescent="0.3">
      <c r="A750" s="17" t="s">
        <v>6159</v>
      </c>
      <c r="B750" s="1" t="s">
        <v>2533</v>
      </c>
      <c r="C750" s="1" t="s">
        <v>2534</v>
      </c>
      <c r="D750" s="1" t="s">
        <v>3015</v>
      </c>
      <c r="E750" s="1">
        <v>9400000</v>
      </c>
    </row>
    <row r="751" spans="1:5" ht="14.4" x14ac:dyDescent="0.3">
      <c r="A751" s="17" t="s">
        <v>6160</v>
      </c>
      <c r="B751" s="1" t="s">
        <v>306</v>
      </c>
      <c r="C751" s="1" t="s">
        <v>2862</v>
      </c>
      <c r="D751" s="1" t="s">
        <v>3016</v>
      </c>
      <c r="E751" s="1">
        <v>17500000</v>
      </c>
    </row>
    <row r="752" spans="1:5" ht="14.4" x14ac:dyDescent="0.3">
      <c r="A752" s="17" t="s">
        <v>6161</v>
      </c>
      <c r="B752" s="1" t="s">
        <v>60</v>
      </c>
      <c r="C752" s="1" t="s">
        <v>3017</v>
      </c>
      <c r="D752" s="1" t="s">
        <v>3018</v>
      </c>
      <c r="E752" s="1">
        <v>14600000</v>
      </c>
    </row>
    <row r="753" spans="1:5" ht="14.4" x14ac:dyDescent="0.3">
      <c r="A753" s="17" t="s">
        <v>6162</v>
      </c>
      <c r="B753" s="1" t="s">
        <v>207</v>
      </c>
      <c r="C753" s="1" t="s">
        <v>2843</v>
      </c>
      <c r="D753" s="1" t="s">
        <v>3019</v>
      </c>
      <c r="E753" s="1">
        <v>27200000</v>
      </c>
    </row>
    <row r="754" spans="1:5" ht="14.4" x14ac:dyDescent="0.3">
      <c r="A754" s="17" t="s">
        <v>6163</v>
      </c>
      <c r="B754" s="1" t="s">
        <v>156</v>
      </c>
      <c r="C754" s="1" t="s">
        <v>2789</v>
      </c>
      <c r="D754" s="1" t="s">
        <v>3020</v>
      </c>
      <c r="E754" s="1">
        <v>15600000</v>
      </c>
    </row>
    <row r="755" spans="1:5" ht="14.4" x14ac:dyDescent="0.3">
      <c r="A755" s="17" t="s">
        <v>6164</v>
      </c>
      <c r="B755" s="1" t="s">
        <v>3021</v>
      </c>
      <c r="C755" s="1" t="s">
        <v>3022</v>
      </c>
      <c r="D755" s="1" t="s">
        <v>3023</v>
      </c>
      <c r="E755" s="1">
        <v>15000000</v>
      </c>
    </row>
    <row r="756" spans="1:5" ht="14.4" x14ac:dyDescent="0.3">
      <c r="A756" s="17" t="s">
        <v>6165</v>
      </c>
      <c r="B756" s="1" t="s">
        <v>241</v>
      </c>
      <c r="C756" s="1" t="s">
        <v>2501</v>
      </c>
      <c r="D756" s="1" t="s">
        <v>3024</v>
      </c>
      <c r="E756" s="1">
        <v>23100000</v>
      </c>
    </row>
    <row r="757" spans="1:5" ht="14.4" x14ac:dyDescent="0.3">
      <c r="A757" s="17" t="s">
        <v>6166</v>
      </c>
      <c r="B757" s="1" t="s">
        <v>156</v>
      </c>
      <c r="C757" s="1" t="s">
        <v>3025</v>
      </c>
      <c r="D757" s="1" t="s">
        <v>3026</v>
      </c>
      <c r="E757" s="1">
        <v>21900000</v>
      </c>
    </row>
    <row r="758" spans="1:5" ht="14.4" x14ac:dyDescent="0.3">
      <c r="A758" s="17" t="s">
        <v>6167</v>
      </c>
      <c r="B758" s="1" t="s">
        <v>220</v>
      </c>
      <c r="C758" s="1" t="s">
        <v>228</v>
      </c>
      <c r="D758" s="1" t="s">
        <v>230</v>
      </c>
      <c r="E758" s="1">
        <v>10800000</v>
      </c>
    </row>
    <row r="759" spans="1:5" ht="14.4" x14ac:dyDescent="0.3">
      <c r="A759" s="17" t="s">
        <v>6168</v>
      </c>
      <c r="B759" s="1" t="s">
        <v>45</v>
      </c>
      <c r="C759" s="1" t="s">
        <v>49</v>
      </c>
      <c r="D759" s="1" t="s">
        <v>419</v>
      </c>
      <c r="E759" s="1">
        <v>33800000</v>
      </c>
    </row>
    <row r="760" spans="1:5" ht="14.4" x14ac:dyDescent="0.3">
      <c r="A760" s="17" t="s">
        <v>6169</v>
      </c>
      <c r="B760" s="1" t="s">
        <v>2521</v>
      </c>
      <c r="C760" s="1" t="s">
        <v>2522</v>
      </c>
      <c r="D760" s="1" t="s">
        <v>3027</v>
      </c>
      <c r="E760" s="1">
        <v>17100000</v>
      </c>
    </row>
    <row r="761" spans="1:5" ht="14.4" x14ac:dyDescent="0.3">
      <c r="A761" s="17" t="s">
        <v>6170</v>
      </c>
      <c r="B761" s="1" t="s">
        <v>2549</v>
      </c>
      <c r="C761" s="1" t="s">
        <v>2550</v>
      </c>
      <c r="D761" s="1" t="s">
        <v>3028</v>
      </c>
      <c r="E761" s="1">
        <v>15400000</v>
      </c>
    </row>
    <row r="762" spans="1:5" ht="14.4" x14ac:dyDescent="0.3">
      <c r="A762" s="17" t="s">
        <v>6171</v>
      </c>
      <c r="B762" s="1" t="s">
        <v>2493</v>
      </c>
      <c r="C762" s="1" t="s">
        <v>83</v>
      </c>
      <c r="D762" s="1" t="s">
        <v>3029</v>
      </c>
      <c r="E762" s="1">
        <v>14400000</v>
      </c>
    </row>
    <row r="763" spans="1:5" ht="14.4" x14ac:dyDescent="0.3">
      <c r="A763" s="17" t="s">
        <v>6172</v>
      </c>
      <c r="B763" s="1" t="s">
        <v>2493</v>
      </c>
      <c r="C763" s="1" t="s">
        <v>3030</v>
      </c>
      <c r="D763" s="1" t="s">
        <v>3031</v>
      </c>
      <c r="E763" s="1">
        <v>30400000</v>
      </c>
    </row>
    <row r="764" spans="1:5" ht="14.4" x14ac:dyDescent="0.3">
      <c r="A764" s="17" t="s">
        <v>6173</v>
      </c>
      <c r="B764" s="1" t="s">
        <v>220</v>
      </c>
      <c r="C764" s="1" t="s">
        <v>223</v>
      </c>
      <c r="D764" s="1" t="s">
        <v>3032</v>
      </c>
      <c r="E764" s="1">
        <v>16200000</v>
      </c>
    </row>
    <row r="765" spans="1:5" ht="14.4" x14ac:dyDescent="0.3">
      <c r="A765" s="17" t="s">
        <v>6174</v>
      </c>
      <c r="B765" s="1" t="s">
        <v>207</v>
      </c>
      <c r="C765" s="1" t="s">
        <v>2582</v>
      </c>
      <c r="D765" s="1" t="s">
        <v>3033</v>
      </c>
      <c r="E765" s="1">
        <v>11400000</v>
      </c>
    </row>
    <row r="766" spans="1:5" ht="14.4" x14ac:dyDescent="0.3">
      <c r="A766" s="17" t="s">
        <v>6175</v>
      </c>
      <c r="B766" s="1" t="s">
        <v>173</v>
      </c>
      <c r="C766" s="1">
        <v>7</v>
      </c>
      <c r="D766" s="1" t="s">
        <v>3034</v>
      </c>
      <c r="E766" s="1">
        <v>17000000</v>
      </c>
    </row>
    <row r="767" spans="1:5" ht="14.4" x14ac:dyDescent="0.3">
      <c r="A767" s="17" t="s">
        <v>6176</v>
      </c>
      <c r="B767" s="1" t="s">
        <v>173</v>
      </c>
      <c r="C767" s="1">
        <v>7</v>
      </c>
      <c r="D767" s="1" t="s">
        <v>2640</v>
      </c>
      <c r="E767" s="1">
        <v>17500000</v>
      </c>
    </row>
    <row r="768" spans="1:5" ht="14.4" x14ac:dyDescent="0.3">
      <c r="A768" s="17" t="s">
        <v>6177</v>
      </c>
      <c r="B768" s="1" t="s">
        <v>241</v>
      </c>
      <c r="C768" s="1">
        <v>208</v>
      </c>
      <c r="D768" s="1" t="s">
        <v>3035</v>
      </c>
      <c r="E768" s="1">
        <v>13900000</v>
      </c>
    </row>
    <row r="769" spans="1:5" ht="14.4" x14ac:dyDescent="0.3">
      <c r="A769" s="17" t="s">
        <v>6178</v>
      </c>
      <c r="B769" s="1" t="s">
        <v>45</v>
      </c>
      <c r="C769" s="1" t="s">
        <v>2764</v>
      </c>
      <c r="D769" s="1" t="s">
        <v>3036</v>
      </c>
      <c r="E769" s="1">
        <v>9200000</v>
      </c>
    </row>
    <row r="770" spans="1:5" ht="14.4" x14ac:dyDescent="0.3">
      <c r="A770" s="17" t="s">
        <v>6179</v>
      </c>
      <c r="B770" s="1" t="s">
        <v>68</v>
      </c>
      <c r="C770" s="1">
        <v>560</v>
      </c>
      <c r="D770" s="1" t="s">
        <v>3037</v>
      </c>
      <c r="E770" s="1">
        <v>9500000</v>
      </c>
    </row>
    <row r="771" spans="1:5" ht="14.4" x14ac:dyDescent="0.3">
      <c r="A771" s="17" t="s">
        <v>6180</v>
      </c>
      <c r="B771" s="1" t="s">
        <v>2498</v>
      </c>
      <c r="C771" s="1" t="s">
        <v>199</v>
      </c>
      <c r="D771" s="1" t="s">
        <v>3038</v>
      </c>
      <c r="E771" s="1">
        <v>12200000</v>
      </c>
    </row>
    <row r="772" spans="1:5" ht="14.4" x14ac:dyDescent="0.3">
      <c r="A772" s="17" t="s">
        <v>6181</v>
      </c>
      <c r="B772" s="1" t="s">
        <v>86</v>
      </c>
      <c r="C772" s="1" t="s">
        <v>2976</v>
      </c>
      <c r="D772" s="1" t="s">
        <v>3039</v>
      </c>
      <c r="E772" s="1">
        <v>16300000</v>
      </c>
    </row>
    <row r="773" spans="1:5" ht="14.4" x14ac:dyDescent="0.3">
      <c r="A773" s="17" t="s">
        <v>6182</v>
      </c>
      <c r="B773" s="1" t="s">
        <v>2816</v>
      </c>
      <c r="C773" s="1" t="s">
        <v>2817</v>
      </c>
      <c r="D773" s="1" t="s">
        <v>411</v>
      </c>
      <c r="E773" s="1">
        <v>10800000</v>
      </c>
    </row>
    <row r="774" spans="1:5" ht="14.4" x14ac:dyDescent="0.3">
      <c r="A774" s="17" t="s">
        <v>6183</v>
      </c>
      <c r="B774" s="1" t="s">
        <v>86</v>
      </c>
      <c r="C774" s="1" t="s">
        <v>134</v>
      </c>
      <c r="D774" s="1" t="s">
        <v>394</v>
      </c>
      <c r="E774" s="1">
        <v>13900000</v>
      </c>
    </row>
    <row r="775" spans="1:5" ht="14.4" x14ac:dyDescent="0.3">
      <c r="A775" s="17" t="s">
        <v>6184</v>
      </c>
      <c r="B775" s="1" t="s">
        <v>86</v>
      </c>
      <c r="C775" s="1" t="s">
        <v>2826</v>
      </c>
      <c r="D775" s="1" t="s">
        <v>101</v>
      </c>
      <c r="E775" s="1">
        <v>19700000</v>
      </c>
    </row>
    <row r="776" spans="1:5" ht="14.4" x14ac:dyDescent="0.3">
      <c r="A776" s="17" t="s">
        <v>6185</v>
      </c>
      <c r="B776" s="1" t="s">
        <v>207</v>
      </c>
      <c r="C776" s="1" t="s">
        <v>2582</v>
      </c>
      <c r="D776" s="1" t="s">
        <v>3033</v>
      </c>
      <c r="E776" s="1">
        <v>11400000</v>
      </c>
    </row>
    <row r="777" spans="1:5" ht="14.4" x14ac:dyDescent="0.3">
      <c r="A777" s="17" t="s">
        <v>6186</v>
      </c>
      <c r="B777" s="1" t="s">
        <v>86</v>
      </c>
      <c r="C777" s="1" t="s">
        <v>2507</v>
      </c>
      <c r="D777" s="1" t="s">
        <v>401</v>
      </c>
      <c r="E777" s="1">
        <v>28600000</v>
      </c>
    </row>
    <row r="778" spans="1:5" ht="14.4" x14ac:dyDescent="0.3">
      <c r="A778" s="17" t="s">
        <v>6187</v>
      </c>
      <c r="B778" s="1" t="s">
        <v>300</v>
      </c>
      <c r="C778" s="1" t="s">
        <v>2908</v>
      </c>
      <c r="D778" s="1" t="s">
        <v>3040</v>
      </c>
      <c r="E778" s="1">
        <v>11900000</v>
      </c>
    </row>
    <row r="779" spans="1:5" ht="14.4" x14ac:dyDescent="0.3">
      <c r="A779" s="17" t="s">
        <v>6188</v>
      </c>
      <c r="B779" s="1" t="s">
        <v>2549</v>
      </c>
      <c r="C779" s="1" t="s">
        <v>3041</v>
      </c>
      <c r="D779" s="1" t="s">
        <v>3042</v>
      </c>
      <c r="E779" s="1">
        <v>11700000</v>
      </c>
    </row>
    <row r="780" spans="1:5" ht="14.4" x14ac:dyDescent="0.3">
      <c r="A780" s="17" t="s">
        <v>6189</v>
      </c>
      <c r="B780" s="1" t="s">
        <v>3021</v>
      </c>
      <c r="C780" s="1" t="s">
        <v>3043</v>
      </c>
      <c r="D780" s="1" t="s">
        <v>3044</v>
      </c>
      <c r="E780" s="1">
        <v>20400000</v>
      </c>
    </row>
    <row r="781" spans="1:5" ht="14.4" x14ac:dyDescent="0.3">
      <c r="A781" s="17" t="s">
        <v>6190</v>
      </c>
      <c r="B781" s="1" t="s">
        <v>86</v>
      </c>
      <c r="C781" s="1" t="s">
        <v>2507</v>
      </c>
      <c r="D781" s="1" t="s">
        <v>128</v>
      </c>
      <c r="E781" s="1">
        <v>46500000</v>
      </c>
    </row>
    <row r="782" spans="1:5" ht="14.4" x14ac:dyDescent="0.3">
      <c r="A782" s="17" t="s">
        <v>6191</v>
      </c>
      <c r="B782" s="1" t="s">
        <v>28</v>
      </c>
      <c r="C782" s="1" t="s">
        <v>2496</v>
      </c>
      <c r="D782" s="1" t="s">
        <v>3045</v>
      </c>
      <c r="E782" s="1">
        <v>7510000</v>
      </c>
    </row>
    <row r="783" spans="1:5" ht="14.4" x14ac:dyDescent="0.3">
      <c r="A783" s="17" t="s">
        <v>6192</v>
      </c>
      <c r="B783" s="1" t="s">
        <v>2494</v>
      </c>
      <c r="C783" s="1" t="s">
        <v>2495</v>
      </c>
      <c r="D783" s="1" t="s">
        <v>3046</v>
      </c>
      <c r="E783" s="1">
        <v>7790000</v>
      </c>
    </row>
    <row r="784" spans="1:5" ht="14.4" x14ac:dyDescent="0.3">
      <c r="A784" s="17" t="s">
        <v>6193</v>
      </c>
      <c r="B784" s="1" t="s">
        <v>288</v>
      </c>
      <c r="C784" s="1" t="s">
        <v>2847</v>
      </c>
      <c r="D784" s="1" t="s">
        <v>405</v>
      </c>
      <c r="E784" s="1">
        <v>8300000</v>
      </c>
    </row>
    <row r="785" spans="1:5" ht="14.4" x14ac:dyDescent="0.3">
      <c r="A785" s="17" t="s">
        <v>6194</v>
      </c>
      <c r="B785" s="1" t="s">
        <v>2665</v>
      </c>
      <c r="C785" s="1" t="s">
        <v>3047</v>
      </c>
      <c r="D785" s="1" t="s">
        <v>3048</v>
      </c>
      <c r="E785" s="1">
        <v>22900000</v>
      </c>
    </row>
    <row r="786" spans="1:5" ht="14.4" x14ac:dyDescent="0.3">
      <c r="A786" s="17" t="s">
        <v>6195</v>
      </c>
      <c r="B786" s="1" t="s">
        <v>86</v>
      </c>
      <c r="C786" s="1" t="s">
        <v>122</v>
      </c>
      <c r="D786" s="1" t="s">
        <v>133</v>
      </c>
      <c r="E786" s="1">
        <v>18700000</v>
      </c>
    </row>
    <row r="787" spans="1:5" ht="14.4" x14ac:dyDescent="0.3">
      <c r="A787" s="17" t="s">
        <v>6196</v>
      </c>
      <c r="B787" s="1" t="s">
        <v>147</v>
      </c>
      <c r="C787" s="1" t="s">
        <v>153</v>
      </c>
      <c r="D787" s="1" t="s">
        <v>3049</v>
      </c>
      <c r="E787" s="1">
        <v>12600000</v>
      </c>
    </row>
    <row r="788" spans="1:5" ht="14.4" x14ac:dyDescent="0.3">
      <c r="A788" s="17" t="s">
        <v>6197</v>
      </c>
      <c r="B788" s="1" t="s">
        <v>241</v>
      </c>
      <c r="C788" s="1" t="s">
        <v>2505</v>
      </c>
      <c r="D788" s="1" t="s">
        <v>3050</v>
      </c>
      <c r="E788" s="1">
        <v>22900000</v>
      </c>
    </row>
    <row r="789" spans="1:5" ht="14.4" x14ac:dyDescent="0.3">
      <c r="A789" s="17" t="s">
        <v>6198</v>
      </c>
      <c r="B789" s="1" t="s">
        <v>241</v>
      </c>
      <c r="C789" s="1" t="s">
        <v>2505</v>
      </c>
      <c r="D789" s="1" t="s">
        <v>3051</v>
      </c>
      <c r="E789" s="1">
        <v>22900000</v>
      </c>
    </row>
    <row r="790" spans="1:5" ht="14.4" x14ac:dyDescent="0.3">
      <c r="A790" s="17" t="s">
        <v>6199</v>
      </c>
      <c r="B790" s="1" t="s">
        <v>311</v>
      </c>
      <c r="C790" s="1" t="s">
        <v>3052</v>
      </c>
      <c r="D790" s="1" t="s">
        <v>3053</v>
      </c>
      <c r="E790" s="1">
        <v>27700000</v>
      </c>
    </row>
    <row r="791" spans="1:5" ht="14.4" x14ac:dyDescent="0.3">
      <c r="A791" s="17" t="s">
        <v>6200</v>
      </c>
      <c r="B791" s="1" t="s">
        <v>86</v>
      </c>
      <c r="C791" s="1" t="s">
        <v>2976</v>
      </c>
      <c r="D791" s="1" t="s">
        <v>3054</v>
      </c>
      <c r="E791" s="1">
        <v>13200000</v>
      </c>
    </row>
    <row r="792" spans="1:5" ht="14.4" x14ac:dyDescent="0.3">
      <c r="A792" s="17" t="s">
        <v>6201</v>
      </c>
      <c r="B792" s="1" t="s">
        <v>86</v>
      </c>
      <c r="C792" s="1" t="s">
        <v>2507</v>
      </c>
      <c r="D792" s="1" t="s">
        <v>128</v>
      </c>
      <c r="E792" s="1">
        <v>46500000</v>
      </c>
    </row>
    <row r="793" spans="1:5" ht="14.4" x14ac:dyDescent="0.3">
      <c r="A793" s="17" t="s">
        <v>6202</v>
      </c>
      <c r="B793" s="1" t="s">
        <v>2549</v>
      </c>
      <c r="C793" s="1" t="s">
        <v>3041</v>
      </c>
      <c r="D793" s="1" t="s">
        <v>2477</v>
      </c>
      <c r="E793" s="1">
        <v>13800000</v>
      </c>
    </row>
    <row r="794" spans="1:5" ht="14.4" x14ac:dyDescent="0.3">
      <c r="A794" s="17" t="s">
        <v>6203</v>
      </c>
      <c r="B794" s="1" t="s">
        <v>45</v>
      </c>
      <c r="C794" s="1" t="s">
        <v>2764</v>
      </c>
      <c r="D794" s="1" t="s">
        <v>410</v>
      </c>
      <c r="E794" s="1">
        <v>10800000</v>
      </c>
    </row>
    <row r="795" spans="1:5" ht="14.4" x14ac:dyDescent="0.3">
      <c r="A795" s="17" t="s">
        <v>6204</v>
      </c>
      <c r="B795" s="1" t="s">
        <v>28</v>
      </c>
      <c r="C795" s="1" t="s">
        <v>2496</v>
      </c>
      <c r="D795" s="1" t="s">
        <v>3055</v>
      </c>
      <c r="E795" s="1">
        <v>8400000</v>
      </c>
    </row>
    <row r="796" spans="1:5" ht="14.4" x14ac:dyDescent="0.3">
      <c r="A796" s="17" t="s">
        <v>6205</v>
      </c>
      <c r="B796" s="1" t="s">
        <v>167</v>
      </c>
      <c r="C796" s="1" t="s">
        <v>170</v>
      </c>
      <c r="D796" s="1" t="s">
        <v>3056</v>
      </c>
      <c r="E796" s="1">
        <v>10400000</v>
      </c>
    </row>
    <row r="797" spans="1:5" ht="14.4" x14ac:dyDescent="0.3">
      <c r="A797" s="17" t="s">
        <v>6206</v>
      </c>
      <c r="B797" s="1" t="s">
        <v>147</v>
      </c>
      <c r="C797" s="1" t="s">
        <v>153</v>
      </c>
      <c r="D797" s="1" t="s">
        <v>3057</v>
      </c>
      <c r="E797" s="1">
        <v>11000000</v>
      </c>
    </row>
    <row r="798" spans="1:5" ht="14.4" x14ac:dyDescent="0.3">
      <c r="A798" s="17" t="s">
        <v>6207</v>
      </c>
      <c r="B798" s="1" t="s">
        <v>86</v>
      </c>
      <c r="C798" s="1" t="s">
        <v>2793</v>
      </c>
      <c r="D798" s="1" t="s">
        <v>409</v>
      </c>
      <c r="E798" s="1">
        <v>18200000</v>
      </c>
    </row>
    <row r="799" spans="1:5" ht="14.4" x14ac:dyDescent="0.3">
      <c r="A799" s="17" t="s">
        <v>6208</v>
      </c>
      <c r="B799" s="1" t="s">
        <v>306</v>
      </c>
      <c r="C799" s="1" t="s">
        <v>2981</v>
      </c>
      <c r="D799" s="1" t="s">
        <v>3058</v>
      </c>
      <c r="E799" s="1">
        <v>24800000</v>
      </c>
    </row>
    <row r="800" spans="1:5" ht="14.4" x14ac:dyDescent="0.3">
      <c r="A800" s="17" t="s">
        <v>6209</v>
      </c>
      <c r="B800" s="1" t="s">
        <v>278</v>
      </c>
      <c r="C800" s="1" t="s">
        <v>2530</v>
      </c>
      <c r="D800" s="1" t="s">
        <v>282</v>
      </c>
      <c r="E800" s="1">
        <v>37100000</v>
      </c>
    </row>
    <row r="801" spans="1:5" ht="14.4" x14ac:dyDescent="0.3">
      <c r="A801" s="17" t="s">
        <v>6210</v>
      </c>
      <c r="B801" s="1" t="s">
        <v>241</v>
      </c>
      <c r="C801" s="1" t="s">
        <v>2584</v>
      </c>
      <c r="D801" s="1" t="s">
        <v>3059</v>
      </c>
      <c r="E801" s="1">
        <v>17600000</v>
      </c>
    </row>
    <row r="802" spans="1:5" ht="14.4" x14ac:dyDescent="0.3">
      <c r="A802" s="17" t="s">
        <v>6211</v>
      </c>
      <c r="B802" s="1" t="s">
        <v>2498</v>
      </c>
      <c r="C802" s="1" t="s">
        <v>199</v>
      </c>
      <c r="D802" s="1" t="s">
        <v>3060</v>
      </c>
      <c r="E802" s="1">
        <v>26100000</v>
      </c>
    </row>
    <row r="803" spans="1:5" ht="14.4" x14ac:dyDescent="0.3">
      <c r="A803" s="17" t="s">
        <v>6212</v>
      </c>
      <c r="B803" s="1" t="s">
        <v>45</v>
      </c>
      <c r="C803" s="1" t="s">
        <v>3061</v>
      </c>
      <c r="D803" s="1" t="s">
        <v>3062</v>
      </c>
      <c r="E803" s="1">
        <v>6610000</v>
      </c>
    </row>
    <row r="804" spans="1:5" ht="14.4" x14ac:dyDescent="0.3">
      <c r="A804" s="17" t="s">
        <v>6213</v>
      </c>
      <c r="B804" s="1" t="s">
        <v>68</v>
      </c>
      <c r="C804" s="1" t="s">
        <v>2568</v>
      </c>
      <c r="D804" s="1" t="s">
        <v>3063</v>
      </c>
      <c r="E804" s="1">
        <v>8900000</v>
      </c>
    </row>
    <row r="805" spans="1:5" ht="14.4" x14ac:dyDescent="0.3">
      <c r="A805" s="17" t="s">
        <v>6214</v>
      </c>
      <c r="B805" s="1" t="s">
        <v>2816</v>
      </c>
      <c r="C805" s="1" t="s">
        <v>2817</v>
      </c>
      <c r="D805" s="1" t="s">
        <v>411</v>
      </c>
      <c r="E805" s="1">
        <v>10800000</v>
      </c>
    </row>
    <row r="806" spans="1:5" ht="14.4" x14ac:dyDescent="0.3">
      <c r="A806" s="17" t="s">
        <v>6215</v>
      </c>
      <c r="B806" s="1" t="s">
        <v>241</v>
      </c>
      <c r="C806" s="1" t="s">
        <v>2485</v>
      </c>
      <c r="D806" s="1" t="s">
        <v>408</v>
      </c>
      <c r="E806" s="1">
        <v>15600000</v>
      </c>
    </row>
    <row r="807" spans="1:5" ht="14.4" x14ac:dyDescent="0.3">
      <c r="A807" s="17" t="s">
        <v>6216</v>
      </c>
      <c r="B807" s="1" t="s">
        <v>86</v>
      </c>
      <c r="C807" s="1" t="s">
        <v>106</v>
      </c>
      <c r="D807" s="1" t="s">
        <v>3064</v>
      </c>
      <c r="E807" s="1">
        <v>30600000</v>
      </c>
    </row>
    <row r="808" spans="1:5" ht="14.4" x14ac:dyDescent="0.3">
      <c r="A808" s="17" t="s">
        <v>6217</v>
      </c>
      <c r="B808" s="1" t="s">
        <v>241</v>
      </c>
      <c r="C808" s="1">
        <v>3008</v>
      </c>
      <c r="D808" s="1" t="s">
        <v>3065</v>
      </c>
      <c r="E808" s="1">
        <v>13400000</v>
      </c>
    </row>
    <row r="809" spans="1:5" ht="14.4" x14ac:dyDescent="0.3">
      <c r="A809" s="17" t="s">
        <v>6218</v>
      </c>
      <c r="B809" s="1" t="s">
        <v>2549</v>
      </c>
      <c r="C809" s="1" t="s">
        <v>3066</v>
      </c>
      <c r="D809" s="1" t="s">
        <v>3067</v>
      </c>
      <c r="E809" s="1">
        <v>10200000</v>
      </c>
    </row>
    <row r="810" spans="1:5" ht="14.4" x14ac:dyDescent="0.3">
      <c r="A810" s="17" t="s">
        <v>6219</v>
      </c>
      <c r="B810" s="1" t="s">
        <v>2816</v>
      </c>
      <c r="C810" s="1" t="s">
        <v>2817</v>
      </c>
      <c r="D810" s="1" t="s">
        <v>411</v>
      </c>
      <c r="E810" s="1">
        <v>10800000</v>
      </c>
    </row>
    <row r="811" spans="1:5" ht="14.4" x14ac:dyDescent="0.3">
      <c r="A811" s="17" t="s">
        <v>6220</v>
      </c>
      <c r="B811" s="1" t="s">
        <v>241</v>
      </c>
      <c r="C811" s="1" t="s">
        <v>2501</v>
      </c>
      <c r="D811" s="1" t="s">
        <v>3024</v>
      </c>
      <c r="E811" s="1">
        <v>23100000</v>
      </c>
    </row>
    <row r="812" spans="1:5" ht="14.4" x14ac:dyDescent="0.3">
      <c r="A812" s="17" t="s">
        <v>6221</v>
      </c>
      <c r="B812" s="1" t="s">
        <v>86</v>
      </c>
      <c r="C812" s="1" t="s">
        <v>3068</v>
      </c>
      <c r="D812" s="1" t="s">
        <v>3069</v>
      </c>
      <c r="E812" s="1">
        <v>42900000</v>
      </c>
    </row>
    <row r="813" spans="1:5" ht="14.4" x14ac:dyDescent="0.3">
      <c r="A813" s="17" t="s">
        <v>6222</v>
      </c>
      <c r="B813" s="1" t="s">
        <v>306</v>
      </c>
      <c r="C813" s="1" t="s">
        <v>2981</v>
      </c>
      <c r="D813" s="1" t="s">
        <v>3058</v>
      </c>
      <c r="E813" s="1">
        <v>24800000</v>
      </c>
    </row>
    <row r="814" spans="1:5" ht="14.4" x14ac:dyDescent="0.3">
      <c r="A814" s="17" t="s">
        <v>6223</v>
      </c>
      <c r="B814" s="1" t="s">
        <v>45</v>
      </c>
      <c r="C814" s="1" t="s">
        <v>2525</v>
      </c>
      <c r="D814" s="1" t="s">
        <v>3070</v>
      </c>
      <c r="E814" s="1">
        <v>20300000</v>
      </c>
    </row>
    <row r="815" spans="1:5" ht="14.4" x14ac:dyDescent="0.3">
      <c r="A815" s="17" t="s">
        <v>6224</v>
      </c>
      <c r="B815" s="1" t="s">
        <v>86</v>
      </c>
      <c r="C815" s="1" t="s">
        <v>3068</v>
      </c>
      <c r="D815" s="1" t="s">
        <v>3069</v>
      </c>
      <c r="E815" s="1">
        <v>42900000</v>
      </c>
    </row>
    <row r="816" spans="1:5" ht="14.4" x14ac:dyDescent="0.3">
      <c r="A816" s="17" t="s">
        <v>6225</v>
      </c>
      <c r="B816" s="1" t="s">
        <v>220</v>
      </c>
      <c r="C816" s="1" t="s">
        <v>2682</v>
      </c>
      <c r="D816" s="1" t="s">
        <v>3071</v>
      </c>
      <c r="E816" s="1">
        <v>25200000</v>
      </c>
    </row>
    <row r="817" spans="1:5" ht="14.4" x14ac:dyDescent="0.3">
      <c r="A817" s="17" t="s">
        <v>6226</v>
      </c>
      <c r="B817" s="1" t="s">
        <v>156</v>
      </c>
      <c r="C817" s="1" t="s">
        <v>3072</v>
      </c>
      <c r="D817" s="1" t="s">
        <v>3073</v>
      </c>
      <c r="E817" s="1">
        <v>11000000</v>
      </c>
    </row>
    <row r="818" spans="1:5" ht="14.4" x14ac:dyDescent="0.3">
      <c r="A818" s="17" t="s">
        <v>6227</v>
      </c>
      <c r="B818" s="1" t="s">
        <v>86</v>
      </c>
      <c r="C818" s="1" t="s">
        <v>90</v>
      </c>
      <c r="D818" s="1" t="s">
        <v>3074</v>
      </c>
      <c r="E818" s="1">
        <v>7570000</v>
      </c>
    </row>
    <row r="819" spans="1:5" ht="14.4" x14ac:dyDescent="0.3">
      <c r="A819" s="17" t="s">
        <v>6228</v>
      </c>
      <c r="B819" s="1" t="s">
        <v>2526</v>
      </c>
      <c r="C819" s="1" t="s">
        <v>2527</v>
      </c>
      <c r="D819" s="1" t="s">
        <v>3075</v>
      </c>
      <c r="E819" s="1">
        <v>8600000</v>
      </c>
    </row>
    <row r="820" spans="1:5" ht="14.4" x14ac:dyDescent="0.3">
      <c r="A820" s="17" t="s">
        <v>6229</v>
      </c>
      <c r="B820" s="1" t="s">
        <v>2498</v>
      </c>
      <c r="C820" s="1" t="s">
        <v>199</v>
      </c>
      <c r="D820" s="1" t="s">
        <v>3076</v>
      </c>
      <c r="E820" s="1">
        <v>20200000</v>
      </c>
    </row>
    <row r="821" spans="1:5" ht="14.4" x14ac:dyDescent="0.3">
      <c r="A821" s="17" t="s">
        <v>6230</v>
      </c>
      <c r="B821" s="1" t="s">
        <v>241</v>
      </c>
      <c r="C821" s="1" t="s">
        <v>269</v>
      </c>
      <c r="D821" s="1" t="s">
        <v>3077</v>
      </c>
      <c r="E821" s="1">
        <v>14400000</v>
      </c>
    </row>
    <row r="822" spans="1:5" ht="14.4" x14ac:dyDescent="0.3">
      <c r="A822" s="17" t="s">
        <v>6231</v>
      </c>
      <c r="B822" s="1" t="s">
        <v>311</v>
      </c>
      <c r="C822" s="1" t="s">
        <v>315</v>
      </c>
      <c r="D822" s="1" t="s">
        <v>3078</v>
      </c>
      <c r="E822" s="1">
        <v>9000000</v>
      </c>
    </row>
    <row r="823" spans="1:5" ht="14.4" x14ac:dyDescent="0.3">
      <c r="A823" s="17" t="s">
        <v>6232</v>
      </c>
      <c r="B823" s="1" t="s">
        <v>241</v>
      </c>
      <c r="C823" s="1" t="s">
        <v>2505</v>
      </c>
      <c r="D823" s="1" t="s">
        <v>3079</v>
      </c>
      <c r="E823" s="1">
        <v>30600000</v>
      </c>
    </row>
    <row r="824" spans="1:5" ht="14.4" x14ac:dyDescent="0.3">
      <c r="A824" s="17" t="s">
        <v>6233</v>
      </c>
      <c r="B824" s="1" t="s">
        <v>291</v>
      </c>
      <c r="C824" s="1" t="s">
        <v>3080</v>
      </c>
      <c r="D824" s="1" t="s">
        <v>3081</v>
      </c>
      <c r="E824" s="1">
        <v>15000000</v>
      </c>
    </row>
    <row r="825" spans="1:5" ht="14.4" x14ac:dyDescent="0.3">
      <c r="A825" s="17" t="s">
        <v>6234</v>
      </c>
      <c r="B825" s="1" t="s">
        <v>142</v>
      </c>
      <c r="C825" s="1" t="s">
        <v>2768</v>
      </c>
      <c r="D825" s="1" t="s">
        <v>3082</v>
      </c>
      <c r="E825" s="1">
        <v>8500000</v>
      </c>
    </row>
    <row r="826" spans="1:5" ht="14.4" x14ac:dyDescent="0.3">
      <c r="A826" s="17" t="s">
        <v>6235</v>
      </c>
      <c r="B826" s="1" t="s">
        <v>28</v>
      </c>
      <c r="C826" s="1" t="s">
        <v>3083</v>
      </c>
      <c r="D826" s="1" t="s">
        <v>3084</v>
      </c>
      <c r="E826" s="1">
        <v>5680000</v>
      </c>
    </row>
    <row r="827" spans="1:5" ht="14.4" x14ac:dyDescent="0.3">
      <c r="A827" s="17" t="s">
        <v>6236</v>
      </c>
      <c r="B827" s="1" t="s">
        <v>220</v>
      </c>
      <c r="C827" s="1" t="s">
        <v>2682</v>
      </c>
      <c r="D827" s="1" t="s">
        <v>3085</v>
      </c>
      <c r="E827" s="1">
        <v>13900000</v>
      </c>
    </row>
    <row r="828" spans="1:5" ht="14.4" x14ac:dyDescent="0.3">
      <c r="A828" s="17" t="s">
        <v>6237</v>
      </c>
      <c r="B828" s="1" t="s">
        <v>28</v>
      </c>
      <c r="C828" s="1" t="s">
        <v>2496</v>
      </c>
      <c r="D828" s="1" t="s">
        <v>3086</v>
      </c>
      <c r="E828" s="1">
        <v>7280000</v>
      </c>
    </row>
    <row r="829" spans="1:5" ht="14.4" x14ac:dyDescent="0.3">
      <c r="A829" s="17" t="s">
        <v>6238</v>
      </c>
      <c r="B829" s="1" t="s">
        <v>2521</v>
      </c>
      <c r="C829" s="1" t="s">
        <v>2543</v>
      </c>
      <c r="D829" s="1" t="s">
        <v>3087</v>
      </c>
      <c r="E829" s="1">
        <v>10500000</v>
      </c>
    </row>
    <row r="830" spans="1:5" ht="14.4" x14ac:dyDescent="0.3">
      <c r="A830" s="17" t="s">
        <v>6239</v>
      </c>
      <c r="B830" s="1" t="s">
        <v>28</v>
      </c>
      <c r="C830" s="1" t="s">
        <v>2496</v>
      </c>
      <c r="D830" s="1" t="s">
        <v>3088</v>
      </c>
      <c r="E830" s="1">
        <v>7170000</v>
      </c>
    </row>
    <row r="831" spans="1:5" ht="14.4" x14ac:dyDescent="0.3">
      <c r="A831" s="17" t="s">
        <v>6240</v>
      </c>
      <c r="B831" s="1" t="s">
        <v>241</v>
      </c>
      <c r="C831" s="1" t="s">
        <v>2501</v>
      </c>
      <c r="D831" s="1" t="s">
        <v>3089</v>
      </c>
      <c r="E831" s="1">
        <v>24000000</v>
      </c>
    </row>
    <row r="832" spans="1:5" ht="14.4" x14ac:dyDescent="0.3">
      <c r="A832" s="17" t="s">
        <v>6241</v>
      </c>
      <c r="B832" s="1" t="s">
        <v>2816</v>
      </c>
      <c r="C832" s="1" t="s">
        <v>2817</v>
      </c>
      <c r="D832" s="1" t="s">
        <v>3090</v>
      </c>
      <c r="E832" s="1">
        <v>12600000</v>
      </c>
    </row>
    <row r="833" spans="1:5" ht="14.4" x14ac:dyDescent="0.3">
      <c r="A833" s="17" t="s">
        <v>6242</v>
      </c>
      <c r="B833" s="1" t="s">
        <v>207</v>
      </c>
      <c r="C833" s="1">
        <v>3</v>
      </c>
      <c r="D833" s="1" t="s">
        <v>3091</v>
      </c>
      <c r="E833" s="1">
        <v>14300000</v>
      </c>
    </row>
    <row r="834" spans="1:5" ht="14.4" x14ac:dyDescent="0.3">
      <c r="A834" s="17" t="s">
        <v>6243</v>
      </c>
      <c r="B834" s="1" t="s">
        <v>173</v>
      </c>
      <c r="C834" s="1">
        <v>7</v>
      </c>
      <c r="D834" s="1" t="s">
        <v>2640</v>
      </c>
      <c r="E834" s="1">
        <v>17700000</v>
      </c>
    </row>
    <row r="835" spans="1:5" ht="14.4" x14ac:dyDescent="0.3">
      <c r="A835" s="17" t="s">
        <v>6244</v>
      </c>
      <c r="B835" s="1" t="s">
        <v>156</v>
      </c>
      <c r="C835" s="1" t="s">
        <v>2707</v>
      </c>
      <c r="D835" s="1" t="s">
        <v>922</v>
      </c>
      <c r="E835" s="1">
        <v>6160000</v>
      </c>
    </row>
    <row r="836" spans="1:5" ht="14.4" x14ac:dyDescent="0.3">
      <c r="A836" s="17" t="s">
        <v>6245</v>
      </c>
      <c r="B836" s="1" t="s">
        <v>2533</v>
      </c>
      <c r="C836" s="1" t="s">
        <v>2582</v>
      </c>
      <c r="D836" s="1" t="s">
        <v>3092</v>
      </c>
      <c r="E836" s="1">
        <v>7060000</v>
      </c>
    </row>
    <row r="837" spans="1:5" ht="14.4" x14ac:dyDescent="0.3">
      <c r="A837" s="17" t="s">
        <v>6246</v>
      </c>
      <c r="B837" s="1" t="s">
        <v>2498</v>
      </c>
      <c r="C837" s="1" t="s">
        <v>199</v>
      </c>
      <c r="D837" s="1" t="s">
        <v>3093</v>
      </c>
      <c r="E837" s="1">
        <v>23100000</v>
      </c>
    </row>
    <row r="838" spans="1:5" ht="14.4" x14ac:dyDescent="0.3">
      <c r="A838" s="17" t="s">
        <v>6247</v>
      </c>
      <c r="B838" s="1" t="s">
        <v>241</v>
      </c>
      <c r="C838" s="1" t="s">
        <v>2501</v>
      </c>
      <c r="D838" s="1" t="s">
        <v>3094</v>
      </c>
      <c r="E838" s="1">
        <v>22500000</v>
      </c>
    </row>
    <row r="839" spans="1:5" ht="14.4" x14ac:dyDescent="0.3">
      <c r="A839" s="17" t="s">
        <v>6248</v>
      </c>
      <c r="B839" s="1" t="s">
        <v>241</v>
      </c>
      <c r="C839" s="1" t="s">
        <v>2478</v>
      </c>
      <c r="D839" s="1" t="s">
        <v>3095</v>
      </c>
      <c r="E839" s="1">
        <v>15200000</v>
      </c>
    </row>
    <row r="840" spans="1:5" ht="14.4" x14ac:dyDescent="0.3">
      <c r="A840" s="17" t="s">
        <v>6249</v>
      </c>
      <c r="B840" s="1" t="s">
        <v>156</v>
      </c>
      <c r="C840" s="1" t="s">
        <v>3096</v>
      </c>
      <c r="D840" s="1" t="s">
        <v>3097</v>
      </c>
      <c r="E840" s="1">
        <v>17100000</v>
      </c>
    </row>
    <row r="841" spans="1:5" ht="14.4" x14ac:dyDescent="0.3">
      <c r="A841" s="17" t="s">
        <v>6250</v>
      </c>
      <c r="B841" s="1" t="s">
        <v>14</v>
      </c>
      <c r="C841" s="1" t="s">
        <v>2508</v>
      </c>
      <c r="D841" s="1" t="s">
        <v>3098</v>
      </c>
      <c r="E841" s="1">
        <v>11700000</v>
      </c>
    </row>
    <row r="842" spans="1:5" ht="14.4" x14ac:dyDescent="0.3">
      <c r="A842" s="17" t="s">
        <v>6251</v>
      </c>
      <c r="B842" s="1" t="s">
        <v>220</v>
      </c>
      <c r="C842" s="1" t="s">
        <v>3099</v>
      </c>
      <c r="D842" s="1" t="s">
        <v>3100</v>
      </c>
      <c r="E842" s="1">
        <v>11500000</v>
      </c>
    </row>
    <row r="843" spans="1:5" ht="14.4" x14ac:dyDescent="0.3">
      <c r="A843" s="17" t="s">
        <v>6252</v>
      </c>
      <c r="B843" s="1" t="s">
        <v>167</v>
      </c>
      <c r="C843" s="1" t="s">
        <v>2529</v>
      </c>
      <c r="D843" s="1" t="s">
        <v>3101</v>
      </c>
      <c r="E843" s="1">
        <v>8400000</v>
      </c>
    </row>
    <row r="844" spans="1:5" ht="14.4" x14ac:dyDescent="0.3">
      <c r="A844" s="17" t="s">
        <v>6253</v>
      </c>
      <c r="B844" s="1" t="s">
        <v>2533</v>
      </c>
      <c r="C844" s="1" t="s">
        <v>2571</v>
      </c>
      <c r="D844" s="1" t="s">
        <v>3102</v>
      </c>
      <c r="E844" s="1">
        <v>9100000</v>
      </c>
    </row>
    <row r="845" spans="1:5" ht="14.4" x14ac:dyDescent="0.3">
      <c r="A845" s="17" t="s">
        <v>6254</v>
      </c>
      <c r="B845" s="1" t="s">
        <v>2816</v>
      </c>
      <c r="C845" s="1" t="s">
        <v>3103</v>
      </c>
      <c r="D845" s="1" t="s">
        <v>3104</v>
      </c>
      <c r="E845" s="1">
        <v>13000000</v>
      </c>
    </row>
    <row r="846" spans="1:5" ht="14.4" x14ac:dyDescent="0.3">
      <c r="A846" s="17" t="s">
        <v>6255</v>
      </c>
      <c r="B846" s="1" t="s">
        <v>28</v>
      </c>
      <c r="C846" s="1" t="s">
        <v>3105</v>
      </c>
      <c r="D846" s="1" t="s">
        <v>2477</v>
      </c>
      <c r="E846" s="1">
        <v>15000000</v>
      </c>
    </row>
    <row r="847" spans="1:5" ht="14.4" x14ac:dyDescent="0.3">
      <c r="A847" s="17" t="s">
        <v>6256</v>
      </c>
      <c r="B847" s="1" t="s">
        <v>278</v>
      </c>
      <c r="C847" s="1" t="s">
        <v>285</v>
      </c>
      <c r="D847" s="1" t="s">
        <v>3106</v>
      </c>
      <c r="E847" s="1">
        <v>28900000</v>
      </c>
    </row>
    <row r="848" spans="1:5" ht="14.4" x14ac:dyDescent="0.3">
      <c r="A848" s="17" t="s">
        <v>6257</v>
      </c>
      <c r="B848" s="1" t="s">
        <v>86</v>
      </c>
      <c r="C848" s="1" t="s">
        <v>2507</v>
      </c>
      <c r="D848" s="1" t="s">
        <v>3107</v>
      </c>
      <c r="E848" s="1">
        <v>37500000</v>
      </c>
    </row>
    <row r="849" spans="1:5" ht="14.4" x14ac:dyDescent="0.3">
      <c r="A849" s="17" t="s">
        <v>6258</v>
      </c>
      <c r="B849" s="1" t="s">
        <v>86</v>
      </c>
      <c r="C849" s="1" t="s">
        <v>90</v>
      </c>
      <c r="D849" s="1" t="s">
        <v>3108</v>
      </c>
      <c r="E849" s="1">
        <v>7670000</v>
      </c>
    </row>
    <row r="850" spans="1:5" ht="14.4" x14ac:dyDescent="0.3">
      <c r="A850" s="17" t="s">
        <v>6259</v>
      </c>
      <c r="B850" s="1" t="s">
        <v>167</v>
      </c>
      <c r="C850" s="1" t="s">
        <v>2529</v>
      </c>
      <c r="D850" s="1" t="s">
        <v>3109</v>
      </c>
      <c r="E850" s="1">
        <v>7320000</v>
      </c>
    </row>
    <row r="851" spans="1:5" ht="14.4" x14ac:dyDescent="0.3">
      <c r="A851" s="17" t="s">
        <v>6260</v>
      </c>
      <c r="B851" s="1" t="s">
        <v>2521</v>
      </c>
      <c r="C851" s="1" t="s">
        <v>2522</v>
      </c>
      <c r="D851" s="1" t="s">
        <v>407</v>
      </c>
      <c r="E851" s="1">
        <v>18900000</v>
      </c>
    </row>
    <row r="852" spans="1:5" ht="14.4" x14ac:dyDescent="0.3">
      <c r="A852" s="17" t="s">
        <v>6261</v>
      </c>
      <c r="B852" s="1" t="s">
        <v>86</v>
      </c>
      <c r="C852" s="1" t="s">
        <v>2507</v>
      </c>
      <c r="D852" s="1" t="s">
        <v>402</v>
      </c>
      <c r="E852" s="1">
        <v>31000000</v>
      </c>
    </row>
    <row r="853" spans="1:5" ht="14.4" x14ac:dyDescent="0.3">
      <c r="A853" s="17" t="s">
        <v>6262</v>
      </c>
      <c r="B853" s="1" t="s">
        <v>45</v>
      </c>
      <c r="C853" s="1" t="s">
        <v>2764</v>
      </c>
      <c r="D853" s="1" t="s">
        <v>410</v>
      </c>
      <c r="E853" s="1">
        <v>10800000</v>
      </c>
    </row>
    <row r="854" spans="1:5" ht="14.4" x14ac:dyDescent="0.3">
      <c r="A854" s="17" t="s">
        <v>6263</v>
      </c>
      <c r="B854" s="1" t="s">
        <v>237</v>
      </c>
      <c r="C854" s="1" t="s">
        <v>65</v>
      </c>
      <c r="D854" s="1" t="s">
        <v>3110</v>
      </c>
      <c r="E854" s="1">
        <v>13500000</v>
      </c>
    </row>
    <row r="855" spans="1:5" ht="14.4" x14ac:dyDescent="0.3">
      <c r="A855" s="17" t="s">
        <v>6264</v>
      </c>
      <c r="B855" s="1" t="s">
        <v>2494</v>
      </c>
      <c r="C855" s="1" t="s">
        <v>3111</v>
      </c>
      <c r="D855" s="1" t="s">
        <v>3112</v>
      </c>
      <c r="E855" s="1">
        <v>13800000</v>
      </c>
    </row>
    <row r="856" spans="1:5" ht="14.4" x14ac:dyDescent="0.3">
      <c r="A856" s="17" t="s">
        <v>6265</v>
      </c>
      <c r="B856" s="1" t="s">
        <v>2494</v>
      </c>
      <c r="C856" s="1" t="s">
        <v>3111</v>
      </c>
      <c r="D856" s="1" t="s">
        <v>3112</v>
      </c>
      <c r="E856" s="1">
        <v>13800000</v>
      </c>
    </row>
    <row r="857" spans="1:5" ht="14.4" x14ac:dyDescent="0.3">
      <c r="A857" s="17" t="s">
        <v>6266</v>
      </c>
      <c r="B857" s="1" t="s">
        <v>2494</v>
      </c>
      <c r="C857" s="1" t="s">
        <v>2959</v>
      </c>
      <c r="D857" s="1" t="s">
        <v>2477</v>
      </c>
      <c r="E857" s="1">
        <v>13900000</v>
      </c>
    </row>
    <row r="858" spans="1:5" ht="14.4" x14ac:dyDescent="0.3">
      <c r="A858" s="17" t="s">
        <v>6267</v>
      </c>
      <c r="B858" s="1" t="s">
        <v>45</v>
      </c>
      <c r="C858" s="1" t="s">
        <v>46</v>
      </c>
      <c r="D858" s="1" t="s">
        <v>396</v>
      </c>
      <c r="E858" s="1">
        <v>11500000</v>
      </c>
    </row>
    <row r="859" spans="1:5" ht="14.4" x14ac:dyDescent="0.3">
      <c r="A859" s="17" t="s">
        <v>6268</v>
      </c>
      <c r="B859" s="1" t="s">
        <v>291</v>
      </c>
      <c r="C859" s="1" t="s">
        <v>3080</v>
      </c>
      <c r="D859" s="1" t="s">
        <v>3113</v>
      </c>
      <c r="E859" s="1">
        <v>17700000</v>
      </c>
    </row>
    <row r="860" spans="1:5" ht="14.4" x14ac:dyDescent="0.3">
      <c r="A860" s="17" t="s">
        <v>6269</v>
      </c>
      <c r="B860" s="1" t="s">
        <v>291</v>
      </c>
      <c r="C860" s="1" t="s">
        <v>3080</v>
      </c>
      <c r="D860" s="1" t="s">
        <v>2477</v>
      </c>
      <c r="E860" s="1">
        <v>22100000</v>
      </c>
    </row>
    <row r="861" spans="1:5" ht="14.4" x14ac:dyDescent="0.3">
      <c r="A861" s="17" t="s">
        <v>6270</v>
      </c>
      <c r="B861" s="1" t="s">
        <v>220</v>
      </c>
      <c r="C861" s="1" t="s">
        <v>2682</v>
      </c>
      <c r="D861" s="1" t="s">
        <v>3114</v>
      </c>
      <c r="E861" s="1">
        <v>23900000</v>
      </c>
    </row>
    <row r="862" spans="1:5" ht="14.4" x14ac:dyDescent="0.3">
      <c r="A862" s="17" t="s">
        <v>6271</v>
      </c>
      <c r="B862" s="1" t="s">
        <v>28</v>
      </c>
      <c r="C862" s="1" t="s">
        <v>38</v>
      </c>
      <c r="D862" s="1" t="s">
        <v>3115</v>
      </c>
      <c r="E862" s="1">
        <v>12400000</v>
      </c>
    </row>
    <row r="863" spans="1:5" ht="14.4" x14ac:dyDescent="0.3">
      <c r="A863" s="17" t="s">
        <v>6272</v>
      </c>
      <c r="B863" s="1" t="s">
        <v>220</v>
      </c>
      <c r="C863" s="1" t="s">
        <v>2492</v>
      </c>
      <c r="D863" s="1" t="s">
        <v>3116</v>
      </c>
      <c r="E863" s="1">
        <v>25100000</v>
      </c>
    </row>
    <row r="864" spans="1:5" ht="14.4" x14ac:dyDescent="0.3">
      <c r="A864" s="17" t="s">
        <v>6273</v>
      </c>
      <c r="B864" s="1" t="s">
        <v>156</v>
      </c>
      <c r="C864" s="1" t="s">
        <v>3117</v>
      </c>
      <c r="D864" s="1" t="s">
        <v>395</v>
      </c>
      <c r="E864" s="1">
        <v>13300000</v>
      </c>
    </row>
    <row r="865" spans="1:5" ht="14.4" x14ac:dyDescent="0.3">
      <c r="A865" s="17" t="s">
        <v>6274</v>
      </c>
      <c r="B865" s="1" t="s">
        <v>2498</v>
      </c>
      <c r="C865" s="1" t="s">
        <v>2499</v>
      </c>
      <c r="D865" s="1" t="s">
        <v>3118</v>
      </c>
      <c r="E865" s="1">
        <v>8400000</v>
      </c>
    </row>
    <row r="866" spans="1:5" ht="14.4" x14ac:dyDescent="0.3">
      <c r="A866" s="17" t="s">
        <v>6275</v>
      </c>
      <c r="B866" s="1" t="s">
        <v>2545</v>
      </c>
      <c r="C866" s="1" t="s">
        <v>2733</v>
      </c>
      <c r="D866" s="1" t="s">
        <v>3119</v>
      </c>
      <c r="E866" s="1">
        <v>21200000</v>
      </c>
    </row>
    <row r="867" spans="1:5" ht="14.4" x14ac:dyDescent="0.3">
      <c r="A867" s="17" t="s">
        <v>6276</v>
      </c>
      <c r="B867" s="1" t="s">
        <v>86</v>
      </c>
      <c r="C867" s="1" t="s">
        <v>2976</v>
      </c>
      <c r="D867" s="1" t="s">
        <v>3120</v>
      </c>
      <c r="E867" s="1">
        <v>13800000</v>
      </c>
    </row>
    <row r="868" spans="1:5" ht="14.4" x14ac:dyDescent="0.3">
      <c r="A868" s="17" t="s">
        <v>6277</v>
      </c>
      <c r="B868" s="1" t="s">
        <v>241</v>
      </c>
      <c r="C868" s="1" t="s">
        <v>2505</v>
      </c>
      <c r="D868" s="1" t="s">
        <v>3121</v>
      </c>
      <c r="E868" s="1">
        <v>24300000</v>
      </c>
    </row>
    <row r="869" spans="1:5" ht="14.4" x14ac:dyDescent="0.3">
      <c r="A869" s="17" t="s">
        <v>6278</v>
      </c>
      <c r="B869" s="1" t="s">
        <v>86</v>
      </c>
      <c r="C869" s="1" t="s">
        <v>2859</v>
      </c>
      <c r="D869" s="1" t="s">
        <v>3122</v>
      </c>
      <c r="E869" s="1">
        <v>24400000</v>
      </c>
    </row>
    <row r="870" spans="1:5" ht="14.4" x14ac:dyDescent="0.3">
      <c r="A870" s="17" t="s">
        <v>6279</v>
      </c>
      <c r="B870" s="1" t="s">
        <v>214</v>
      </c>
      <c r="C870" s="1" t="s">
        <v>215</v>
      </c>
      <c r="D870" s="1" t="s">
        <v>3123</v>
      </c>
      <c r="E870" s="1">
        <v>13000000</v>
      </c>
    </row>
    <row r="871" spans="1:5" ht="14.4" x14ac:dyDescent="0.3">
      <c r="A871" s="17" t="s">
        <v>6280</v>
      </c>
      <c r="B871" s="1" t="s">
        <v>156</v>
      </c>
      <c r="C871" s="1" t="s">
        <v>3096</v>
      </c>
      <c r="D871" s="1" t="s">
        <v>3124</v>
      </c>
      <c r="E871" s="1">
        <v>17200000</v>
      </c>
    </row>
    <row r="872" spans="1:5" ht="14.4" x14ac:dyDescent="0.3">
      <c r="A872" s="17" t="s">
        <v>6281</v>
      </c>
      <c r="B872" s="1" t="s">
        <v>241</v>
      </c>
      <c r="C872" s="1">
        <v>5008</v>
      </c>
      <c r="D872" s="1" t="s">
        <v>2079</v>
      </c>
      <c r="E872" s="1">
        <v>14800000</v>
      </c>
    </row>
    <row r="873" spans="1:5" ht="14.4" x14ac:dyDescent="0.3">
      <c r="A873" s="17" t="s">
        <v>6282</v>
      </c>
      <c r="B873" s="1" t="s">
        <v>45</v>
      </c>
      <c r="C873" s="1" t="s">
        <v>2720</v>
      </c>
      <c r="D873" s="1" t="s">
        <v>3125</v>
      </c>
      <c r="E873" s="1">
        <v>15700000</v>
      </c>
    </row>
    <row r="874" spans="1:5" ht="14.4" x14ac:dyDescent="0.3">
      <c r="A874" s="17" t="s">
        <v>6283</v>
      </c>
      <c r="B874" s="1" t="s">
        <v>241</v>
      </c>
      <c r="C874" s="1" t="s">
        <v>2484</v>
      </c>
      <c r="D874" s="1" t="s">
        <v>959</v>
      </c>
      <c r="E874" s="1">
        <v>11800000</v>
      </c>
    </row>
    <row r="875" spans="1:5" ht="14.4" x14ac:dyDescent="0.3">
      <c r="A875" s="17" t="s">
        <v>6284</v>
      </c>
      <c r="B875" s="1" t="s">
        <v>241</v>
      </c>
      <c r="C875" s="1">
        <v>3008</v>
      </c>
      <c r="D875" s="1" t="s">
        <v>3126</v>
      </c>
      <c r="E875" s="1">
        <v>19400000</v>
      </c>
    </row>
    <row r="876" spans="1:5" ht="14.4" x14ac:dyDescent="0.3">
      <c r="A876" s="17" t="s">
        <v>6285</v>
      </c>
      <c r="B876" s="1" t="s">
        <v>86</v>
      </c>
      <c r="C876" s="1" t="s">
        <v>93</v>
      </c>
      <c r="D876" s="1" t="s">
        <v>95</v>
      </c>
      <c r="E876" s="1">
        <v>26100000</v>
      </c>
    </row>
    <row r="877" spans="1:5" ht="14.4" x14ac:dyDescent="0.3">
      <c r="A877" s="17" t="s">
        <v>6286</v>
      </c>
      <c r="B877" s="1" t="s">
        <v>220</v>
      </c>
      <c r="C877" s="1" t="s">
        <v>223</v>
      </c>
      <c r="D877" s="1" t="s">
        <v>1446</v>
      </c>
      <c r="E877" s="1">
        <v>21900000</v>
      </c>
    </row>
    <row r="878" spans="1:5" ht="14.4" x14ac:dyDescent="0.3">
      <c r="A878" s="17" t="s">
        <v>6287</v>
      </c>
      <c r="B878" s="1" t="s">
        <v>241</v>
      </c>
      <c r="C878" s="1">
        <v>3008</v>
      </c>
      <c r="D878" s="1" t="s">
        <v>256</v>
      </c>
      <c r="E878" s="1">
        <v>15600000</v>
      </c>
    </row>
    <row r="879" spans="1:5" ht="14.4" x14ac:dyDescent="0.3">
      <c r="A879" s="17" t="s">
        <v>6288</v>
      </c>
      <c r="B879" s="1" t="s">
        <v>167</v>
      </c>
      <c r="C879" s="1" t="s">
        <v>2532</v>
      </c>
      <c r="D879" s="1" t="s">
        <v>972</v>
      </c>
      <c r="E879" s="1">
        <v>13200000</v>
      </c>
    </row>
    <row r="880" spans="1:5" ht="14.4" x14ac:dyDescent="0.3">
      <c r="A880" s="17" t="s">
        <v>6289</v>
      </c>
      <c r="B880" s="1" t="s">
        <v>220</v>
      </c>
      <c r="C880" s="1" t="s">
        <v>223</v>
      </c>
      <c r="D880" s="1" t="s">
        <v>929</v>
      </c>
      <c r="E880" s="1">
        <v>21800000</v>
      </c>
    </row>
    <row r="881" spans="1:5" ht="14.4" x14ac:dyDescent="0.3">
      <c r="A881" s="17" t="s">
        <v>6290</v>
      </c>
      <c r="B881" s="1" t="s">
        <v>86</v>
      </c>
      <c r="C881" s="1" t="s">
        <v>2507</v>
      </c>
      <c r="D881" s="1" t="s">
        <v>1051</v>
      </c>
      <c r="E881" s="1">
        <v>35800000</v>
      </c>
    </row>
    <row r="882" spans="1:5" ht="14.4" x14ac:dyDescent="0.3">
      <c r="A882" s="17" t="s">
        <v>6291</v>
      </c>
      <c r="B882" s="1" t="s">
        <v>220</v>
      </c>
      <c r="C882" s="1" t="s">
        <v>223</v>
      </c>
      <c r="D882" s="1" t="s">
        <v>227</v>
      </c>
      <c r="E882" s="1">
        <v>17600000</v>
      </c>
    </row>
    <row r="883" spans="1:5" ht="14.4" x14ac:dyDescent="0.3">
      <c r="A883" s="17" t="s">
        <v>6292</v>
      </c>
      <c r="B883" s="1" t="s">
        <v>241</v>
      </c>
      <c r="C883" s="1" t="s">
        <v>2487</v>
      </c>
      <c r="D883" s="1" t="s">
        <v>892</v>
      </c>
      <c r="E883" s="1">
        <v>17000000</v>
      </c>
    </row>
    <row r="884" spans="1:5" ht="14.4" x14ac:dyDescent="0.3">
      <c r="A884" s="17" t="s">
        <v>6293</v>
      </c>
      <c r="B884" s="1" t="s">
        <v>241</v>
      </c>
      <c r="C884" s="1">
        <v>3008</v>
      </c>
      <c r="D884" s="1" t="s">
        <v>793</v>
      </c>
      <c r="E884" s="1">
        <v>16400000</v>
      </c>
    </row>
    <row r="885" spans="1:5" ht="14.4" x14ac:dyDescent="0.3">
      <c r="A885" s="17" t="s">
        <v>6294</v>
      </c>
      <c r="B885" s="1" t="s">
        <v>2493</v>
      </c>
      <c r="C885" s="1" t="s">
        <v>83</v>
      </c>
      <c r="D885" s="1" t="s">
        <v>3127</v>
      </c>
      <c r="E885" s="1">
        <v>13700000</v>
      </c>
    </row>
    <row r="886" spans="1:5" ht="14.4" x14ac:dyDescent="0.3">
      <c r="A886" s="17" t="s">
        <v>6295</v>
      </c>
      <c r="B886" s="1" t="s">
        <v>3128</v>
      </c>
      <c r="C886" s="1" t="s">
        <v>3129</v>
      </c>
      <c r="D886" s="1" t="s">
        <v>2477</v>
      </c>
      <c r="E886" s="1">
        <v>24400000</v>
      </c>
    </row>
    <row r="887" spans="1:5" ht="14.4" x14ac:dyDescent="0.3">
      <c r="A887" s="17" t="s">
        <v>6296</v>
      </c>
      <c r="B887" s="1" t="s">
        <v>86</v>
      </c>
      <c r="C887" s="1" t="s">
        <v>3130</v>
      </c>
      <c r="D887" s="1" t="s">
        <v>3131</v>
      </c>
      <c r="E887" s="1">
        <v>18900000</v>
      </c>
    </row>
    <row r="888" spans="1:5" ht="14.4" x14ac:dyDescent="0.3">
      <c r="A888" s="17" t="s">
        <v>6297</v>
      </c>
      <c r="B888" s="1" t="s">
        <v>241</v>
      </c>
      <c r="C888" s="1" t="s">
        <v>2501</v>
      </c>
      <c r="D888" s="1" t="s">
        <v>268</v>
      </c>
      <c r="E888" s="1">
        <v>22600000</v>
      </c>
    </row>
    <row r="889" spans="1:5" ht="14.4" x14ac:dyDescent="0.3">
      <c r="A889" s="17" t="s">
        <v>6298</v>
      </c>
      <c r="B889" s="1" t="s">
        <v>86</v>
      </c>
      <c r="C889" s="1" t="s">
        <v>2507</v>
      </c>
      <c r="D889" s="1" t="s">
        <v>129</v>
      </c>
      <c r="E889" s="1">
        <v>45100000</v>
      </c>
    </row>
    <row r="890" spans="1:5" ht="14.4" x14ac:dyDescent="0.3">
      <c r="A890" s="17" t="s">
        <v>6299</v>
      </c>
      <c r="B890" s="1" t="s">
        <v>306</v>
      </c>
      <c r="C890" s="1" t="s">
        <v>307</v>
      </c>
      <c r="D890" s="1" t="s">
        <v>308</v>
      </c>
      <c r="E890" s="1">
        <v>19300000</v>
      </c>
    </row>
    <row r="891" spans="1:5" ht="14.4" x14ac:dyDescent="0.3">
      <c r="A891" s="17" t="s">
        <v>6300</v>
      </c>
      <c r="B891" s="1" t="s">
        <v>156</v>
      </c>
      <c r="C891" s="1" t="s">
        <v>165</v>
      </c>
      <c r="D891" s="1" t="s">
        <v>166</v>
      </c>
      <c r="E891" s="1">
        <v>21800000</v>
      </c>
    </row>
    <row r="892" spans="1:5" ht="14.4" x14ac:dyDescent="0.3">
      <c r="A892" s="17" t="s">
        <v>6301</v>
      </c>
      <c r="B892" s="1" t="s">
        <v>300</v>
      </c>
      <c r="C892" s="1" t="s">
        <v>3132</v>
      </c>
      <c r="D892" s="1" t="s">
        <v>3133</v>
      </c>
      <c r="E892" s="1">
        <v>11800000</v>
      </c>
    </row>
    <row r="893" spans="1:5" ht="14.4" x14ac:dyDescent="0.3">
      <c r="A893" s="17" t="s">
        <v>6302</v>
      </c>
      <c r="B893" s="1" t="s">
        <v>180</v>
      </c>
      <c r="C893" s="1" t="s">
        <v>181</v>
      </c>
      <c r="D893" s="1" t="s">
        <v>182</v>
      </c>
      <c r="E893" s="1">
        <v>25600000</v>
      </c>
    </row>
    <row r="894" spans="1:5" ht="14.4" x14ac:dyDescent="0.3">
      <c r="A894" s="17" t="s">
        <v>6303</v>
      </c>
      <c r="B894" s="1" t="s">
        <v>68</v>
      </c>
      <c r="C894" s="1" t="s">
        <v>2568</v>
      </c>
      <c r="D894" s="1" t="s">
        <v>667</v>
      </c>
      <c r="E894" s="1">
        <v>7430000</v>
      </c>
    </row>
    <row r="895" spans="1:5" ht="14.4" x14ac:dyDescent="0.3">
      <c r="A895" s="17" t="s">
        <v>6304</v>
      </c>
      <c r="B895" s="1" t="s">
        <v>86</v>
      </c>
      <c r="C895" s="1" t="s">
        <v>2507</v>
      </c>
      <c r="D895" s="1" t="s">
        <v>124</v>
      </c>
      <c r="E895" s="1">
        <v>35600000</v>
      </c>
    </row>
    <row r="896" spans="1:5" ht="14.4" x14ac:dyDescent="0.3">
      <c r="A896" s="17" t="s">
        <v>6305</v>
      </c>
      <c r="B896" s="1" t="s">
        <v>2498</v>
      </c>
      <c r="C896" s="1" t="s">
        <v>2749</v>
      </c>
      <c r="D896" s="1" t="s">
        <v>3134</v>
      </c>
      <c r="E896" s="1">
        <v>7630000</v>
      </c>
    </row>
    <row r="897" spans="1:5" ht="14.4" x14ac:dyDescent="0.3">
      <c r="A897" s="17" t="s">
        <v>6306</v>
      </c>
      <c r="B897" s="1" t="s">
        <v>2549</v>
      </c>
      <c r="C897" s="1" t="s">
        <v>2655</v>
      </c>
      <c r="D897" s="1" t="s">
        <v>3135</v>
      </c>
      <c r="E897" s="1">
        <v>12800000</v>
      </c>
    </row>
    <row r="898" spans="1:5" ht="14.4" x14ac:dyDescent="0.3">
      <c r="A898" s="17" t="s">
        <v>6307</v>
      </c>
      <c r="B898" s="1" t="s">
        <v>241</v>
      </c>
      <c r="C898" s="1" t="s">
        <v>2484</v>
      </c>
      <c r="D898" s="1" t="s">
        <v>244</v>
      </c>
      <c r="E898" s="1">
        <v>11000000</v>
      </c>
    </row>
    <row r="899" spans="1:5" ht="14.4" x14ac:dyDescent="0.3">
      <c r="A899" s="17" t="s">
        <v>6308</v>
      </c>
      <c r="B899" s="1" t="s">
        <v>241</v>
      </c>
      <c r="C899" s="1" t="s">
        <v>2485</v>
      </c>
      <c r="D899" s="1" t="s">
        <v>408</v>
      </c>
      <c r="E899" s="1">
        <v>15300000</v>
      </c>
    </row>
    <row r="900" spans="1:5" ht="14.4" x14ac:dyDescent="0.3">
      <c r="A900" s="17" t="s">
        <v>6309</v>
      </c>
      <c r="B900" s="1" t="s">
        <v>241</v>
      </c>
      <c r="C900" s="1" t="s">
        <v>2487</v>
      </c>
      <c r="D900" s="1" t="s">
        <v>255</v>
      </c>
      <c r="E900" s="1">
        <v>14400000</v>
      </c>
    </row>
    <row r="901" spans="1:5" ht="14.4" x14ac:dyDescent="0.3">
      <c r="A901" s="17" t="s">
        <v>6310</v>
      </c>
      <c r="B901" s="1" t="s">
        <v>241</v>
      </c>
      <c r="C901" s="1" t="s">
        <v>2505</v>
      </c>
      <c r="D901" s="1" t="s">
        <v>248</v>
      </c>
      <c r="E901" s="1">
        <v>22300000</v>
      </c>
    </row>
    <row r="902" spans="1:5" ht="14.4" x14ac:dyDescent="0.3">
      <c r="A902" s="17" t="s">
        <v>6311</v>
      </c>
      <c r="B902" s="1" t="s">
        <v>241</v>
      </c>
      <c r="C902" s="1" t="s">
        <v>269</v>
      </c>
      <c r="D902" s="1" t="s">
        <v>274</v>
      </c>
      <c r="E902" s="1">
        <v>26300000</v>
      </c>
    </row>
    <row r="903" spans="1:5" ht="14.4" x14ac:dyDescent="0.3">
      <c r="A903" s="17" t="s">
        <v>6312</v>
      </c>
      <c r="B903" s="1" t="s">
        <v>207</v>
      </c>
      <c r="C903" s="1" t="s">
        <v>211</v>
      </c>
      <c r="D903" s="1" t="s">
        <v>213</v>
      </c>
      <c r="E903" s="1">
        <v>40100000</v>
      </c>
    </row>
    <row r="904" spans="1:5" ht="14.4" x14ac:dyDescent="0.3">
      <c r="A904" s="17" t="s">
        <v>6313</v>
      </c>
      <c r="B904" s="1" t="s">
        <v>86</v>
      </c>
      <c r="C904" s="1" t="s">
        <v>90</v>
      </c>
      <c r="D904" s="1" t="s">
        <v>632</v>
      </c>
      <c r="E904" s="1">
        <v>9300000</v>
      </c>
    </row>
    <row r="905" spans="1:5" ht="14.4" x14ac:dyDescent="0.3">
      <c r="A905" s="17" t="s">
        <v>6314</v>
      </c>
      <c r="B905" s="1" t="s">
        <v>2493</v>
      </c>
      <c r="C905" s="1" t="s">
        <v>2574</v>
      </c>
      <c r="D905" s="1" t="s">
        <v>608</v>
      </c>
      <c r="E905" s="1">
        <v>16700000</v>
      </c>
    </row>
    <row r="906" spans="1:5" ht="14.4" x14ac:dyDescent="0.3">
      <c r="A906" s="17" t="s">
        <v>6315</v>
      </c>
      <c r="B906" s="1" t="s">
        <v>241</v>
      </c>
      <c r="C906" s="1" t="s">
        <v>2501</v>
      </c>
      <c r="D906" s="1" t="s">
        <v>264</v>
      </c>
      <c r="E906" s="1">
        <v>20400000</v>
      </c>
    </row>
    <row r="907" spans="1:5" ht="14.4" x14ac:dyDescent="0.3">
      <c r="A907" s="17" t="s">
        <v>6316</v>
      </c>
      <c r="B907" s="1" t="s">
        <v>311</v>
      </c>
      <c r="C907" s="1" t="s">
        <v>2580</v>
      </c>
      <c r="D907" s="1" t="s">
        <v>561</v>
      </c>
      <c r="E907" s="1">
        <v>10700000</v>
      </c>
    </row>
    <row r="908" spans="1:5" ht="14.4" x14ac:dyDescent="0.3">
      <c r="A908" s="17" t="s">
        <v>6317</v>
      </c>
      <c r="B908" s="1" t="s">
        <v>311</v>
      </c>
      <c r="C908" s="1" t="s">
        <v>2580</v>
      </c>
      <c r="D908" s="1" t="s">
        <v>561</v>
      </c>
      <c r="E908" s="1">
        <v>10700000</v>
      </c>
    </row>
    <row r="909" spans="1:5" ht="14.4" x14ac:dyDescent="0.3">
      <c r="A909" s="17" t="s">
        <v>6318</v>
      </c>
      <c r="B909" s="1" t="s">
        <v>2494</v>
      </c>
      <c r="C909" s="1" t="s">
        <v>2531</v>
      </c>
      <c r="D909" s="1" t="s">
        <v>550</v>
      </c>
      <c r="E909" s="1">
        <v>9400000</v>
      </c>
    </row>
    <row r="910" spans="1:5" ht="14.4" x14ac:dyDescent="0.3">
      <c r="A910" s="17" t="s">
        <v>6319</v>
      </c>
      <c r="B910" s="1" t="s">
        <v>220</v>
      </c>
      <c r="C910" s="1" t="s">
        <v>223</v>
      </c>
      <c r="D910" s="1" t="s">
        <v>226</v>
      </c>
      <c r="E910" s="1">
        <v>17600000</v>
      </c>
    </row>
    <row r="911" spans="1:5" ht="14.4" x14ac:dyDescent="0.3">
      <c r="A911" s="17" t="s">
        <v>6320</v>
      </c>
      <c r="B911" s="1" t="s">
        <v>2498</v>
      </c>
      <c r="C911" s="1" t="s">
        <v>3136</v>
      </c>
      <c r="D911" s="1" t="s">
        <v>371</v>
      </c>
      <c r="E911" s="1">
        <v>16000000</v>
      </c>
    </row>
    <row r="912" spans="1:5" ht="14.4" x14ac:dyDescent="0.3">
      <c r="A912" s="17" t="s">
        <v>6321</v>
      </c>
      <c r="B912" s="1" t="s">
        <v>241</v>
      </c>
      <c r="C912" s="1" t="s">
        <v>2487</v>
      </c>
      <c r="D912" s="1" t="s">
        <v>259</v>
      </c>
      <c r="E912" s="1">
        <v>18200000</v>
      </c>
    </row>
    <row r="913" spans="1:5" ht="14.4" x14ac:dyDescent="0.3">
      <c r="A913" s="17" t="s">
        <v>6322</v>
      </c>
      <c r="B913" s="1" t="s">
        <v>306</v>
      </c>
      <c r="C913" s="1" t="s">
        <v>2862</v>
      </c>
      <c r="D913" s="1" t="s">
        <v>399</v>
      </c>
      <c r="E913" s="1">
        <v>27600000</v>
      </c>
    </row>
    <row r="914" spans="1:5" ht="14.4" x14ac:dyDescent="0.3">
      <c r="A914" s="17" t="s">
        <v>6323</v>
      </c>
      <c r="B914" s="1" t="s">
        <v>173</v>
      </c>
      <c r="C914" s="1">
        <v>7</v>
      </c>
      <c r="D914" s="1" t="s">
        <v>538</v>
      </c>
      <c r="E914" s="1">
        <v>17500000</v>
      </c>
    </row>
    <row r="915" spans="1:5" ht="14.4" x14ac:dyDescent="0.3">
      <c r="A915" s="17" t="s">
        <v>6324</v>
      </c>
      <c r="B915" s="1" t="s">
        <v>28</v>
      </c>
      <c r="C915" s="1" t="s">
        <v>38</v>
      </c>
      <c r="D915" s="1" t="s">
        <v>539</v>
      </c>
      <c r="E915" s="1">
        <v>13800000</v>
      </c>
    </row>
    <row r="916" spans="1:5" ht="14.4" x14ac:dyDescent="0.3">
      <c r="A916" s="17" t="s">
        <v>6325</v>
      </c>
      <c r="B916" s="1" t="s">
        <v>86</v>
      </c>
      <c r="C916" s="1" t="s">
        <v>122</v>
      </c>
      <c r="D916" s="1" t="s">
        <v>534</v>
      </c>
      <c r="E916" s="1">
        <v>18600000</v>
      </c>
    </row>
    <row r="917" spans="1:5" ht="14.4" x14ac:dyDescent="0.3">
      <c r="A917" s="17" t="s">
        <v>6326</v>
      </c>
      <c r="B917" s="1" t="s">
        <v>86</v>
      </c>
      <c r="C917" s="1" t="s">
        <v>2506</v>
      </c>
      <c r="D917" s="1" t="s">
        <v>504</v>
      </c>
      <c r="E917" s="1">
        <v>50000000</v>
      </c>
    </row>
    <row r="918" spans="1:5" ht="14.4" x14ac:dyDescent="0.3">
      <c r="A918" s="17" t="s">
        <v>6327</v>
      </c>
      <c r="B918" s="1" t="s">
        <v>28</v>
      </c>
      <c r="C918" s="1" t="s">
        <v>2496</v>
      </c>
      <c r="D918" s="1" t="s">
        <v>511</v>
      </c>
      <c r="E918" s="1">
        <v>7140000</v>
      </c>
    </row>
    <row r="919" spans="1:5" ht="14.4" x14ac:dyDescent="0.3">
      <c r="A919" s="17" t="s">
        <v>6328</v>
      </c>
      <c r="B919" s="1" t="s">
        <v>2498</v>
      </c>
      <c r="C919" s="1" t="s">
        <v>2663</v>
      </c>
      <c r="D919" s="1" t="s">
        <v>3137</v>
      </c>
      <c r="E919" s="1">
        <v>10200000</v>
      </c>
    </row>
    <row r="920" spans="1:5" ht="14.4" x14ac:dyDescent="0.3">
      <c r="A920" s="17" t="s">
        <v>6329</v>
      </c>
      <c r="B920" s="1" t="s">
        <v>28</v>
      </c>
      <c r="C920" s="1" t="s">
        <v>2490</v>
      </c>
      <c r="D920" s="1" t="s">
        <v>3138</v>
      </c>
      <c r="E920" s="1">
        <v>14700000</v>
      </c>
    </row>
    <row r="921" spans="1:5" ht="14.4" x14ac:dyDescent="0.3">
      <c r="A921" s="17" t="s">
        <v>6330</v>
      </c>
      <c r="B921" s="1" t="s">
        <v>86</v>
      </c>
      <c r="C921" s="1" t="s">
        <v>122</v>
      </c>
      <c r="D921" s="1" t="s">
        <v>404</v>
      </c>
      <c r="E921" s="1">
        <v>14500000</v>
      </c>
    </row>
    <row r="922" spans="1:5" ht="14.4" x14ac:dyDescent="0.3">
      <c r="A922" s="17" t="s">
        <v>6331</v>
      </c>
      <c r="B922" s="1" t="s">
        <v>156</v>
      </c>
      <c r="C922" s="1" t="s">
        <v>2572</v>
      </c>
      <c r="D922" s="1" t="s">
        <v>3139</v>
      </c>
      <c r="E922" s="1">
        <v>9400000</v>
      </c>
    </row>
    <row r="923" spans="1:5" ht="14.4" x14ac:dyDescent="0.3">
      <c r="A923" s="17" t="s">
        <v>6332</v>
      </c>
      <c r="B923" s="1" t="s">
        <v>2498</v>
      </c>
      <c r="C923" s="1" t="s">
        <v>199</v>
      </c>
      <c r="D923" s="1" t="s">
        <v>201</v>
      </c>
      <c r="E923" s="1">
        <v>20100000</v>
      </c>
    </row>
    <row r="924" spans="1:5" ht="14.4" x14ac:dyDescent="0.3">
      <c r="A924" s="17" t="s">
        <v>6333</v>
      </c>
      <c r="B924" s="1" t="s">
        <v>167</v>
      </c>
      <c r="C924" s="1" t="s">
        <v>170</v>
      </c>
      <c r="D924" s="1" t="s">
        <v>3140</v>
      </c>
      <c r="E924" s="1">
        <v>13000000</v>
      </c>
    </row>
    <row r="925" spans="1:5" ht="14.4" x14ac:dyDescent="0.3">
      <c r="A925" s="17" t="s">
        <v>6334</v>
      </c>
      <c r="B925" s="1" t="s">
        <v>2549</v>
      </c>
      <c r="C925" s="1" t="s">
        <v>2655</v>
      </c>
      <c r="D925" s="1" t="s">
        <v>3141</v>
      </c>
      <c r="E925" s="1">
        <v>13700000</v>
      </c>
    </row>
    <row r="926" spans="1:5" ht="14.4" x14ac:dyDescent="0.3">
      <c r="A926" s="17" t="s">
        <v>6335</v>
      </c>
      <c r="B926" s="1" t="s">
        <v>300</v>
      </c>
      <c r="C926" s="1" t="s">
        <v>3142</v>
      </c>
      <c r="D926" s="1" t="s">
        <v>3143</v>
      </c>
      <c r="E926" s="1">
        <v>7000000</v>
      </c>
    </row>
    <row r="927" spans="1:5" ht="14.4" x14ac:dyDescent="0.3">
      <c r="A927" s="17" t="s">
        <v>6336</v>
      </c>
      <c r="B927" s="1" t="s">
        <v>241</v>
      </c>
      <c r="C927" s="1">
        <v>3008</v>
      </c>
      <c r="D927" s="1" t="s">
        <v>3144</v>
      </c>
      <c r="E927" s="1">
        <v>26700000</v>
      </c>
    </row>
    <row r="928" spans="1:5" ht="14.4" x14ac:dyDescent="0.3">
      <c r="A928" s="17" t="s">
        <v>6337</v>
      </c>
      <c r="B928" s="1" t="s">
        <v>2549</v>
      </c>
      <c r="C928" s="1" t="s">
        <v>2550</v>
      </c>
      <c r="D928" s="1" t="s">
        <v>3145</v>
      </c>
      <c r="E928" s="1">
        <v>17200000</v>
      </c>
    </row>
    <row r="929" spans="1:5" ht="14.4" x14ac:dyDescent="0.3">
      <c r="A929" s="17" t="s">
        <v>6338</v>
      </c>
      <c r="B929" s="1" t="s">
        <v>306</v>
      </c>
      <c r="C929" s="1" t="s">
        <v>2787</v>
      </c>
      <c r="D929" s="1" t="s">
        <v>3146</v>
      </c>
      <c r="E929" s="1">
        <v>16400000</v>
      </c>
    </row>
    <row r="930" spans="1:5" ht="14.4" x14ac:dyDescent="0.3">
      <c r="A930" s="17" t="s">
        <v>6339</v>
      </c>
      <c r="B930" s="1" t="s">
        <v>14</v>
      </c>
      <c r="C930" s="1" t="s">
        <v>15</v>
      </c>
      <c r="D930" s="1" t="s">
        <v>3147</v>
      </c>
      <c r="E930" s="1">
        <v>7770000</v>
      </c>
    </row>
    <row r="931" spans="1:5" ht="14.4" x14ac:dyDescent="0.3">
      <c r="A931" s="17" t="s">
        <v>6340</v>
      </c>
      <c r="B931" s="1" t="s">
        <v>156</v>
      </c>
      <c r="C931" s="1" t="s">
        <v>2912</v>
      </c>
      <c r="D931" s="1" t="s">
        <v>3148</v>
      </c>
      <c r="E931" s="1">
        <v>15100000</v>
      </c>
    </row>
    <row r="932" spans="1:5" ht="14.4" x14ac:dyDescent="0.3">
      <c r="A932" s="17" t="s">
        <v>6341</v>
      </c>
      <c r="B932" s="1" t="s">
        <v>241</v>
      </c>
      <c r="C932" s="1" t="s">
        <v>2487</v>
      </c>
      <c r="D932" s="1" t="s">
        <v>400</v>
      </c>
      <c r="E932" s="1">
        <v>21000000</v>
      </c>
    </row>
    <row r="933" spans="1:5" ht="14.4" x14ac:dyDescent="0.3">
      <c r="A933" s="17" t="s">
        <v>6342</v>
      </c>
      <c r="B933" s="1" t="s">
        <v>86</v>
      </c>
      <c r="C933" s="1" t="s">
        <v>93</v>
      </c>
      <c r="D933" s="1" t="s">
        <v>3149</v>
      </c>
      <c r="E933" s="1">
        <v>29800000</v>
      </c>
    </row>
    <row r="934" spans="1:5" ht="14.4" x14ac:dyDescent="0.3">
      <c r="A934" s="17" t="s">
        <v>6343</v>
      </c>
      <c r="B934" s="1" t="s">
        <v>60</v>
      </c>
      <c r="C934" s="1" t="s">
        <v>3150</v>
      </c>
      <c r="D934" s="1" t="s">
        <v>3151</v>
      </c>
      <c r="E934" s="1">
        <v>11900000</v>
      </c>
    </row>
    <row r="935" spans="1:5" ht="14.4" x14ac:dyDescent="0.3">
      <c r="A935" s="17" t="s">
        <v>6344</v>
      </c>
      <c r="B935" s="1" t="s">
        <v>86</v>
      </c>
      <c r="C935" s="1" t="s">
        <v>2507</v>
      </c>
      <c r="D935" s="1" t="s">
        <v>1051</v>
      </c>
      <c r="E935" s="1">
        <v>35400000</v>
      </c>
    </row>
    <row r="936" spans="1:5" ht="14.4" x14ac:dyDescent="0.3">
      <c r="A936" s="17" t="s">
        <v>6345</v>
      </c>
      <c r="B936" s="1" t="s">
        <v>60</v>
      </c>
      <c r="C936" s="1" t="s">
        <v>2854</v>
      </c>
      <c r="D936" s="1" t="s">
        <v>406</v>
      </c>
      <c r="E936" s="1">
        <v>20600000</v>
      </c>
    </row>
    <row r="937" spans="1:5" ht="14.4" x14ac:dyDescent="0.3">
      <c r="A937" s="17" t="s">
        <v>6346</v>
      </c>
      <c r="B937" s="1" t="s">
        <v>60</v>
      </c>
      <c r="C937" s="1" t="s">
        <v>2520</v>
      </c>
      <c r="D937" s="1" t="s">
        <v>3152</v>
      </c>
      <c r="E937" s="1">
        <v>18400000</v>
      </c>
    </row>
    <row r="938" spans="1:5" ht="14.4" x14ac:dyDescent="0.3">
      <c r="A938" s="17" t="s">
        <v>6347</v>
      </c>
      <c r="B938" s="1" t="s">
        <v>2498</v>
      </c>
      <c r="C938" s="1" t="s">
        <v>196</v>
      </c>
      <c r="D938" s="1" t="s">
        <v>3153</v>
      </c>
      <c r="E938" s="1">
        <v>16900000</v>
      </c>
    </row>
    <row r="939" spans="1:5" ht="14.4" x14ac:dyDescent="0.3">
      <c r="A939" s="17" t="s">
        <v>6348</v>
      </c>
      <c r="B939" s="1" t="s">
        <v>241</v>
      </c>
      <c r="C939" s="1" t="s">
        <v>2487</v>
      </c>
      <c r="D939" s="1" t="s">
        <v>400</v>
      </c>
      <c r="E939" s="1">
        <v>21000000</v>
      </c>
    </row>
    <row r="940" spans="1:5" ht="14.4" x14ac:dyDescent="0.3">
      <c r="A940" s="17" t="s">
        <v>6349</v>
      </c>
      <c r="B940" s="1" t="s">
        <v>147</v>
      </c>
      <c r="C940" s="1" t="s">
        <v>150</v>
      </c>
      <c r="D940" s="1" t="s">
        <v>390</v>
      </c>
      <c r="E940" s="1">
        <v>11200000</v>
      </c>
    </row>
    <row r="941" spans="1:5" ht="14.4" x14ac:dyDescent="0.3">
      <c r="A941" s="17" t="s">
        <v>6350</v>
      </c>
      <c r="B941" s="1" t="s">
        <v>2526</v>
      </c>
      <c r="C941" s="1" t="s">
        <v>3154</v>
      </c>
      <c r="D941" s="1" t="s">
        <v>3155</v>
      </c>
      <c r="E941" s="1">
        <v>4510000</v>
      </c>
    </row>
    <row r="942" spans="1:5" ht="14.4" x14ac:dyDescent="0.3">
      <c r="A942" s="17" t="s">
        <v>6351</v>
      </c>
      <c r="B942" s="1" t="s">
        <v>156</v>
      </c>
      <c r="C942" s="1" t="s">
        <v>2713</v>
      </c>
      <c r="D942" s="1" t="s">
        <v>3156</v>
      </c>
      <c r="E942" s="1">
        <v>8500000</v>
      </c>
    </row>
    <row r="943" spans="1:5" ht="14.4" x14ac:dyDescent="0.3">
      <c r="A943" s="17" t="s">
        <v>6352</v>
      </c>
      <c r="B943" s="1" t="s">
        <v>60</v>
      </c>
      <c r="C943" s="1" t="s">
        <v>2854</v>
      </c>
      <c r="D943" s="1" t="s">
        <v>406</v>
      </c>
      <c r="E943" s="1">
        <v>20600000</v>
      </c>
    </row>
    <row r="944" spans="1:5" ht="14.4" x14ac:dyDescent="0.3">
      <c r="A944" s="17" t="s">
        <v>6353</v>
      </c>
      <c r="B944" s="1" t="s">
        <v>207</v>
      </c>
      <c r="C944" s="1">
        <v>3</v>
      </c>
      <c r="D944" s="1" t="s">
        <v>2477</v>
      </c>
      <c r="E944" s="1">
        <v>14300000</v>
      </c>
    </row>
    <row r="945" spans="1:5" ht="14.4" x14ac:dyDescent="0.3">
      <c r="A945" s="17" t="s">
        <v>6354</v>
      </c>
      <c r="B945" s="1" t="s">
        <v>2533</v>
      </c>
      <c r="C945" s="1" t="s">
        <v>2599</v>
      </c>
      <c r="D945" s="1" t="s">
        <v>339</v>
      </c>
      <c r="E945" s="1">
        <v>7710000</v>
      </c>
    </row>
    <row r="946" spans="1:5" ht="14.4" x14ac:dyDescent="0.3">
      <c r="A946" s="17" t="s">
        <v>6355</v>
      </c>
      <c r="B946" s="1" t="s">
        <v>2498</v>
      </c>
      <c r="C946" s="1" t="s">
        <v>199</v>
      </c>
      <c r="D946" s="1" t="s">
        <v>3157</v>
      </c>
      <c r="E946" s="1">
        <v>13400000</v>
      </c>
    </row>
    <row r="947" spans="1:5" ht="14.4" x14ac:dyDescent="0.3">
      <c r="A947" s="17" t="s">
        <v>6356</v>
      </c>
      <c r="B947" s="1" t="s">
        <v>2521</v>
      </c>
      <c r="C947" s="1" t="s">
        <v>2522</v>
      </c>
      <c r="D947" s="1" t="s">
        <v>392</v>
      </c>
      <c r="E947" s="1">
        <v>16700000</v>
      </c>
    </row>
    <row r="948" spans="1:5" ht="14.4" x14ac:dyDescent="0.3">
      <c r="A948" s="17" t="s">
        <v>6357</v>
      </c>
      <c r="B948" s="1" t="s">
        <v>2498</v>
      </c>
      <c r="C948" s="1" t="s">
        <v>3158</v>
      </c>
      <c r="D948" s="1" t="s">
        <v>3159</v>
      </c>
      <c r="E948" s="1">
        <v>7170000</v>
      </c>
    </row>
    <row r="949" spans="1:5" ht="14.4" x14ac:dyDescent="0.3">
      <c r="A949" s="17" t="s">
        <v>6358</v>
      </c>
      <c r="B949" s="1" t="s">
        <v>207</v>
      </c>
      <c r="C949" s="1" t="s">
        <v>2806</v>
      </c>
      <c r="D949" s="1" t="s">
        <v>3160</v>
      </c>
      <c r="E949" s="1">
        <v>20300000</v>
      </c>
    </row>
    <row r="950" spans="1:5" ht="14.4" x14ac:dyDescent="0.3">
      <c r="A950" s="17" t="s">
        <v>6359</v>
      </c>
      <c r="B950" s="1" t="s">
        <v>291</v>
      </c>
      <c r="C950" s="1" t="s">
        <v>3161</v>
      </c>
      <c r="D950" s="1" t="s">
        <v>3162</v>
      </c>
      <c r="E950" s="1">
        <v>25800000</v>
      </c>
    </row>
    <row r="951" spans="1:5" ht="14.4" x14ac:dyDescent="0.3">
      <c r="A951" s="17" t="s">
        <v>6360</v>
      </c>
      <c r="B951" s="1" t="s">
        <v>220</v>
      </c>
      <c r="C951" s="1" t="s">
        <v>2492</v>
      </c>
      <c r="D951" s="1" t="s">
        <v>3163</v>
      </c>
      <c r="E951" s="1">
        <v>21600000</v>
      </c>
    </row>
    <row r="952" spans="1:5" ht="14.4" x14ac:dyDescent="0.3">
      <c r="A952" s="17" t="s">
        <v>6361</v>
      </c>
      <c r="B952" s="1" t="s">
        <v>241</v>
      </c>
      <c r="C952" s="1" t="s">
        <v>3164</v>
      </c>
      <c r="D952" s="1" t="s">
        <v>3165</v>
      </c>
      <c r="E952" s="1">
        <v>23400000</v>
      </c>
    </row>
    <row r="953" spans="1:5" ht="14.4" x14ac:dyDescent="0.3">
      <c r="A953" s="17" t="s">
        <v>6362</v>
      </c>
      <c r="B953" s="1" t="s">
        <v>86</v>
      </c>
      <c r="C953" s="1" t="s">
        <v>93</v>
      </c>
      <c r="D953" s="1" t="s">
        <v>3149</v>
      </c>
      <c r="E953" s="1">
        <v>29500000</v>
      </c>
    </row>
    <row r="954" spans="1:5" ht="14.4" x14ac:dyDescent="0.3">
      <c r="A954" s="17" t="s">
        <v>6363</v>
      </c>
      <c r="B954" s="1" t="s">
        <v>28</v>
      </c>
      <c r="C954" s="1" t="s">
        <v>3166</v>
      </c>
      <c r="D954" s="1" t="s">
        <v>2477</v>
      </c>
      <c r="E954" s="1">
        <v>18600000</v>
      </c>
    </row>
    <row r="955" spans="1:5" ht="14.4" x14ac:dyDescent="0.3">
      <c r="A955" s="17" t="s">
        <v>6364</v>
      </c>
      <c r="B955" s="1" t="s">
        <v>278</v>
      </c>
      <c r="C955" s="1" t="s">
        <v>2530</v>
      </c>
      <c r="D955" s="1" t="s">
        <v>3167</v>
      </c>
      <c r="E955" s="1">
        <v>34600000</v>
      </c>
    </row>
    <row r="956" spans="1:5" ht="14.4" x14ac:dyDescent="0.3">
      <c r="A956" s="17" t="s">
        <v>6365</v>
      </c>
      <c r="B956" s="1" t="s">
        <v>2521</v>
      </c>
      <c r="C956" s="1" t="s">
        <v>2522</v>
      </c>
      <c r="D956" s="1" t="s">
        <v>3168</v>
      </c>
      <c r="E956" s="1">
        <v>15800000</v>
      </c>
    </row>
    <row r="957" spans="1:5" ht="14.4" x14ac:dyDescent="0.3">
      <c r="A957" s="17" t="s">
        <v>6366</v>
      </c>
      <c r="B957" s="1" t="s">
        <v>86</v>
      </c>
      <c r="C957" s="1" t="s">
        <v>103</v>
      </c>
      <c r="D957" s="1" t="s">
        <v>105</v>
      </c>
      <c r="E957" s="1">
        <v>15500000</v>
      </c>
    </row>
    <row r="958" spans="1:5" ht="14.4" x14ac:dyDescent="0.3">
      <c r="A958" s="17" t="s">
        <v>6367</v>
      </c>
      <c r="B958" s="1" t="s">
        <v>28</v>
      </c>
      <c r="C958" s="1" t="s">
        <v>3166</v>
      </c>
      <c r="D958" s="1" t="s">
        <v>2477</v>
      </c>
      <c r="E958" s="1">
        <v>18600000</v>
      </c>
    </row>
    <row r="959" spans="1:5" ht="14.4" x14ac:dyDescent="0.3">
      <c r="A959" s="17" t="s">
        <v>6368</v>
      </c>
      <c r="B959" s="1" t="s">
        <v>241</v>
      </c>
      <c r="C959" s="1" t="s">
        <v>269</v>
      </c>
      <c r="D959" s="1" t="s">
        <v>988</v>
      </c>
      <c r="E959" s="1">
        <v>21400000</v>
      </c>
    </row>
    <row r="960" spans="1:5" ht="14.4" x14ac:dyDescent="0.3">
      <c r="A960" s="17" t="s">
        <v>6369</v>
      </c>
      <c r="B960" s="1" t="s">
        <v>2474</v>
      </c>
      <c r="C960" s="1" t="s">
        <v>2685</v>
      </c>
      <c r="D960" s="1" t="s">
        <v>3169</v>
      </c>
      <c r="E960" s="1">
        <v>15300000</v>
      </c>
    </row>
    <row r="961" spans="1:5" ht="14.4" x14ac:dyDescent="0.3">
      <c r="A961" s="17" t="s">
        <v>6370</v>
      </c>
      <c r="B961" s="1" t="s">
        <v>237</v>
      </c>
      <c r="C961" s="1" t="s">
        <v>3170</v>
      </c>
      <c r="D961" s="1" t="s">
        <v>3171</v>
      </c>
      <c r="E961" s="1">
        <v>19500000</v>
      </c>
    </row>
    <row r="962" spans="1:5" ht="14.4" x14ac:dyDescent="0.3">
      <c r="A962" s="17" t="s">
        <v>6371</v>
      </c>
      <c r="B962" s="1" t="s">
        <v>237</v>
      </c>
      <c r="C962" s="1" t="s">
        <v>65</v>
      </c>
      <c r="D962" s="1" t="s">
        <v>3172</v>
      </c>
      <c r="E962" s="1">
        <v>15700000</v>
      </c>
    </row>
    <row r="963" spans="1:5" ht="14.4" x14ac:dyDescent="0.3">
      <c r="A963" s="17" t="s">
        <v>6372</v>
      </c>
      <c r="B963" s="1" t="s">
        <v>173</v>
      </c>
      <c r="C963" s="1">
        <v>5</v>
      </c>
      <c r="D963" s="1" t="s">
        <v>2477</v>
      </c>
      <c r="E963" s="1">
        <v>16300000</v>
      </c>
    </row>
    <row r="964" spans="1:5" ht="14.4" x14ac:dyDescent="0.3">
      <c r="A964" s="17" t="s">
        <v>6373</v>
      </c>
      <c r="B964" s="1" t="s">
        <v>173</v>
      </c>
      <c r="C964" s="1">
        <v>7</v>
      </c>
      <c r="D964" s="1" t="s">
        <v>3173</v>
      </c>
      <c r="E964" s="1">
        <v>24500000</v>
      </c>
    </row>
    <row r="965" spans="1:5" ht="14.4" x14ac:dyDescent="0.3">
      <c r="A965" s="17" t="s">
        <v>6374</v>
      </c>
      <c r="B965" s="1" t="s">
        <v>28</v>
      </c>
      <c r="C965" s="1" t="s">
        <v>3174</v>
      </c>
      <c r="D965" s="1" t="s">
        <v>3175</v>
      </c>
      <c r="E965" s="1">
        <v>7420000</v>
      </c>
    </row>
    <row r="966" spans="1:5" ht="14.4" x14ac:dyDescent="0.3">
      <c r="A966" s="17" t="s">
        <v>6375</v>
      </c>
      <c r="B966" s="1" t="s">
        <v>207</v>
      </c>
      <c r="C966" s="1" t="s">
        <v>3176</v>
      </c>
      <c r="D966" s="1" t="s">
        <v>3177</v>
      </c>
      <c r="E966" s="1">
        <v>16700000</v>
      </c>
    </row>
    <row r="967" spans="1:5" ht="14.4" x14ac:dyDescent="0.3">
      <c r="A967" s="17" t="s">
        <v>6376</v>
      </c>
      <c r="B967" s="1" t="s">
        <v>86</v>
      </c>
      <c r="C967" s="1" t="s">
        <v>2882</v>
      </c>
      <c r="D967" s="1" t="s">
        <v>110</v>
      </c>
      <c r="E967" s="1">
        <v>25300000</v>
      </c>
    </row>
    <row r="968" spans="1:5" ht="14.4" x14ac:dyDescent="0.3">
      <c r="A968" s="17" t="s">
        <v>6377</v>
      </c>
      <c r="B968" s="1" t="s">
        <v>241</v>
      </c>
      <c r="C968" s="1">
        <v>2008</v>
      </c>
      <c r="D968" s="1" t="s">
        <v>3178</v>
      </c>
      <c r="E968" s="1">
        <v>8900000</v>
      </c>
    </row>
    <row r="969" spans="1:5" ht="14.4" x14ac:dyDescent="0.3">
      <c r="A969" s="17" t="s">
        <v>6378</v>
      </c>
      <c r="B969" s="1" t="s">
        <v>86</v>
      </c>
      <c r="C969" s="1" t="s">
        <v>2507</v>
      </c>
      <c r="D969" s="1" t="s">
        <v>402</v>
      </c>
      <c r="E969" s="1">
        <v>30600000</v>
      </c>
    </row>
    <row r="970" spans="1:5" ht="14.4" x14ac:dyDescent="0.3">
      <c r="A970" s="17" t="s">
        <v>6379</v>
      </c>
      <c r="B970" s="1" t="s">
        <v>241</v>
      </c>
      <c r="C970" s="1" t="s">
        <v>2484</v>
      </c>
      <c r="D970" s="1" t="s">
        <v>729</v>
      </c>
      <c r="E970" s="1">
        <v>18200000</v>
      </c>
    </row>
    <row r="971" spans="1:5" ht="14.4" x14ac:dyDescent="0.3">
      <c r="A971" s="17" t="s">
        <v>6380</v>
      </c>
      <c r="B971" s="1" t="s">
        <v>241</v>
      </c>
      <c r="C971" s="1">
        <v>3008</v>
      </c>
      <c r="D971" s="1" t="s">
        <v>3179</v>
      </c>
      <c r="E971" s="1">
        <v>16200000</v>
      </c>
    </row>
    <row r="972" spans="1:5" ht="14.4" x14ac:dyDescent="0.3">
      <c r="A972" s="17" t="s">
        <v>6381</v>
      </c>
      <c r="B972" s="1" t="s">
        <v>288</v>
      </c>
      <c r="C972" s="1" t="s">
        <v>3001</v>
      </c>
      <c r="D972" s="1" t="s">
        <v>3180</v>
      </c>
      <c r="E972" s="1">
        <v>18000000</v>
      </c>
    </row>
    <row r="973" spans="1:5" ht="14.4" x14ac:dyDescent="0.3">
      <c r="A973" s="17" t="s">
        <v>6382</v>
      </c>
      <c r="B973" s="1" t="s">
        <v>142</v>
      </c>
      <c r="C973" s="1" t="s">
        <v>145</v>
      </c>
      <c r="D973" s="1" t="s">
        <v>3181</v>
      </c>
      <c r="E973" s="1">
        <v>19600000</v>
      </c>
    </row>
    <row r="974" spans="1:5" ht="14.4" x14ac:dyDescent="0.3">
      <c r="A974" s="17" t="s">
        <v>6383</v>
      </c>
      <c r="B974" s="1" t="s">
        <v>241</v>
      </c>
      <c r="C974" s="1" t="s">
        <v>2487</v>
      </c>
      <c r="D974" s="1" t="s">
        <v>2589</v>
      </c>
      <c r="E974" s="1">
        <v>15000000</v>
      </c>
    </row>
    <row r="975" spans="1:5" ht="14.4" x14ac:dyDescent="0.3">
      <c r="A975" s="17" t="s">
        <v>6384</v>
      </c>
      <c r="B975" s="1" t="s">
        <v>86</v>
      </c>
      <c r="C975" s="1" t="s">
        <v>103</v>
      </c>
      <c r="D975" s="1" t="s">
        <v>105</v>
      </c>
      <c r="E975" s="1">
        <v>15300000</v>
      </c>
    </row>
    <row r="976" spans="1:5" ht="14.4" x14ac:dyDescent="0.3">
      <c r="A976" s="17" t="s">
        <v>6385</v>
      </c>
      <c r="B976" s="1" t="s">
        <v>241</v>
      </c>
      <c r="C976" s="1" t="s">
        <v>2478</v>
      </c>
      <c r="D976" s="1" t="s">
        <v>2625</v>
      </c>
      <c r="E976" s="1">
        <v>16500000</v>
      </c>
    </row>
    <row r="977" spans="1:5" ht="14.4" x14ac:dyDescent="0.3">
      <c r="A977" s="17" t="s">
        <v>6386</v>
      </c>
      <c r="B977" s="1" t="s">
        <v>278</v>
      </c>
      <c r="C977" s="1" t="s">
        <v>285</v>
      </c>
      <c r="D977" s="1" t="s">
        <v>3106</v>
      </c>
      <c r="E977" s="1">
        <v>27800000</v>
      </c>
    </row>
    <row r="978" spans="1:5" ht="14.4" x14ac:dyDescent="0.3">
      <c r="A978" s="17" t="s">
        <v>6387</v>
      </c>
      <c r="B978" s="1" t="s">
        <v>241</v>
      </c>
      <c r="C978" s="1">
        <v>2008</v>
      </c>
      <c r="D978" s="1" t="s">
        <v>2681</v>
      </c>
      <c r="E978" s="1">
        <v>16200000</v>
      </c>
    </row>
    <row r="979" spans="1:5" ht="14.4" x14ac:dyDescent="0.3">
      <c r="A979" s="17" t="s">
        <v>6388</v>
      </c>
      <c r="B979" s="1" t="s">
        <v>86</v>
      </c>
      <c r="C979" s="1" t="s">
        <v>93</v>
      </c>
      <c r="D979" s="1" t="s">
        <v>95</v>
      </c>
      <c r="E979" s="1">
        <v>25700000</v>
      </c>
    </row>
    <row r="980" spans="1:5" ht="14.4" x14ac:dyDescent="0.3">
      <c r="A980" s="17" t="s">
        <v>6389</v>
      </c>
      <c r="B980" s="1" t="s">
        <v>220</v>
      </c>
      <c r="C980" s="1" t="s">
        <v>223</v>
      </c>
      <c r="D980" s="1" t="s">
        <v>1446</v>
      </c>
      <c r="E980" s="1">
        <v>21400000</v>
      </c>
    </row>
    <row r="981" spans="1:5" ht="14.4" x14ac:dyDescent="0.3">
      <c r="A981" s="17" t="s">
        <v>6390</v>
      </c>
      <c r="B981" s="1" t="s">
        <v>2493</v>
      </c>
      <c r="C981" s="1" t="s">
        <v>2574</v>
      </c>
      <c r="D981" s="1" t="s">
        <v>2477</v>
      </c>
      <c r="E981" s="1">
        <v>19600000</v>
      </c>
    </row>
    <row r="982" spans="1:5" ht="14.4" x14ac:dyDescent="0.3">
      <c r="A982" s="17" t="s">
        <v>6391</v>
      </c>
      <c r="B982" s="1" t="s">
        <v>241</v>
      </c>
      <c r="C982" s="1">
        <v>3008</v>
      </c>
      <c r="D982" s="1" t="s">
        <v>2647</v>
      </c>
      <c r="E982" s="1">
        <v>16300000</v>
      </c>
    </row>
    <row r="983" spans="1:5" ht="14.4" x14ac:dyDescent="0.3">
      <c r="A983" s="17" t="s">
        <v>6392</v>
      </c>
      <c r="B983" s="1" t="s">
        <v>241</v>
      </c>
      <c r="C983" s="1" t="s">
        <v>2621</v>
      </c>
      <c r="D983" s="1" t="s">
        <v>2622</v>
      </c>
      <c r="E983" s="1">
        <v>21700000</v>
      </c>
    </row>
    <row r="984" spans="1:5" ht="14.4" x14ac:dyDescent="0.3">
      <c r="A984" s="17" t="s">
        <v>6393</v>
      </c>
      <c r="B984" s="1" t="s">
        <v>28</v>
      </c>
      <c r="C984" s="1" t="s">
        <v>2490</v>
      </c>
      <c r="D984" s="1" t="s">
        <v>3138</v>
      </c>
      <c r="E984" s="1">
        <v>14700000</v>
      </c>
    </row>
    <row r="985" spans="1:5" ht="14.4" x14ac:dyDescent="0.3">
      <c r="A985" s="17" t="s">
        <v>6394</v>
      </c>
      <c r="B985" s="1" t="s">
        <v>241</v>
      </c>
      <c r="C985" s="1">
        <v>208</v>
      </c>
      <c r="D985" s="1" t="s">
        <v>2649</v>
      </c>
      <c r="E985" s="1">
        <v>13900000</v>
      </c>
    </row>
    <row r="986" spans="1:5" ht="14.4" x14ac:dyDescent="0.3">
      <c r="A986" s="17" t="s">
        <v>6395</v>
      </c>
      <c r="B986" s="1" t="s">
        <v>241</v>
      </c>
      <c r="C986" s="1" t="s">
        <v>269</v>
      </c>
      <c r="D986" s="1" t="s">
        <v>2618</v>
      </c>
      <c r="E986" s="1">
        <v>19800000</v>
      </c>
    </row>
    <row r="987" spans="1:5" ht="14.4" x14ac:dyDescent="0.3">
      <c r="A987" s="17" t="s">
        <v>6396</v>
      </c>
      <c r="B987" s="1" t="s">
        <v>291</v>
      </c>
      <c r="C987" s="1" t="s">
        <v>3161</v>
      </c>
      <c r="D987" s="1" t="s">
        <v>3182</v>
      </c>
      <c r="E987" s="1">
        <v>24800000</v>
      </c>
    </row>
    <row r="988" spans="1:5" ht="14.4" x14ac:dyDescent="0.3">
      <c r="A988" s="17" t="s">
        <v>6397</v>
      </c>
      <c r="B988" s="1" t="s">
        <v>241</v>
      </c>
      <c r="C988" s="1" t="s">
        <v>2593</v>
      </c>
      <c r="D988" s="1" t="s">
        <v>2594</v>
      </c>
      <c r="E988" s="1">
        <v>16500000</v>
      </c>
    </row>
    <row r="989" spans="1:5" ht="14.4" x14ac:dyDescent="0.3">
      <c r="A989" s="17" t="s">
        <v>6398</v>
      </c>
      <c r="B989" s="1" t="s">
        <v>241</v>
      </c>
      <c r="C989" s="1">
        <v>3008</v>
      </c>
      <c r="D989" s="1" t="s">
        <v>2619</v>
      </c>
      <c r="E989" s="1">
        <v>17200000</v>
      </c>
    </row>
    <row r="990" spans="1:5" ht="14.4" x14ac:dyDescent="0.3">
      <c r="A990" s="17" t="s">
        <v>6399</v>
      </c>
      <c r="B990" s="1" t="s">
        <v>241</v>
      </c>
      <c r="C990" s="1" t="s">
        <v>276</v>
      </c>
      <c r="D990" s="1" t="s">
        <v>3183</v>
      </c>
      <c r="E990" s="1">
        <v>13800000</v>
      </c>
    </row>
    <row r="991" spans="1:5" ht="14.4" x14ac:dyDescent="0.3">
      <c r="A991" s="17" t="s">
        <v>6400</v>
      </c>
      <c r="B991" s="1" t="s">
        <v>2498</v>
      </c>
      <c r="C991" s="1" t="s">
        <v>2563</v>
      </c>
      <c r="D991" s="1" t="s">
        <v>3184</v>
      </c>
      <c r="E991" s="1">
        <v>16300000</v>
      </c>
    </row>
    <row r="992" spans="1:5" ht="14.4" x14ac:dyDescent="0.3">
      <c r="A992" s="17" t="s">
        <v>6401</v>
      </c>
      <c r="B992" s="1" t="s">
        <v>142</v>
      </c>
      <c r="C992" s="1" t="s">
        <v>145</v>
      </c>
      <c r="D992" s="1" t="s">
        <v>3181</v>
      </c>
      <c r="E992" s="1">
        <v>19600000</v>
      </c>
    </row>
    <row r="993" spans="1:5" ht="14.4" x14ac:dyDescent="0.3">
      <c r="A993" s="17" t="s">
        <v>6402</v>
      </c>
      <c r="B993" s="1" t="s">
        <v>241</v>
      </c>
      <c r="C993" s="1">
        <v>5008</v>
      </c>
      <c r="D993" s="1" t="s">
        <v>3185</v>
      </c>
      <c r="E993" s="1">
        <v>19400000</v>
      </c>
    </row>
    <row r="994" spans="1:5" ht="14.4" x14ac:dyDescent="0.3">
      <c r="A994" s="17" t="s">
        <v>6403</v>
      </c>
      <c r="B994" s="1" t="s">
        <v>220</v>
      </c>
      <c r="C994" s="1" t="s">
        <v>231</v>
      </c>
      <c r="D994" s="1" t="s">
        <v>380</v>
      </c>
      <c r="E994" s="1">
        <v>11600000</v>
      </c>
    </row>
    <row r="995" spans="1:5" ht="14.4" x14ac:dyDescent="0.3">
      <c r="A995" s="17" t="s">
        <v>6404</v>
      </c>
      <c r="B995" s="1" t="s">
        <v>241</v>
      </c>
      <c r="C995" s="1" t="s">
        <v>2593</v>
      </c>
      <c r="D995" s="1" t="s">
        <v>3186</v>
      </c>
      <c r="E995" s="1">
        <v>17000000</v>
      </c>
    </row>
    <row r="996" spans="1:5" ht="14.4" x14ac:dyDescent="0.3">
      <c r="A996" s="17" t="s">
        <v>6405</v>
      </c>
      <c r="B996" s="1" t="s">
        <v>207</v>
      </c>
      <c r="C996" s="1" t="s">
        <v>3176</v>
      </c>
      <c r="D996" s="1" t="s">
        <v>3187</v>
      </c>
      <c r="E996" s="1">
        <v>14700000</v>
      </c>
    </row>
    <row r="997" spans="1:5" ht="14.4" x14ac:dyDescent="0.3">
      <c r="A997" s="17" t="s">
        <v>6406</v>
      </c>
      <c r="B997" s="1" t="s">
        <v>220</v>
      </c>
      <c r="C997" s="1" t="s">
        <v>231</v>
      </c>
      <c r="D997" s="1" t="s">
        <v>380</v>
      </c>
      <c r="E997" s="1">
        <v>11600000</v>
      </c>
    </row>
    <row r="998" spans="1:5" ht="14.4" x14ac:dyDescent="0.3">
      <c r="A998" s="17" t="s">
        <v>6407</v>
      </c>
      <c r="B998" s="1" t="s">
        <v>2498</v>
      </c>
      <c r="C998" s="1" t="s">
        <v>2663</v>
      </c>
      <c r="D998" s="1" t="s">
        <v>3188</v>
      </c>
      <c r="E998" s="1">
        <v>8200000</v>
      </c>
    </row>
    <row r="999" spans="1:5" ht="14.4" x14ac:dyDescent="0.3">
      <c r="A999" s="17" t="s">
        <v>6408</v>
      </c>
      <c r="B999" s="1" t="s">
        <v>220</v>
      </c>
      <c r="C999" s="1" t="s">
        <v>2682</v>
      </c>
      <c r="D999" s="1" t="s">
        <v>3189</v>
      </c>
      <c r="E999" s="1">
        <v>20600000</v>
      </c>
    </row>
    <row r="1000" spans="1:5" ht="14.4" x14ac:dyDescent="0.3">
      <c r="A1000" s="17" t="s">
        <v>6409</v>
      </c>
      <c r="B1000" s="1" t="s">
        <v>45</v>
      </c>
      <c r="C1000" s="1" t="s">
        <v>46</v>
      </c>
      <c r="D1000" s="1" t="s">
        <v>391</v>
      </c>
      <c r="E1000" s="1">
        <v>11600000</v>
      </c>
    </row>
    <row r="1001" spans="1:5" ht="14.4" x14ac:dyDescent="0.3">
      <c r="A1001" s="17" t="s">
        <v>6410</v>
      </c>
      <c r="B1001" s="1" t="s">
        <v>2521</v>
      </c>
      <c r="C1001" s="1" t="s">
        <v>2543</v>
      </c>
      <c r="D1001" s="1" t="s">
        <v>3190</v>
      </c>
      <c r="E1001" s="1">
        <v>12500000</v>
      </c>
    </row>
    <row r="1002" spans="1:5" ht="14.4" x14ac:dyDescent="0.3">
      <c r="A1002" s="17" t="s">
        <v>6411</v>
      </c>
      <c r="B1002" s="1" t="s">
        <v>68</v>
      </c>
      <c r="C1002" s="1">
        <v>500</v>
      </c>
      <c r="D1002" s="1" t="s">
        <v>3191</v>
      </c>
      <c r="E1002" s="1">
        <v>8500000</v>
      </c>
    </row>
    <row r="1003" spans="1:5" ht="14.4" x14ac:dyDescent="0.3">
      <c r="A1003" s="17" t="s">
        <v>6412</v>
      </c>
      <c r="B1003" s="1" t="s">
        <v>167</v>
      </c>
      <c r="C1003" s="1" t="s">
        <v>3192</v>
      </c>
      <c r="D1003" s="1" t="s">
        <v>3193</v>
      </c>
      <c r="E1003" s="1">
        <v>10200000</v>
      </c>
    </row>
    <row r="1004" spans="1:5" ht="14.4" x14ac:dyDescent="0.3">
      <c r="A1004" s="17" t="s">
        <v>6413</v>
      </c>
      <c r="B1004" s="1" t="s">
        <v>2498</v>
      </c>
      <c r="C1004" s="1" t="s">
        <v>188</v>
      </c>
      <c r="D1004" s="1" t="s">
        <v>387</v>
      </c>
      <c r="E1004" s="1">
        <v>10000000</v>
      </c>
    </row>
    <row r="1005" spans="1:5" ht="14.4" x14ac:dyDescent="0.3">
      <c r="A1005" s="17" t="s">
        <v>6414</v>
      </c>
      <c r="B1005" s="1" t="s">
        <v>2498</v>
      </c>
      <c r="C1005" s="1" t="s">
        <v>196</v>
      </c>
      <c r="D1005" s="1" t="s">
        <v>3194</v>
      </c>
      <c r="E1005" s="1">
        <v>22100000</v>
      </c>
    </row>
    <row r="1006" spans="1:5" ht="14.4" x14ac:dyDescent="0.3">
      <c r="A1006" s="17" t="s">
        <v>6415</v>
      </c>
      <c r="B1006" s="1" t="s">
        <v>2498</v>
      </c>
      <c r="C1006" s="1" t="s">
        <v>3195</v>
      </c>
      <c r="D1006" s="1" t="s">
        <v>3196</v>
      </c>
      <c r="E1006" s="1">
        <v>19900000</v>
      </c>
    </row>
    <row r="1007" spans="1:5" ht="14.4" x14ac:dyDescent="0.3">
      <c r="A1007" s="17" t="s">
        <v>6416</v>
      </c>
      <c r="B1007" s="1" t="s">
        <v>220</v>
      </c>
      <c r="C1007" s="1" t="s">
        <v>2576</v>
      </c>
      <c r="D1007" s="1" t="s">
        <v>3197</v>
      </c>
      <c r="E1007" s="1">
        <v>19300000</v>
      </c>
    </row>
    <row r="1008" spans="1:5" ht="14.4" x14ac:dyDescent="0.3">
      <c r="A1008" s="17" t="s">
        <v>6417</v>
      </c>
      <c r="B1008" s="1" t="s">
        <v>45</v>
      </c>
      <c r="C1008" s="1" t="s">
        <v>46</v>
      </c>
      <c r="D1008" s="1" t="s">
        <v>3198</v>
      </c>
      <c r="E1008" s="1">
        <v>11800000</v>
      </c>
    </row>
    <row r="1009" spans="1:5" ht="14.4" x14ac:dyDescent="0.3">
      <c r="A1009" s="17" t="s">
        <v>6418</v>
      </c>
      <c r="B1009" s="1" t="s">
        <v>86</v>
      </c>
      <c r="C1009" s="1" t="s">
        <v>134</v>
      </c>
      <c r="D1009" s="1" t="s">
        <v>3199</v>
      </c>
      <c r="E1009" s="1">
        <v>13500000</v>
      </c>
    </row>
    <row r="1010" spans="1:5" ht="14.4" x14ac:dyDescent="0.3">
      <c r="A1010" s="17" t="s">
        <v>6419</v>
      </c>
      <c r="B1010" s="1" t="s">
        <v>60</v>
      </c>
      <c r="C1010" s="1" t="s">
        <v>3200</v>
      </c>
      <c r="D1010" s="1" t="s">
        <v>3201</v>
      </c>
      <c r="E1010" s="1">
        <v>10200000</v>
      </c>
    </row>
    <row r="1011" spans="1:5" ht="14.4" x14ac:dyDescent="0.3">
      <c r="A1011" s="17" t="s">
        <v>6420</v>
      </c>
      <c r="B1011" s="1" t="s">
        <v>306</v>
      </c>
      <c r="C1011" s="1" t="s">
        <v>2862</v>
      </c>
      <c r="D1011" s="1" t="s">
        <v>3202</v>
      </c>
      <c r="E1011" s="1">
        <v>30200000</v>
      </c>
    </row>
    <row r="1012" spans="1:5" ht="14.4" x14ac:dyDescent="0.3">
      <c r="A1012" s="17" t="s">
        <v>6421</v>
      </c>
      <c r="B1012" s="1" t="s">
        <v>2533</v>
      </c>
      <c r="C1012" s="1" t="s">
        <v>2534</v>
      </c>
      <c r="D1012" s="1" t="s">
        <v>3203</v>
      </c>
      <c r="E1012" s="1">
        <v>9000000</v>
      </c>
    </row>
    <row r="1013" spans="1:5" ht="14.4" x14ac:dyDescent="0.3">
      <c r="A1013" s="17" t="s">
        <v>6422</v>
      </c>
      <c r="B1013" s="1" t="s">
        <v>300</v>
      </c>
      <c r="C1013" s="1" t="s">
        <v>3132</v>
      </c>
      <c r="D1013" s="1" t="s">
        <v>3204</v>
      </c>
      <c r="E1013" s="1">
        <v>7590000</v>
      </c>
    </row>
    <row r="1014" spans="1:5" ht="14.4" x14ac:dyDescent="0.3">
      <c r="A1014" s="17" t="s">
        <v>6423</v>
      </c>
      <c r="B1014" s="1" t="s">
        <v>86</v>
      </c>
      <c r="C1014" s="1" t="s">
        <v>90</v>
      </c>
      <c r="D1014" s="1" t="s">
        <v>3205</v>
      </c>
      <c r="E1014" s="1">
        <v>11800000</v>
      </c>
    </row>
    <row r="1015" spans="1:5" ht="14.4" x14ac:dyDescent="0.3">
      <c r="A1015" s="17" t="s">
        <v>6424</v>
      </c>
      <c r="B1015" s="1" t="s">
        <v>2498</v>
      </c>
      <c r="C1015" s="1" t="s">
        <v>3206</v>
      </c>
      <c r="D1015" s="1" t="s">
        <v>386</v>
      </c>
      <c r="E1015" s="1">
        <v>8800000</v>
      </c>
    </row>
    <row r="1016" spans="1:5" ht="14.4" x14ac:dyDescent="0.3">
      <c r="A1016" s="17" t="s">
        <v>6425</v>
      </c>
      <c r="B1016" s="1" t="s">
        <v>2498</v>
      </c>
      <c r="C1016" s="1" t="s">
        <v>188</v>
      </c>
      <c r="D1016" s="1" t="s">
        <v>389</v>
      </c>
      <c r="E1016" s="1">
        <v>7720000</v>
      </c>
    </row>
    <row r="1017" spans="1:5" ht="14.4" x14ac:dyDescent="0.3">
      <c r="A1017" s="17" t="s">
        <v>6426</v>
      </c>
      <c r="B1017" s="1" t="s">
        <v>220</v>
      </c>
      <c r="C1017" s="1" t="s">
        <v>2569</v>
      </c>
      <c r="D1017" s="1" t="s">
        <v>3207</v>
      </c>
      <c r="E1017" s="1">
        <v>11500000</v>
      </c>
    </row>
    <row r="1018" spans="1:5" ht="14.4" x14ac:dyDescent="0.3">
      <c r="A1018" s="17" t="s">
        <v>6427</v>
      </c>
      <c r="B1018" s="1" t="s">
        <v>156</v>
      </c>
      <c r="C1018" s="1" t="s">
        <v>3025</v>
      </c>
      <c r="D1018" s="1" t="s">
        <v>3208</v>
      </c>
      <c r="E1018" s="1">
        <v>21100000</v>
      </c>
    </row>
    <row r="1019" spans="1:5" ht="14.4" x14ac:dyDescent="0.3">
      <c r="A1019" s="17" t="s">
        <v>6428</v>
      </c>
      <c r="B1019" s="1" t="s">
        <v>237</v>
      </c>
      <c r="C1019" s="1" t="s">
        <v>65</v>
      </c>
      <c r="D1019" s="1" t="s">
        <v>3209</v>
      </c>
      <c r="E1019" s="1">
        <v>15800000</v>
      </c>
    </row>
    <row r="1020" spans="1:5" ht="14.4" x14ac:dyDescent="0.3">
      <c r="A1020" s="17" t="s">
        <v>6429</v>
      </c>
      <c r="B1020" s="1" t="s">
        <v>28</v>
      </c>
      <c r="C1020" s="1" t="s">
        <v>31</v>
      </c>
      <c r="D1020" s="1" t="s">
        <v>3210</v>
      </c>
      <c r="E1020" s="1">
        <v>8600000</v>
      </c>
    </row>
    <row r="1021" spans="1:5" ht="14.4" x14ac:dyDescent="0.3">
      <c r="A1021" s="17" t="s">
        <v>6430</v>
      </c>
      <c r="B1021" s="1" t="s">
        <v>300</v>
      </c>
      <c r="C1021" s="1" t="s">
        <v>3211</v>
      </c>
      <c r="D1021" s="1" t="s">
        <v>3212</v>
      </c>
      <c r="E1021" s="1">
        <v>5970000</v>
      </c>
    </row>
    <row r="1022" spans="1:5" ht="14.4" x14ac:dyDescent="0.3">
      <c r="A1022" s="17" t="s">
        <v>6431</v>
      </c>
      <c r="B1022" s="1" t="s">
        <v>68</v>
      </c>
      <c r="C1022" s="1">
        <v>560</v>
      </c>
      <c r="D1022" s="1" t="s">
        <v>3213</v>
      </c>
      <c r="E1022" s="1">
        <v>9300000</v>
      </c>
    </row>
    <row r="1023" spans="1:5" ht="14.4" x14ac:dyDescent="0.3">
      <c r="A1023" s="17" t="s">
        <v>6432</v>
      </c>
      <c r="B1023" s="1" t="s">
        <v>156</v>
      </c>
      <c r="C1023" s="1" t="s">
        <v>3096</v>
      </c>
      <c r="D1023" s="1" t="s">
        <v>3214</v>
      </c>
      <c r="E1023" s="1">
        <v>19000000</v>
      </c>
    </row>
    <row r="1024" spans="1:5" ht="14.4" x14ac:dyDescent="0.3">
      <c r="A1024" s="17" t="s">
        <v>6433</v>
      </c>
      <c r="B1024" s="1" t="s">
        <v>241</v>
      </c>
      <c r="C1024" s="1" t="s">
        <v>2487</v>
      </c>
      <c r="D1024" s="1" t="s">
        <v>3215</v>
      </c>
      <c r="E1024" s="1">
        <v>14700000</v>
      </c>
    </row>
    <row r="1025" spans="1:5" ht="14.4" x14ac:dyDescent="0.3">
      <c r="A1025" s="17" t="s">
        <v>6434</v>
      </c>
      <c r="B1025" s="1" t="s">
        <v>2608</v>
      </c>
      <c r="C1025" s="1" t="s">
        <v>3216</v>
      </c>
      <c r="D1025" s="1" t="s">
        <v>3217</v>
      </c>
      <c r="E1025" s="1">
        <v>15500000</v>
      </c>
    </row>
    <row r="1026" spans="1:5" ht="14.4" x14ac:dyDescent="0.3">
      <c r="A1026" s="17" t="s">
        <v>6435</v>
      </c>
      <c r="B1026" s="1" t="s">
        <v>3218</v>
      </c>
      <c r="C1026" s="1" t="s">
        <v>3219</v>
      </c>
      <c r="D1026" s="1" t="s">
        <v>3220</v>
      </c>
      <c r="E1026" s="1">
        <v>11800000</v>
      </c>
    </row>
    <row r="1027" spans="1:5" ht="14.4" x14ac:dyDescent="0.3">
      <c r="A1027" s="17" t="s">
        <v>6436</v>
      </c>
      <c r="B1027" s="1" t="s">
        <v>214</v>
      </c>
      <c r="C1027" s="1" t="s">
        <v>2567</v>
      </c>
      <c r="D1027" s="1" t="s">
        <v>3221</v>
      </c>
      <c r="E1027" s="1">
        <v>17400000</v>
      </c>
    </row>
    <row r="1028" spans="1:5" ht="14.4" x14ac:dyDescent="0.3">
      <c r="A1028" s="17" t="s">
        <v>6437</v>
      </c>
      <c r="B1028" s="1" t="s">
        <v>156</v>
      </c>
      <c r="C1028" s="1" t="s">
        <v>3117</v>
      </c>
      <c r="D1028" s="1" t="s">
        <v>3222</v>
      </c>
      <c r="E1028" s="1">
        <v>12800000</v>
      </c>
    </row>
    <row r="1029" spans="1:5" ht="14.4" x14ac:dyDescent="0.3">
      <c r="A1029" s="17" t="s">
        <v>6438</v>
      </c>
      <c r="B1029" s="1" t="s">
        <v>156</v>
      </c>
      <c r="C1029" s="1" t="s">
        <v>2707</v>
      </c>
      <c r="D1029" s="1" t="s">
        <v>370</v>
      </c>
      <c r="E1029" s="1">
        <v>7850000</v>
      </c>
    </row>
    <row r="1030" spans="1:5" ht="14.4" x14ac:dyDescent="0.3">
      <c r="A1030" s="17" t="s">
        <v>6439</v>
      </c>
      <c r="B1030" s="1" t="s">
        <v>86</v>
      </c>
      <c r="C1030" s="1" t="s">
        <v>3223</v>
      </c>
      <c r="D1030" s="1" t="s">
        <v>102</v>
      </c>
      <c r="E1030" s="1">
        <v>23600000</v>
      </c>
    </row>
    <row r="1031" spans="1:5" ht="14.4" x14ac:dyDescent="0.3">
      <c r="A1031" s="17" t="s">
        <v>6440</v>
      </c>
      <c r="B1031" s="1" t="s">
        <v>241</v>
      </c>
      <c r="C1031" s="1" t="s">
        <v>2487</v>
      </c>
      <c r="D1031" s="1" t="s">
        <v>3224</v>
      </c>
      <c r="E1031" s="1">
        <v>18900000</v>
      </c>
    </row>
    <row r="1032" spans="1:5" ht="14.4" x14ac:dyDescent="0.3">
      <c r="A1032" s="17" t="s">
        <v>6441</v>
      </c>
      <c r="B1032" s="1" t="s">
        <v>156</v>
      </c>
      <c r="C1032" s="1" t="s">
        <v>2912</v>
      </c>
      <c r="D1032" s="1" t="s">
        <v>3148</v>
      </c>
      <c r="E1032" s="1">
        <v>14400000</v>
      </c>
    </row>
    <row r="1033" spans="1:5" ht="14.4" x14ac:dyDescent="0.3">
      <c r="A1033" s="17" t="s">
        <v>6442</v>
      </c>
      <c r="B1033" s="1" t="s">
        <v>300</v>
      </c>
      <c r="C1033" s="1" t="s">
        <v>2735</v>
      </c>
      <c r="D1033" s="1" t="s">
        <v>352</v>
      </c>
      <c r="E1033" s="1">
        <v>7200000</v>
      </c>
    </row>
    <row r="1034" spans="1:5" ht="14.4" x14ac:dyDescent="0.3">
      <c r="A1034" s="17" t="s">
        <v>6443</v>
      </c>
      <c r="B1034" s="1" t="s">
        <v>214</v>
      </c>
      <c r="C1034" s="1" t="s">
        <v>215</v>
      </c>
      <c r="D1034" s="1" t="s">
        <v>3225</v>
      </c>
      <c r="E1034" s="1">
        <v>10400000</v>
      </c>
    </row>
    <row r="1035" spans="1:5" ht="14.4" x14ac:dyDescent="0.3">
      <c r="A1035" s="17" t="s">
        <v>6444</v>
      </c>
      <c r="B1035" s="1" t="s">
        <v>3021</v>
      </c>
      <c r="C1035" s="1" t="s">
        <v>3226</v>
      </c>
      <c r="D1035" s="1" t="s">
        <v>3227</v>
      </c>
      <c r="E1035" s="1">
        <v>72000000</v>
      </c>
    </row>
    <row r="1036" spans="1:5" ht="14.4" x14ac:dyDescent="0.3">
      <c r="A1036" s="17" t="s">
        <v>6445</v>
      </c>
      <c r="B1036" s="1" t="s">
        <v>28</v>
      </c>
      <c r="C1036" s="1" t="s">
        <v>2575</v>
      </c>
      <c r="D1036" s="1" t="s">
        <v>382</v>
      </c>
      <c r="E1036" s="1">
        <v>8200000</v>
      </c>
    </row>
    <row r="1037" spans="1:5" ht="14.4" x14ac:dyDescent="0.3">
      <c r="A1037" s="17" t="s">
        <v>6446</v>
      </c>
      <c r="B1037" s="1" t="s">
        <v>241</v>
      </c>
      <c r="C1037" s="1" t="s">
        <v>3228</v>
      </c>
      <c r="D1037" s="1" t="s">
        <v>3229</v>
      </c>
      <c r="E1037" s="1">
        <v>19600000</v>
      </c>
    </row>
    <row r="1038" spans="1:5" ht="14.4" x14ac:dyDescent="0.3">
      <c r="A1038" s="17" t="s">
        <v>6447</v>
      </c>
      <c r="B1038" s="1" t="s">
        <v>2498</v>
      </c>
      <c r="C1038" s="1" t="s">
        <v>2587</v>
      </c>
      <c r="D1038" s="1" t="s">
        <v>3230</v>
      </c>
      <c r="E1038" s="1">
        <v>15000000</v>
      </c>
    </row>
    <row r="1039" spans="1:5" ht="14.4" x14ac:dyDescent="0.3">
      <c r="A1039" s="17" t="s">
        <v>6448</v>
      </c>
      <c r="B1039" s="1" t="s">
        <v>45</v>
      </c>
      <c r="C1039" s="1" t="s">
        <v>2480</v>
      </c>
      <c r="D1039" s="1" t="s">
        <v>381</v>
      </c>
      <c r="E1039" s="1">
        <v>12100000</v>
      </c>
    </row>
    <row r="1040" spans="1:5" ht="14.4" x14ac:dyDescent="0.3">
      <c r="A1040" s="17" t="s">
        <v>6449</v>
      </c>
      <c r="B1040" s="1" t="s">
        <v>45</v>
      </c>
      <c r="C1040" s="1" t="s">
        <v>46</v>
      </c>
      <c r="D1040" s="1" t="s">
        <v>391</v>
      </c>
      <c r="E1040" s="1">
        <v>12000000</v>
      </c>
    </row>
    <row r="1041" spans="1:5" ht="14.4" x14ac:dyDescent="0.3">
      <c r="A1041" s="17" t="s">
        <v>6450</v>
      </c>
      <c r="B1041" s="1" t="s">
        <v>291</v>
      </c>
      <c r="C1041" s="1" t="s">
        <v>3080</v>
      </c>
      <c r="D1041" s="1" t="s">
        <v>3231</v>
      </c>
      <c r="E1041" s="1">
        <v>17100000</v>
      </c>
    </row>
    <row r="1042" spans="1:5" ht="14.4" x14ac:dyDescent="0.3">
      <c r="A1042" s="17" t="s">
        <v>6451</v>
      </c>
      <c r="B1042" s="1" t="s">
        <v>2498</v>
      </c>
      <c r="C1042" s="1" t="s">
        <v>3136</v>
      </c>
      <c r="D1042" s="1" t="s">
        <v>3232</v>
      </c>
      <c r="E1042" s="1">
        <v>15600000</v>
      </c>
    </row>
    <row r="1043" spans="1:5" ht="14.4" x14ac:dyDescent="0.3">
      <c r="A1043" s="17" t="s">
        <v>6452</v>
      </c>
      <c r="B1043" s="1" t="s">
        <v>156</v>
      </c>
      <c r="C1043" s="1" t="s">
        <v>2479</v>
      </c>
      <c r="D1043" s="1" t="s">
        <v>3233</v>
      </c>
      <c r="E1043" s="1">
        <v>8500000</v>
      </c>
    </row>
    <row r="1044" spans="1:5" ht="14.4" x14ac:dyDescent="0.3">
      <c r="A1044" s="17" t="s">
        <v>6453</v>
      </c>
      <c r="B1044" s="1" t="s">
        <v>28</v>
      </c>
      <c r="C1044" s="1" t="s">
        <v>38</v>
      </c>
      <c r="D1044" s="1" t="s">
        <v>3234</v>
      </c>
      <c r="E1044" s="1">
        <v>11900000</v>
      </c>
    </row>
    <row r="1045" spans="1:5" ht="14.4" x14ac:dyDescent="0.3">
      <c r="A1045" s="17" t="s">
        <v>6454</v>
      </c>
      <c r="B1045" s="1" t="s">
        <v>241</v>
      </c>
      <c r="C1045" s="1" t="s">
        <v>2505</v>
      </c>
      <c r="D1045" s="1" t="s">
        <v>3235</v>
      </c>
      <c r="E1045" s="1">
        <v>21900000</v>
      </c>
    </row>
    <row r="1046" spans="1:5" ht="14.4" x14ac:dyDescent="0.3">
      <c r="A1046" s="17" t="s">
        <v>6455</v>
      </c>
      <c r="B1046" s="1" t="s">
        <v>142</v>
      </c>
      <c r="C1046" s="1" t="s">
        <v>145</v>
      </c>
      <c r="D1046" s="1" t="s">
        <v>3236</v>
      </c>
      <c r="E1046" s="1">
        <v>19400000</v>
      </c>
    </row>
    <row r="1047" spans="1:5" ht="14.4" x14ac:dyDescent="0.3">
      <c r="A1047" s="17" t="s">
        <v>6456</v>
      </c>
      <c r="B1047" s="1" t="s">
        <v>86</v>
      </c>
      <c r="C1047" s="1" t="s">
        <v>3237</v>
      </c>
      <c r="D1047" s="1" t="s">
        <v>3238</v>
      </c>
      <c r="E1047" s="1">
        <v>12800000</v>
      </c>
    </row>
    <row r="1048" spans="1:5" ht="14.4" x14ac:dyDescent="0.3">
      <c r="A1048" s="17" t="s">
        <v>6457</v>
      </c>
      <c r="B1048" s="1" t="s">
        <v>214</v>
      </c>
      <c r="C1048" s="1" t="s">
        <v>2560</v>
      </c>
      <c r="D1048" s="1" t="s">
        <v>217</v>
      </c>
      <c r="E1048" s="1">
        <v>18100000</v>
      </c>
    </row>
    <row r="1049" spans="1:5" ht="14.4" x14ac:dyDescent="0.3">
      <c r="A1049" s="17" t="s">
        <v>6458</v>
      </c>
      <c r="B1049" s="1" t="s">
        <v>156</v>
      </c>
      <c r="C1049" s="1" t="s">
        <v>3072</v>
      </c>
      <c r="D1049" s="1" t="s">
        <v>3239</v>
      </c>
      <c r="E1049" s="1">
        <v>11300000</v>
      </c>
    </row>
    <row r="1050" spans="1:5" ht="14.4" x14ac:dyDescent="0.3">
      <c r="A1050" s="17" t="s">
        <v>6459</v>
      </c>
      <c r="B1050" s="1" t="s">
        <v>45</v>
      </c>
      <c r="C1050" s="1" t="s">
        <v>3240</v>
      </c>
      <c r="D1050" s="1" t="s">
        <v>3241</v>
      </c>
      <c r="E1050" s="1">
        <v>6370000</v>
      </c>
    </row>
    <row r="1051" spans="1:5" ht="14.4" x14ac:dyDescent="0.3">
      <c r="A1051" s="17" t="s">
        <v>6460</v>
      </c>
      <c r="B1051" s="1" t="s">
        <v>278</v>
      </c>
      <c r="C1051" s="1">
        <v>700</v>
      </c>
      <c r="D1051" s="1" t="s">
        <v>3242</v>
      </c>
      <c r="E1051" s="1">
        <v>9500000</v>
      </c>
    </row>
    <row r="1052" spans="1:5" ht="14.4" x14ac:dyDescent="0.3">
      <c r="A1052" s="17" t="s">
        <v>6461</v>
      </c>
      <c r="B1052" s="1" t="s">
        <v>68</v>
      </c>
      <c r="C1052" s="1" t="s">
        <v>2568</v>
      </c>
      <c r="D1052" s="1" t="s">
        <v>3243</v>
      </c>
      <c r="E1052" s="1">
        <v>7700000</v>
      </c>
    </row>
    <row r="1053" spans="1:5" ht="14.4" x14ac:dyDescent="0.3">
      <c r="A1053" s="17" t="s">
        <v>6462</v>
      </c>
      <c r="B1053" s="1" t="s">
        <v>2494</v>
      </c>
      <c r="C1053" s="1" t="s">
        <v>3244</v>
      </c>
      <c r="D1053" s="1" t="s">
        <v>385</v>
      </c>
      <c r="E1053" s="1">
        <v>8900000</v>
      </c>
    </row>
    <row r="1054" spans="1:5" ht="14.4" x14ac:dyDescent="0.3">
      <c r="A1054" s="17" t="s">
        <v>6463</v>
      </c>
      <c r="B1054" s="1" t="s">
        <v>2498</v>
      </c>
      <c r="C1054" s="1" t="s">
        <v>199</v>
      </c>
      <c r="D1054" s="1" t="s">
        <v>203</v>
      </c>
      <c r="E1054" s="1">
        <v>18600000</v>
      </c>
    </row>
    <row r="1055" spans="1:5" ht="14.4" x14ac:dyDescent="0.3">
      <c r="A1055" s="17" t="s">
        <v>6464</v>
      </c>
      <c r="B1055" s="1" t="s">
        <v>86</v>
      </c>
      <c r="C1055" s="1" t="s">
        <v>106</v>
      </c>
      <c r="D1055" s="1" t="s">
        <v>3245</v>
      </c>
      <c r="E1055" s="1">
        <v>33700000</v>
      </c>
    </row>
    <row r="1056" spans="1:5" ht="14.4" x14ac:dyDescent="0.3">
      <c r="A1056" s="17" t="s">
        <v>6465</v>
      </c>
      <c r="B1056" s="1" t="s">
        <v>3246</v>
      </c>
      <c r="C1056" s="1" t="s">
        <v>3247</v>
      </c>
      <c r="D1056" s="1" t="s">
        <v>3248</v>
      </c>
      <c r="E1056" s="1">
        <v>6660000</v>
      </c>
    </row>
    <row r="1057" spans="1:5" ht="14.4" x14ac:dyDescent="0.3">
      <c r="A1057" s="17" t="s">
        <v>6466</v>
      </c>
      <c r="B1057" s="1" t="s">
        <v>68</v>
      </c>
      <c r="C1057" s="1" t="s">
        <v>3249</v>
      </c>
      <c r="D1057" s="1" t="s">
        <v>81</v>
      </c>
      <c r="E1057" s="1">
        <v>16500000</v>
      </c>
    </row>
    <row r="1058" spans="1:5" ht="14.4" x14ac:dyDescent="0.3">
      <c r="A1058" s="17" t="s">
        <v>6467</v>
      </c>
      <c r="B1058" s="1" t="s">
        <v>156</v>
      </c>
      <c r="C1058" s="1" t="s">
        <v>2713</v>
      </c>
      <c r="D1058" s="1" t="s">
        <v>3250</v>
      </c>
      <c r="E1058" s="1">
        <v>8300000</v>
      </c>
    </row>
    <row r="1059" spans="1:5" ht="14.4" x14ac:dyDescent="0.3">
      <c r="A1059" s="17" t="s">
        <v>6468</v>
      </c>
      <c r="B1059" s="1" t="s">
        <v>2494</v>
      </c>
      <c r="C1059" s="1" t="s">
        <v>2987</v>
      </c>
      <c r="D1059" s="1" t="s">
        <v>388</v>
      </c>
      <c r="E1059" s="1">
        <v>7740000</v>
      </c>
    </row>
    <row r="1060" spans="1:5" ht="14.4" x14ac:dyDescent="0.3">
      <c r="A1060" s="17" t="s">
        <v>6469</v>
      </c>
      <c r="B1060" s="1" t="s">
        <v>2549</v>
      </c>
      <c r="C1060" s="1" t="s">
        <v>3041</v>
      </c>
      <c r="D1060" s="1" t="s">
        <v>3251</v>
      </c>
      <c r="E1060" s="1">
        <v>12600000</v>
      </c>
    </row>
    <row r="1061" spans="1:5" ht="14.4" x14ac:dyDescent="0.3">
      <c r="A1061" s="17" t="s">
        <v>6470</v>
      </c>
      <c r="B1061" s="1" t="s">
        <v>156</v>
      </c>
      <c r="C1061" s="1" t="s">
        <v>2713</v>
      </c>
      <c r="D1061" s="1" t="s">
        <v>3250</v>
      </c>
      <c r="E1061" s="1">
        <v>8300000</v>
      </c>
    </row>
    <row r="1062" spans="1:5" ht="14.4" x14ac:dyDescent="0.3">
      <c r="A1062" s="17" t="s">
        <v>6471</v>
      </c>
      <c r="B1062" s="1" t="s">
        <v>241</v>
      </c>
      <c r="C1062" s="1" t="s">
        <v>269</v>
      </c>
      <c r="D1062" s="1" t="s">
        <v>3252</v>
      </c>
      <c r="E1062" s="1">
        <v>19900000</v>
      </c>
    </row>
    <row r="1063" spans="1:5" ht="14.4" x14ac:dyDescent="0.3">
      <c r="A1063" s="17" t="s">
        <v>6472</v>
      </c>
      <c r="B1063" s="1" t="s">
        <v>291</v>
      </c>
      <c r="C1063" s="1" t="s">
        <v>3161</v>
      </c>
      <c r="D1063" s="1" t="s">
        <v>3162</v>
      </c>
      <c r="E1063" s="1">
        <v>26300000</v>
      </c>
    </row>
    <row r="1064" spans="1:5" ht="14.4" x14ac:dyDescent="0.3">
      <c r="A1064" s="17" t="s">
        <v>6473</v>
      </c>
      <c r="B1064" s="1" t="s">
        <v>241</v>
      </c>
      <c r="C1064" s="1" t="s">
        <v>269</v>
      </c>
      <c r="D1064" s="1" t="s">
        <v>3252</v>
      </c>
      <c r="E1064" s="1">
        <v>19900000</v>
      </c>
    </row>
    <row r="1065" spans="1:5" ht="14.4" x14ac:dyDescent="0.3">
      <c r="A1065" s="17" t="s">
        <v>6474</v>
      </c>
      <c r="B1065" s="1" t="s">
        <v>45</v>
      </c>
      <c r="C1065" s="1" t="s">
        <v>2822</v>
      </c>
      <c r="D1065" s="1" t="s">
        <v>3253</v>
      </c>
      <c r="E1065" s="1">
        <v>6960000</v>
      </c>
    </row>
    <row r="1066" spans="1:5" ht="14.4" x14ac:dyDescent="0.3">
      <c r="A1066" s="17" t="s">
        <v>6475</v>
      </c>
      <c r="B1066" s="1" t="s">
        <v>156</v>
      </c>
      <c r="C1066" s="1" t="s">
        <v>2658</v>
      </c>
      <c r="D1066" s="1" t="s">
        <v>3254</v>
      </c>
      <c r="E1066" s="1">
        <v>17600000</v>
      </c>
    </row>
    <row r="1067" spans="1:5" ht="14.4" x14ac:dyDescent="0.3">
      <c r="A1067" s="17" t="s">
        <v>6476</v>
      </c>
      <c r="B1067" s="1" t="s">
        <v>167</v>
      </c>
      <c r="C1067" s="1" t="s">
        <v>168</v>
      </c>
      <c r="D1067" s="1" t="s">
        <v>3255</v>
      </c>
      <c r="E1067" s="1">
        <v>8600000</v>
      </c>
    </row>
    <row r="1068" spans="1:5" ht="14.4" x14ac:dyDescent="0.3">
      <c r="A1068" s="17" t="s">
        <v>6477</v>
      </c>
      <c r="B1068" s="1" t="s">
        <v>214</v>
      </c>
      <c r="C1068" s="1" t="s">
        <v>2560</v>
      </c>
      <c r="D1068" s="1" t="s">
        <v>217</v>
      </c>
      <c r="E1068" s="1">
        <v>13200000</v>
      </c>
    </row>
    <row r="1069" spans="1:5" ht="14.4" x14ac:dyDescent="0.3">
      <c r="A1069" s="17" t="s">
        <v>6478</v>
      </c>
      <c r="B1069" s="1" t="s">
        <v>306</v>
      </c>
      <c r="C1069" s="1" t="s">
        <v>2862</v>
      </c>
      <c r="D1069" s="1" t="s">
        <v>3256</v>
      </c>
      <c r="E1069" s="1">
        <v>11700000</v>
      </c>
    </row>
    <row r="1070" spans="1:5" ht="14.4" x14ac:dyDescent="0.3">
      <c r="A1070" s="17" t="s">
        <v>6479</v>
      </c>
      <c r="B1070" s="1" t="s">
        <v>2498</v>
      </c>
      <c r="C1070" s="1" t="s">
        <v>199</v>
      </c>
      <c r="D1070" s="1" t="s">
        <v>3257</v>
      </c>
      <c r="E1070" s="1">
        <v>12100000</v>
      </c>
    </row>
    <row r="1071" spans="1:5" ht="14.4" x14ac:dyDescent="0.3">
      <c r="A1071" s="17" t="s">
        <v>6480</v>
      </c>
      <c r="B1071" s="1" t="s">
        <v>2533</v>
      </c>
      <c r="C1071" s="1" t="s">
        <v>2606</v>
      </c>
      <c r="D1071" s="1" t="s">
        <v>1554</v>
      </c>
      <c r="E1071" s="1">
        <v>9300000</v>
      </c>
    </row>
    <row r="1072" spans="1:5" ht="14.4" x14ac:dyDescent="0.3">
      <c r="A1072" s="17" t="s">
        <v>6481</v>
      </c>
      <c r="B1072" s="1" t="s">
        <v>2526</v>
      </c>
      <c r="C1072" s="1" t="s">
        <v>3258</v>
      </c>
      <c r="D1072" s="1" t="s">
        <v>3259</v>
      </c>
      <c r="E1072" s="1">
        <v>7130000</v>
      </c>
    </row>
    <row r="1073" spans="1:5" ht="14.4" x14ac:dyDescent="0.3">
      <c r="A1073" s="17" t="s">
        <v>6482</v>
      </c>
      <c r="B1073" s="1" t="s">
        <v>220</v>
      </c>
      <c r="C1073" s="1" t="s">
        <v>231</v>
      </c>
      <c r="D1073" s="1" t="s">
        <v>3260</v>
      </c>
      <c r="E1073" s="1">
        <v>11000000</v>
      </c>
    </row>
    <row r="1074" spans="1:5" ht="14.4" x14ac:dyDescent="0.3">
      <c r="A1074" s="17" t="s">
        <v>6483</v>
      </c>
      <c r="B1074" s="1" t="s">
        <v>2498</v>
      </c>
      <c r="C1074" s="1" t="s">
        <v>3261</v>
      </c>
      <c r="D1074" s="1" t="s">
        <v>3262</v>
      </c>
      <c r="E1074" s="1">
        <v>10100000</v>
      </c>
    </row>
    <row r="1075" spans="1:5" ht="14.4" x14ac:dyDescent="0.3">
      <c r="A1075" s="17" t="s">
        <v>6484</v>
      </c>
      <c r="B1075" s="1" t="s">
        <v>180</v>
      </c>
      <c r="C1075" s="1" t="s">
        <v>181</v>
      </c>
      <c r="D1075" s="1" t="s">
        <v>3263</v>
      </c>
      <c r="E1075" s="1">
        <v>14300000</v>
      </c>
    </row>
    <row r="1076" spans="1:5" ht="14.4" x14ac:dyDescent="0.3">
      <c r="A1076" s="17" t="s">
        <v>6485</v>
      </c>
      <c r="B1076" s="1" t="s">
        <v>86</v>
      </c>
      <c r="C1076" s="1" t="s">
        <v>2793</v>
      </c>
      <c r="D1076" s="1" t="s">
        <v>3264</v>
      </c>
      <c r="E1076" s="1">
        <v>16200000</v>
      </c>
    </row>
    <row r="1077" spans="1:5" ht="14.4" x14ac:dyDescent="0.3">
      <c r="A1077" s="17" t="s">
        <v>6486</v>
      </c>
      <c r="B1077" s="1" t="s">
        <v>86</v>
      </c>
      <c r="C1077" s="1" t="s">
        <v>106</v>
      </c>
      <c r="D1077" s="1" t="s">
        <v>3265</v>
      </c>
      <c r="E1077" s="1">
        <v>28400000</v>
      </c>
    </row>
    <row r="1078" spans="1:5" ht="14.4" x14ac:dyDescent="0.3">
      <c r="A1078" s="17" t="s">
        <v>6487</v>
      </c>
      <c r="B1078" s="1" t="s">
        <v>241</v>
      </c>
      <c r="C1078" s="1" t="s">
        <v>2484</v>
      </c>
      <c r="D1078" s="1" t="s">
        <v>3266</v>
      </c>
      <c r="E1078" s="1">
        <v>13300000</v>
      </c>
    </row>
    <row r="1079" spans="1:5" ht="14.4" x14ac:dyDescent="0.3">
      <c r="A1079" s="17" t="s">
        <v>6488</v>
      </c>
      <c r="B1079" s="1" t="s">
        <v>86</v>
      </c>
      <c r="C1079" s="1" t="s">
        <v>2793</v>
      </c>
      <c r="D1079" s="1" t="s">
        <v>3264</v>
      </c>
      <c r="E1079" s="1">
        <v>16200000</v>
      </c>
    </row>
    <row r="1080" spans="1:5" ht="14.4" x14ac:dyDescent="0.3">
      <c r="A1080" s="17" t="s">
        <v>6489</v>
      </c>
      <c r="B1080" s="1" t="s">
        <v>156</v>
      </c>
      <c r="C1080" s="1" t="s">
        <v>3096</v>
      </c>
      <c r="D1080" s="1" t="s">
        <v>3267</v>
      </c>
      <c r="E1080" s="1">
        <v>16800000</v>
      </c>
    </row>
    <row r="1081" spans="1:5" ht="14.4" x14ac:dyDescent="0.3">
      <c r="A1081" s="17" t="s">
        <v>6490</v>
      </c>
      <c r="B1081" s="1" t="s">
        <v>45</v>
      </c>
      <c r="C1081" s="1" t="s">
        <v>46</v>
      </c>
      <c r="D1081" s="1" t="s">
        <v>3268</v>
      </c>
      <c r="E1081" s="1">
        <v>11300000</v>
      </c>
    </row>
    <row r="1082" spans="1:5" ht="14.4" x14ac:dyDescent="0.3">
      <c r="A1082" s="17" t="s">
        <v>6491</v>
      </c>
      <c r="B1082" s="1" t="s">
        <v>207</v>
      </c>
      <c r="C1082" s="1">
        <v>3</v>
      </c>
      <c r="D1082" s="1" t="s">
        <v>2477</v>
      </c>
      <c r="E1082" s="1">
        <v>14200000</v>
      </c>
    </row>
    <row r="1083" spans="1:5" ht="14.4" x14ac:dyDescent="0.3">
      <c r="A1083" s="17" t="s">
        <v>6492</v>
      </c>
      <c r="B1083" s="1" t="s">
        <v>241</v>
      </c>
      <c r="C1083" s="1" t="s">
        <v>3269</v>
      </c>
      <c r="D1083" s="1" t="s">
        <v>3270</v>
      </c>
      <c r="E1083" s="1">
        <v>25100000</v>
      </c>
    </row>
    <row r="1084" spans="1:5" ht="14.4" x14ac:dyDescent="0.3">
      <c r="A1084" s="17" t="s">
        <v>6493</v>
      </c>
      <c r="B1084" s="1" t="s">
        <v>45</v>
      </c>
      <c r="C1084" s="1" t="s">
        <v>2764</v>
      </c>
      <c r="D1084" s="1" t="s">
        <v>3271</v>
      </c>
      <c r="E1084" s="1">
        <v>11500000</v>
      </c>
    </row>
    <row r="1085" spans="1:5" ht="14.4" x14ac:dyDescent="0.3">
      <c r="A1085" s="17" t="s">
        <v>6494</v>
      </c>
      <c r="B1085" s="1" t="s">
        <v>237</v>
      </c>
      <c r="C1085" s="1" t="s">
        <v>65</v>
      </c>
      <c r="D1085" s="1" t="s">
        <v>3272</v>
      </c>
      <c r="E1085" s="1">
        <v>14200000</v>
      </c>
    </row>
    <row r="1086" spans="1:5" ht="14.4" x14ac:dyDescent="0.3">
      <c r="A1086" s="17" t="s">
        <v>6495</v>
      </c>
      <c r="B1086" s="1" t="s">
        <v>2498</v>
      </c>
      <c r="C1086" s="1" t="s">
        <v>2563</v>
      </c>
      <c r="D1086" s="1" t="s">
        <v>3273</v>
      </c>
      <c r="E1086" s="1">
        <v>13600000</v>
      </c>
    </row>
    <row r="1087" spans="1:5" ht="14.4" x14ac:dyDescent="0.3">
      <c r="A1087" s="17" t="s">
        <v>6496</v>
      </c>
      <c r="B1087" s="1" t="s">
        <v>45</v>
      </c>
      <c r="C1087" s="1" t="s">
        <v>2995</v>
      </c>
      <c r="D1087" s="1" t="s">
        <v>3274</v>
      </c>
      <c r="E1087" s="1">
        <v>8500000</v>
      </c>
    </row>
    <row r="1088" spans="1:5" ht="14.4" x14ac:dyDescent="0.3">
      <c r="A1088" s="17" t="s">
        <v>6497</v>
      </c>
      <c r="B1088" s="1" t="s">
        <v>2816</v>
      </c>
      <c r="C1088" s="1" t="s">
        <v>3103</v>
      </c>
      <c r="D1088" s="1" t="s">
        <v>3275</v>
      </c>
      <c r="E1088" s="1">
        <v>14500000</v>
      </c>
    </row>
    <row r="1089" spans="1:5" ht="14.4" x14ac:dyDescent="0.3">
      <c r="A1089" s="17" t="s">
        <v>6498</v>
      </c>
      <c r="B1089" s="1" t="s">
        <v>2950</v>
      </c>
      <c r="C1089" s="1" t="s">
        <v>2951</v>
      </c>
      <c r="D1089" s="1" t="s">
        <v>3276</v>
      </c>
      <c r="E1089" s="1">
        <v>11000000</v>
      </c>
    </row>
    <row r="1090" spans="1:5" ht="14.4" x14ac:dyDescent="0.3">
      <c r="A1090" s="17" t="s">
        <v>6499</v>
      </c>
      <c r="B1090" s="1" t="s">
        <v>2533</v>
      </c>
      <c r="C1090" s="1" t="s">
        <v>2571</v>
      </c>
      <c r="D1090" s="1" t="s">
        <v>3277</v>
      </c>
      <c r="E1090" s="1">
        <v>8900000</v>
      </c>
    </row>
    <row r="1091" spans="1:5" ht="14.4" x14ac:dyDescent="0.3">
      <c r="A1091" s="17" t="s">
        <v>6500</v>
      </c>
      <c r="B1091" s="1" t="s">
        <v>60</v>
      </c>
      <c r="C1091" s="1" t="s">
        <v>61</v>
      </c>
      <c r="D1091" s="1" t="s">
        <v>3278</v>
      </c>
      <c r="E1091" s="1">
        <v>8600000</v>
      </c>
    </row>
    <row r="1092" spans="1:5" ht="14.4" x14ac:dyDescent="0.3">
      <c r="A1092" s="17" t="s">
        <v>6501</v>
      </c>
      <c r="B1092" s="1" t="s">
        <v>156</v>
      </c>
      <c r="C1092" s="1" t="s">
        <v>3025</v>
      </c>
      <c r="D1092" s="1" t="s">
        <v>3279</v>
      </c>
      <c r="E1092" s="1">
        <v>25000000</v>
      </c>
    </row>
    <row r="1093" spans="1:5" ht="14.4" x14ac:dyDescent="0.3">
      <c r="A1093" s="17" t="s">
        <v>6502</v>
      </c>
      <c r="B1093" s="1" t="s">
        <v>220</v>
      </c>
      <c r="C1093" s="1" t="s">
        <v>231</v>
      </c>
      <c r="D1093" s="1" t="s">
        <v>3280</v>
      </c>
      <c r="E1093" s="1">
        <v>11000000</v>
      </c>
    </row>
    <row r="1094" spans="1:5" ht="14.4" x14ac:dyDescent="0.3">
      <c r="A1094" s="17" t="s">
        <v>6503</v>
      </c>
      <c r="B1094" s="1" t="s">
        <v>68</v>
      </c>
      <c r="C1094" s="1">
        <v>560</v>
      </c>
      <c r="D1094" s="1" t="s">
        <v>3281</v>
      </c>
      <c r="E1094" s="1">
        <v>8200000</v>
      </c>
    </row>
    <row r="1095" spans="1:5" ht="14.4" x14ac:dyDescent="0.3">
      <c r="A1095" s="17" t="s">
        <v>6504</v>
      </c>
      <c r="B1095" s="1" t="s">
        <v>86</v>
      </c>
      <c r="C1095" s="1" t="s">
        <v>106</v>
      </c>
      <c r="D1095" s="1" t="s">
        <v>3265</v>
      </c>
      <c r="E1095" s="1">
        <v>24600000</v>
      </c>
    </row>
    <row r="1096" spans="1:5" ht="14.4" x14ac:dyDescent="0.3">
      <c r="A1096" s="17" t="s">
        <v>6505</v>
      </c>
      <c r="B1096" s="1" t="s">
        <v>220</v>
      </c>
      <c r="C1096" s="1" t="s">
        <v>2492</v>
      </c>
      <c r="D1096" s="1" t="s">
        <v>3282</v>
      </c>
      <c r="E1096" s="1">
        <v>24500000</v>
      </c>
    </row>
    <row r="1097" spans="1:5" ht="14.4" x14ac:dyDescent="0.3">
      <c r="A1097" s="17" t="s">
        <v>6506</v>
      </c>
      <c r="B1097" s="1" t="s">
        <v>288</v>
      </c>
      <c r="C1097" s="1" t="s">
        <v>2483</v>
      </c>
      <c r="D1097" s="1" t="s">
        <v>3283</v>
      </c>
      <c r="E1097" s="1">
        <v>7910000</v>
      </c>
    </row>
    <row r="1098" spans="1:5" ht="14.4" x14ac:dyDescent="0.3">
      <c r="A1098" s="17" t="s">
        <v>6507</v>
      </c>
      <c r="B1098" s="1" t="s">
        <v>14</v>
      </c>
      <c r="C1098" s="1" t="s">
        <v>15</v>
      </c>
      <c r="D1098" s="1" t="s">
        <v>3284</v>
      </c>
      <c r="E1098" s="1">
        <v>7810000</v>
      </c>
    </row>
    <row r="1099" spans="1:5" ht="14.4" x14ac:dyDescent="0.3">
      <c r="A1099" s="17" t="s">
        <v>6508</v>
      </c>
      <c r="B1099" s="1" t="s">
        <v>306</v>
      </c>
      <c r="C1099" s="1" t="s">
        <v>2862</v>
      </c>
      <c r="D1099" s="1" t="s">
        <v>3285</v>
      </c>
      <c r="E1099" s="1">
        <v>18900000</v>
      </c>
    </row>
    <row r="1100" spans="1:5" ht="14.4" x14ac:dyDescent="0.3">
      <c r="A1100" s="17" t="s">
        <v>6509</v>
      </c>
      <c r="B1100" s="1" t="s">
        <v>28</v>
      </c>
      <c r="C1100" s="1" t="s">
        <v>2496</v>
      </c>
      <c r="D1100" s="1" t="s">
        <v>3286</v>
      </c>
      <c r="E1100" s="1">
        <v>5360000</v>
      </c>
    </row>
    <row r="1101" spans="1:5" ht="14.4" x14ac:dyDescent="0.3">
      <c r="A1101" s="17" t="s">
        <v>6510</v>
      </c>
      <c r="B1101" s="1" t="s">
        <v>28</v>
      </c>
      <c r="C1101" s="1" t="s">
        <v>35</v>
      </c>
      <c r="D1101" s="1" t="s">
        <v>3287</v>
      </c>
      <c r="E1101" s="1">
        <v>10500000</v>
      </c>
    </row>
    <row r="1102" spans="1:5" ht="14.4" x14ac:dyDescent="0.3">
      <c r="A1102" s="17" t="s">
        <v>6511</v>
      </c>
      <c r="B1102" s="1" t="s">
        <v>28</v>
      </c>
      <c r="C1102" s="1" t="s">
        <v>2575</v>
      </c>
      <c r="D1102" s="1" t="s">
        <v>3288</v>
      </c>
      <c r="E1102" s="1">
        <v>7370000</v>
      </c>
    </row>
    <row r="1103" spans="1:5" ht="14.4" x14ac:dyDescent="0.3">
      <c r="A1103" s="17" t="s">
        <v>6512</v>
      </c>
      <c r="B1103" s="1" t="s">
        <v>28</v>
      </c>
      <c r="C1103" s="1" t="s">
        <v>2496</v>
      </c>
      <c r="D1103" s="1" t="s">
        <v>3289</v>
      </c>
      <c r="E1103" s="1">
        <v>7230000</v>
      </c>
    </row>
    <row r="1104" spans="1:5" ht="14.4" x14ac:dyDescent="0.3">
      <c r="A1104" s="17" t="s">
        <v>6513</v>
      </c>
      <c r="B1104" s="1" t="s">
        <v>2498</v>
      </c>
      <c r="C1104" s="1" t="s">
        <v>3290</v>
      </c>
      <c r="D1104" s="1" t="s">
        <v>3291</v>
      </c>
      <c r="E1104" s="1">
        <v>12700000</v>
      </c>
    </row>
    <row r="1105" spans="1:5" ht="14.4" x14ac:dyDescent="0.3">
      <c r="A1105" s="17" t="s">
        <v>6514</v>
      </c>
      <c r="B1105" s="1" t="s">
        <v>156</v>
      </c>
      <c r="C1105" s="1" t="s">
        <v>2789</v>
      </c>
      <c r="D1105" s="1" t="s">
        <v>3292</v>
      </c>
      <c r="E1105" s="1">
        <v>17100000</v>
      </c>
    </row>
    <row r="1106" spans="1:5" ht="14.4" x14ac:dyDescent="0.3">
      <c r="A1106" s="17" t="s">
        <v>6515</v>
      </c>
      <c r="B1106" s="1" t="s">
        <v>2493</v>
      </c>
      <c r="C1106" s="1" t="s">
        <v>83</v>
      </c>
      <c r="D1106" s="1" t="s">
        <v>3293</v>
      </c>
      <c r="E1106" s="1">
        <v>14500000</v>
      </c>
    </row>
    <row r="1107" spans="1:5" ht="14.4" x14ac:dyDescent="0.3">
      <c r="A1107" s="17" t="s">
        <v>6516</v>
      </c>
      <c r="B1107" s="1" t="s">
        <v>28</v>
      </c>
      <c r="C1107" s="1" t="s">
        <v>31</v>
      </c>
      <c r="D1107" s="1" t="s">
        <v>3294</v>
      </c>
      <c r="E1107" s="1">
        <v>8700000</v>
      </c>
    </row>
    <row r="1108" spans="1:5" ht="14.4" x14ac:dyDescent="0.3">
      <c r="A1108" s="17" t="s">
        <v>6517</v>
      </c>
      <c r="B1108" s="1" t="s">
        <v>2533</v>
      </c>
      <c r="C1108" s="1" t="s">
        <v>2571</v>
      </c>
      <c r="D1108" s="1" t="s">
        <v>383</v>
      </c>
      <c r="E1108" s="1">
        <v>8300000</v>
      </c>
    </row>
    <row r="1109" spans="1:5" ht="14.4" x14ac:dyDescent="0.3">
      <c r="A1109" s="17" t="s">
        <v>6518</v>
      </c>
      <c r="B1109" s="1" t="s">
        <v>2498</v>
      </c>
      <c r="C1109" s="1" t="s">
        <v>2499</v>
      </c>
      <c r="D1109" s="1" t="s">
        <v>3295</v>
      </c>
      <c r="E1109" s="1">
        <v>10000000</v>
      </c>
    </row>
    <row r="1110" spans="1:5" ht="14.4" x14ac:dyDescent="0.3">
      <c r="A1110" s="17" t="s">
        <v>6519</v>
      </c>
      <c r="B1110" s="1" t="s">
        <v>2498</v>
      </c>
      <c r="C1110" s="1" t="s">
        <v>2523</v>
      </c>
      <c r="D1110" s="1" t="s">
        <v>3296</v>
      </c>
      <c r="E1110" s="1">
        <v>7340000</v>
      </c>
    </row>
    <row r="1111" spans="1:5" ht="14.4" x14ac:dyDescent="0.3">
      <c r="A1111" s="17" t="s">
        <v>6520</v>
      </c>
      <c r="B1111" s="1" t="s">
        <v>86</v>
      </c>
      <c r="C1111" s="1" t="s">
        <v>122</v>
      </c>
      <c r="D1111" s="1" t="s">
        <v>3297</v>
      </c>
      <c r="E1111" s="1">
        <v>10600000</v>
      </c>
    </row>
    <row r="1112" spans="1:5" ht="14.4" x14ac:dyDescent="0.3">
      <c r="A1112" s="17" t="s">
        <v>6521</v>
      </c>
      <c r="B1112" s="1" t="s">
        <v>68</v>
      </c>
      <c r="C1112" s="1" t="s">
        <v>2568</v>
      </c>
      <c r="D1112" s="1" t="s">
        <v>355</v>
      </c>
      <c r="E1112" s="1">
        <v>7880000</v>
      </c>
    </row>
    <row r="1113" spans="1:5" ht="14.4" x14ac:dyDescent="0.3">
      <c r="A1113" s="17" t="s">
        <v>6522</v>
      </c>
      <c r="B1113" s="1" t="s">
        <v>2549</v>
      </c>
      <c r="C1113" s="1" t="s">
        <v>2655</v>
      </c>
      <c r="D1113" s="1" t="s">
        <v>3298</v>
      </c>
      <c r="E1113" s="1">
        <v>13400000</v>
      </c>
    </row>
    <row r="1114" spans="1:5" ht="14.4" x14ac:dyDescent="0.3">
      <c r="A1114" s="17" t="s">
        <v>6523</v>
      </c>
      <c r="B1114" s="1" t="s">
        <v>28</v>
      </c>
      <c r="C1114" s="1" t="s">
        <v>38</v>
      </c>
      <c r="D1114" s="1" t="s">
        <v>358</v>
      </c>
      <c r="E1114" s="1">
        <v>12600000</v>
      </c>
    </row>
    <row r="1115" spans="1:5" ht="14.4" x14ac:dyDescent="0.3">
      <c r="A1115" s="17" t="s">
        <v>6524</v>
      </c>
      <c r="B1115" s="1" t="s">
        <v>300</v>
      </c>
      <c r="C1115" s="1" t="s">
        <v>3299</v>
      </c>
      <c r="D1115" s="1" t="s">
        <v>3300</v>
      </c>
      <c r="E1115" s="1">
        <v>13200000</v>
      </c>
    </row>
    <row r="1116" spans="1:5" ht="14.4" x14ac:dyDescent="0.3">
      <c r="A1116" s="17" t="s">
        <v>6525</v>
      </c>
      <c r="B1116" s="1" t="s">
        <v>86</v>
      </c>
      <c r="C1116" s="1" t="s">
        <v>122</v>
      </c>
      <c r="D1116" s="1" t="s">
        <v>3301</v>
      </c>
      <c r="E1116" s="1">
        <v>36400000</v>
      </c>
    </row>
    <row r="1117" spans="1:5" ht="14.4" x14ac:dyDescent="0.3">
      <c r="A1117" s="17" t="s">
        <v>6526</v>
      </c>
      <c r="B1117" s="1" t="s">
        <v>86</v>
      </c>
      <c r="C1117" s="1" t="s">
        <v>3302</v>
      </c>
      <c r="D1117" s="1" t="s">
        <v>357</v>
      </c>
      <c r="E1117" s="1">
        <v>31100000</v>
      </c>
    </row>
    <row r="1118" spans="1:5" ht="14.4" x14ac:dyDescent="0.3">
      <c r="A1118" s="17" t="s">
        <v>6527</v>
      </c>
      <c r="B1118" s="1" t="s">
        <v>14</v>
      </c>
      <c r="C1118" s="1" t="s">
        <v>3303</v>
      </c>
      <c r="D1118" s="1" t="s">
        <v>3304</v>
      </c>
      <c r="E1118" s="1">
        <v>7650000</v>
      </c>
    </row>
    <row r="1119" spans="1:5" ht="14.4" x14ac:dyDescent="0.3">
      <c r="A1119" s="17" t="s">
        <v>6528</v>
      </c>
      <c r="B1119" s="1" t="s">
        <v>45</v>
      </c>
      <c r="C1119" s="1" t="s">
        <v>3305</v>
      </c>
      <c r="D1119" s="1" t="s">
        <v>3306</v>
      </c>
      <c r="E1119" s="1">
        <v>5060000</v>
      </c>
    </row>
    <row r="1120" spans="1:5" ht="14.4" x14ac:dyDescent="0.3">
      <c r="A1120" s="17" t="s">
        <v>6529</v>
      </c>
      <c r="B1120" s="1" t="s">
        <v>2498</v>
      </c>
      <c r="C1120" s="1" t="s">
        <v>199</v>
      </c>
      <c r="D1120" s="1" t="s">
        <v>3307</v>
      </c>
      <c r="E1120" s="1">
        <v>18700000</v>
      </c>
    </row>
    <row r="1121" spans="1:5" ht="14.4" x14ac:dyDescent="0.3">
      <c r="A1121" s="17" t="s">
        <v>6530</v>
      </c>
      <c r="B1121" s="1" t="s">
        <v>86</v>
      </c>
      <c r="C1121" s="1" t="s">
        <v>3302</v>
      </c>
      <c r="D1121" s="1" t="s">
        <v>357</v>
      </c>
      <c r="E1121" s="1">
        <v>31100000</v>
      </c>
    </row>
    <row r="1122" spans="1:5" ht="14.4" x14ac:dyDescent="0.3">
      <c r="A1122" s="17" t="s">
        <v>6531</v>
      </c>
      <c r="B1122" s="1" t="s">
        <v>241</v>
      </c>
      <c r="C1122" s="1" t="s">
        <v>2487</v>
      </c>
      <c r="D1122" s="1" t="s">
        <v>3224</v>
      </c>
      <c r="E1122" s="1">
        <v>19000000</v>
      </c>
    </row>
    <row r="1123" spans="1:5" ht="14.4" x14ac:dyDescent="0.3">
      <c r="A1123" s="17" t="s">
        <v>6532</v>
      </c>
      <c r="B1123" s="1" t="s">
        <v>3308</v>
      </c>
      <c r="C1123" s="1" t="s">
        <v>3309</v>
      </c>
      <c r="D1123" s="1" t="s">
        <v>3310</v>
      </c>
      <c r="E1123" s="1">
        <v>16700000</v>
      </c>
    </row>
    <row r="1124" spans="1:5" ht="14.4" x14ac:dyDescent="0.3">
      <c r="A1124" s="17" t="s">
        <v>6533</v>
      </c>
      <c r="B1124" s="1" t="s">
        <v>2533</v>
      </c>
      <c r="C1124" s="1" t="s">
        <v>2571</v>
      </c>
      <c r="D1124" s="1" t="s">
        <v>3311</v>
      </c>
      <c r="E1124" s="1">
        <v>9000000</v>
      </c>
    </row>
    <row r="1125" spans="1:5" ht="14.4" x14ac:dyDescent="0.3">
      <c r="A1125" s="17" t="s">
        <v>6534</v>
      </c>
      <c r="B1125" s="1" t="s">
        <v>45</v>
      </c>
      <c r="C1125" s="1" t="s">
        <v>2764</v>
      </c>
      <c r="D1125" s="1" t="s">
        <v>3312</v>
      </c>
      <c r="E1125" s="1">
        <v>9100000</v>
      </c>
    </row>
    <row r="1126" spans="1:5" ht="14.4" x14ac:dyDescent="0.3">
      <c r="A1126" s="17" t="s">
        <v>6535</v>
      </c>
      <c r="B1126" s="1" t="s">
        <v>173</v>
      </c>
      <c r="C1126" s="1">
        <v>7</v>
      </c>
      <c r="D1126" s="1" t="s">
        <v>3313</v>
      </c>
      <c r="E1126" s="1">
        <v>20900000</v>
      </c>
    </row>
    <row r="1127" spans="1:5" ht="14.4" x14ac:dyDescent="0.3">
      <c r="A1127" s="17" t="s">
        <v>6536</v>
      </c>
      <c r="B1127" s="1" t="s">
        <v>68</v>
      </c>
      <c r="C1127" s="1">
        <v>580</v>
      </c>
      <c r="D1127" s="1" t="s">
        <v>76</v>
      </c>
      <c r="E1127" s="1">
        <v>8600000</v>
      </c>
    </row>
    <row r="1128" spans="1:5" ht="14.4" x14ac:dyDescent="0.3">
      <c r="A1128" s="17" t="s">
        <v>6537</v>
      </c>
      <c r="B1128" s="1" t="s">
        <v>18</v>
      </c>
      <c r="C1128" s="1" t="s">
        <v>3314</v>
      </c>
      <c r="D1128" s="1" t="s">
        <v>23</v>
      </c>
      <c r="E1128" s="1">
        <v>40600000</v>
      </c>
    </row>
    <row r="1129" spans="1:5" ht="14.4" x14ac:dyDescent="0.3">
      <c r="A1129" s="17" t="s">
        <v>6538</v>
      </c>
      <c r="B1129" s="1" t="s">
        <v>86</v>
      </c>
      <c r="C1129" s="1" t="s">
        <v>2976</v>
      </c>
      <c r="D1129" s="1" t="s">
        <v>368</v>
      </c>
      <c r="E1129" s="1">
        <v>14100000</v>
      </c>
    </row>
    <row r="1130" spans="1:5" ht="14.4" x14ac:dyDescent="0.3">
      <c r="A1130" s="17" t="s">
        <v>6539</v>
      </c>
      <c r="B1130" s="1" t="s">
        <v>2521</v>
      </c>
      <c r="C1130" s="1" t="s">
        <v>3315</v>
      </c>
      <c r="D1130" s="1" t="s">
        <v>3316</v>
      </c>
      <c r="E1130" s="1">
        <v>13000000</v>
      </c>
    </row>
    <row r="1131" spans="1:5" ht="14.4" x14ac:dyDescent="0.3">
      <c r="A1131" s="17" t="s">
        <v>6540</v>
      </c>
      <c r="B1131" s="1" t="s">
        <v>306</v>
      </c>
      <c r="C1131" s="1" t="s">
        <v>2596</v>
      </c>
      <c r="D1131" s="1" t="s">
        <v>3317</v>
      </c>
      <c r="E1131" s="1">
        <v>11600000</v>
      </c>
    </row>
    <row r="1132" spans="1:5" ht="14.4" x14ac:dyDescent="0.3">
      <c r="A1132" s="17" t="s">
        <v>6541</v>
      </c>
      <c r="B1132" s="1" t="s">
        <v>28</v>
      </c>
      <c r="C1132" s="1" t="s">
        <v>35</v>
      </c>
      <c r="D1132" s="1" t="s">
        <v>544</v>
      </c>
      <c r="E1132" s="1">
        <v>10400000</v>
      </c>
    </row>
    <row r="1133" spans="1:5" ht="14.4" x14ac:dyDescent="0.3">
      <c r="A1133" s="17" t="s">
        <v>6542</v>
      </c>
      <c r="B1133" s="1" t="s">
        <v>156</v>
      </c>
      <c r="C1133" s="1" t="s">
        <v>3096</v>
      </c>
      <c r="D1133" s="1" t="s">
        <v>3318</v>
      </c>
      <c r="E1133" s="1">
        <v>19700000</v>
      </c>
    </row>
    <row r="1134" spans="1:5" ht="14.4" x14ac:dyDescent="0.3">
      <c r="A1134" s="17" t="s">
        <v>6543</v>
      </c>
      <c r="B1134" s="1" t="s">
        <v>306</v>
      </c>
      <c r="C1134" s="1" t="s">
        <v>2596</v>
      </c>
      <c r="D1134" s="1" t="s">
        <v>3319</v>
      </c>
      <c r="E1134" s="1">
        <v>12500000</v>
      </c>
    </row>
    <row r="1135" spans="1:5" ht="14.4" x14ac:dyDescent="0.3">
      <c r="A1135" s="17" t="s">
        <v>6544</v>
      </c>
      <c r="B1135" s="1" t="s">
        <v>142</v>
      </c>
      <c r="C1135" s="1" t="s">
        <v>145</v>
      </c>
      <c r="D1135" s="1" t="s">
        <v>144</v>
      </c>
      <c r="E1135" s="1">
        <v>18500000</v>
      </c>
    </row>
    <row r="1136" spans="1:5" ht="14.4" x14ac:dyDescent="0.3">
      <c r="A1136" s="17" t="s">
        <v>6545</v>
      </c>
      <c r="B1136" s="1" t="s">
        <v>45</v>
      </c>
      <c r="C1136" s="1" t="s">
        <v>46</v>
      </c>
      <c r="D1136" s="1" t="s">
        <v>3320</v>
      </c>
      <c r="E1136" s="1">
        <v>11400000</v>
      </c>
    </row>
    <row r="1137" spans="1:5" ht="14.4" x14ac:dyDescent="0.3">
      <c r="A1137" s="17" t="s">
        <v>6546</v>
      </c>
      <c r="B1137" s="1" t="s">
        <v>2498</v>
      </c>
      <c r="C1137" s="1" t="s">
        <v>2499</v>
      </c>
      <c r="D1137" s="1" t="s">
        <v>3321</v>
      </c>
      <c r="E1137" s="1">
        <v>9500000</v>
      </c>
    </row>
    <row r="1138" spans="1:5" ht="14.4" x14ac:dyDescent="0.3">
      <c r="A1138" s="17" t="s">
        <v>6547</v>
      </c>
      <c r="B1138" s="1" t="s">
        <v>220</v>
      </c>
      <c r="C1138" s="1" t="s">
        <v>2729</v>
      </c>
      <c r="D1138" s="1" t="s">
        <v>380</v>
      </c>
      <c r="E1138" s="1">
        <v>12300000</v>
      </c>
    </row>
    <row r="1139" spans="1:5" ht="14.4" x14ac:dyDescent="0.3">
      <c r="A1139" s="17" t="s">
        <v>6548</v>
      </c>
      <c r="B1139" s="1" t="s">
        <v>18</v>
      </c>
      <c r="C1139" s="1" t="s">
        <v>3314</v>
      </c>
      <c r="D1139" s="1" t="s">
        <v>22</v>
      </c>
      <c r="E1139" s="1">
        <v>40300000</v>
      </c>
    </row>
    <row r="1140" spans="1:5" ht="14.4" x14ac:dyDescent="0.3">
      <c r="A1140" s="17" t="s">
        <v>6549</v>
      </c>
      <c r="B1140" s="1" t="s">
        <v>86</v>
      </c>
      <c r="C1140" s="1" t="s">
        <v>111</v>
      </c>
      <c r="D1140" s="1" t="s">
        <v>114</v>
      </c>
      <c r="E1140" s="1">
        <v>33400000</v>
      </c>
    </row>
    <row r="1141" spans="1:5" ht="14.4" x14ac:dyDescent="0.3">
      <c r="A1141" s="17" t="s">
        <v>6550</v>
      </c>
      <c r="B1141" s="1" t="s">
        <v>241</v>
      </c>
      <c r="C1141" s="1" t="s">
        <v>276</v>
      </c>
      <c r="D1141" s="1" t="s">
        <v>3322</v>
      </c>
      <c r="E1141" s="1">
        <v>16500000</v>
      </c>
    </row>
    <row r="1142" spans="1:5" ht="14.4" x14ac:dyDescent="0.3">
      <c r="A1142" s="17" t="s">
        <v>6551</v>
      </c>
      <c r="B1142" s="1" t="s">
        <v>2498</v>
      </c>
      <c r="C1142" s="1" t="s">
        <v>2587</v>
      </c>
      <c r="D1142" s="1" t="s">
        <v>3323</v>
      </c>
      <c r="E1142" s="1">
        <v>15400000</v>
      </c>
    </row>
    <row r="1143" spans="1:5" ht="14.4" x14ac:dyDescent="0.3">
      <c r="A1143" s="17" t="s">
        <v>6552</v>
      </c>
      <c r="B1143" s="1" t="s">
        <v>220</v>
      </c>
      <c r="C1143" s="1" t="s">
        <v>2762</v>
      </c>
      <c r="D1143" s="1" t="s">
        <v>3324</v>
      </c>
      <c r="E1143" s="1">
        <v>13000000</v>
      </c>
    </row>
    <row r="1144" spans="1:5" ht="14.4" x14ac:dyDescent="0.3">
      <c r="A1144" s="17" t="s">
        <v>6553</v>
      </c>
      <c r="B1144" s="1" t="s">
        <v>45</v>
      </c>
      <c r="C1144" s="1" t="s">
        <v>3325</v>
      </c>
      <c r="D1144" s="1" t="s">
        <v>56</v>
      </c>
      <c r="E1144" s="1">
        <v>33500000</v>
      </c>
    </row>
    <row r="1145" spans="1:5" ht="14.4" x14ac:dyDescent="0.3">
      <c r="A1145" s="17" t="s">
        <v>6554</v>
      </c>
      <c r="B1145" s="1" t="s">
        <v>60</v>
      </c>
      <c r="C1145" s="1" t="s">
        <v>3326</v>
      </c>
      <c r="D1145" s="1" t="s">
        <v>3327</v>
      </c>
      <c r="E1145" s="1">
        <v>16200000</v>
      </c>
    </row>
    <row r="1146" spans="1:5" ht="14.4" x14ac:dyDescent="0.3">
      <c r="A1146" s="17" t="s">
        <v>6555</v>
      </c>
      <c r="B1146" s="1" t="s">
        <v>60</v>
      </c>
      <c r="C1146" s="1" t="s">
        <v>3326</v>
      </c>
      <c r="D1146" s="1" t="s">
        <v>3327</v>
      </c>
      <c r="E1146" s="1">
        <v>16200000</v>
      </c>
    </row>
    <row r="1147" spans="1:5" ht="14.4" x14ac:dyDescent="0.3">
      <c r="A1147" s="17" t="s">
        <v>6556</v>
      </c>
      <c r="B1147" s="1" t="s">
        <v>241</v>
      </c>
      <c r="C1147" s="1" t="s">
        <v>2478</v>
      </c>
      <c r="D1147" s="1" t="s">
        <v>3328</v>
      </c>
      <c r="E1147" s="1">
        <v>15500000</v>
      </c>
    </row>
    <row r="1148" spans="1:5" ht="14.4" x14ac:dyDescent="0.3">
      <c r="A1148" s="17" t="s">
        <v>6557</v>
      </c>
      <c r="B1148" s="1" t="s">
        <v>241</v>
      </c>
      <c r="C1148" s="1" t="s">
        <v>2478</v>
      </c>
      <c r="D1148" s="1" t="s">
        <v>3328</v>
      </c>
      <c r="E1148" s="1">
        <v>16400000</v>
      </c>
    </row>
    <row r="1149" spans="1:5" ht="14.4" x14ac:dyDescent="0.3">
      <c r="A1149" s="17" t="s">
        <v>6558</v>
      </c>
      <c r="B1149" s="1" t="s">
        <v>2526</v>
      </c>
      <c r="C1149" s="1" t="s">
        <v>3329</v>
      </c>
      <c r="D1149" s="1" t="s">
        <v>3330</v>
      </c>
      <c r="E1149" s="1">
        <v>11800000</v>
      </c>
    </row>
    <row r="1150" spans="1:5" ht="14.4" x14ac:dyDescent="0.3">
      <c r="A1150" s="17" t="s">
        <v>6559</v>
      </c>
      <c r="B1150" s="1" t="s">
        <v>220</v>
      </c>
      <c r="C1150" s="1" t="s">
        <v>2762</v>
      </c>
      <c r="D1150" s="1" t="s">
        <v>3331</v>
      </c>
      <c r="E1150" s="1">
        <v>12600000</v>
      </c>
    </row>
    <row r="1151" spans="1:5" ht="14.4" x14ac:dyDescent="0.3">
      <c r="A1151" s="17" t="s">
        <v>6560</v>
      </c>
      <c r="B1151" s="1" t="s">
        <v>28</v>
      </c>
      <c r="C1151" s="1" t="s">
        <v>2496</v>
      </c>
      <c r="D1151" s="1" t="s">
        <v>3332</v>
      </c>
      <c r="E1151" s="1">
        <v>6880000</v>
      </c>
    </row>
    <row r="1152" spans="1:5" ht="14.4" x14ac:dyDescent="0.3">
      <c r="A1152" s="17" t="s">
        <v>6561</v>
      </c>
      <c r="B1152" s="1" t="s">
        <v>86</v>
      </c>
      <c r="C1152" s="1" t="s">
        <v>90</v>
      </c>
      <c r="D1152" s="1" t="s">
        <v>3333</v>
      </c>
      <c r="E1152" s="1">
        <v>8200000</v>
      </c>
    </row>
    <row r="1153" spans="1:5" ht="14.4" x14ac:dyDescent="0.3">
      <c r="A1153" s="17" t="s">
        <v>6562</v>
      </c>
      <c r="B1153" s="1" t="s">
        <v>156</v>
      </c>
      <c r="C1153" s="1" t="s">
        <v>3334</v>
      </c>
      <c r="D1153" s="1" t="s">
        <v>1497</v>
      </c>
      <c r="E1153" s="1">
        <v>26200000</v>
      </c>
    </row>
    <row r="1154" spans="1:5" ht="14.4" x14ac:dyDescent="0.3">
      <c r="A1154" s="17" t="s">
        <v>6563</v>
      </c>
      <c r="B1154" s="1" t="s">
        <v>241</v>
      </c>
      <c r="C1154" s="1" t="s">
        <v>2484</v>
      </c>
      <c r="D1154" s="1" t="s">
        <v>3335</v>
      </c>
      <c r="E1154" s="1">
        <v>13200000</v>
      </c>
    </row>
    <row r="1155" spans="1:5" ht="14.4" x14ac:dyDescent="0.3">
      <c r="A1155" s="17" t="s">
        <v>6564</v>
      </c>
      <c r="B1155" s="1" t="s">
        <v>14</v>
      </c>
      <c r="C1155" s="1" t="s">
        <v>3303</v>
      </c>
      <c r="D1155" s="1" t="s">
        <v>3336</v>
      </c>
      <c r="E1155" s="1">
        <v>6720000</v>
      </c>
    </row>
    <row r="1156" spans="1:5" ht="14.4" x14ac:dyDescent="0.3">
      <c r="A1156" s="17" t="s">
        <v>6565</v>
      </c>
      <c r="B1156" s="1" t="s">
        <v>306</v>
      </c>
      <c r="C1156" s="1" t="s">
        <v>2862</v>
      </c>
      <c r="D1156" s="1" t="s">
        <v>3337</v>
      </c>
      <c r="E1156" s="1">
        <v>17800000</v>
      </c>
    </row>
    <row r="1157" spans="1:5" ht="14.4" x14ac:dyDescent="0.3">
      <c r="A1157" s="17" t="s">
        <v>6566</v>
      </c>
      <c r="B1157" s="1" t="s">
        <v>2955</v>
      </c>
      <c r="C1157" s="1" t="s">
        <v>2518</v>
      </c>
      <c r="D1157" s="1" t="s">
        <v>3338</v>
      </c>
      <c r="E1157" s="1">
        <v>6990000</v>
      </c>
    </row>
    <row r="1158" spans="1:5" ht="14.4" x14ac:dyDescent="0.3">
      <c r="A1158" s="17" t="s">
        <v>6567</v>
      </c>
      <c r="B1158" s="1" t="s">
        <v>28</v>
      </c>
      <c r="C1158" s="1" t="s">
        <v>42</v>
      </c>
      <c r="D1158" s="1" t="s">
        <v>3339</v>
      </c>
      <c r="E1158" s="1">
        <v>11900000</v>
      </c>
    </row>
    <row r="1159" spans="1:5" ht="14.4" x14ac:dyDescent="0.3">
      <c r="A1159" s="17" t="s">
        <v>6568</v>
      </c>
      <c r="B1159" s="1" t="s">
        <v>167</v>
      </c>
      <c r="C1159" s="1" t="s">
        <v>168</v>
      </c>
      <c r="D1159" s="1" t="s">
        <v>3340</v>
      </c>
      <c r="E1159" s="1">
        <v>10100000</v>
      </c>
    </row>
    <row r="1160" spans="1:5" ht="14.4" x14ac:dyDescent="0.3">
      <c r="A1160" s="17" t="s">
        <v>6569</v>
      </c>
      <c r="B1160" s="1" t="s">
        <v>28</v>
      </c>
      <c r="C1160" s="1" t="s">
        <v>42</v>
      </c>
      <c r="D1160" s="1" t="s">
        <v>3341</v>
      </c>
      <c r="E1160" s="1">
        <v>11200000</v>
      </c>
    </row>
    <row r="1161" spans="1:5" ht="14.4" x14ac:dyDescent="0.3">
      <c r="A1161" s="17" t="s">
        <v>6570</v>
      </c>
      <c r="B1161" s="1" t="s">
        <v>241</v>
      </c>
      <c r="C1161" s="1" t="s">
        <v>269</v>
      </c>
      <c r="D1161" s="1" t="s">
        <v>3342</v>
      </c>
      <c r="E1161" s="1">
        <v>21200000</v>
      </c>
    </row>
    <row r="1162" spans="1:5" ht="14.4" x14ac:dyDescent="0.3">
      <c r="A1162" s="17" t="s">
        <v>6571</v>
      </c>
      <c r="B1162" s="1" t="s">
        <v>68</v>
      </c>
      <c r="C1162" s="1" t="s">
        <v>3343</v>
      </c>
      <c r="D1162" s="1" t="s">
        <v>3344</v>
      </c>
      <c r="E1162" s="1">
        <v>6210000</v>
      </c>
    </row>
    <row r="1163" spans="1:5" ht="14.4" x14ac:dyDescent="0.3">
      <c r="A1163" s="17" t="s">
        <v>6572</v>
      </c>
      <c r="B1163" s="1" t="s">
        <v>28</v>
      </c>
      <c r="C1163" s="1" t="s">
        <v>2496</v>
      </c>
      <c r="D1163" s="1" t="s">
        <v>379</v>
      </c>
      <c r="E1163" s="1">
        <v>7390000</v>
      </c>
    </row>
    <row r="1164" spans="1:5" ht="14.4" x14ac:dyDescent="0.3">
      <c r="A1164" s="17" t="s">
        <v>6573</v>
      </c>
      <c r="B1164" s="1" t="s">
        <v>180</v>
      </c>
      <c r="C1164" s="1" t="s">
        <v>2673</v>
      </c>
      <c r="D1164" s="1" t="s">
        <v>3345</v>
      </c>
      <c r="E1164" s="1">
        <v>13600000</v>
      </c>
    </row>
    <row r="1165" spans="1:5" ht="14.4" x14ac:dyDescent="0.3">
      <c r="A1165" s="17" t="s">
        <v>6574</v>
      </c>
      <c r="B1165" s="1" t="s">
        <v>3021</v>
      </c>
      <c r="C1165" s="1" t="s">
        <v>3346</v>
      </c>
      <c r="D1165" s="1" t="s">
        <v>3347</v>
      </c>
      <c r="E1165" s="1">
        <v>31800000</v>
      </c>
    </row>
    <row r="1166" spans="1:5" ht="14.4" x14ac:dyDescent="0.3">
      <c r="A1166" s="17" t="s">
        <v>6575</v>
      </c>
      <c r="B1166" s="1" t="s">
        <v>306</v>
      </c>
      <c r="C1166" s="1" t="s">
        <v>2862</v>
      </c>
      <c r="D1166" s="1" t="s">
        <v>3348</v>
      </c>
      <c r="E1166" s="1">
        <v>18500000</v>
      </c>
    </row>
    <row r="1167" spans="1:5" ht="14.4" x14ac:dyDescent="0.3">
      <c r="A1167" s="17" t="s">
        <v>6576</v>
      </c>
      <c r="B1167" s="1" t="s">
        <v>28</v>
      </c>
      <c r="C1167" s="1" t="s">
        <v>42</v>
      </c>
      <c r="D1167" s="1" t="s">
        <v>372</v>
      </c>
      <c r="E1167" s="1">
        <v>11300000</v>
      </c>
    </row>
    <row r="1168" spans="1:5" ht="14.4" x14ac:dyDescent="0.3">
      <c r="A1168" s="17" t="s">
        <v>6577</v>
      </c>
      <c r="B1168" s="1" t="s">
        <v>300</v>
      </c>
      <c r="C1168" s="1" t="s">
        <v>2925</v>
      </c>
      <c r="D1168" s="1" t="s">
        <v>3349</v>
      </c>
      <c r="E1168" s="1">
        <v>12100000</v>
      </c>
    </row>
    <row r="1169" spans="1:5" ht="14.4" x14ac:dyDescent="0.3">
      <c r="A1169" s="17" t="s">
        <v>6578</v>
      </c>
      <c r="B1169" s="1" t="s">
        <v>220</v>
      </c>
      <c r="C1169" s="1" t="s">
        <v>2569</v>
      </c>
      <c r="D1169" s="1" t="s">
        <v>3350</v>
      </c>
      <c r="E1169" s="1">
        <v>9400000</v>
      </c>
    </row>
    <row r="1170" spans="1:5" ht="14.4" x14ac:dyDescent="0.3">
      <c r="A1170" s="17" t="s">
        <v>6579</v>
      </c>
      <c r="B1170" s="1" t="s">
        <v>156</v>
      </c>
      <c r="C1170" s="1" t="s">
        <v>3351</v>
      </c>
      <c r="D1170" s="1" t="s">
        <v>3352</v>
      </c>
      <c r="E1170" s="1">
        <v>19300000</v>
      </c>
    </row>
    <row r="1171" spans="1:5" ht="14.4" x14ac:dyDescent="0.3">
      <c r="A1171" s="17" t="s">
        <v>6580</v>
      </c>
      <c r="B1171" s="1" t="s">
        <v>28</v>
      </c>
      <c r="C1171" s="1" t="s">
        <v>42</v>
      </c>
      <c r="D1171" s="1" t="s">
        <v>3353</v>
      </c>
      <c r="E1171" s="1">
        <v>10400000</v>
      </c>
    </row>
    <row r="1172" spans="1:5" ht="14.4" x14ac:dyDescent="0.3">
      <c r="A1172" s="17" t="s">
        <v>6581</v>
      </c>
      <c r="B1172" s="1" t="s">
        <v>173</v>
      </c>
      <c r="C1172" s="1">
        <v>7</v>
      </c>
      <c r="D1172" s="1" t="s">
        <v>3354</v>
      </c>
      <c r="E1172" s="1">
        <v>17500000</v>
      </c>
    </row>
    <row r="1173" spans="1:5" ht="14.4" x14ac:dyDescent="0.3">
      <c r="A1173" s="17" t="s">
        <v>6582</v>
      </c>
      <c r="B1173" s="1" t="s">
        <v>167</v>
      </c>
      <c r="C1173" s="1" t="s">
        <v>2529</v>
      </c>
      <c r="D1173" s="1" t="s">
        <v>378</v>
      </c>
      <c r="E1173" s="1">
        <v>7930000</v>
      </c>
    </row>
    <row r="1174" spans="1:5" ht="14.4" x14ac:dyDescent="0.3">
      <c r="A1174" s="17" t="s">
        <v>6583</v>
      </c>
      <c r="B1174" s="1" t="s">
        <v>28</v>
      </c>
      <c r="C1174" s="1" t="s">
        <v>31</v>
      </c>
      <c r="D1174" s="1" t="s">
        <v>3355</v>
      </c>
      <c r="E1174" s="1">
        <v>8700000</v>
      </c>
    </row>
    <row r="1175" spans="1:5" ht="14.4" x14ac:dyDescent="0.3">
      <c r="A1175" s="17" t="s">
        <v>6584</v>
      </c>
      <c r="B1175" s="1" t="s">
        <v>220</v>
      </c>
      <c r="C1175" s="1" t="s">
        <v>3356</v>
      </c>
      <c r="D1175" s="1" t="s">
        <v>3357</v>
      </c>
      <c r="E1175" s="1">
        <v>27600000</v>
      </c>
    </row>
    <row r="1176" spans="1:5" ht="14.4" x14ac:dyDescent="0.3">
      <c r="A1176" s="17" t="s">
        <v>6585</v>
      </c>
      <c r="B1176" s="1" t="s">
        <v>28</v>
      </c>
      <c r="C1176" s="1" t="s">
        <v>42</v>
      </c>
      <c r="D1176" s="1" t="s">
        <v>372</v>
      </c>
      <c r="E1176" s="1">
        <v>11300000</v>
      </c>
    </row>
    <row r="1177" spans="1:5" ht="14.4" x14ac:dyDescent="0.3">
      <c r="A1177" s="17" t="s">
        <v>6586</v>
      </c>
      <c r="B1177" s="1" t="s">
        <v>167</v>
      </c>
      <c r="C1177" s="1" t="s">
        <v>3358</v>
      </c>
      <c r="D1177" s="1" t="s">
        <v>3359</v>
      </c>
      <c r="E1177" s="1">
        <v>6000000</v>
      </c>
    </row>
    <row r="1178" spans="1:5" ht="14.4" x14ac:dyDescent="0.3">
      <c r="A1178" s="17" t="s">
        <v>6587</v>
      </c>
      <c r="B1178" s="1" t="s">
        <v>28</v>
      </c>
      <c r="C1178" s="1" t="s">
        <v>42</v>
      </c>
      <c r="D1178" s="1" t="s">
        <v>372</v>
      </c>
      <c r="E1178" s="1">
        <v>11300000</v>
      </c>
    </row>
    <row r="1179" spans="1:5" ht="14.4" x14ac:dyDescent="0.3">
      <c r="A1179" s="17" t="s">
        <v>6588</v>
      </c>
      <c r="B1179" s="1" t="s">
        <v>214</v>
      </c>
      <c r="C1179" s="1" t="s">
        <v>3360</v>
      </c>
      <c r="D1179" s="1" t="s">
        <v>336</v>
      </c>
      <c r="E1179" s="1">
        <v>15800000</v>
      </c>
    </row>
    <row r="1180" spans="1:5" ht="14.4" x14ac:dyDescent="0.3">
      <c r="A1180" s="17" t="s">
        <v>6589</v>
      </c>
      <c r="B1180" s="1" t="s">
        <v>220</v>
      </c>
      <c r="C1180" s="1" t="s">
        <v>2729</v>
      </c>
      <c r="D1180" s="1" t="s">
        <v>3361</v>
      </c>
      <c r="E1180" s="1">
        <v>12600000</v>
      </c>
    </row>
    <row r="1181" spans="1:5" ht="14.4" x14ac:dyDescent="0.3">
      <c r="A1181" s="17" t="s">
        <v>6590</v>
      </c>
      <c r="B1181" s="1" t="s">
        <v>86</v>
      </c>
      <c r="C1181" s="1" t="s">
        <v>2476</v>
      </c>
      <c r="D1181" s="1" t="s">
        <v>3362</v>
      </c>
      <c r="E1181" s="1">
        <v>24700000</v>
      </c>
    </row>
    <row r="1182" spans="1:5" ht="14.4" x14ac:dyDescent="0.3">
      <c r="A1182" s="17" t="s">
        <v>6591</v>
      </c>
      <c r="B1182" s="1" t="s">
        <v>28</v>
      </c>
      <c r="C1182" s="1" t="s">
        <v>42</v>
      </c>
      <c r="D1182" s="1" t="s">
        <v>372</v>
      </c>
      <c r="E1182" s="1">
        <v>11300000</v>
      </c>
    </row>
    <row r="1183" spans="1:5" ht="14.4" x14ac:dyDescent="0.3">
      <c r="A1183" s="17" t="s">
        <v>6592</v>
      </c>
      <c r="B1183" s="1" t="s">
        <v>207</v>
      </c>
      <c r="C1183" s="1" t="s">
        <v>3176</v>
      </c>
      <c r="D1183" s="1" t="s">
        <v>3187</v>
      </c>
      <c r="E1183" s="1">
        <v>14200000</v>
      </c>
    </row>
    <row r="1184" spans="1:5" ht="14.4" x14ac:dyDescent="0.3">
      <c r="A1184" s="17" t="s">
        <v>6593</v>
      </c>
      <c r="B1184" s="1" t="s">
        <v>167</v>
      </c>
      <c r="C1184" s="1" t="s">
        <v>3363</v>
      </c>
      <c r="D1184" s="1" t="s">
        <v>3364</v>
      </c>
      <c r="E1184" s="1">
        <v>7990000</v>
      </c>
    </row>
    <row r="1185" spans="1:5" ht="14.4" x14ac:dyDescent="0.3">
      <c r="A1185" s="17" t="s">
        <v>6594</v>
      </c>
      <c r="B1185" s="1" t="s">
        <v>86</v>
      </c>
      <c r="C1185" s="1" t="s">
        <v>2476</v>
      </c>
      <c r="D1185" s="1" t="s">
        <v>3365</v>
      </c>
      <c r="E1185" s="1">
        <v>37300000</v>
      </c>
    </row>
    <row r="1186" spans="1:5" ht="14.4" x14ac:dyDescent="0.3">
      <c r="A1186" s="17" t="s">
        <v>6595</v>
      </c>
      <c r="B1186" s="1" t="s">
        <v>241</v>
      </c>
      <c r="C1186" s="1" t="s">
        <v>2501</v>
      </c>
      <c r="D1186" s="1" t="s">
        <v>3366</v>
      </c>
      <c r="E1186" s="1">
        <v>23000000</v>
      </c>
    </row>
    <row r="1187" spans="1:5" ht="14.4" x14ac:dyDescent="0.3">
      <c r="A1187" s="17" t="s">
        <v>6596</v>
      </c>
      <c r="B1187" s="1" t="s">
        <v>60</v>
      </c>
      <c r="C1187" s="1" t="s">
        <v>3367</v>
      </c>
      <c r="D1187" s="1" t="s">
        <v>3368</v>
      </c>
      <c r="E1187" s="1">
        <v>22700000</v>
      </c>
    </row>
    <row r="1188" spans="1:5" ht="14.4" x14ac:dyDescent="0.3">
      <c r="A1188" s="17" t="s">
        <v>6597</v>
      </c>
      <c r="B1188" s="1" t="s">
        <v>3369</v>
      </c>
      <c r="C1188" s="1" t="s">
        <v>3370</v>
      </c>
      <c r="D1188" s="1" t="s">
        <v>2477</v>
      </c>
      <c r="E1188" s="1">
        <v>9900000</v>
      </c>
    </row>
    <row r="1189" spans="1:5" ht="14.4" x14ac:dyDescent="0.3">
      <c r="A1189" s="17" t="s">
        <v>6598</v>
      </c>
      <c r="B1189" s="1" t="s">
        <v>68</v>
      </c>
      <c r="C1189" s="1">
        <v>560</v>
      </c>
      <c r="D1189" s="1" t="s">
        <v>384</v>
      </c>
      <c r="E1189" s="1">
        <v>9300000</v>
      </c>
    </row>
    <row r="1190" spans="1:5" ht="14.4" x14ac:dyDescent="0.3">
      <c r="A1190" s="17" t="s">
        <v>6599</v>
      </c>
      <c r="B1190" s="1" t="s">
        <v>86</v>
      </c>
      <c r="C1190" s="1" t="s">
        <v>2504</v>
      </c>
      <c r="D1190" s="1" t="s">
        <v>2477</v>
      </c>
      <c r="E1190" s="1">
        <v>77000000</v>
      </c>
    </row>
    <row r="1191" spans="1:5" ht="14.4" x14ac:dyDescent="0.3">
      <c r="A1191" s="17" t="s">
        <v>6600</v>
      </c>
      <c r="B1191" s="1" t="s">
        <v>28</v>
      </c>
      <c r="C1191" s="1" t="s">
        <v>2575</v>
      </c>
      <c r="D1191" s="1" t="s">
        <v>369</v>
      </c>
      <c r="E1191" s="1">
        <v>8100000</v>
      </c>
    </row>
    <row r="1192" spans="1:5" ht="14.4" x14ac:dyDescent="0.3">
      <c r="A1192" s="17" t="s">
        <v>6601</v>
      </c>
      <c r="B1192" s="1" t="s">
        <v>2955</v>
      </c>
      <c r="C1192" s="1" t="s">
        <v>2518</v>
      </c>
      <c r="D1192" s="1" t="s">
        <v>3371</v>
      </c>
      <c r="E1192" s="1">
        <v>8700000</v>
      </c>
    </row>
    <row r="1193" spans="1:5" ht="14.4" x14ac:dyDescent="0.3">
      <c r="A1193" s="17" t="s">
        <v>6602</v>
      </c>
      <c r="B1193" s="1" t="s">
        <v>306</v>
      </c>
      <c r="C1193" s="1" t="s">
        <v>2596</v>
      </c>
      <c r="D1193" s="1" t="s">
        <v>3372</v>
      </c>
      <c r="E1193" s="1">
        <v>13300000</v>
      </c>
    </row>
    <row r="1194" spans="1:5" ht="14.4" x14ac:dyDescent="0.3">
      <c r="A1194" s="17" t="s">
        <v>6603</v>
      </c>
      <c r="B1194" s="1" t="s">
        <v>214</v>
      </c>
      <c r="C1194" s="1" t="s">
        <v>2804</v>
      </c>
      <c r="D1194" s="1" t="s">
        <v>3373</v>
      </c>
      <c r="E1194" s="1">
        <v>20300000</v>
      </c>
    </row>
    <row r="1195" spans="1:5" ht="14.4" x14ac:dyDescent="0.3">
      <c r="A1195" s="17" t="s">
        <v>6604</v>
      </c>
      <c r="B1195" s="1" t="s">
        <v>2494</v>
      </c>
      <c r="C1195" s="1" t="s">
        <v>3374</v>
      </c>
      <c r="D1195" s="1" t="s">
        <v>3375</v>
      </c>
      <c r="E1195" s="1">
        <v>7410000</v>
      </c>
    </row>
    <row r="1196" spans="1:5" ht="14.4" x14ac:dyDescent="0.3">
      <c r="A1196" s="17" t="s">
        <v>6605</v>
      </c>
      <c r="B1196" s="1" t="s">
        <v>220</v>
      </c>
      <c r="C1196" s="1" t="s">
        <v>221</v>
      </c>
      <c r="D1196" s="1" t="s">
        <v>222</v>
      </c>
      <c r="E1196" s="1">
        <v>8800000</v>
      </c>
    </row>
    <row r="1197" spans="1:5" ht="14.4" x14ac:dyDescent="0.3">
      <c r="A1197" s="17" t="s">
        <v>6606</v>
      </c>
      <c r="B1197" s="1" t="s">
        <v>220</v>
      </c>
      <c r="C1197" s="1" t="s">
        <v>3099</v>
      </c>
      <c r="D1197" s="1" t="s">
        <v>3376</v>
      </c>
      <c r="E1197" s="1">
        <v>10800000</v>
      </c>
    </row>
    <row r="1198" spans="1:5" ht="14.4" x14ac:dyDescent="0.3">
      <c r="A1198" s="17" t="s">
        <v>6607</v>
      </c>
      <c r="B1198" s="1" t="s">
        <v>220</v>
      </c>
      <c r="C1198" s="1" t="s">
        <v>3099</v>
      </c>
      <c r="D1198" s="1" t="s">
        <v>3376</v>
      </c>
      <c r="E1198" s="1">
        <v>11000000</v>
      </c>
    </row>
    <row r="1199" spans="1:5" ht="14.4" x14ac:dyDescent="0.3">
      <c r="A1199" s="17" t="s">
        <v>6608</v>
      </c>
      <c r="B1199" s="1" t="s">
        <v>167</v>
      </c>
      <c r="C1199" s="1" t="s">
        <v>168</v>
      </c>
      <c r="D1199" s="1" t="s">
        <v>3377</v>
      </c>
      <c r="E1199" s="1">
        <v>8500000</v>
      </c>
    </row>
    <row r="1200" spans="1:5" ht="14.4" x14ac:dyDescent="0.3">
      <c r="A1200" s="17" t="s">
        <v>6609</v>
      </c>
      <c r="B1200" s="1" t="s">
        <v>311</v>
      </c>
      <c r="C1200" s="1" t="s">
        <v>3378</v>
      </c>
      <c r="D1200" s="1" t="s">
        <v>375</v>
      </c>
      <c r="E1200" s="1">
        <v>24800000</v>
      </c>
    </row>
    <row r="1201" spans="1:5" ht="14.4" x14ac:dyDescent="0.3">
      <c r="A1201" s="17" t="s">
        <v>6610</v>
      </c>
      <c r="B1201" s="1" t="s">
        <v>311</v>
      </c>
      <c r="C1201" s="1" t="s">
        <v>3378</v>
      </c>
      <c r="D1201" s="1" t="s">
        <v>375</v>
      </c>
      <c r="E1201" s="1">
        <v>23100000</v>
      </c>
    </row>
    <row r="1202" spans="1:5" ht="14.4" x14ac:dyDescent="0.3">
      <c r="A1202" s="17" t="s">
        <v>6611</v>
      </c>
      <c r="B1202" s="1" t="s">
        <v>167</v>
      </c>
      <c r="C1202" s="1" t="s">
        <v>168</v>
      </c>
      <c r="D1202" s="1" t="s">
        <v>3379</v>
      </c>
      <c r="E1202" s="1">
        <v>9900000</v>
      </c>
    </row>
    <row r="1203" spans="1:5" ht="14.4" x14ac:dyDescent="0.3">
      <c r="A1203" s="17" t="s">
        <v>6612</v>
      </c>
      <c r="B1203" s="1" t="s">
        <v>156</v>
      </c>
      <c r="C1203" s="1" t="s">
        <v>3096</v>
      </c>
      <c r="D1203" s="1" t="s">
        <v>3380</v>
      </c>
      <c r="E1203" s="1">
        <v>19700000</v>
      </c>
    </row>
    <row r="1204" spans="1:5" ht="14.4" x14ac:dyDescent="0.3">
      <c r="A1204" s="17" t="s">
        <v>6613</v>
      </c>
      <c r="B1204" s="1" t="s">
        <v>2545</v>
      </c>
      <c r="C1204" s="1" t="s">
        <v>2856</v>
      </c>
      <c r="D1204" s="1" t="s">
        <v>3381</v>
      </c>
      <c r="E1204" s="1">
        <v>24200000</v>
      </c>
    </row>
    <row r="1205" spans="1:5" ht="14.4" x14ac:dyDescent="0.3">
      <c r="A1205" s="17" t="s">
        <v>6614</v>
      </c>
      <c r="B1205" s="1" t="s">
        <v>86</v>
      </c>
      <c r="C1205" s="1" t="s">
        <v>3068</v>
      </c>
      <c r="D1205" s="1" t="s">
        <v>3382</v>
      </c>
      <c r="E1205" s="1">
        <v>14500000</v>
      </c>
    </row>
    <row r="1206" spans="1:5" ht="14.4" x14ac:dyDescent="0.3">
      <c r="A1206" s="17" t="s">
        <v>6615</v>
      </c>
      <c r="B1206" s="1" t="s">
        <v>241</v>
      </c>
      <c r="C1206" s="1" t="s">
        <v>269</v>
      </c>
      <c r="D1206" s="1" t="s">
        <v>273</v>
      </c>
      <c r="E1206" s="1">
        <v>21500000</v>
      </c>
    </row>
    <row r="1207" spans="1:5" ht="14.4" x14ac:dyDescent="0.3">
      <c r="A1207" s="17" t="s">
        <v>6616</v>
      </c>
      <c r="B1207" s="1" t="s">
        <v>300</v>
      </c>
      <c r="C1207" s="1" t="s">
        <v>3006</v>
      </c>
      <c r="D1207" s="1" t="s">
        <v>3383</v>
      </c>
      <c r="E1207" s="1">
        <v>8700000</v>
      </c>
    </row>
    <row r="1208" spans="1:5" ht="14.4" x14ac:dyDescent="0.3">
      <c r="A1208" s="17" t="s">
        <v>6617</v>
      </c>
      <c r="B1208" s="1" t="s">
        <v>28</v>
      </c>
      <c r="C1208" s="1" t="s">
        <v>2496</v>
      </c>
      <c r="D1208" s="1" t="s">
        <v>3384</v>
      </c>
      <c r="E1208" s="1">
        <v>7000000</v>
      </c>
    </row>
    <row r="1209" spans="1:5" ht="14.4" x14ac:dyDescent="0.3">
      <c r="A1209" s="17" t="s">
        <v>6618</v>
      </c>
      <c r="B1209" s="1" t="s">
        <v>306</v>
      </c>
      <c r="C1209" s="1" t="s">
        <v>2596</v>
      </c>
      <c r="D1209" s="1" t="s">
        <v>3372</v>
      </c>
      <c r="E1209" s="1">
        <v>13300000</v>
      </c>
    </row>
    <row r="1210" spans="1:5" ht="14.4" x14ac:dyDescent="0.3">
      <c r="A1210" s="17" t="s">
        <v>6619</v>
      </c>
      <c r="B1210" s="1" t="s">
        <v>306</v>
      </c>
      <c r="C1210" s="1" t="s">
        <v>2596</v>
      </c>
      <c r="D1210" s="1" t="s">
        <v>3372</v>
      </c>
      <c r="E1210" s="1">
        <v>13300000</v>
      </c>
    </row>
    <row r="1211" spans="1:5" ht="14.4" x14ac:dyDescent="0.3">
      <c r="A1211" s="17" t="s">
        <v>6620</v>
      </c>
      <c r="B1211" s="1" t="s">
        <v>14</v>
      </c>
      <c r="C1211" s="1" t="s">
        <v>3303</v>
      </c>
      <c r="D1211" s="1" t="s">
        <v>3385</v>
      </c>
      <c r="E1211" s="1">
        <v>4910000</v>
      </c>
    </row>
    <row r="1212" spans="1:5" ht="14.4" x14ac:dyDescent="0.3">
      <c r="A1212" s="17" t="s">
        <v>6621</v>
      </c>
      <c r="B1212" s="1" t="s">
        <v>2545</v>
      </c>
      <c r="C1212" s="1" t="s">
        <v>2856</v>
      </c>
      <c r="D1212" s="1" t="s">
        <v>2477</v>
      </c>
      <c r="E1212" s="1">
        <v>22800000</v>
      </c>
    </row>
    <row r="1213" spans="1:5" ht="14.4" x14ac:dyDescent="0.3">
      <c r="A1213" s="17" t="s">
        <v>6622</v>
      </c>
      <c r="B1213" s="1" t="s">
        <v>237</v>
      </c>
      <c r="C1213" s="1" t="s">
        <v>65</v>
      </c>
      <c r="D1213" s="1" t="s">
        <v>240</v>
      </c>
      <c r="E1213" s="1">
        <v>14700000</v>
      </c>
    </row>
    <row r="1214" spans="1:5" ht="14.4" x14ac:dyDescent="0.3">
      <c r="A1214" s="17" t="s">
        <v>6623</v>
      </c>
      <c r="B1214" s="1" t="s">
        <v>86</v>
      </c>
      <c r="C1214" s="1" t="s">
        <v>2747</v>
      </c>
      <c r="D1214" s="1" t="s">
        <v>3386</v>
      </c>
      <c r="E1214" s="1">
        <v>9800000</v>
      </c>
    </row>
    <row r="1215" spans="1:5" ht="14.4" x14ac:dyDescent="0.3">
      <c r="A1215" s="17" t="s">
        <v>6624</v>
      </c>
      <c r="B1215" s="1" t="s">
        <v>2533</v>
      </c>
      <c r="C1215" s="1" t="s">
        <v>2571</v>
      </c>
      <c r="D1215" s="1" t="s">
        <v>3387</v>
      </c>
      <c r="E1215" s="1">
        <v>8200000</v>
      </c>
    </row>
    <row r="1216" spans="1:5" ht="14.4" x14ac:dyDescent="0.3">
      <c r="A1216" s="17" t="s">
        <v>6625</v>
      </c>
      <c r="B1216" s="1" t="s">
        <v>214</v>
      </c>
      <c r="C1216" s="1" t="s">
        <v>215</v>
      </c>
      <c r="D1216" s="1" t="s">
        <v>3388</v>
      </c>
      <c r="E1216" s="1">
        <v>14100000</v>
      </c>
    </row>
    <row r="1217" spans="1:5" ht="14.4" x14ac:dyDescent="0.3">
      <c r="A1217" s="17" t="s">
        <v>6626</v>
      </c>
      <c r="B1217" s="1" t="s">
        <v>173</v>
      </c>
      <c r="C1217" s="1">
        <v>7</v>
      </c>
      <c r="D1217" s="1" t="s">
        <v>178</v>
      </c>
      <c r="E1217" s="1">
        <v>17500000</v>
      </c>
    </row>
    <row r="1218" spans="1:5" ht="14.4" x14ac:dyDescent="0.3">
      <c r="A1218" s="17" t="s">
        <v>6627</v>
      </c>
      <c r="B1218" s="1" t="s">
        <v>18</v>
      </c>
      <c r="C1218" s="1" t="s">
        <v>3314</v>
      </c>
      <c r="D1218" s="1" t="s">
        <v>23</v>
      </c>
      <c r="E1218" s="1">
        <v>39400000</v>
      </c>
    </row>
    <row r="1219" spans="1:5" ht="14.4" x14ac:dyDescent="0.3">
      <c r="A1219" s="17" t="s">
        <v>6628</v>
      </c>
      <c r="B1219" s="1" t="s">
        <v>241</v>
      </c>
      <c r="C1219" s="1" t="s">
        <v>2593</v>
      </c>
      <c r="D1219" s="1" t="s">
        <v>3322</v>
      </c>
      <c r="E1219" s="1">
        <v>16400000</v>
      </c>
    </row>
    <row r="1220" spans="1:5" ht="14.4" x14ac:dyDescent="0.3">
      <c r="A1220" s="17" t="s">
        <v>6629</v>
      </c>
      <c r="B1220" s="1" t="s">
        <v>156</v>
      </c>
      <c r="C1220" s="1" t="s">
        <v>2479</v>
      </c>
      <c r="D1220" s="1" t="s">
        <v>3389</v>
      </c>
      <c r="E1220" s="1">
        <v>12000000</v>
      </c>
    </row>
    <row r="1221" spans="1:5" ht="14.4" x14ac:dyDescent="0.3">
      <c r="A1221" s="17" t="s">
        <v>6630</v>
      </c>
      <c r="B1221" s="1" t="s">
        <v>45</v>
      </c>
      <c r="C1221" s="1" t="s">
        <v>2764</v>
      </c>
      <c r="D1221" s="1" t="s">
        <v>3390</v>
      </c>
      <c r="E1221" s="1">
        <v>11200000</v>
      </c>
    </row>
    <row r="1222" spans="1:5" ht="14.4" x14ac:dyDescent="0.3">
      <c r="A1222" s="17" t="s">
        <v>6631</v>
      </c>
      <c r="B1222" s="1" t="s">
        <v>291</v>
      </c>
      <c r="C1222" s="1" t="s">
        <v>3161</v>
      </c>
      <c r="D1222" s="1" t="s">
        <v>353</v>
      </c>
      <c r="E1222" s="1">
        <v>25100000</v>
      </c>
    </row>
    <row r="1223" spans="1:5" ht="14.4" x14ac:dyDescent="0.3">
      <c r="A1223" s="17" t="s">
        <v>6632</v>
      </c>
      <c r="B1223" s="1" t="s">
        <v>167</v>
      </c>
      <c r="C1223" s="1" t="s">
        <v>2529</v>
      </c>
      <c r="D1223" s="1" t="s">
        <v>3391</v>
      </c>
      <c r="E1223" s="1">
        <v>9500000</v>
      </c>
    </row>
    <row r="1224" spans="1:5" ht="14.4" x14ac:dyDescent="0.3">
      <c r="A1224" s="17" t="s">
        <v>6633</v>
      </c>
      <c r="B1224" s="1" t="s">
        <v>220</v>
      </c>
      <c r="C1224" s="1" t="s">
        <v>2762</v>
      </c>
      <c r="D1224" s="1" t="s">
        <v>3392</v>
      </c>
      <c r="E1224" s="1">
        <v>16100000</v>
      </c>
    </row>
    <row r="1225" spans="1:5" ht="14.4" x14ac:dyDescent="0.3">
      <c r="A1225" s="17" t="s">
        <v>6634</v>
      </c>
      <c r="B1225" s="1" t="s">
        <v>220</v>
      </c>
      <c r="C1225" s="1" t="s">
        <v>2682</v>
      </c>
      <c r="D1225" s="1" t="s">
        <v>3393</v>
      </c>
      <c r="E1225" s="1">
        <v>17700000</v>
      </c>
    </row>
    <row r="1226" spans="1:5" ht="14.4" x14ac:dyDescent="0.3">
      <c r="A1226" s="17" t="s">
        <v>6635</v>
      </c>
      <c r="B1226" s="1" t="s">
        <v>142</v>
      </c>
      <c r="C1226" s="1" t="s">
        <v>145</v>
      </c>
      <c r="D1226" s="1" t="s">
        <v>3394</v>
      </c>
      <c r="E1226" s="1">
        <v>13100000</v>
      </c>
    </row>
    <row r="1227" spans="1:5" ht="14.4" x14ac:dyDescent="0.3">
      <c r="A1227" s="17" t="s">
        <v>6636</v>
      </c>
      <c r="B1227" s="1" t="s">
        <v>167</v>
      </c>
      <c r="C1227" s="1" t="s">
        <v>3395</v>
      </c>
      <c r="D1227" s="1" t="s">
        <v>3396</v>
      </c>
      <c r="E1227" s="1">
        <v>6730000</v>
      </c>
    </row>
    <row r="1228" spans="1:5" ht="14.4" x14ac:dyDescent="0.3">
      <c r="A1228" s="17" t="s">
        <v>6637</v>
      </c>
      <c r="B1228" s="1" t="s">
        <v>60</v>
      </c>
      <c r="C1228" s="1" t="s">
        <v>2854</v>
      </c>
      <c r="D1228" s="1" t="s">
        <v>3397</v>
      </c>
      <c r="E1228" s="1">
        <v>14800000</v>
      </c>
    </row>
    <row r="1229" spans="1:5" ht="14.4" x14ac:dyDescent="0.3">
      <c r="A1229" s="17" t="s">
        <v>6638</v>
      </c>
      <c r="B1229" s="1" t="s">
        <v>2545</v>
      </c>
      <c r="C1229" s="1" t="s">
        <v>3398</v>
      </c>
      <c r="D1229" s="1" t="s">
        <v>3399</v>
      </c>
      <c r="E1229" s="1">
        <v>33300000</v>
      </c>
    </row>
    <row r="1230" spans="1:5" ht="14.4" x14ac:dyDescent="0.3">
      <c r="A1230" s="17" t="s">
        <v>6639</v>
      </c>
      <c r="B1230" s="1" t="s">
        <v>28</v>
      </c>
      <c r="C1230" s="1" t="s">
        <v>38</v>
      </c>
      <c r="D1230" s="1" t="s">
        <v>3400</v>
      </c>
      <c r="E1230" s="1">
        <v>12200000</v>
      </c>
    </row>
    <row r="1231" spans="1:5" ht="14.4" x14ac:dyDescent="0.3">
      <c r="A1231" s="17" t="s">
        <v>6640</v>
      </c>
      <c r="B1231" s="1" t="s">
        <v>28</v>
      </c>
      <c r="C1231" s="1" t="s">
        <v>38</v>
      </c>
      <c r="D1231" s="1" t="s">
        <v>3401</v>
      </c>
      <c r="E1231" s="1">
        <v>12200000</v>
      </c>
    </row>
    <row r="1232" spans="1:5" ht="14.4" x14ac:dyDescent="0.3">
      <c r="A1232" s="17" t="s">
        <v>6641</v>
      </c>
      <c r="B1232" s="1" t="s">
        <v>68</v>
      </c>
      <c r="C1232" s="1">
        <v>580</v>
      </c>
      <c r="D1232" s="1" t="s">
        <v>3402</v>
      </c>
      <c r="E1232" s="1">
        <v>9000000</v>
      </c>
    </row>
    <row r="1233" spans="1:5" ht="14.4" x14ac:dyDescent="0.3">
      <c r="A1233" s="17" t="s">
        <v>6642</v>
      </c>
      <c r="B1233" s="1" t="s">
        <v>2498</v>
      </c>
      <c r="C1233" s="1" t="s">
        <v>2587</v>
      </c>
      <c r="D1233" s="1" t="s">
        <v>3403</v>
      </c>
      <c r="E1233" s="1">
        <v>22600000</v>
      </c>
    </row>
    <row r="1234" spans="1:5" ht="14.4" x14ac:dyDescent="0.3">
      <c r="A1234" s="17" t="s">
        <v>6643</v>
      </c>
      <c r="B1234" s="1" t="s">
        <v>28</v>
      </c>
      <c r="C1234" s="1" t="s">
        <v>38</v>
      </c>
      <c r="D1234" s="1" t="s">
        <v>3404</v>
      </c>
      <c r="E1234" s="1">
        <v>13000000</v>
      </c>
    </row>
    <row r="1235" spans="1:5" ht="14.4" x14ac:dyDescent="0.3">
      <c r="A1235" s="17" t="s">
        <v>6644</v>
      </c>
      <c r="B1235" s="1" t="s">
        <v>2494</v>
      </c>
      <c r="C1235" s="1" t="s">
        <v>2811</v>
      </c>
      <c r="D1235" s="1" t="s">
        <v>3405</v>
      </c>
      <c r="E1235" s="1">
        <v>12900000</v>
      </c>
    </row>
    <row r="1236" spans="1:5" ht="14.4" x14ac:dyDescent="0.3">
      <c r="A1236" s="17" t="s">
        <v>6645</v>
      </c>
      <c r="B1236" s="1" t="s">
        <v>45</v>
      </c>
      <c r="C1236" s="1" t="s">
        <v>2720</v>
      </c>
      <c r="D1236" s="1" t="s">
        <v>3406</v>
      </c>
      <c r="E1236" s="1">
        <v>17500000</v>
      </c>
    </row>
    <row r="1237" spans="1:5" ht="14.4" x14ac:dyDescent="0.3">
      <c r="A1237" s="17" t="s">
        <v>6646</v>
      </c>
      <c r="B1237" s="1" t="s">
        <v>28</v>
      </c>
      <c r="C1237" s="1" t="s">
        <v>3407</v>
      </c>
      <c r="D1237" s="1" t="s">
        <v>3408</v>
      </c>
      <c r="E1237" s="1">
        <v>9100000</v>
      </c>
    </row>
    <row r="1238" spans="1:5" ht="14.4" x14ac:dyDescent="0.3">
      <c r="A1238" s="17" t="s">
        <v>6647</v>
      </c>
      <c r="B1238" s="1" t="s">
        <v>220</v>
      </c>
      <c r="C1238" s="1" t="s">
        <v>2569</v>
      </c>
      <c r="D1238" s="1" t="s">
        <v>3409</v>
      </c>
      <c r="E1238" s="1">
        <v>9600000</v>
      </c>
    </row>
    <row r="1239" spans="1:5" ht="14.4" x14ac:dyDescent="0.3">
      <c r="A1239" s="17" t="s">
        <v>6648</v>
      </c>
      <c r="B1239" s="1" t="s">
        <v>45</v>
      </c>
      <c r="C1239" s="1" t="s">
        <v>3325</v>
      </c>
      <c r="D1239" s="1" t="s">
        <v>56</v>
      </c>
      <c r="E1239" s="1">
        <v>32700000</v>
      </c>
    </row>
    <row r="1240" spans="1:5" ht="14.4" x14ac:dyDescent="0.3">
      <c r="A1240" s="17" t="s">
        <v>6649</v>
      </c>
      <c r="B1240" s="1" t="s">
        <v>291</v>
      </c>
      <c r="C1240" s="1" t="s">
        <v>3161</v>
      </c>
      <c r="D1240" s="1" t="s">
        <v>353</v>
      </c>
      <c r="E1240" s="1">
        <v>25100000</v>
      </c>
    </row>
    <row r="1241" spans="1:5" ht="14.4" x14ac:dyDescent="0.3">
      <c r="A1241" s="17" t="s">
        <v>6650</v>
      </c>
      <c r="B1241" s="1" t="s">
        <v>45</v>
      </c>
      <c r="C1241" s="1" t="s">
        <v>49</v>
      </c>
      <c r="D1241" s="1" t="s">
        <v>3410</v>
      </c>
      <c r="E1241" s="1">
        <v>48600000</v>
      </c>
    </row>
    <row r="1242" spans="1:5" ht="14.4" x14ac:dyDescent="0.3">
      <c r="A1242" s="17" t="s">
        <v>6651</v>
      </c>
      <c r="B1242" s="1" t="s">
        <v>214</v>
      </c>
      <c r="C1242" s="1" t="s">
        <v>2560</v>
      </c>
      <c r="D1242" s="1" t="s">
        <v>3411</v>
      </c>
      <c r="E1242" s="1">
        <v>12200000</v>
      </c>
    </row>
    <row r="1243" spans="1:5" ht="14.4" x14ac:dyDescent="0.3">
      <c r="A1243" s="17" t="s">
        <v>6652</v>
      </c>
      <c r="B1243" s="1" t="s">
        <v>86</v>
      </c>
      <c r="C1243" s="1" t="s">
        <v>134</v>
      </c>
      <c r="D1243" s="1" t="s">
        <v>3412</v>
      </c>
      <c r="E1243" s="1">
        <v>12600000</v>
      </c>
    </row>
    <row r="1244" spans="1:5" ht="14.4" x14ac:dyDescent="0.3">
      <c r="A1244" s="17" t="s">
        <v>6653</v>
      </c>
      <c r="B1244" s="1" t="s">
        <v>173</v>
      </c>
      <c r="C1244" s="1" t="s">
        <v>3413</v>
      </c>
      <c r="D1244" s="1" t="s">
        <v>178</v>
      </c>
      <c r="E1244" s="1">
        <v>16500000</v>
      </c>
    </row>
    <row r="1245" spans="1:5" ht="14.4" x14ac:dyDescent="0.3">
      <c r="A1245" s="17" t="s">
        <v>6654</v>
      </c>
      <c r="B1245" s="1" t="s">
        <v>300</v>
      </c>
      <c r="C1245" s="1" t="s">
        <v>2653</v>
      </c>
      <c r="D1245" s="1" t="s">
        <v>2477</v>
      </c>
      <c r="E1245" s="1">
        <v>8600000</v>
      </c>
    </row>
    <row r="1246" spans="1:5" ht="14.4" x14ac:dyDescent="0.3">
      <c r="A1246" s="17" t="s">
        <v>6655</v>
      </c>
      <c r="B1246" s="1" t="s">
        <v>156</v>
      </c>
      <c r="C1246" s="1" t="s">
        <v>3096</v>
      </c>
      <c r="D1246" s="1" t="s">
        <v>3414</v>
      </c>
      <c r="E1246" s="1">
        <v>14500000</v>
      </c>
    </row>
    <row r="1247" spans="1:5" ht="14.4" x14ac:dyDescent="0.3">
      <c r="A1247" s="17" t="s">
        <v>6656</v>
      </c>
      <c r="B1247" s="1" t="s">
        <v>2498</v>
      </c>
      <c r="C1247" s="1" t="s">
        <v>3195</v>
      </c>
      <c r="D1247" s="1" t="s">
        <v>3415</v>
      </c>
      <c r="E1247" s="1">
        <v>16100000</v>
      </c>
    </row>
    <row r="1248" spans="1:5" ht="14.4" x14ac:dyDescent="0.3">
      <c r="A1248" s="17" t="s">
        <v>6657</v>
      </c>
      <c r="B1248" s="1" t="s">
        <v>241</v>
      </c>
      <c r="C1248" s="1" t="s">
        <v>2478</v>
      </c>
      <c r="D1248" s="1" t="s">
        <v>3416</v>
      </c>
      <c r="E1248" s="1">
        <v>16800000</v>
      </c>
    </row>
    <row r="1249" spans="1:5" ht="14.4" x14ac:dyDescent="0.3">
      <c r="A1249" s="17" t="s">
        <v>6658</v>
      </c>
      <c r="B1249" s="1" t="s">
        <v>156</v>
      </c>
      <c r="C1249" s="1" t="s">
        <v>2912</v>
      </c>
      <c r="D1249" s="1" t="s">
        <v>1806</v>
      </c>
      <c r="E1249" s="1">
        <v>16300000</v>
      </c>
    </row>
    <row r="1250" spans="1:5" ht="14.4" x14ac:dyDescent="0.3">
      <c r="A1250" s="17" t="s">
        <v>6659</v>
      </c>
      <c r="B1250" s="1" t="s">
        <v>2498</v>
      </c>
      <c r="C1250" s="1" t="s">
        <v>2499</v>
      </c>
      <c r="D1250" s="1" t="s">
        <v>3417</v>
      </c>
      <c r="E1250" s="1">
        <v>10000000</v>
      </c>
    </row>
    <row r="1251" spans="1:5" ht="14.4" x14ac:dyDescent="0.3">
      <c r="A1251" s="17" t="s">
        <v>6660</v>
      </c>
      <c r="B1251" s="1" t="s">
        <v>68</v>
      </c>
      <c r="C1251" s="1">
        <v>560</v>
      </c>
      <c r="D1251" s="1" t="s">
        <v>3418</v>
      </c>
      <c r="E1251" s="1">
        <v>10200000</v>
      </c>
    </row>
    <row r="1252" spans="1:5" ht="14.4" x14ac:dyDescent="0.3">
      <c r="A1252" s="17" t="s">
        <v>6661</v>
      </c>
      <c r="B1252" s="1" t="s">
        <v>180</v>
      </c>
      <c r="C1252" s="1" t="s">
        <v>3419</v>
      </c>
      <c r="D1252" s="1" t="s">
        <v>3420</v>
      </c>
      <c r="E1252" s="1">
        <v>9400000</v>
      </c>
    </row>
    <row r="1253" spans="1:5" ht="14.4" x14ac:dyDescent="0.3">
      <c r="A1253" s="17" t="s">
        <v>6662</v>
      </c>
      <c r="B1253" s="1" t="s">
        <v>2498</v>
      </c>
      <c r="C1253" s="1" t="s">
        <v>188</v>
      </c>
      <c r="D1253" s="1" t="s">
        <v>3421</v>
      </c>
      <c r="E1253" s="1">
        <v>10200000</v>
      </c>
    </row>
    <row r="1254" spans="1:5" ht="14.4" x14ac:dyDescent="0.3">
      <c r="A1254" s="17" t="s">
        <v>6663</v>
      </c>
      <c r="B1254" s="1" t="s">
        <v>2608</v>
      </c>
      <c r="C1254" s="1" t="s">
        <v>3422</v>
      </c>
      <c r="D1254" s="1" t="s">
        <v>3423</v>
      </c>
      <c r="E1254" s="1">
        <v>17500000</v>
      </c>
    </row>
    <row r="1255" spans="1:5" ht="14.4" x14ac:dyDescent="0.3">
      <c r="A1255" s="17" t="s">
        <v>6664</v>
      </c>
      <c r="B1255" s="1" t="s">
        <v>86</v>
      </c>
      <c r="C1255" s="1" t="s">
        <v>134</v>
      </c>
      <c r="D1255" s="1" t="s">
        <v>3424</v>
      </c>
      <c r="E1255" s="1">
        <v>12400000</v>
      </c>
    </row>
    <row r="1256" spans="1:5" ht="14.4" x14ac:dyDescent="0.3">
      <c r="A1256" s="17" t="s">
        <v>6665</v>
      </c>
      <c r="B1256" s="1" t="s">
        <v>86</v>
      </c>
      <c r="C1256" s="1" t="s">
        <v>122</v>
      </c>
      <c r="D1256" s="1" t="s">
        <v>3425</v>
      </c>
      <c r="E1256" s="1">
        <v>25100000</v>
      </c>
    </row>
    <row r="1257" spans="1:5" ht="14.4" x14ac:dyDescent="0.3">
      <c r="A1257" s="17" t="s">
        <v>6666</v>
      </c>
      <c r="B1257" s="1" t="s">
        <v>173</v>
      </c>
      <c r="C1257" s="1">
        <v>7</v>
      </c>
      <c r="D1257" s="1" t="s">
        <v>178</v>
      </c>
      <c r="E1257" s="1">
        <v>17500000</v>
      </c>
    </row>
    <row r="1258" spans="1:5" ht="14.4" x14ac:dyDescent="0.3">
      <c r="A1258" s="17" t="s">
        <v>6667</v>
      </c>
      <c r="B1258" s="1" t="s">
        <v>86</v>
      </c>
      <c r="C1258" s="1" t="s">
        <v>2747</v>
      </c>
      <c r="D1258" s="1" t="s">
        <v>3426</v>
      </c>
      <c r="E1258" s="1">
        <v>11900000</v>
      </c>
    </row>
    <row r="1259" spans="1:5" ht="14.4" x14ac:dyDescent="0.3">
      <c r="A1259" s="17" t="s">
        <v>6668</v>
      </c>
      <c r="B1259" s="1" t="s">
        <v>3427</v>
      </c>
      <c r="C1259" s="1" t="s">
        <v>3428</v>
      </c>
      <c r="D1259" s="1" t="s">
        <v>3429</v>
      </c>
      <c r="E1259" s="1">
        <v>7510000</v>
      </c>
    </row>
    <row r="1260" spans="1:5" ht="14.4" x14ac:dyDescent="0.3">
      <c r="A1260" s="17" t="s">
        <v>6669</v>
      </c>
      <c r="B1260" s="1" t="s">
        <v>18</v>
      </c>
      <c r="C1260" s="1" t="s">
        <v>2641</v>
      </c>
      <c r="D1260" s="1" t="s">
        <v>27</v>
      </c>
      <c r="E1260" s="1">
        <v>19100000</v>
      </c>
    </row>
    <row r="1261" spans="1:5" ht="14.4" x14ac:dyDescent="0.3">
      <c r="A1261" s="17" t="s">
        <v>6670</v>
      </c>
      <c r="B1261" s="1" t="s">
        <v>2498</v>
      </c>
      <c r="C1261" s="1" t="s">
        <v>2563</v>
      </c>
      <c r="D1261" s="1" t="s">
        <v>3430</v>
      </c>
      <c r="E1261" s="1">
        <v>15300000</v>
      </c>
    </row>
    <row r="1262" spans="1:5" ht="14.4" x14ac:dyDescent="0.3">
      <c r="A1262" s="17" t="s">
        <v>6671</v>
      </c>
      <c r="B1262" s="1" t="s">
        <v>300</v>
      </c>
      <c r="C1262" s="1" t="s">
        <v>2735</v>
      </c>
      <c r="D1262" s="1" t="s">
        <v>352</v>
      </c>
      <c r="E1262" s="1">
        <v>7210000</v>
      </c>
    </row>
    <row r="1263" spans="1:5" ht="14.4" x14ac:dyDescent="0.3">
      <c r="A1263" s="17" t="s">
        <v>6672</v>
      </c>
      <c r="B1263" s="1" t="s">
        <v>2545</v>
      </c>
      <c r="C1263" s="1" t="s">
        <v>3431</v>
      </c>
      <c r="D1263" s="1" t="s">
        <v>3432</v>
      </c>
      <c r="E1263" s="1">
        <v>17700000</v>
      </c>
    </row>
    <row r="1264" spans="1:5" ht="14.4" x14ac:dyDescent="0.3">
      <c r="A1264" s="17" t="s">
        <v>6673</v>
      </c>
      <c r="B1264" s="1" t="s">
        <v>241</v>
      </c>
      <c r="C1264" s="1">
        <v>208</v>
      </c>
      <c r="D1264" s="1" t="s">
        <v>3433</v>
      </c>
      <c r="E1264" s="1">
        <v>13300000</v>
      </c>
    </row>
    <row r="1265" spans="1:5" ht="14.4" x14ac:dyDescent="0.3">
      <c r="A1265" s="17" t="s">
        <v>6674</v>
      </c>
      <c r="B1265" s="1" t="s">
        <v>28</v>
      </c>
      <c r="C1265" s="1" t="s">
        <v>38</v>
      </c>
      <c r="D1265" s="1" t="s">
        <v>3434</v>
      </c>
      <c r="E1265" s="1">
        <v>12000000</v>
      </c>
    </row>
    <row r="1266" spans="1:5" ht="14.4" x14ac:dyDescent="0.3">
      <c r="A1266" s="17" t="s">
        <v>6675</v>
      </c>
      <c r="B1266" s="1" t="s">
        <v>45</v>
      </c>
      <c r="C1266" s="1" t="s">
        <v>2764</v>
      </c>
      <c r="D1266" s="1" t="s">
        <v>3435</v>
      </c>
      <c r="E1266" s="1">
        <v>9500000</v>
      </c>
    </row>
    <row r="1267" spans="1:5" ht="14.4" x14ac:dyDescent="0.3">
      <c r="A1267" s="17" t="s">
        <v>6676</v>
      </c>
      <c r="B1267" s="1" t="s">
        <v>2545</v>
      </c>
      <c r="C1267" s="1" t="s">
        <v>2856</v>
      </c>
      <c r="D1267" s="1" t="s">
        <v>367</v>
      </c>
      <c r="E1267" s="1">
        <v>22000000</v>
      </c>
    </row>
    <row r="1268" spans="1:5" ht="14.4" x14ac:dyDescent="0.3">
      <c r="A1268" s="17" t="s">
        <v>6677</v>
      </c>
      <c r="B1268" s="1" t="s">
        <v>86</v>
      </c>
      <c r="C1268" s="1" t="s">
        <v>2507</v>
      </c>
      <c r="D1268" s="1" t="s">
        <v>332</v>
      </c>
      <c r="E1268" s="1">
        <v>24400000</v>
      </c>
    </row>
    <row r="1269" spans="1:5" ht="14.4" x14ac:dyDescent="0.3">
      <c r="A1269" s="17" t="s">
        <v>6678</v>
      </c>
      <c r="B1269" s="1" t="s">
        <v>2545</v>
      </c>
      <c r="C1269" s="1" t="s">
        <v>2856</v>
      </c>
      <c r="D1269" s="1" t="s">
        <v>367</v>
      </c>
      <c r="E1269" s="1">
        <v>21700000</v>
      </c>
    </row>
    <row r="1270" spans="1:5" ht="14.4" x14ac:dyDescent="0.3">
      <c r="A1270" s="17" t="s">
        <v>6679</v>
      </c>
      <c r="B1270" s="1" t="s">
        <v>214</v>
      </c>
      <c r="C1270" s="1" t="s">
        <v>3360</v>
      </c>
      <c r="D1270" s="1" t="s">
        <v>3436</v>
      </c>
      <c r="E1270" s="1">
        <v>14400000</v>
      </c>
    </row>
    <row r="1271" spans="1:5" ht="14.4" x14ac:dyDescent="0.3">
      <c r="A1271" s="17" t="s">
        <v>6680</v>
      </c>
      <c r="B1271" s="1" t="s">
        <v>207</v>
      </c>
      <c r="C1271" s="1" t="s">
        <v>3176</v>
      </c>
      <c r="D1271" s="1" t="s">
        <v>3437</v>
      </c>
      <c r="E1271" s="1">
        <v>18200000</v>
      </c>
    </row>
    <row r="1272" spans="1:5" ht="14.4" x14ac:dyDescent="0.3">
      <c r="A1272" s="17" t="s">
        <v>6681</v>
      </c>
      <c r="B1272" s="1" t="s">
        <v>2545</v>
      </c>
      <c r="C1272" s="1" t="s">
        <v>2856</v>
      </c>
      <c r="D1272" s="1" t="s">
        <v>367</v>
      </c>
      <c r="E1272" s="1">
        <v>21700000</v>
      </c>
    </row>
    <row r="1273" spans="1:5" ht="14.4" x14ac:dyDescent="0.3">
      <c r="A1273" s="17" t="s">
        <v>6682</v>
      </c>
      <c r="B1273" s="1" t="s">
        <v>311</v>
      </c>
      <c r="C1273" s="1" t="s">
        <v>3438</v>
      </c>
      <c r="D1273" s="1" t="s">
        <v>3439</v>
      </c>
      <c r="E1273" s="1">
        <v>7350000</v>
      </c>
    </row>
    <row r="1274" spans="1:5" ht="14.4" x14ac:dyDescent="0.3">
      <c r="A1274" s="17" t="s">
        <v>6683</v>
      </c>
      <c r="B1274" s="1" t="s">
        <v>147</v>
      </c>
      <c r="C1274" s="1" t="s">
        <v>2528</v>
      </c>
      <c r="D1274" s="1" t="s">
        <v>3440</v>
      </c>
      <c r="E1274" s="1">
        <v>18500000</v>
      </c>
    </row>
    <row r="1275" spans="1:5" ht="14.4" x14ac:dyDescent="0.3">
      <c r="A1275" s="17" t="s">
        <v>6684</v>
      </c>
      <c r="B1275" s="1" t="s">
        <v>2665</v>
      </c>
      <c r="C1275" s="1" t="s">
        <v>3441</v>
      </c>
      <c r="D1275" s="1" t="s">
        <v>3442</v>
      </c>
      <c r="E1275" s="1">
        <v>29700000</v>
      </c>
    </row>
    <row r="1276" spans="1:5" ht="14.4" x14ac:dyDescent="0.3">
      <c r="A1276" s="17" t="s">
        <v>6685</v>
      </c>
      <c r="B1276" s="1" t="s">
        <v>28</v>
      </c>
      <c r="C1276" s="1" t="s">
        <v>2490</v>
      </c>
      <c r="D1276" s="1" t="s">
        <v>3443</v>
      </c>
      <c r="E1276" s="1">
        <v>13700000</v>
      </c>
    </row>
    <row r="1277" spans="1:5" ht="14.4" x14ac:dyDescent="0.3">
      <c r="A1277" s="17" t="s">
        <v>6686</v>
      </c>
      <c r="B1277" s="1" t="s">
        <v>237</v>
      </c>
      <c r="C1277" s="1" t="s">
        <v>65</v>
      </c>
      <c r="D1277" s="1" t="s">
        <v>3444</v>
      </c>
      <c r="E1277" s="1">
        <v>11300000</v>
      </c>
    </row>
    <row r="1278" spans="1:5" ht="14.4" x14ac:dyDescent="0.3">
      <c r="A1278" s="17" t="s">
        <v>6687</v>
      </c>
      <c r="B1278" s="1" t="s">
        <v>2498</v>
      </c>
      <c r="C1278" s="1" t="s">
        <v>190</v>
      </c>
      <c r="D1278" s="1" t="s">
        <v>192</v>
      </c>
      <c r="E1278" s="1">
        <v>21700000</v>
      </c>
    </row>
    <row r="1279" spans="1:5" ht="14.4" x14ac:dyDescent="0.3">
      <c r="A1279" s="17" t="s">
        <v>6688</v>
      </c>
      <c r="B1279" s="1" t="s">
        <v>220</v>
      </c>
      <c r="C1279" s="1" t="s">
        <v>2569</v>
      </c>
      <c r="D1279" s="1" t="s">
        <v>398</v>
      </c>
      <c r="E1279" s="1">
        <v>10900000</v>
      </c>
    </row>
    <row r="1280" spans="1:5" ht="14.4" x14ac:dyDescent="0.3">
      <c r="A1280" s="17" t="s">
        <v>6689</v>
      </c>
      <c r="B1280" s="1" t="s">
        <v>207</v>
      </c>
      <c r="C1280" s="1" t="s">
        <v>3445</v>
      </c>
      <c r="D1280" s="1" t="s">
        <v>3446</v>
      </c>
      <c r="E1280" s="1">
        <v>13700000</v>
      </c>
    </row>
    <row r="1281" spans="1:5" ht="14.4" x14ac:dyDescent="0.3">
      <c r="A1281" s="17" t="s">
        <v>6690</v>
      </c>
      <c r="B1281" s="1" t="s">
        <v>2498</v>
      </c>
      <c r="C1281" s="1" t="s">
        <v>3136</v>
      </c>
      <c r="D1281" s="1" t="s">
        <v>371</v>
      </c>
      <c r="E1281" s="1">
        <v>15100000</v>
      </c>
    </row>
    <row r="1282" spans="1:5" ht="14.4" x14ac:dyDescent="0.3">
      <c r="A1282" s="17" t="s">
        <v>6691</v>
      </c>
      <c r="B1282" s="1" t="s">
        <v>241</v>
      </c>
      <c r="C1282" s="1" t="s">
        <v>2485</v>
      </c>
      <c r="D1282" s="1" t="s">
        <v>408</v>
      </c>
      <c r="E1282" s="1">
        <v>14300000</v>
      </c>
    </row>
    <row r="1283" spans="1:5" ht="14.4" x14ac:dyDescent="0.3">
      <c r="A1283" s="17" t="s">
        <v>6692</v>
      </c>
      <c r="B1283" s="1" t="s">
        <v>214</v>
      </c>
      <c r="C1283" s="1" t="s">
        <v>2567</v>
      </c>
      <c r="D1283" s="1" t="s">
        <v>3447</v>
      </c>
      <c r="E1283" s="1">
        <v>14100000</v>
      </c>
    </row>
    <row r="1284" spans="1:5" ht="14.4" x14ac:dyDescent="0.3">
      <c r="A1284" s="17" t="s">
        <v>6693</v>
      </c>
      <c r="B1284" s="1" t="s">
        <v>2521</v>
      </c>
      <c r="C1284" s="1" t="s">
        <v>2522</v>
      </c>
      <c r="D1284" s="1" t="s">
        <v>362</v>
      </c>
      <c r="E1284" s="1">
        <v>22800000</v>
      </c>
    </row>
    <row r="1285" spans="1:5" ht="14.4" x14ac:dyDescent="0.3">
      <c r="A1285" s="17" t="s">
        <v>6694</v>
      </c>
      <c r="B1285" s="1" t="s">
        <v>207</v>
      </c>
      <c r="C1285" s="1" t="s">
        <v>2840</v>
      </c>
      <c r="D1285" s="1" t="s">
        <v>3448</v>
      </c>
      <c r="E1285" s="1">
        <v>16000000</v>
      </c>
    </row>
    <row r="1286" spans="1:5" ht="14.4" x14ac:dyDescent="0.3">
      <c r="A1286" s="17" t="s">
        <v>6695</v>
      </c>
      <c r="B1286" s="1" t="s">
        <v>241</v>
      </c>
      <c r="C1286" s="1">
        <v>2008</v>
      </c>
      <c r="D1286" s="1" t="s">
        <v>571</v>
      </c>
      <c r="E1286" s="1">
        <v>17300000</v>
      </c>
    </row>
    <row r="1287" spans="1:5" ht="14.4" x14ac:dyDescent="0.3">
      <c r="A1287" s="17" t="s">
        <v>6696</v>
      </c>
      <c r="B1287" s="1" t="s">
        <v>45</v>
      </c>
      <c r="C1287" s="1" t="s">
        <v>2822</v>
      </c>
      <c r="D1287" s="1" t="s">
        <v>3449</v>
      </c>
      <c r="E1287" s="1">
        <v>6470000</v>
      </c>
    </row>
    <row r="1288" spans="1:5" ht="14.4" x14ac:dyDescent="0.3">
      <c r="A1288" s="17" t="s">
        <v>6697</v>
      </c>
      <c r="B1288" s="1" t="s">
        <v>220</v>
      </c>
      <c r="C1288" s="1" t="s">
        <v>2729</v>
      </c>
      <c r="D1288" s="1" t="s">
        <v>3450</v>
      </c>
      <c r="E1288" s="1">
        <v>10400000</v>
      </c>
    </row>
    <row r="1289" spans="1:5" ht="14.4" x14ac:dyDescent="0.3">
      <c r="A1289" s="17" t="s">
        <v>6698</v>
      </c>
      <c r="B1289" s="1" t="s">
        <v>86</v>
      </c>
      <c r="C1289" s="1" t="s">
        <v>122</v>
      </c>
      <c r="D1289" s="1" t="s">
        <v>126</v>
      </c>
      <c r="E1289" s="1">
        <v>33500000</v>
      </c>
    </row>
    <row r="1290" spans="1:5" ht="14.4" x14ac:dyDescent="0.3">
      <c r="A1290" s="17" t="s">
        <v>6699</v>
      </c>
      <c r="B1290" s="1" t="s">
        <v>156</v>
      </c>
      <c r="C1290" s="1" t="s">
        <v>3072</v>
      </c>
      <c r="D1290" s="1" t="s">
        <v>2477</v>
      </c>
      <c r="E1290" s="1">
        <v>11000000</v>
      </c>
    </row>
    <row r="1291" spans="1:5" ht="14.4" x14ac:dyDescent="0.3">
      <c r="A1291" s="17" t="s">
        <v>6700</v>
      </c>
      <c r="B1291" s="1" t="s">
        <v>214</v>
      </c>
      <c r="C1291" s="1" t="s">
        <v>2567</v>
      </c>
      <c r="D1291" s="1" t="s">
        <v>3451</v>
      </c>
      <c r="E1291" s="1">
        <v>20500000</v>
      </c>
    </row>
    <row r="1292" spans="1:5" ht="14.4" x14ac:dyDescent="0.3">
      <c r="A1292" s="17" t="s">
        <v>6701</v>
      </c>
      <c r="B1292" s="1" t="s">
        <v>241</v>
      </c>
      <c r="C1292" s="1" t="s">
        <v>2484</v>
      </c>
      <c r="D1292" s="1" t="s">
        <v>3266</v>
      </c>
      <c r="E1292" s="1">
        <v>13100000</v>
      </c>
    </row>
    <row r="1293" spans="1:5" ht="14.4" x14ac:dyDescent="0.3">
      <c r="A1293" s="17" t="s">
        <v>6702</v>
      </c>
      <c r="B1293" s="1" t="s">
        <v>173</v>
      </c>
      <c r="C1293" s="1">
        <v>7</v>
      </c>
      <c r="D1293" s="1" t="s">
        <v>177</v>
      </c>
      <c r="E1293" s="1">
        <v>18400000</v>
      </c>
    </row>
    <row r="1294" spans="1:5" ht="14.4" x14ac:dyDescent="0.3">
      <c r="A1294" s="17" t="s">
        <v>6703</v>
      </c>
      <c r="B1294" s="1" t="s">
        <v>241</v>
      </c>
      <c r="C1294" s="1" t="s">
        <v>2487</v>
      </c>
      <c r="D1294" s="1" t="s">
        <v>892</v>
      </c>
      <c r="E1294" s="1">
        <v>20400000</v>
      </c>
    </row>
    <row r="1295" spans="1:5" ht="14.4" x14ac:dyDescent="0.3">
      <c r="A1295" s="17" t="s">
        <v>6704</v>
      </c>
      <c r="B1295" s="1" t="s">
        <v>2498</v>
      </c>
      <c r="C1295" s="1" t="s">
        <v>2499</v>
      </c>
      <c r="D1295" s="1" t="s">
        <v>3452</v>
      </c>
      <c r="E1295" s="1">
        <v>7750000</v>
      </c>
    </row>
    <row r="1296" spans="1:5" ht="14.4" x14ac:dyDescent="0.3">
      <c r="A1296" s="17" t="s">
        <v>6705</v>
      </c>
      <c r="B1296" s="1" t="s">
        <v>86</v>
      </c>
      <c r="C1296" s="1" t="s">
        <v>122</v>
      </c>
      <c r="D1296" s="1" t="s">
        <v>3425</v>
      </c>
      <c r="E1296" s="1">
        <v>26000000</v>
      </c>
    </row>
    <row r="1297" spans="1:5" ht="14.4" x14ac:dyDescent="0.3">
      <c r="A1297" s="17" t="s">
        <v>6706</v>
      </c>
      <c r="B1297" s="1" t="s">
        <v>2526</v>
      </c>
      <c r="C1297" s="1" t="s">
        <v>3329</v>
      </c>
      <c r="D1297" s="1" t="s">
        <v>3453</v>
      </c>
      <c r="E1297" s="1">
        <v>11900000</v>
      </c>
    </row>
    <row r="1298" spans="1:5" ht="14.4" x14ac:dyDescent="0.3">
      <c r="A1298" s="17" t="s">
        <v>6707</v>
      </c>
      <c r="B1298" s="1" t="s">
        <v>220</v>
      </c>
      <c r="C1298" s="1" t="s">
        <v>221</v>
      </c>
      <c r="D1298" s="1" t="s">
        <v>222</v>
      </c>
      <c r="E1298" s="1">
        <v>8700000</v>
      </c>
    </row>
    <row r="1299" spans="1:5" ht="14.4" x14ac:dyDescent="0.3">
      <c r="A1299" s="17" t="s">
        <v>6708</v>
      </c>
      <c r="B1299" s="1" t="s">
        <v>207</v>
      </c>
      <c r="C1299" s="1" t="s">
        <v>3454</v>
      </c>
      <c r="D1299" s="1" t="s">
        <v>3455</v>
      </c>
      <c r="E1299" s="1">
        <v>23300000</v>
      </c>
    </row>
    <row r="1300" spans="1:5" ht="14.4" x14ac:dyDescent="0.3">
      <c r="A1300" s="17" t="s">
        <v>6709</v>
      </c>
      <c r="B1300" s="1" t="s">
        <v>311</v>
      </c>
      <c r="C1300" s="1" t="s">
        <v>3456</v>
      </c>
      <c r="D1300" s="1" t="s">
        <v>3457</v>
      </c>
      <c r="E1300" s="1">
        <v>12600000</v>
      </c>
    </row>
    <row r="1301" spans="1:5" ht="14.4" x14ac:dyDescent="0.3">
      <c r="A1301" s="17" t="s">
        <v>6710</v>
      </c>
      <c r="B1301" s="1" t="s">
        <v>241</v>
      </c>
      <c r="C1301" s="1" t="s">
        <v>2487</v>
      </c>
      <c r="D1301" s="1" t="s">
        <v>261</v>
      </c>
      <c r="E1301" s="1">
        <v>17700000</v>
      </c>
    </row>
    <row r="1302" spans="1:5" ht="14.4" x14ac:dyDescent="0.3">
      <c r="A1302" s="17" t="s">
        <v>6711</v>
      </c>
      <c r="B1302" s="1" t="s">
        <v>2498</v>
      </c>
      <c r="C1302" s="1" t="s">
        <v>3206</v>
      </c>
      <c r="D1302" s="1" t="s">
        <v>3458</v>
      </c>
      <c r="E1302" s="1">
        <v>9600000</v>
      </c>
    </row>
    <row r="1303" spans="1:5" ht="14.4" x14ac:dyDescent="0.3">
      <c r="A1303" s="17" t="s">
        <v>6712</v>
      </c>
      <c r="B1303" s="1" t="s">
        <v>311</v>
      </c>
      <c r="C1303" s="1" t="s">
        <v>3456</v>
      </c>
      <c r="D1303" s="1" t="s">
        <v>3457</v>
      </c>
      <c r="E1303" s="1">
        <v>12000000</v>
      </c>
    </row>
    <row r="1304" spans="1:5" ht="14.4" x14ac:dyDescent="0.3">
      <c r="A1304" s="17" t="s">
        <v>6713</v>
      </c>
      <c r="B1304" s="1" t="s">
        <v>300</v>
      </c>
      <c r="C1304" s="1" t="s">
        <v>301</v>
      </c>
      <c r="D1304" s="1" t="s">
        <v>302</v>
      </c>
      <c r="E1304" s="1">
        <v>12200000</v>
      </c>
    </row>
    <row r="1305" spans="1:5" ht="14.4" x14ac:dyDescent="0.3">
      <c r="A1305" s="17" t="s">
        <v>6714</v>
      </c>
      <c r="B1305" s="1" t="s">
        <v>3308</v>
      </c>
      <c r="C1305" s="1" t="s">
        <v>3459</v>
      </c>
      <c r="D1305" s="1" t="s">
        <v>365</v>
      </c>
      <c r="E1305" s="1">
        <v>13200000</v>
      </c>
    </row>
    <row r="1306" spans="1:5" ht="14.4" x14ac:dyDescent="0.3">
      <c r="A1306" s="17" t="s">
        <v>6715</v>
      </c>
      <c r="B1306" s="1" t="s">
        <v>180</v>
      </c>
      <c r="C1306" s="1" t="s">
        <v>2673</v>
      </c>
      <c r="D1306" s="1" t="s">
        <v>3460</v>
      </c>
      <c r="E1306" s="1">
        <v>16400000</v>
      </c>
    </row>
    <row r="1307" spans="1:5" ht="14.4" x14ac:dyDescent="0.3">
      <c r="A1307" s="17" t="s">
        <v>6716</v>
      </c>
      <c r="B1307" s="1" t="s">
        <v>86</v>
      </c>
      <c r="C1307" s="1" t="s">
        <v>90</v>
      </c>
      <c r="D1307" s="1" t="s">
        <v>92</v>
      </c>
      <c r="E1307" s="1">
        <v>8800000</v>
      </c>
    </row>
    <row r="1308" spans="1:5" ht="14.4" x14ac:dyDescent="0.3">
      <c r="A1308" s="17" t="s">
        <v>6717</v>
      </c>
      <c r="B1308" s="1" t="s">
        <v>167</v>
      </c>
      <c r="C1308" s="1" t="s">
        <v>3395</v>
      </c>
      <c r="D1308" s="1" t="s">
        <v>3461</v>
      </c>
      <c r="E1308" s="1">
        <v>6780000</v>
      </c>
    </row>
    <row r="1309" spans="1:5" ht="14.4" x14ac:dyDescent="0.3">
      <c r="A1309" s="17" t="s">
        <v>6718</v>
      </c>
      <c r="B1309" s="1" t="s">
        <v>180</v>
      </c>
      <c r="C1309" s="1" t="s">
        <v>2673</v>
      </c>
      <c r="D1309" s="1" t="s">
        <v>3460</v>
      </c>
      <c r="E1309" s="1">
        <v>16900000</v>
      </c>
    </row>
    <row r="1310" spans="1:5" ht="14.4" x14ac:dyDescent="0.3">
      <c r="A1310" s="17" t="s">
        <v>6719</v>
      </c>
      <c r="B1310" s="1" t="s">
        <v>86</v>
      </c>
      <c r="C1310" s="1" t="s">
        <v>134</v>
      </c>
      <c r="D1310" s="1" t="s">
        <v>3462</v>
      </c>
      <c r="E1310" s="1">
        <v>14700000</v>
      </c>
    </row>
    <row r="1311" spans="1:5" ht="14.4" x14ac:dyDescent="0.3">
      <c r="A1311" s="17" t="s">
        <v>6720</v>
      </c>
      <c r="B1311" s="1" t="s">
        <v>86</v>
      </c>
      <c r="C1311" s="1" t="s">
        <v>2793</v>
      </c>
      <c r="D1311" s="1" t="s">
        <v>3462</v>
      </c>
      <c r="E1311" s="1">
        <v>15300000</v>
      </c>
    </row>
    <row r="1312" spans="1:5" ht="14.4" x14ac:dyDescent="0.3">
      <c r="A1312" s="17" t="s">
        <v>6721</v>
      </c>
      <c r="B1312" s="1" t="s">
        <v>288</v>
      </c>
      <c r="C1312" s="1" t="s">
        <v>3463</v>
      </c>
      <c r="D1312" s="1" t="s">
        <v>3464</v>
      </c>
      <c r="E1312" s="1">
        <v>8900000</v>
      </c>
    </row>
    <row r="1313" spans="1:5" ht="14.4" x14ac:dyDescent="0.3">
      <c r="A1313" s="17" t="s">
        <v>6722</v>
      </c>
      <c r="B1313" s="1" t="s">
        <v>60</v>
      </c>
      <c r="C1313" s="1" t="s">
        <v>3465</v>
      </c>
      <c r="D1313" s="1" t="s">
        <v>2477</v>
      </c>
      <c r="E1313" s="1">
        <v>12900000</v>
      </c>
    </row>
    <row r="1314" spans="1:5" ht="14.4" x14ac:dyDescent="0.3">
      <c r="A1314" s="17" t="s">
        <v>6723</v>
      </c>
      <c r="B1314" s="1" t="s">
        <v>156</v>
      </c>
      <c r="C1314" s="1" t="s">
        <v>3466</v>
      </c>
      <c r="D1314" s="1" t="s">
        <v>3467</v>
      </c>
      <c r="E1314" s="1">
        <v>12500000</v>
      </c>
    </row>
    <row r="1315" spans="1:5" ht="14.4" x14ac:dyDescent="0.3">
      <c r="A1315" s="17" t="s">
        <v>6724</v>
      </c>
      <c r="B1315" s="1" t="s">
        <v>86</v>
      </c>
      <c r="C1315" s="1" t="s">
        <v>2793</v>
      </c>
      <c r="D1315" s="1" t="s">
        <v>3462</v>
      </c>
      <c r="E1315" s="1">
        <v>16900000</v>
      </c>
    </row>
    <row r="1316" spans="1:5" ht="14.4" x14ac:dyDescent="0.3">
      <c r="A1316" s="17" t="s">
        <v>6725</v>
      </c>
      <c r="B1316" s="1" t="s">
        <v>147</v>
      </c>
      <c r="C1316" s="1" t="s">
        <v>148</v>
      </c>
      <c r="D1316" s="1" t="s">
        <v>149</v>
      </c>
      <c r="E1316" s="1">
        <v>8500000</v>
      </c>
    </row>
    <row r="1317" spans="1:5" ht="14.4" x14ac:dyDescent="0.3">
      <c r="A1317" s="17" t="s">
        <v>6726</v>
      </c>
      <c r="B1317" s="1" t="s">
        <v>2498</v>
      </c>
      <c r="C1317" s="1" t="s">
        <v>2523</v>
      </c>
      <c r="D1317" s="1" t="s">
        <v>373</v>
      </c>
      <c r="E1317" s="1">
        <v>8500000</v>
      </c>
    </row>
    <row r="1318" spans="1:5" ht="14.4" x14ac:dyDescent="0.3">
      <c r="A1318" s="17" t="s">
        <v>6727</v>
      </c>
      <c r="B1318" s="1" t="s">
        <v>156</v>
      </c>
      <c r="C1318" s="1" t="s">
        <v>2707</v>
      </c>
      <c r="D1318" s="1" t="s">
        <v>2477</v>
      </c>
      <c r="E1318" s="1">
        <v>7130000</v>
      </c>
    </row>
    <row r="1319" spans="1:5" ht="14.4" x14ac:dyDescent="0.3">
      <c r="A1319" s="17" t="s">
        <v>6728</v>
      </c>
      <c r="B1319" s="1" t="s">
        <v>28</v>
      </c>
      <c r="C1319" s="1" t="s">
        <v>38</v>
      </c>
      <c r="D1319" s="1" t="s">
        <v>3468</v>
      </c>
      <c r="E1319" s="1">
        <v>12900000</v>
      </c>
    </row>
    <row r="1320" spans="1:5" ht="14.4" x14ac:dyDescent="0.3">
      <c r="A1320" s="17" t="s">
        <v>6729</v>
      </c>
      <c r="B1320" s="1" t="s">
        <v>28</v>
      </c>
      <c r="C1320" s="1" t="s">
        <v>2496</v>
      </c>
      <c r="D1320" s="1" t="s">
        <v>3469</v>
      </c>
      <c r="E1320" s="1">
        <v>5340000</v>
      </c>
    </row>
    <row r="1321" spans="1:5" ht="14.4" x14ac:dyDescent="0.3">
      <c r="A1321" s="17" t="s">
        <v>6730</v>
      </c>
      <c r="B1321" s="1" t="s">
        <v>45</v>
      </c>
      <c r="C1321" s="1" t="s">
        <v>2480</v>
      </c>
      <c r="D1321" s="1" t="s">
        <v>3470</v>
      </c>
      <c r="E1321" s="1">
        <v>10500000</v>
      </c>
    </row>
    <row r="1322" spans="1:5" ht="14.4" x14ac:dyDescent="0.3">
      <c r="A1322" s="17" t="s">
        <v>6731</v>
      </c>
      <c r="B1322" s="1" t="s">
        <v>180</v>
      </c>
      <c r="C1322" s="1" t="s">
        <v>183</v>
      </c>
      <c r="D1322" s="1" t="s">
        <v>3471</v>
      </c>
      <c r="E1322" s="1">
        <v>17500000</v>
      </c>
    </row>
    <row r="1323" spans="1:5" ht="14.4" x14ac:dyDescent="0.3">
      <c r="A1323" s="17" t="s">
        <v>6732</v>
      </c>
      <c r="B1323" s="1" t="s">
        <v>86</v>
      </c>
      <c r="C1323" s="1" t="s">
        <v>106</v>
      </c>
      <c r="D1323" s="1" t="s">
        <v>3472</v>
      </c>
      <c r="E1323" s="1">
        <v>34100000</v>
      </c>
    </row>
    <row r="1324" spans="1:5" ht="14.4" x14ac:dyDescent="0.3">
      <c r="A1324" s="17" t="s">
        <v>6733</v>
      </c>
      <c r="B1324" s="1" t="s">
        <v>2498</v>
      </c>
      <c r="C1324" s="1" t="s">
        <v>188</v>
      </c>
      <c r="D1324" s="1" t="s">
        <v>3473</v>
      </c>
      <c r="E1324" s="1">
        <v>7500000</v>
      </c>
    </row>
    <row r="1325" spans="1:5" ht="14.4" x14ac:dyDescent="0.3">
      <c r="A1325" s="17" t="s">
        <v>6734</v>
      </c>
      <c r="B1325" s="1" t="s">
        <v>220</v>
      </c>
      <c r="C1325" s="1" t="s">
        <v>2891</v>
      </c>
      <c r="D1325" s="1" t="s">
        <v>3474</v>
      </c>
      <c r="E1325" s="1">
        <v>36500000</v>
      </c>
    </row>
    <row r="1326" spans="1:5" ht="14.4" x14ac:dyDescent="0.3">
      <c r="A1326" s="17" t="s">
        <v>6735</v>
      </c>
      <c r="B1326" s="1" t="s">
        <v>86</v>
      </c>
      <c r="C1326" s="1" t="s">
        <v>2476</v>
      </c>
      <c r="D1326" s="1" t="s">
        <v>121</v>
      </c>
      <c r="E1326" s="1">
        <v>37700000</v>
      </c>
    </row>
    <row r="1327" spans="1:5" ht="14.4" x14ac:dyDescent="0.3">
      <c r="A1327" s="17" t="s">
        <v>6736</v>
      </c>
      <c r="B1327" s="1" t="s">
        <v>28</v>
      </c>
      <c r="C1327" s="1" t="s">
        <v>35</v>
      </c>
      <c r="D1327" s="1" t="s">
        <v>3475</v>
      </c>
      <c r="E1327" s="1">
        <v>11300000</v>
      </c>
    </row>
    <row r="1328" spans="1:5" ht="14.4" x14ac:dyDescent="0.3">
      <c r="A1328" s="17" t="s">
        <v>6737</v>
      </c>
      <c r="B1328" s="1" t="s">
        <v>278</v>
      </c>
      <c r="C1328" s="1">
        <v>700</v>
      </c>
      <c r="D1328" s="1" t="s">
        <v>3476</v>
      </c>
      <c r="E1328" s="1">
        <v>13800000</v>
      </c>
    </row>
    <row r="1329" spans="1:5" ht="14.4" x14ac:dyDescent="0.3">
      <c r="A1329" s="17" t="s">
        <v>6738</v>
      </c>
      <c r="B1329" s="1" t="s">
        <v>2494</v>
      </c>
      <c r="C1329" s="1" t="s">
        <v>3477</v>
      </c>
      <c r="D1329" s="1" t="s">
        <v>3478</v>
      </c>
      <c r="E1329" s="1">
        <v>7710000</v>
      </c>
    </row>
    <row r="1330" spans="1:5" ht="14.4" x14ac:dyDescent="0.3">
      <c r="A1330" s="17" t="s">
        <v>6739</v>
      </c>
      <c r="B1330" s="1" t="s">
        <v>28</v>
      </c>
      <c r="C1330" s="1" t="s">
        <v>2575</v>
      </c>
      <c r="D1330" s="1" t="s">
        <v>3479</v>
      </c>
      <c r="E1330" s="1">
        <v>8700000</v>
      </c>
    </row>
    <row r="1331" spans="1:5" ht="14.4" x14ac:dyDescent="0.3">
      <c r="A1331" s="17" t="s">
        <v>6740</v>
      </c>
      <c r="B1331" s="1" t="s">
        <v>3021</v>
      </c>
      <c r="C1331" s="1" t="s">
        <v>3226</v>
      </c>
      <c r="D1331" s="1" t="s">
        <v>3227</v>
      </c>
      <c r="E1331" s="1">
        <v>77000000</v>
      </c>
    </row>
    <row r="1332" spans="1:5" ht="14.4" x14ac:dyDescent="0.3">
      <c r="A1332" s="17" t="s">
        <v>6741</v>
      </c>
      <c r="B1332" s="1" t="s">
        <v>2498</v>
      </c>
      <c r="C1332" s="1" t="s">
        <v>199</v>
      </c>
      <c r="D1332" s="1" t="s">
        <v>203</v>
      </c>
      <c r="E1332" s="1">
        <v>18300000</v>
      </c>
    </row>
    <row r="1333" spans="1:5" ht="14.4" x14ac:dyDescent="0.3">
      <c r="A1333" s="17" t="s">
        <v>6742</v>
      </c>
      <c r="B1333" s="1" t="s">
        <v>28</v>
      </c>
      <c r="C1333" s="1" t="s">
        <v>2547</v>
      </c>
      <c r="D1333" s="1" t="s">
        <v>3480</v>
      </c>
      <c r="E1333" s="1">
        <v>8300000</v>
      </c>
    </row>
    <row r="1334" spans="1:5" ht="14.4" x14ac:dyDescent="0.3">
      <c r="A1334" s="17" t="s">
        <v>6743</v>
      </c>
      <c r="B1334" s="1" t="s">
        <v>241</v>
      </c>
      <c r="C1334" s="1">
        <v>308</v>
      </c>
      <c r="D1334" s="1" t="s">
        <v>3481</v>
      </c>
      <c r="E1334" s="1">
        <v>11000000</v>
      </c>
    </row>
    <row r="1335" spans="1:5" ht="14.4" x14ac:dyDescent="0.3">
      <c r="A1335" s="17" t="s">
        <v>6744</v>
      </c>
      <c r="B1335" s="1" t="s">
        <v>306</v>
      </c>
      <c r="C1335" s="1" t="s">
        <v>2564</v>
      </c>
      <c r="D1335" s="1" t="s">
        <v>3482</v>
      </c>
      <c r="E1335" s="1">
        <v>12900000</v>
      </c>
    </row>
    <row r="1336" spans="1:5" ht="14.4" x14ac:dyDescent="0.3">
      <c r="A1336" s="17" t="s">
        <v>6745</v>
      </c>
      <c r="B1336" s="1" t="s">
        <v>288</v>
      </c>
      <c r="C1336" s="1" t="s">
        <v>2565</v>
      </c>
      <c r="D1336" s="1" t="s">
        <v>3483</v>
      </c>
      <c r="E1336" s="1">
        <v>8300000</v>
      </c>
    </row>
    <row r="1337" spans="1:5" ht="14.4" x14ac:dyDescent="0.3">
      <c r="A1337" s="17" t="s">
        <v>6746</v>
      </c>
      <c r="B1337" s="1" t="s">
        <v>86</v>
      </c>
      <c r="C1337" s="1" t="s">
        <v>2488</v>
      </c>
      <c r="D1337" s="1" t="s">
        <v>2489</v>
      </c>
      <c r="E1337" s="1">
        <v>45400000</v>
      </c>
    </row>
    <row r="1338" spans="1:5" ht="14.4" x14ac:dyDescent="0.3">
      <c r="A1338" s="17" t="s">
        <v>6747</v>
      </c>
      <c r="B1338" s="1" t="s">
        <v>317</v>
      </c>
      <c r="C1338" s="1" t="s">
        <v>318</v>
      </c>
      <c r="D1338" s="1" t="s">
        <v>319</v>
      </c>
      <c r="E1338" s="1">
        <v>14100000</v>
      </c>
    </row>
    <row r="1339" spans="1:5" ht="14.4" x14ac:dyDescent="0.3">
      <c r="A1339" s="17" t="s">
        <v>6748</v>
      </c>
      <c r="B1339" s="1" t="s">
        <v>86</v>
      </c>
      <c r="C1339" s="1" t="s">
        <v>2793</v>
      </c>
      <c r="D1339" s="1" t="s">
        <v>139</v>
      </c>
      <c r="E1339" s="1">
        <v>18400000</v>
      </c>
    </row>
    <row r="1340" spans="1:5" ht="14.4" x14ac:dyDescent="0.3">
      <c r="A1340" s="17" t="s">
        <v>6749</v>
      </c>
      <c r="B1340" s="1" t="s">
        <v>300</v>
      </c>
      <c r="C1340" s="1" t="s">
        <v>2908</v>
      </c>
      <c r="D1340" s="1" t="s">
        <v>3484</v>
      </c>
      <c r="E1340" s="1">
        <v>9400000</v>
      </c>
    </row>
    <row r="1341" spans="1:5" ht="14.4" x14ac:dyDescent="0.3">
      <c r="A1341" s="17" t="s">
        <v>6750</v>
      </c>
      <c r="B1341" s="1" t="s">
        <v>2549</v>
      </c>
      <c r="C1341" s="1" t="s">
        <v>3485</v>
      </c>
      <c r="D1341" s="1" t="s">
        <v>351</v>
      </c>
      <c r="E1341" s="1">
        <v>13600000</v>
      </c>
    </row>
    <row r="1342" spans="1:5" ht="14.4" x14ac:dyDescent="0.3">
      <c r="A1342" s="17" t="s">
        <v>6751</v>
      </c>
      <c r="B1342" s="1" t="s">
        <v>86</v>
      </c>
      <c r="C1342" s="1" t="s">
        <v>3486</v>
      </c>
      <c r="D1342" s="1" t="s">
        <v>3487</v>
      </c>
      <c r="E1342" s="1">
        <v>64000000</v>
      </c>
    </row>
    <row r="1343" spans="1:5" ht="14.4" x14ac:dyDescent="0.3">
      <c r="A1343" s="17" t="s">
        <v>6752</v>
      </c>
      <c r="B1343" s="1" t="s">
        <v>300</v>
      </c>
      <c r="C1343" s="1" t="s">
        <v>303</v>
      </c>
      <c r="D1343" s="1" t="s">
        <v>366</v>
      </c>
      <c r="E1343" s="1">
        <v>12400000</v>
      </c>
    </row>
    <row r="1344" spans="1:5" ht="14.4" x14ac:dyDescent="0.3">
      <c r="A1344" s="17" t="s">
        <v>6753</v>
      </c>
      <c r="B1344" s="1" t="s">
        <v>241</v>
      </c>
      <c r="C1344" s="1">
        <v>5008</v>
      </c>
      <c r="D1344" s="1" t="s">
        <v>265</v>
      </c>
      <c r="E1344" s="1">
        <v>27400000</v>
      </c>
    </row>
    <row r="1345" spans="1:5" ht="14.4" x14ac:dyDescent="0.3">
      <c r="A1345" s="17" t="s">
        <v>6754</v>
      </c>
      <c r="B1345" s="1" t="s">
        <v>2533</v>
      </c>
      <c r="C1345" s="1" t="s">
        <v>2599</v>
      </c>
      <c r="D1345" s="1" t="s">
        <v>3488</v>
      </c>
      <c r="E1345" s="1">
        <v>8400000</v>
      </c>
    </row>
    <row r="1346" spans="1:5" ht="14.4" x14ac:dyDescent="0.3">
      <c r="A1346" s="17" t="s">
        <v>6755</v>
      </c>
      <c r="B1346" s="1" t="s">
        <v>86</v>
      </c>
      <c r="C1346" s="1" t="s">
        <v>2476</v>
      </c>
      <c r="D1346" s="1" t="s">
        <v>2477</v>
      </c>
      <c r="E1346" s="1">
        <v>36900000</v>
      </c>
    </row>
    <row r="1347" spans="1:5" ht="14.4" x14ac:dyDescent="0.3">
      <c r="A1347" s="17" t="s">
        <v>6756</v>
      </c>
      <c r="B1347" s="1" t="s">
        <v>291</v>
      </c>
      <c r="C1347" s="1" t="s">
        <v>3161</v>
      </c>
      <c r="D1347" s="1" t="s">
        <v>353</v>
      </c>
      <c r="E1347" s="1">
        <v>25600000</v>
      </c>
    </row>
    <row r="1348" spans="1:5" ht="14.4" x14ac:dyDescent="0.3">
      <c r="A1348" s="17" t="s">
        <v>6757</v>
      </c>
      <c r="B1348" s="1" t="s">
        <v>291</v>
      </c>
      <c r="C1348" s="1" t="s">
        <v>3161</v>
      </c>
      <c r="D1348" s="1" t="s">
        <v>353</v>
      </c>
      <c r="E1348" s="1">
        <v>25600000</v>
      </c>
    </row>
    <row r="1349" spans="1:5" ht="14.4" x14ac:dyDescent="0.3">
      <c r="A1349" s="17" t="s">
        <v>6758</v>
      </c>
      <c r="B1349" s="1" t="s">
        <v>86</v>
      </c>
      <c r="C1349" s="1" t="s">
        <v>111</v>
      </c>
      <c r="D1349" s="1" t="s">
        <v>114</v>
      </c>
      <c r="E1349" s="1">
        <v>33300000</v>
      </c>
    </row>
    <row r="1350" spans="1:5" ht="14.4" x14ac:dyDescent="0.3">
      <c r="A1350" s="17" t="s">
        <v>6759</v>
      </c>
      <c r="B1350" s="1" t="s">
        <v>142</v>
      </c>
      <c r="C1350" s="1" t="s">
        <v>2922</v>
      </c>
      <c r="D1350" s="1" t="s">
        <v>3489</v>
      </c>
      <c r="E1350" s="1">
        <v>6230000</v>
      </c>
    </row>
    <row r="1351" spans="1:5" ht="14.4" x14ac:dyDescent="0.3">
      <c r="A1351" s="17" t="s">
        <v>6760</v>
      </c>
      <c r="B1351" s="1" t="s">
        <v>2545</v>
      </c>
      <c r="C1351" s="1" t="s">
        <v>2856</v>
      </c>
      <c r="D1351" s="1" t="s">
        <v>3490</v>
      </c>
      <c r="E1351" s="1">
        <v>30000000</v>
      </c>
    </row>
    <row r="1352" spans="1:5" ht="14.4" x14ac:dyDescent="0.3">
      <c r="A1352" s="17" t="s">
        <v>6761</v>
      </c>
      <c r="B1352" s="1" t="s">
        <v>86</v>
      </c>
      <c r="C1352" s="1" t="s">
        <v>3486</v>
      </c>
      <c r="D1352" s="1" t="s">
        <v>3487</v>
      </c>
      <c r="E1352" s="1">
        <v>64000000</v>
      </c>
    </row>
    <row r="1353" spans="1:5" ht="14.4" x14ac:dyDescent="0.3">
      <c r="A1353" s="17" t="s">
        <v>6762</v>
      </c>
      <c r="B1353" s="1" t="s">
        <v>207</v>
      </c>
      <c r="C1353" s="1" t="s">
        <v>3176</v>
      </c>
      <c r="D1353" s="1" t="s">
        <v>3491</v>
      </c>
      <c r="E1353" s="1">
        <v>16800000</v>
      </c>
    </row>
    <row r="1354" spans="1:5" ht="14.4" x14ac:dyDescent="0.3">
      <c r="A1354" s="17" t="s">
        <v>6763</v>
      </c>
      <c r="B1354" s="1" t="s">
        <v>2498</v>
      </c>
      <c r="C1354" s="1" t="s">
        <v>2563</v>
      </c>
      <c r="D1354" s="1" t="s">
        <v>3492</v>
      </c>
      <c r="E1354" s="1">
        <v>16800000</v>
      </c>
    </row>
    <row r="1355" spans="1:5" ht="14.4" x14ac:dyDescent="0.3">
      <c r="A1355" s="17" t="s">
        <v>6764</v>
      </c>
      <c r="B1355" s="1" t="s">
        <v>86</v>
      </c>
      <c r="C1355" s="1" t="s">
        <v>90</v>
      </c>
      <c r="D1355" s="1" t="s">
        <v>3493</v>
      </c>
      <c r="E1355" s="1">
        <v>6980000</v>
      </c>
    </row>
    <row r="1356" spans="1:5" ht="14.4" x14ac:dyDescent="0.3">
      <c r="A1356" s="17" t="s">
        <v>6765</v>
      </c>
      <c r="B1356" s="1" t="s">
        <v>214</v>
      </c>
      <c r="C1356" s="1" t="s">
        <v>3494</v>
      </c>
      <c r="D1356" s="1" t="s">
        <v>356</v>
      </c>
      <c r="E1356" s="1">
        <v>10900000</v>
      </c>
    </row>
    <row r="1357" spans="1:5" ht="14.4" x14ac:dyDescent="0.3">
      <c r="A1357" s="17" t="s">
        <v>6766</v>
      </c>
      <c r="B1357" s="1" t="s">
        <v>156</v>
      </c>
      <c r="C1357" s="1" t="s">
        <v>3096</v>
      </c>
      <c r="D1357" s="1" t="s">
        <v>359</v>
      </c>
      <c r="E1357" s="1">
        <v>17600000</v>
      </c>
    </row>
    <row r="1358" spans="1:5" ht="14.4" x14ac:dyDescent="0.3">
      <c r="A1358" s="17" t="s">
        <v>6767</v>
      </c>
      <c r="B1358" s="1" t="s">
        <v>156</v>
      </c>
      <c r="C1358" s="1" t="s">
        <v>2707</v>
      </c>
      <c r="D1358" s="1" t="s">
        <v>3495</v>
      </c>
      <c r="E1358" s="1">
        <v>9400000</v>
      </c>
    </row>
    <row r="1359" spans="1:5" ht="14.4" x14ac:dyDescent="0.3">
      <c r="A1359" s="17" t="s">
        <v>6768</v>
      </c>
      <c r="B1359" s="1" t="s">
        <v>28</v>
      </c>
      <c r="C1359" s="1" t="s">
        <v>2496</v>
      </c>
      <c r="D1359" s="1" t="s">
        <v>3496</v>
      </c>
      <c r="E1359" s="1">
        <v>7970000</v>
      </c>
    </row>
    <row r="1360" spans="1:5" ht="14.4" x14ac:dyDescent="0.3">
      <c r="A1360" s="17" t="s">
        <v>6769</v>
      </c>
      <c r="B1360" s="1" t="s">
        <v>2494</v>
      </c>
      <c r="C1360" s="1" t="s">
        <v>3497</v>
      </c>
      <c r="D1360" s="1" t="s">
        <v>3498</v>
      </c>
      <c r="E1360" s="1">
        <v>13000000</v>
      </c>
    </row>
    <row r="1361" spans="1:5" ht="14.4" x14ac:dyDescent="0.3">
      <c r="A1361" s="17" t="s">
        <v>6770</v>
      </c>
      <c r="B1361" s="1" t="s">
        <v>2533</v>
      </c>
      <c r="C1361" s="1" t="s">
        <v>2571</v>
      </c>
      <c r="D1361" s="1" t="s">
        <v>3499</v>
      </c>
      <c r="E1361" s="1">
        <v>7910000</v>
      </c>
    </row>
    <row r="1362" spans="1:5" ht="14.4" x14ac:dyDescent="0.3">
      <c r="A1362" s="17" t="s">
        <v>6771</v>
      </c>
      <c r="B1362" s="1" t="s">
        <v>86</v>
      </c>
      <c r="C1362" s="1" t="s">
        <v>134</v>
      </c>
      <c r="D1362" s="1" t="s">
        <v>334</v>
      </c>
      <c r="E1362" s="1">
        <v>12300000</v>
      </c>
    </row>
    <row r="1363" spans="1:5" ht="14.4" x14ac:dyDescent="0.3">
      <c r="A1363" s="17" t="s">
        <v>6772</v>
      </c>
      <c r="B1363" s="1" t="s">
        <v>3308</v>
      </c>
      <c r="C1363" s="1" t="s">
        <v>3459</v>
      </c>
      <c r="D1363" s="1" t="s">
        <v>365</v>
      </c>
      <c r="E1363" s="1">
        <v>13100000</v>
      </c>
    </row>
    <row r="1364" spans="1:5" ht="14.4" x14ac:dyDescent="0.3">
      <c r="A1364" s="17" t="s">
        <v>6773</v>
      </c>
      <c r="B1364" s="1" t="s">
        <v>2498</v>
      </c>
      <c r="C1364" s="1" t="s">
        <v>193</v>
      </c>
      <c r="D1364" s="1" t="s">
        <v>347</v>
      </c>
      <c r="E1364" s="1">
        <v>13000000</v>
      </c>
    </row>
    <row r="1365" spans="1:5" ht="14.4" x14ac:dyDescent="0.3">
      <c r="A1365" s="17" t="s">
        <v>6774</v>
      </c>
      <c r="B1365" s="1" t="s">
        <v>306</v>
      </c>
      <c r="C1365" s="1" t="s">
        <v>2491</v>
      </c>
      <c r="D1365" s="1" t="s">
        <v>3500</v>
      </c>
      <c r="E1365" s="1">
        <v>14900000</v>
      </c>
    </row>
    <row r="1366" spans="1:5" ht="14.4" x14ac:dyDescent="0.3">
      <c r="A1366" s="17" t="s">
        <v>6775</v>
      </c>
      <c r="B1366" s="1" t="s">
        <v>241</v>
      </c>
      <c r="C1366" s="1" t="s">
        <v>2584</v>
      </c>
      <c r="D1366" s="1" t="s">
        <v>3059</v>
      </c>
      <c r="E1366" s="1">
        <v>16800000</v>
      </c>
    </row>
    <row r="1367" spans="1:5" ht="14.4" x14ac:dyDescent="0.3">
      <c r="A1367" s="17" t="s">
        <v>6776</v>
      </c>
      <c r="B1367" s="1" t="s">
        <v>241</v>
      </c>
      <c r="C1367" s="1" t="s">
        <v>2505</v>
      </c>
      <c r="D1367" s="1" t="s">
        <v>416</v>
      </c>
      <c r="E1367" s="1">
        <v>23600000</v>
      </c>
    </row>
    <row r="1368" spans="1:5" ht="14.4" x14ac:dyDescent="0.3">
      <c r="A1368" s="17" t="s">
        <v>6777</v>
      </c>
      <c r="B1368" s="1" t="s">
        <v>241</v>
      </c>
      <c r="C1368" s="1" t="s">
        <v>2584</v>
      </c>
      <c r="D1368" s="1" t="s">
        <v>2973</v>
      </c>
      <c r="E1368" s="1">
        <v>15900000</v>
      </c>
    </row>
    <row r="1369" spans="1:5" ht="14.4" x14ac:dyDescent="0.3">
      <c r="A1369" s="17" t="s">
        <v>6778</v>
      </c>
      <c r="B1369" s="1" t="s">
        <v>180</v>
      </c>
      <c r="C1369" s="1" t="s">
        <v>181</v>
      </c>
      <c r="D1369" s="1" t="s">
        <v>182</v>
      </c>
      <c r="E1369" s="1">
        <v>24000000</v>
      </c>
    </row>
    <row r="1370" spans="1:5" ht="14.4" x14ac:dyDescent="0.3">
      <c r="A1370" s="17" t="s">
        <v>6779</v>
      </c>
      <c r="B1370" s="1" t="s">
        <v>28</v>
      </c>
      <c r="C1370" s="1" t="s">
        <v>42</v>
      </c>
      <c r="D1370" s="1" t="s">
        <v>3501</v>
      </c>
      <c r="E1370" s="1">
        <v>11100000</v>
      </c>
    </row>
    <row r="1371" spans="1:5" ht="14.4" x14ac:dyDescent="0.3">
      <c r="A1371" s="17" t="s">
        <v>6780</v>
      </c>
      <c r="B1371" s="1" t="s">
        <v>2498</v>
      </c>
      <c r="C1371" s="1" t="s">
        <v>2499</v>
      </c>
      <c r="D1371" s="1" t="s">
        <v>3502</v>
      </c>
      <c r="E1371" s="1">
        <v>8900000</v>
      </c>
    </row>
    <row r="1372" spans="1:5" ht="14.4" x14ac:dyDescent="0.3">
      <c r="A1372" s="17" t="s">
        <v>6781</v>
      </c>
      <c r="B1372" s="1" t="s">
        <v>2955</v>
      </c>
      <c r="C1372" s="1" t="s">
        <v>2956</v>
      </c>
      <c r="D1372" s="1" t="s">
        <v>3503</v>
      </c>
      <c r="E1372" s="1">
        <v>12200000</v>
      </c>
    </row>
    <row r="1373" spans="1:5" ht="14.4" x14ac:dyDescent="0.3">
      <c r="A1373" s="17" t="s">
        <v>6782</v>
      </c>
      <c r="B1373" s="1" t="s">
        <v>173</v>
      </c>
      <c r="C1373" s="1">
        <v>7</v>
      </c>
      <c r="D1373" s="1" t="s">
        <v>178</v>
      </c>
      <c r="E1373" s="1">
        <v>17600000</v>
      </c>
    </row>
    <row r="1374" spans="1:5" ht="14.4" x14ac:dyDescent="0.3">
      <c r="A1374" s="17" t="s">
        <v>6783</v>
      </c>
      <c r="B1374" s="1" t="s">
        <v>173</v>
      </c>
      <c r="C1374" s="1">
        <v>7</v>
      </c>
      <c r="D1374" s="1" t="s">
        <v>178</v>
      </c>
      <c r="E1374" s="1">
        <v>17600000</v>
      </c>
    </row>
    <row r="1375" spans="1:5" ht="14.4" x14ac:dyDescent="0.3">
      <c r="A1375" s="17" t="s">
        <v>6784</v>
      </c>
      <c r="B1375" s="1" t="s">
        <v>300</v>
      </c>
      <c r="C1375" s="1" t="s">
        <v>2908</v>
      </c>
      <c r="D1375" s="1" t="s">
        <v>3504</v>
      </c>
      <c r="E1375" s="1">
        <v>8400000</v>
      </c>
    </row>
    <row r="1376" spans="1:5" ht="14.4" x14ac:dyDescent="0.3">
      <c r="A1376" s="17" t="s">
        <v>6785</v>
      </c>
      <c r="B1376" s="1" t="s">
        <v>220</v>
      </c>
      <c r="C1376" s="1" t="s">
        <v>223</v>
      </c>
      <c r="D1376" s="1" t="s">
        <v>1446</v>
      </c>
      <c r="E1376" s="1">
        <v>20300000</v>
      </c>
    </row>
    <row r="1377" spans="1:5" ht="14.4" x14ac:dyDescent="0.3">
      <c r="A1377" s="17" t="s">
        <v>6786</v>
      </c>
      <c r="B1377" s="1" t="s">
        <v>167</v>
      </c>
      <c r="C1377" s="1" t="s">
        <v>170</v>
      </c>
      <c r="D1377" s="1" t="s">
        <v>3505</v>
      </c>
      <c r="E1377" s="1">
        <v>11500000</v>
      </c>
    </row>
    <row r="1378" spans="1:5" ht="14.4" x14ac:dyDescent="0.3">
      <c r="A1378" s="17" t="s">
        <v>6787</v>
      </c>
      <c r="B1378" s="1" t="s">
        <v>306</v>
      </c>
      <c r="C1378" s="1" t="s">
        <v>2564</v>
      </c>
      <c r="D1378" s="1" t="s">
        <v>3506</v>
      </c>
      <c r="E1378" s="1">
        <v>12100000</v>
      </c>
    </row>
    <row r="1379" spans="1:5" ht="14.4" x14ac:dyDescent="0.3">
      <c r="A1379" s="17" t="s">
        <v>6788</v>
      </c>
      <c r="B1379" s="1" t="s">
        <v>156</v>
      </c>
      <c r="C1379" s="1" t="s">
        <v>2658</v>
      </c>
      <c r="D1379" s="1" t="s">
        <v>3507</v>
      </c>
      <c r="E1379" s="1">
        <v>18800000</v>
      </c>
    </row>
    <row r="1380" spans="1:5" ht="14.4" x14ac:dyDescent="0.3">
      <c r="A1380" s="17" t="s">
        <v>6789</v>
      </c>
      <c r="B1380" s="1" t="s">
        <v>14</v>
      </c>
      <c r="C1380" s="1" t="s">
        <v>2508</v>
      </c>
      <c r="D1380" s="1" t="s">
        <v>360</v>
      </c>
      <c r="E1380" s="1">
        <v>9000000</v>
      </c>
    </row>
    <row r="1381" spans="1:5" ht="14.4" x14ac:dyDescent="0.3">
      <c r="A1381" s="17" t="s">
        <v>6790</v>
      </c>
      <c r="B1381" s="1" t="s">
        <v>45</v>
      </c>
      <c r="C1381" s="1" t="s">
        <v>2525</v>
      </c>
      <c r="D1381" s="1" t="s">
        <v>3508</v>
      </c>
      <c r="E1381" s="1">
        <v>20800000</v>
      </c>
    </row>
    <row r="1382" spans="1:5" ht="14.4" x14ac:dyDescent="0.3">
      <c r="A1382" s="17" t="s">
        <v>6791</v>
      </c>
      <c r="B1382" s="1" t="s">
        <v>2533</v>
      </c>
      <c r="C1382" s="1" t="s">
        <v>2599</v>
      </c>
      <c r="D1382" s="1" t="s">
        <v>3509</v>
      </c>
      <c r="E1382" s="1">
        <v>10900000</v>
      </c>
    </row>
    <row r="1383" spans="1:5" ht="14.4" x14ac:dyDescent="0.3">
      <c r="A1383" s="17" t="s">
        <v>6792</v>
      </c>
      <c r="B1383" s="1" t="s">
        <v>2549</v>
      </c>
      <c r="C1383" s="1" t="s">
        <v>3066</v>
      </c>
      <c r="D1383" s="1" t="s">
        <v>3510</v>
      </c>
      <c r="E1383" s="1">
        <v>8500000</v>
      </c>
    </row>
    <row r="1384" spans="1:5" ht="14.4" x14ac:dyDescent="0.3">
      <c r="A1384" s="17" t="s">
        <v>6793</v>
      </c>
      <c r="B1384" s="1" t="s">
        <v>241</v>
      </c>
      <c r="C1384" s="1" t="s">
        <v>2487</v>
      </c>
      <c r="D1384" s="1" t="s">
        <v>3511</v>
      </c>
      <c r="E1384" s="1">
        <v>17300000</v>
      </c>
    </row>
    <row r="1385" spans="1:5" ht="14.4" x14ac:dyDescent="0.3">
      <c r="A1385" s="17" t="s">
        <v>6794</v>
      </c>
      <c r="B1385" s="1" t="s">
        <v>311</v>
      </c>
      <c r="C1385" s="1" t="s">
        <v>2692</v>
      </c>
      <c r="D1385" s="1" t="s">
        <v>3512</v>
      </c>
      <c r="E1385" s="1">
        <v>7840000</v>
      </c>
    </row>
    <row r="1386" spans="1:5" ht="14.4" x14ac:dyDescent="0.3">
      <c r="A1386" s="17" t="s">
        <v>6795</v>
      </c>
      <c r="B1386" s="1" t="s">
        <v>28</v>
      </c>
      <c r="C1386" s="1" t="s">
        <v>38</v>
      </c>
      <c r="D1386" s="1" t="s">
        <v>3513</v>
      </c>
      <c r="E1386" s="1">
        <v>11700000</v>
      </c>
    </row>
    <row r="1387" spans="1:5" ht="14.4" x14ac:dyDescent="0.3">
      <c r="A1387" s="17" t="s">
        <v>6796</v>
      </c>
      <c r="B1387" s="1" t="s">
        <v>28</v>
      </c>
      <c r="C1387" s="1" t="s">
        <v>38</v>
      </c>
      <c r="D1387" s="1" t="s">
        <v>3514</v>
      </c>
      <c r="E1387" s="1">
        <v>11200000</v>
      </c>
    </row>
    <row r="1388" spans="1:5" ht="14.4" x14ac:dyDescent="0.3">
      <c r="A1388" s="17" t="s">
        <v>6797</v>
      </c>
      <c r="B1388" s="1" t="s">
        <v>45</v>
      </c>
      <c r="C1388" s="1" t="s">
        <v>46</v>
      </c>
      <c r="D1388" s="1" t="s">
        <v>3515</v>
      </c>
      <c r="E1388" s="1">
        <v>10900000</v>
      </c>
    </row>
    <row r="1389" spans="1:5" ht="14.4" x14ac:dyDescent="0.3">
      <c r="A1389" s="17" t="s">
        <v>6798</v>
      </c>
      <c r="B1389" s="1" t="s">
        <v>28</v>
      </c>
      <c r="C1389" s="1" t="s">
        <v>3105</v>
      </c>
      <c r="D1389" s="1" t="s">
        <v>3516</v>
      </c>
      <c r="E1389" s="1">
        <v>16200000</v>
      </c>
    </row>
    <row r="1390" spans="1:5" ht="14.4" x14ac:dyDescent="0.3">
      <c r="A1390" s="17" t="s">
        <v>6799</v>
      </c>
      <c r="B1390" s="1" t="s">
        <v>306</v>
      </c>
      <c r="C1390" s="1" t="s">
        <v>3517</v>
      </c>
      <c r="D1390" s="1" t="s">
        <v>3518</v>
      </c>
      <c r="E1390" s="1">
        <v>21800000</v>
      </c>
    </row>
    <row r="1391" spans="1:5" ht="14.4" x14ac:dyDescent="0.3">
      <c r="A1391" s="17" t="s">
        <v>6800</v>
      </c>
      <c r="B1391" s="1" t="s">
        <v>180</v>
      </c>
      <c r="C1391" s="1" t="s">
        <v>183</v>
      </c>
      <c r="D1391" s="1" t="s">
        <v>3519</v>
      </c>
      <c r="E1391" s="1">
        <v>20200000</v>
      </c>
    </row>
    <row r="1392" spans="1:5" ht="14.4" x14ac:dyDescent="0.3">
      <c r="A1392" s="17" t="s">
        <v>6801</v>
      </c>
      <c r="B1392" s="1" t="s">
        <v>86</v>
      </c>
      <c r="C1392" s="1" t="s">
        <v>2976</v>
      </c>
      <c r="D1392" s="1" t="s">
        <v>3520</v>
      </c>
      <c r="E1392" s="1">
        <v>12400000</v>
      </c>
    </row>
    <row r="1393" spans="1:5" ht="14.4" x14ac:dyDescent="0.3">
      <c r="A1393" s="17" t="s">
        <v>6802</v>
      </c>
      <c r="B1393" s="1" t="s">
        <v>167</v>
      </c>
      <c r="C1393" s="1" t="s">
        <v>2535</v>
      </c>
      <c r="D1393" s="1" t="s">
        <v>354</v>
      </c>
      <c r="E1393" s="1">
        <v>13000000</v>
      </c>
    </row>
    <row r="1394" spans="1:5" ht="14.4" x14ac:dyDescent="0.3">
      <c r="A1394" s="17" t="s">
        <v>6803</v>
      </c>
      <c r="B1394" s="1" t="s">
        <v>45</v>
      </c>
      <c r="C1394" s="1" t="s">
        <v>52</v>
      </c>
      <c r="D1394" s="1" t="s">
        <v>54</v>
      </c>
      <c r="E1394" s="1">
        <v>9000000</v>
      </c>
    </row>
    <row r="1395" spans="1:5" ht="14.4" x14ac:dyDescent="0.3">
      <c r="A1395" s="17" t="s">
        <v>6804</v>
      </c>
      <c r="B1395" s="1" t="s">
        <v>173</v>
      </c>
      <c r="C1395" s="1">
        <v>7</v>
      </c>
      <c r="D1395" s="1" t="s">
        <v>3173</v>
      </c>
      <c r="E1395" s="1">
        <v>23600000</v>
      </c>
    </row>
    <row r="1396" spans="1:5" ht="14.4" x14ac:dyDescent="0.3">
      <c r="A1396" s="17" t="s">
        <v>6805</v>
      </c>
      <c r="B1396" s="1" t="s">
        <v>220</v>
      </c>
      <c r="C1396" s="1" t="s">
        <v>2492</v>
      </c>
      <c r="D1396" s="1" t="s">
        <v>3521</v>
      </c>
      <c r="E1396" s="1">
        <v>24500000</v>
      </c>
    </row>
    <row r="1397" spans="1:5" ht="14.4" x14ac:dyDescent="0.3">
      <c r="A1397" s="17" t="s">
        <v>6806</v>
      </c>
      <c r="B1397" s="1" t="s">
        <v>45</v>
      </c>
      <c r="C1397" s="1" t="s">
        <v>2555</v>
      </c>
      <c r="D1397" s="1" t="s">
        <v>3522</v>
      </c>
      <c r="E1397" s="1">
        <v>30100000</v>
      </c>
    </row>
    <row r="1398" spans="1:5" ht="14.4" x14ac:dyDescent="0.3">
      <c r="A1398" s="17" t="s">
        <v>6807</v>
      </c>
      <c r="B1398" s="1" t="s">
        <v>86</v>
      </c>
      <c r="C1398" s="1" t="s">
        <v>3523</v>
      </c>
      <c r="D1398" s="1" t="s">
        <v>3524</v>
      </c>
      <c r="E1398" s="1">
        <v>7700000</v>
      </c>
    </row>
    <row r="1399" spans="1:5" ht="14.4" x14ac:dyDescent="0.3">
      <c r="A1399" s="17" t="s">
        <v>6808</v>
      </c>
      <c r="B1399" s="1" t="s">
        <v>241</v>
      </c>
      <c r="C1399" s="1">
        <v>2008</v>
      </c>
      <c r="D1399" s="1" t="s">
        <v>242</v>
      </c>
      <c r="E1399" s="1">
        <v>16300000</v>
      </c>
    </row>
    <row r="1400" spans="1:5" ht="14.4" x14ac:dyDescent="0.3">
      <c r="A1400" s="17" t="s">
        <v>6809</v>
      </c>
      <c r="B1400" s="1" t="s">
        <v>2533</v>
      </c>
      <c r="C1400" s="1" t="s">
        <v>3525</v>
      </c>
      <c r="D1400" s="1" t="s">
        <v>3526</v>
      </c>
      <c r="E1400" s="1">
        <v>11500000</v>
      </c>
    </row>
    <row r="1401" spans="1:5" ht="14.4" x14ac:dyDescent="0.3">
      <c r="A1401" s="17" t="s">
        <v>6810</v>
      </c>
      <c r="B1401" s="1" t="s">
        <v>86</v>
      </c>
      <c r="C1401" s="1" t="s">
        <v>2476</v>
      </c>
      <c r="D1401" s="1" t="s">
        <v>3527</v>
      </c>
      <c r="E1401" s="1">
        <v>37500000</v>
      </c>
    </row>
    <row r="1402" spans="1:5" ht="14.4" x14ac:dyDescent="0.3">
      <c r="A1402" s="17" t="s">
        <v>6811</v>
      </c>
      <c r="B1402" s="1" t="s">
        <v>220</v>
      </c>
      <c r="C1402" s="1" t="s">
        <v>223</v>
      </c>
      <c r="D1402" s="1" t="s">
        <v>3528</v>
      </c>
      <c r="E1402" s="1">
        <v>20000000</v>
      </c>
    </row>
    <row r="1403" spans="1:5" ht="14.4" x14ac:dyDescent="0.3">
      <c r="A1403" s="17" t="s">
        <v>6812</v>
      </c>
      <c r="B1403" s="1" t="s">
        <v>291</v>
      </c>
      <c r="C1403" s="1" t="s">
        <v>297</v>
      </c>
      <c r="D1403" s="1" t="s">
        <v>3529</v>
      </c>
      <c r="E1403" s="1">
        <v>21400000</v>
      </c>
    </row>
    <row r="1404" spans="1:5" ht="14.4" x14ac:dyDescent="0.3">
      <c r="A1404" s="17" t="s">
        <v>6813</v>
      </c>
      <c r="B1404" s="1" t="s">
        <v>156</v>
      </c>
      <c r="C1404" s="1" t="s">
        <v>2707</v>
      </c>
      <c r="D1404" s="1" t="s">
        <v>3530</v>
      </c>
      <c r="E1404" s="1">
        <v>7090000</v>
      </c>
    </row>
    <row r="1405" spans="1:5" ht="14.4" x14ac:dyDescent="0.3">
      <c r="A1405" s="17" t="s">
        <v>6814</v>
      </c>
      <c r="B1405" s="1" t="s">
        <v>68</v>
      </c>
      <c r="C1405" s="1">
        <v>560</v>
      </c>
      <c r="D1405" s="1" t="s">
        <v>3531</v>
      </c>
      <c r="E1405" s="1">
        <v>8900000</v>
      </c>
    </row>
    <row r="1406" spans="1:5" ht="14.4" x14ac:dyDescent="0.3">
      <c r="A1406" s="17" t="s">
        <v>6815</v>
      </c>
      <c r="B1406" s="1" t="s">
        <v>167</v>
      </c>
      <c r="C1406" s="1" t="s">
        <v>3532</v>
      </c>
      <c r="D1406" s="1" t="s">
        <v>3533</v>
      </c>
      <c r="E1406" s="1">
        <v>7880000</v>
      </c>
    </row>
    <row r="1407" spans="1:5" ht="14.4" x14ac:dyDescent="0.3">
      <c r="A1407" s="17" t="s">
        <v>6816</v>
      </c>
      <c r="B1407" s="1" t="s">
        <v>306</v>
      </c>
      <c r="C1407" s="1" t="s">
        <v>2564</v>
      </c>
      <c r="D1407" s="1" t="s">
        <v>3534</v>
      </c>
      <c r="E1407" s="1">
        <v>14000000</v>
      </c>
    </row>
    <row r="1408" spans="1:5" ht="14.4" x14ac:dyDescent="0.3">
      <c r="A1408" s="17" t="s">
        <v>6817</v>
      </c>
      <c r="B1408" s="1" t="s">
        <v>311</v>
      </c>
      <c r="C1408" s="1" t="s">
        <v>2692</v>
      </c>
      <c r="D1408" s="1" t="s">
        <v>3535</v>
      </c>
      <c r="E1408" s="1">
        <v>7680000</v>
      </c>
    </row>
    <row r="1409" spans="1:5" ht="14.4" x14ac:dyDescent="0.3">
      <c r="A1409" s="17" t="s">
        <v>6818</v>
      </c>
      <c r="B1409" s="1" t="s">
        <v>207</v>
      </c>
      <c r="C1409" s="1" t="s">
        <v>2806</v>
      </c>
      <c r="D1409" s="1" t="s">
        <v>3536</v>
      </c>
      <c r="E1409" s="1">
        <v>20500000</v>
      </c>
    </row>
    <row r="1410" spans="1:5" ht="14.4" x14ac:dyDescent="0.3">
      <c r="A1410" s="17" t="s">
        <v>6819</v>
      </c>
      <c r="B1410" s="1" t="s">
        <v>180</v>
      </c>
      <c r="C1410" s="1" t="s">
        <v>183</v>
      </c>
      <c r="D1410" s="1" t="s">
        <v>3537</v>
      </c>
      <c r="E1410" s="1">
        <v>20900000</v>
      </c>
    </row>
    <row r="1411" spans="1:5" ht="14.4" x14ac:dyDescent="0.3">
      <c r="A1411" s="17" t="s">
        <v>6820</v>
      </c>
      <c r="B1411" s="1" t="s">
        <v>2498</v>
      </c>
      <c r="C1411" s="1" t="s">
        <v>2499</v>
      </c>
      <c r="D1411" s="1" t="s">
        <v>3538</v>
      </c>
      <c r="E1411" s="1">
        <v>7770000</v>
      </c>
    </row>
    <row r="1412" spans="1:5" ht="14.4" x14ac:dyDescent="0.3">
      <c r="A1412" s="17" t="s">
        <v>6821</v>
      </c>
      <c r="B1412" s="1" t="s">
        <v>2498</v>
      </c>
      <c r="C1412" s="1" t="s">
        <v>2663</v>
      </c>
      <c r="D1412" s="1" t="s">
        <v>361</v>
      </c>
      <c r="E1412" s="1">
        <v>11500000</v>
      </c>
    </row>
    <row r="1413" spans="1:5" ht="14.4" x14ac:dyDescent="0.3">
      <c r="A1413" s="17" t="s">
        <v>6822</v>
      </c>
      <c r="B1413" s="1" t="s">
        <v>45</v>
      </c>
      <c r="C1413" s="1" t="s">
        <v>2480</v>
      </c>
      <c r="D1413" s="1" t="s">
        <v>3539</v>
      </c>
      <c r="E1413" s="1">
        <v>10200000</v>
      </c>
    </row>
    <row r="1414" spans="1:5" ht="14.4" x14ac:dyDescent="0.3">
      <c r="A1414" s="17" t="s">
        <v>6823</v>
      </c>
      <c r="B1414" s="1" t="s">
        <v>237</v>
      </c>
      <c r="C1414" s="1" t="s">
        <v>65</v>
      </c>
      <c r="D1414" s="1" t="s">
        <v>3540</v>
      </c>
      <c r="E1414" s="1">
        <v>14000000</v>
      </c>
    </row>
    <row r="1415" spans="1:5" ht="14.4" x14ac:dyDescent="0.3">
      <c r="A1415" s="17" t="s">
        <v>6824</v>
      </c>
      <c r="B1415" s="1" t="s">
        <v>28</v>
      </c>
      <c r="C1415" s="1" t="s">
        <v>38</v>
      </c>
      <c r="D1415" s="1" t="s">
        <v>3541</v>
      </c>
      <c r="E1415" s="1">
        <v>13000000</v>
      </c>
    </row>
    <row r="1416" spans="1:5" ht="14.4" x14ac:dyDescent="0.3">
      <c r="A1416" s="17" t="s">
        <v>6825</v>
      </c>
      <c r="B1416" s="1" t="s">
        <v>18</v>
      </c>
      <c r="C1416" s="1" t="s">
        <v>3314</v>
      </c>
      <c r="D1416" s="1" t="s">
        <v>22</v>
      </c>
      <c r="E1416" s="1">
        <v>39800000</v>
      </c>
    </row>
    <row r="1417" spans="1:5" ht="14.4" x14ac:dyDescent="0.3">
      <c r="A1417" s="17" t="s">
        <v>6826</v>
      </c>
      <c r="B1417" s="1" t="s">
        <v>45</v>
      </c>
      <c r="C1417" s="1" t="s">
        <v>46</v>
      </c>
      <c r="D1417" s="1" t="s">
        <v>3542</v>
      </c>
      <c r="E1417" s="1">
        <v>11600000</v>
      </c>
    </row>
    <row r="1418" spans="1:5" ht="14.4" x14ac:dyDescent="0.3">
      <c r="A1418" s="17" t="s">
        <v>6827</v>
      </c>
      <c r="B1418" s="1" t="s">
        <v>86</v>
      </c>
      <c r="C1418" s="1" t="s">
        <v>2507</v>
      </c>
      <c r="D1418" s="1" t="s">
        <v>3543</v>
      </c>
      <c r="E1418" s="1">
        <v>42700000</v>
      </c>
    </row>
    <row r="1419" spans="1:5" ht="14.4" x14ac:dyDescent="0.3">
      <c r="A1419" s="17" t="s">
        <v>6828</v>
      </c>
      <c r="B1419" s="1" t="s">
        <v>2950</v>
      </c>
      <c r="C1419" s="1" t="s">
        <v>3544</v>
      </c>
      <c r="D1419" s="1" t="s">
        <v>3545</v>
      </c>
      <c r="E1419" s="1">
        <v>13800000</v>
      </c>
    </row>
    <row r="1420" spans="1:5" ht="14.4" x14ac:dyDescent="0.3">
      <c r="A1420" s="17" t="s">
        <v>6829</v>
      </c>
      <c r="B1420" s="1" t="s">
        <v>241</v>
      </c>
      <c r="C1420" s="1" t="s">
        <v>3164</v>
      </c>
      <c r="D1420" s="1" t="s">
        <v>3546</v>
      </c>
      <c r="E1420" s="1">
        <v>22800000</v>
      </c>
    </row>
    <row r="1421" spans="1:5" ht="14.4" x14ac:dyDescent="0.3">
      <c r="A1421" s="17" t="s">
        <v>6830</v>
      </c>
      <c r="B1421" s="1" t="s">
        <v>68</v>
      </c>
      <c r="C1421" s="1" t="s">
        <v>2568</v>
      </c>
      <c r="D1421" s="1" t="s">
        <v>355</v>
      </c>
      <c r="E1421" s="1">
        <v>7700000</v>
      </c>
    </row>
    <row r="1422" spans="1:5" ht="14.4" x14ac:dyDescent="0.3">
      <c r="A1422" s="17" t="s">
        <v>6831</v>
      </c>
      <c r="B1422" s="1" t="s">
        <v>68</v>
      </c>
      <c r="C1422" s="1">
        <v>600</v>
      </c>
      <c r="D1422" s="1" t="s">
        <v>3547</v>
      </c>
      <c r="E1422" s="1">
        <v>16000000</v>
      </c>
    </row>
    <row r="1423" spans="1:5" ht="14.4" x14ac:dyDescent="0.3">
      <c r="A1423" s="17" t="s">
        <v>6832</v>
      </c>
      <c r="B1423" s="1" t="s">
        <v>180</v>
      </c>
      <c r="C1423" s="1" t="s">
        <v>2662</v>
      </c>
      <c r="D1423" s="1" t="s">
        <v>3548</v>
      </c>
      <c r="E1423" s="1">
        <v>10400000</v>
      </c>
    </row>
    <row r="1424" spans="1:5" ht="14.4" x14ac:dyDescent="0.3">
      <c r="A1424" s="17" t="s">
        <v>6833</v>
      </c>
      <c r="B1424" s="1" t="s">
        <v>28</v>
      </c>
      <c r="C1424" s="1" t="s">
        <v>38</v>
      </c>
      <c r="D1424" s="1" t="s">
        <v>3549</v>
      </c>
      <c r="E1424" s="1">
        <v>13800000</v>
      </c>
    </row>
    <row r="1425" spans="1:5" ht="14.4" x14ac:dyDescent="0.3">
      <c r="A1425" s="17" t="s">
        <v>6834</v>
      </c>
      <c r="B1425" s="1" t="s">
        <v>28</v>
      </c>
      <c r="C1425" s="1" t="s">
        <v>2575</v>
      </c>
      <c r="D1425" s="1" t="s">
        <v>3550</v>
      </c>
      <c r="E1425" s="1">
        <v>8300000</v>
      </c>
    </row>
    <row r="1426" spans="1:5" ht="14.4" x14ac:dyDescent="0.3">
      <c r="A1426" s="17" t="s">
        <v>6835</v>
      </c>
      <c r="B1426" s="1" t="s">
        <v>14</v>
      </c>
      <c r="C1426" s="1" t="s">
        <v>2508</v>
      </c>
      <c r="D1426" s="1" t="s">
        <v>3551</v>
      </c>
      <c r="E1426" s="1">
        <v>8600000</v>
      </c>
    </row>
    <row r="1427" spans="1:5" ht="14.4" x14ac:dyDescent="0.3">
      <c r="A1427" s="17" t="s">
        <v>6836</v>
      </c>
      <c r="B1427" s="1" t="s">
        <v>241</v>
      </c>
      <c r="C1427" s="1" t="s">
        <v>2478</v>
      </c>
      <c r="D1427" s="1" t="s">
        <v>3552</v>
      </c>
      <c r="E1427" s="1">
        <v>17700000</v>
      </c>
    </row>
    <row r="1428" spans="1:5" ht="14.4" x14ac:dyDescent="0.3">
      <c r="A1428" s="17" t="s">
        <v>6837</v>
      </c>
      <c r="B1428" s="1" t="s">
        <v>156</v>
      </c>
      <c r="C1428" s="1" t="s">
        <v>2707</v>
      </c>
      <c r="D1428" s="1" t="s">
        <v>3553</v>
      </c>
      <c r="E1428" s="1">
        <v>5630000</v>
      </c>
    </row>
    <row r="1429" spans="1:5" ht="14.4" x14ac:dyDescent="0.3">
      <c r="A1429" s="17" t="s">
        <v>6838</v>
      </c>
      <c r="B1429" s="1" t="s">
        <v>241</v>
      </c>
      <c r="C1429" s="1" t="s">
        <v>2484</v>
      </c>
      <c r="D1429" s="1" t="s">
        <v>3554</v>
      </c>
      <c r="E1429" s="1">
        <v>14200000</v>
      </c>
    </row>
    <row r="1430" spans="1:5" ht="14.4" x14ac:dyDescent="0.3">
      <c r="A1430" s="17" t="s">
        <v>6839</v>
      </c>
      <c r="B1430" s="1" t="s">
        <v>2950</v>
      </c>
      <c r="C1430" s="1" t="s">
        <v>2951</v>
      </c>
      <c r="D1430" s="1" t="s">
        <v>3555</v>
      </c>
      <c r="E1430" s="1">
        <v>12300000</v>
      </c>
    </row>
    <row r="1431" spans="1:5" ht="14.4" x14ac:dyDescent="0.3">
      <c r="A1431" s="17" t="s">
        <v>6840</v>
      </c>
      <c r="B1431" s="1" t="s">
        <v>86</v>
      </c>
      <c r="C1431" s="1" t="s">
        <v>2476</v>
      </c>
      <c r="D1431" s="1" t="s">
        <v>2477</v>
      </c>
      <c r="E1431" s="1">
        <v>40200000</v>
      </c>
    </row>
    <row r="1432" spans="1:5" ht="14.4" x14ac:dyDescent="0.3">
      <c r="A1432" s="17" t="s">
        <v>6841</v>
      </c>
      <c r="B1432" s="1" t="s">
        <v>291</v>
      </c>
      <c r="C1432" s="1" t="s">
        <v>292</v>
      </c>
      <c r="D1432" s="1" t="s">
        <v>3556</v>
      </c>
      <c r="E1432" s="1">
        <v>7850000</v>
      </c>
    </row>
    <row r="1433" spans="1:5" ht="14.4" x14ac:dyDescent="0.3">
      <c r="A1433" s="17" t="s">
        <v>6842</v>
      </c>
      <c r="B1433" s="1" t="s">
        <v>45</v>
      </c>
      <c r="C1433" s="1" t="s">
        <v>46</v>
      </c>
      <c r="D1433" s="1" t="s">
        <v>3557</v>
      </c>
      <c r="E1433" s="1">
        <v>11000000</v>
      </c>
    </row>
    <row r="1434" spans="1:5" ht="14.4" x14ac:dyDescent="0.3">
      <c r="A1434" s="17" t="s">
        <v>6843</v>
      </c>
      <c r="B1434" s="1" t="s">
        <v>45</v>
      </c>
      <c r="C1434" s="1" t="s">
        <v>49</v>
      </c>
      <c r="D1434" s="1" t="s">
        <v>3558</v>
      </c>
      <c r="E1434" s="1">
        <v>44700000</v>
      </c>
    </row>
    <row r="1435" spans="1:5" ht="14.4" x14ac:dyDescent="0.3">
      <c r="A1435" s="17" t="s">
        <v>6844</v>
      </c>
      <c r="B1435" s="1" t="s">
        <v>45</v>
      </c>
      <c r="C1435" s="1" t="s">
        <v>49</v>
      </c>
      <c r="D1435" s="1" t="s">
        <v>3558</v>
      </c>
      <c r="E1435" s="1">
        <v>44700000</v>
      </c>
    </row>
    <row r="1436" spans="1:5" ht="14.4" x14ac:dyDescent="0.3">
      <c r="A1436" s="17" t="s">
        <v>6845</v>
      </c>
      <c r="B1436" s="1" t="s">
        <v>317</v>
      </c>
      <c r="C1436" s="1" t="s">
        <v>318</v>
      </c>
      <c r="D1436" s="1" t="s">
        <v>3559</v>
      </c>
      <c r="E1436" s="1">
        <v>13900000</v>
      </c>
    </row>
    <row r="1437" spans="1:5" ht="14.4" x14ac:dyDescent="0.3">
      <c r="A1437" s="17" t="s">
        <v>6846</v>
      </c>
      <c r="B1437" s="1" t="s">
        <v>86</v>
      </c>
      <c r="C1437" s="1" t="s">
        <v>2793</v>
      </c>
      <c r="D1437" s="1" t="s">
        <v>2794</v>
      </c>
      <c r="E1437" s="1">
        <v>16400000</v>
      </c>
    </row>
    <row r="1438" spans="1:5" ht="14.4" x14ac:dyDescent="0.3">
      <c r="A1438" s="17" t="s">
        <v>6847</v>
      </c>
      <c r="B1438" s="1" t="s">
        <v>14</v>
      </c>
      <c r="C1438" s="1" t="s">
        <v>15</v>
      </c>
      <c r="D1438" s="1" t="s">
        <v>3560</v>
      </c>
      <c r="E1438" s="1">
        <v>7190000</v>
      </c>
    </row>
    <row r="1439" spans="1:5" ht="14.4" x14ac:dyDescent="0.3">
      <c r="A1439" s="17" t="s">
        <v>6848</v>
      </c>
      <c r="B1439" s="1" t="s">
        <v>220</v>
      </c>
      <c r="C1439" s="1" t="s">
        <v>2492</v>
      </c>
      <c r="D1439" s="1" t="s">
        <v>3561</v>
      </c>
      <c r="E1439" s="1">
        <v>18800000</v>
      </c>
    </row>
    <row r="1440" spans="1:5" ht="14.4" x14ac:dyDescent="0.3">
      <c r="A1440" s="17" t="s">
        <v>6849</v>
      </c>
      <c r="B1440" s="1" t="s">
        <v>220</v>
      </c>
      <c r="C1440" s="1" t="s">
        <v>3099</v>
      </c>
      <c r="D1440" s="1" t="s">
        <v>344</v>
      </c>
      <c r="E1440" s="1">
        <v>12000000</v>
      </c>
    </row>
    <row r="1441" spans="1:5" ht="14.4" x14ac:dyDescent="0.3">
      <c r="A1441" s="17" t="s">
        <v>6850</v>
      </c>
      <c r="B1441" s="1" t="s">
        <v>220</v>
      </c>
      <c r="C1441" s="1" t="s">
        <v>223</v>
      </c>
      <c r="D1441" s="1" t="s">
        <v>1446</v>
      </c>
      <c r="E1441" s="1">
        <v>20400000</v>
      </c>
    </row>
    <row r="1442" spans="1:5" ht="14.4" x14ac:dyDescent="0.3">
      <c r="A1442" s="17" t="s">
        <v>6851</v>
      </c>
      <c r="B1442" s="1" t="s">
        <v>220</v>
      </c>
      <c r="C1442" s="1" t="s">
        <v>223</v>
      </c>
      <c r="D1442" s="1" t="s">
        <v>929</v>
      </c>
      <c r="E1442" s="1">
        <v>20700000</v>
      </c>
    </row>
    <row r="1443" spans="1:5" ht="14.4" x14ac:dyDescent="0.3">
      <c r="A1443" s="17" t="s">
        <v>6852</v>
      </c>
      <c r="B1443" s="1" t="s">
        <v>241</v>
      </c>
      <c r="C1443" s="1" t="s">
        <v>2487</v>
      </c>
      <c r="D1443" s="1" t="s">
        <v>3562</v>
      </c>
      <c r="E1443" s="1">
        <v>17000000</v>
      </c>
    </row>
    <row r="1444" spans="1:5" ht="14.4" x14ac:dyDescent="0.3">
      <c r="A1444" s="17" t="s">
        <v>6853</v>
      </c>
      <c r="B1444" s="1" t="s">
        <v>167</v>
      </c>
      <c r="C1444" s="1" t="s">
        <v>2529</v>
      </c>
      <c r="D1444" s="1" t="s">
        <v>3563</v>
      </c>
      <c r="E1444" s="1">
        <v>9900000</v>
      </c>
    </row>
    <row r="1445" spans="1:5" ht="14.4" x14ac:dyDescent="0.3">
      <c r="A1445" s="17" t="s">
        <v>6854</v>
      </c>
      <c r="B1445" s="1" t="s">
        <v>288</v>
      </c>
      <c r="C1445" s="1" t="s">
        <v>3564</v>
      </c>
      <c r="D1445" s="1" t="s">
        <v>3565</v>
      </c>
      <c r="E1445" s="1">
        <v>14400000</v>
      </c>
    </row>
    <row r="1446" spans="1:5" ht="14.4" x14ac:dyDescent="0.3">
      <c r="A1446" s="17" t="s">
        <v>6855</v>
      </c>
      <c r="B1446" s="1" t="s">
        <v>2498</v>
      </c>
      <c r="C1446" s="1" t="s">
        <v>188</v>
      </c>
      <c r="D1446" s="1" t="s">
        <v>3566</v>
      </c>
      <c r="E1446" s="1">
        <v>7890000</v>
      </c>
    </row>
    <row r="1447" spans="1:5" ht="14.4" x14ac:dyDescent="0.3">
      <c r="A1447" s="17" t="s">
        <v>6856</v>
      </c>
      <c r="B1447" s="1" t="s">
        <v>300</v>
      </c>
      <c r="C1447" s="1" t="s">
        <v>303</v>
      </c>
      <c r="D1447" s="1" t="s">
        <v>305</v>
      </c>
      <c r="E1447" s="1">
        <v>13300000</v>
      </c>
    </row>
    <row r="1448" spans="1:5" ht="14.4" x14ac:dyDescent="0.3">
      <c r="A1448" s="17" t="s">
        <v>6857</v>
      </c>
      <c r="B1448" s="1" t="s">
        <v>2494</v>
      </c>
      <c r="C1448" s="1" t="s">
        <v>3244</v>
      </c>
      <c r="D1448" s="1" t="s">
        <v>3567</v>
      </c>
      <c r="E1448" s="1">
        <v>10100000</v>
      </c>
    </row>
    <row r="1449" spans="1:5" ht="14.4" x14ac:dyDescent="0.3">
      <c r="A1449" s="17" t="s">
        <v>6858</v>
      </c>
      <c r="B1449" s="1" t="s">
        <v>241</v>
      </c>
      <c r="C1449" s="1" t="s">
        <v>2501</v>
      </c>
      <c r="D1449" s="1" t="s">
        <v>3568</v>
      </c>
      <c r="E1449" s="1">
        <v>21000000</v>
      </c>
    </row>
    <row r="1450" spans="1:5" ht="14.4" x14ac:dyDescent="0.3">
      <c r="A1450" s="17" t="s">
        <v>6859</v>
      </c>
      <c r="B1450" s="1" t="s">
        <v>220</v>
      </c>
      <c r="C1450" s="1" t="s">
        <v>2762</v>
      </c>
      <c r="D1450" s="1" t="s">
        <v>3569</v>
      </c>
      <c r="E1450" s="1">
        <v>14000000</v>
      </c>
    </row>
    <row r="1451" spans="1:5" ht="14.4" x14ac:dyDescent="0.3">
      <c r="A1451" s="17" t="s">
        <v>6860</v>
      </c>
      <c r="B1451" s="1" t="s">
        <v>14</v>
      </c>
      <c r="C1451" s="1" t="s">
        <v>15</v>
      </c>
      <c r="D1451" s="1" t="s">
        <v>3570</v>
      </c>
      <c r="E1451" s="1">
        <v>8100000</v>
      </c>
    </row>
    <row r="1452" spans="1:5" ht="14.4" x14ac:dyDescent="0.3">
      <c r="A1452" s="17" t="s">
        <v>6861</v>
      </c>
      <c r="B1452" s="1" t="s">
        <v>241</v>
      </c>
      <c r="C1452" s="1" t="s">
        <v>2505</v>
      </c>
      <c r="D1452" s="1" t="s">
        <v>416</v>
      </c>
      <c r="E1452" s="1">
        <v>23600000</v>
      </c>
    </row>
    <row r="1453" spans="1:5" ht="14.4" x14ac:dyDescent="0.3">
      <c r="A1453" s="17" t="s">
        <v>6862</v>
      </c>
      <c r="B1453" s="1" t="s">
        <v>86</v>
      </c>
      <c r="C1453" s="1" t="s">
        <v>2793</v>
      </c>
      <c r="D1453" s="1" t="s">
        <v>2477</v>
      </c>
      <c r="E1453" s="1">
        <v>15900000</v>
      </c>
    </row>
    <row r="1454" spans="1:5" ht="14.4" x14ac:dyDescent="0.3">
      <c r="A1454" s="17" t="s">
        <v>6863</v>
      </c>
      <c r="B1454" s="1" t="s">
        <v>300</v>
      </c>
      <c r="C1454" s="1" t="s">
        <v>3571</v>
      </c>
      <c r="D1454" s="1" t="s">
        <v>3572</v>
      </c>
      <c r="E1454" s="1">
        <v>8100000</v>
      </c>
    </row>
    <row r="1455" spans="1:5" ht="14.4" x14ac:dyDescent="0.3">
      <c r="A1455" s="17" t="s">
        <v>6864</v>
      </c>
      <c r="B1455" s="1" t="s">
        <v>86</v>
      </c>
      <c r="C1455" s="1" t="s">
        <v>2859</v>
      </c>
      <c r="D1455" s="1" t="s">
        <v>3573</v>
      </c>
      <c r="E1455" s="1">
        <v>23900000</v>
      </c>
    </row>
    <row r="1456" spans="1:5" ht="14.4" x14ac:dyDescent="0.3">
      <c r="A1456" s="17" t="s">
        <v>6865</v>
      </c>
      <c r="B1456" s="1" t="s">
        <v>86</v>
      </c>
      <c r="C1456" s="1" t="s">
        <v>106</v>
      </c>
      <c r="D1456" s="1" t="s">
        <v>1713</v>
      </c>
      <c r="E1456" s="1">
        <v>31800000</v>
      </c>
    </row>
    <row r="1457" spans="1:5" ht="14.4" x14ac:dyDescent="0.3">
      <c r="A1457" s="17" t="s">
        <v>6866</v>
      </c>
      <c r="B1457" s="1" t="s">
        <v>2545</v>
      </c>
      <c r="C1457" s="1" t="s">
        <v>2770</v>
      </c>
      <c r="D1457" s="1" t="s">
        <v>3574</v>
      </c>
      <c r="E1457" s="1">
        <v>12400000</v>
      </c>
    </row>
    <row r="1458" spans="1:5" ht="14.4" x14ac:dyDescent="0.3">
      <c r="A1458" s="17" t="s">
        <v>6867</v>
      </c>
      <c r="B1458" s="1" t="s">
        <v>2533</v>
      </c>
      <c r="C1458" s="1" t="s">
        <v>2582</v>
      </c>
      <c r="D1458" s="1" t="s">
        <v>3575</v>
      </c>
      <c r="E1458" s="1">
        <v>7870000</v>
      </c>
    </row>
    <row r="1459" spans="1:5" ht="14.4" x14ac:dyDescent="0.3">
      <c r="A1459" s="17" t="s">
        <v>6868</v>
      </c>
      <c r="B1459" s="1" t="s">
        <v>60</v>
      </c>
      <c r="C1459" s="1" t="s">
        <v>3150</v>
      </c>
      <c r="D1459" s="1" t="s">
        <v>3576</v>
      </c>
      <c r="E1459" s="1">
        <v>11500000</v>
      </c>
    </row>
    <row r="1460" spans="1:5" ht="14.4" x14ac:dyDescent="0.3">
      <c r="A1460" s="17" t="s">
        <v>6869</v>
      </c>
      <c r="B1460" s="1" t="s">
        <v>300</v>
      </c>
      <c r="C1460" s="1" t="s">
        <v>303</v>
      </c>
      <c r="D1460" s="1" t="s">
        <v>329</v>
      </c>
      <c r="E1460" s="1">
        <v>13700000</v>
      </c>
    </row>
    <row r="1461" spans="1:5" ht="14.4" x14ac:dyDescent="0.3">
      <c r="A1461" s="17" t="s">
        <v>6870</v>
      </c>
      <c r="B1461" s="1" t="s">
        <v>156</v>
      </c>
      <c r="C1461" s="1" t="s">
        <v>2595</v>
      </c>
      <c r="D1461" s="1" t="s">
        <v>3577</v>
      </c>
      <c r="E1461" s="1">
        <v>6550000</v>
      </c>
    </row>
    <row r="1462" spans="1:5" ht="14.4" x14ac:dyDescent="0.3">
      <c r="A1462" s="17" t="s">
        <v>6871</v>
      </c>
      <c r="B1462" s="1" t="s">
        <v>180</v>
      </c>
      <c r="C1462" s="1" t="s">
        <v>2662</v>
      </c>
      <c r="D1462" s="1" t="s">
        <v>3578</v>
      </c>
      <c r="E1462" s="1">
        <v>13100000</v>
      </c>
    </row>
    <row r="1463" spans="1:5" ht="14.4" x14ac:dyDescent="0.3">
      <c r="A1463" s="17" t="s">
        <v>6872</v>
      </c>
      <c r="B1463" s="1" t="s">
        <v>45</v>
      </c>
      <c r="C1463" s="1" t="s">
        <v>2903</v>
      </c>
      <c r="D1463" s="1" t="s">
        <v>3579</v>
      </c>
      <c r="E1463" s="1">
        <v>18900000</v>
      </c>
    </row>
    <row r="1464" spans="1:5" ht="14.4" x14ac:dyDescent="0.3">
      <c r="A1464" s="17" t="s">
        <v>6873</v>
      </c>
      <c r="B1464" s="1" t="s">
        <v>45</v>
      </c>
      <c r="C1464" s="1" t="s">
        <v>2555</v>
      </c>
      <c r="D1464" s="1" t="s">
        <v>3580</v>
      </c>
      <c r="E1464" s="1">
        <v>31300000</v>
      </c>
    </row>
    <row r="1465" spans="1:5" ht="14.4" x14ac:dyDescent="0.3">
      <c r="A1465" s="17" t="s">
        <v>6874</v>
      </c>
      <c r="B1465" s="1" t="s">
        <v>173</v>
      </c>
      <c r="C1465" s="1">
        <v>7</v>
      </c>
      <c r="D1465" s="1" t="s">
        <v>350</v>
      </c>
      <c r="E1465" s="1">
        <v>17500000</v>
      </c>
    </row>
    <row r="1466" spans="1:5" ht="14.4" x14ac:dyDescent="0.3">
      <c r="A1466" s="17" t="s">
        <v>6875</v>
      </c>
      <c r="B1466" s="1" t="s">
        <v>86</v>
      </c>
      <c r="C1466" s="1" t="s">
        <v>90</v>
      </c>
      <c r="D1466" s="1" t="s">
        <v>1870</v>
      </c>
      <c r="E1466" s="1">
        <v>9600000</v>
      </c>
    </row>
    <row r="1467" spans="1:5" ht="14.4" x14ac:dyDescent="0.3">
      <c r="A1467" s="17" t="s">
        <v>6876</v>
      </c>
      <c r="B1467" s="1" t="s">
        <v>156</v>
      </c>
      <c r="C1467" s="1" t="s">
        <v>2479</v>
      </c>
      <c r="D1467" s="1" t="s">
        <v>3581</v>
      </c>
      <c r="E1467" s="1">
        <v>11900000</v>
      </c>
    </row>
    <row r="1468" spans="1:5" ht="14.4" x14ac:dyDescent="0.3">
      <c r="A1468" s="17" t="s">
        <v>6877</v>
      </c>
      <c r="B1468" s="1" t="s">
        <v>86</v>
      </c>
      <c r="C1468" s="1" t="s">
        <v>2476</v>
      </c>
      <c r="D1468" s="1" t="s">
        <v>3582</v>
      </c>
      <c r="E1468" s="1">
        <v>27800000</v>
      </c>
    </row>
    <row r="1469" spans="1:5" ht="14.4" x14ac:dyDescent="0.3">
      <c r="A1469" s="17" t="s">
        <v>6878</v>
      </c>
      <c r="B1469" s="1" t="s">
        <v>156</v>
      </c>
      <c r="C1469" s="1" t="s">
        <v>3583</v>
      </c>
      <c r="D1469" s="1" t="s">
        <v>3584</v>
      </c>
      <c r="E1469" s="1">
        <v>16800000</v>
      </c>
    </row>
    <row r="1470" spans="1:5" ht="14.4" x14ac:dyDescent="0.3">
      <c r="A1470" s="17" t="s">
        <v>6879</v>
      </c>
      <c r="B1470" s="1" t="s">
        <v>241</v>
      </c>
      <c r="C1470" s="1" t="s">
        <v>3269</v>
      </c>
      <c r="D1470" s="1" t="s">
        <v>3585</v>
      </c>
      <c r="E1470" s="1">
        <v>26000000</v>
      </c>
    </row>
    <row r="1471" spans="1:5" ht="14.4" x14ac:dyDescent="0.3">
      <c r="A1471" s="17" t="s">
        <v>6880</v>
      </c>
      <c r="B1471" s="1" t="s">
        <v>14</v>
      </c>
      <c r="C1471" s="1" t="s">
        <v>15</v>
      </c>
      <c r="D1471" s="1" t="s">
        <v>3586</v>
      </c>
      <c r="E1471" s="1">
        <v>7870000</v>
      </c>
    </row>
    <row r="1472" spans="1:5" ht="14.4" x14ac:dyDescent="0.3">
      <c r="A1472" s="17" t="s">
        <v>6881</v>
      </c>
      <c r="B1472" s="1" t="s">
        <v>2498</v>
      </c>
      <c r="C1472" s="1" t="s">
        <v>2499</v>
      </c>
      <c r="D1472" s="1" t="s">
        <v>335</v>
      </c>
      <c r="E1472" s="1">
        <v>7720000</v>
      </c>
    </row>
    <row r="1473" spans="1:5" ht="14.4" x14ac:dyDescent="0.3">
      <c r="A1473" s="17" t="s">
        <v>6882</v>
      </c>
      <c r="B1473" s="1" t="s">
        <v>86</v>
      </c>
      <c r="C1473" s="1" t="s">
        <v>134</v>
      </c>
      <c r="D1473" s="1" t="s">
        <v>3587</v>
      </c>
      <c r="E1473" s="1">
        <v>13700000</v>
      </c>
    </row>
    <row r="1474" spans="1:5" ht="14.4" x14ac:dyDescent="0.3">
      <c r="A1474" s="17" t="s">
        <v>6883</v>
      </c>
      <c r="B1474" s="1" t="s">
        <v>86</v>
      </c>
      <c r="C1474" s="1" t="s">
        <v>2507</v>
      </c>
      <c r="D1474" s="1" t="s">
        <v>3588</v>
      </c>
      <c r="E1474" s="1">
        <v>46100000</v>
      </c>
    </row>
    <row r="1475" spans="1:5" ht="14.4" x14ac:dyDescent="0.3">
      <c r="A1475" s="17" t="s">
        <v>6884</v>
      </c>
      <c r="B1475" s="1" t="s">
        <v>28</v>
      </c>
      <c r="C1475" s="1" t="s">
        <v>2496</v>
      </c>
      <c r="D1475" s="1" t="s">
        <v>346</v>
      </c>
      <c r="E1475" s="1">
        <v>6550000</v>
      </c>
    </row>
    <row r="1476" spans="1:5" ht="14.4" x14ac:dyDescent="0.3">
      <c r="A1476" s="17" t="s">
        <v>6885</v>
      </c>
      <c r="B1476" s="1" t="s">
        <v>60</v>
      </c>
      <c r="C1476" s="1" t="s">
        <v>2520</v>
      </c>
      <c r="D1476" s="1" t="s">
        <v>3589</v>
      </c>
      <c r="E1476" s="1">
        <v>14400000</v>
      </c>
    </row>
    <row r="1477" spans="1:5" ht="14.4" x14ac:dyDescent="0.3">
      <c r="A1477" s="17" t="s">
        <v>6886</v>
      </c>
      <c r="B1477" s="1" t="s">
        <v>28</v>
      </c>
      <c r="C1477" s="1" t="s">
        <v>38</v>
      </c>
      <c r="D1477" s="1" t="s">
        <v>3590</v>
      </c>
      <c r="E1477" s="1">
        <v>11300000</v>
      </c>
    </row>
    <row r="1478" spans="1:5" ht="14.4" x14ac:dyDescent="0.3">
      <c r="A1478" s="17" t="s">
        <v>6887</v>
      </c>
      <c r="B1478" s="1" t="s">
        <v>45</v>
      </c>
      <c r="C1478" s="1" t="s">
        <v>2932</v>
      </c>
      <c r="D1478" s="1" t="s">
        <v>3591</v>
      </c>
      <c r="E1478" s="1">
        <v>17000000</v>
      </c>
    </row>
    <row r="1479" spans="1:5" ht="14.4" x14ac:dyDescent="0.3">
      <c r="A1479" s="17" t="s">
        <v>6888</v>
      </c>
      <c r="B1479" s="1" t="s">
        <v>180</v>
      </c>
      <c r="C1479" s="1" t="s">
        <v>183</v>
      </c>
      <c r="D1479" s="1" t="s">
        <v>3592</v>
      </c>
      <c r="E1479" s="1">
        <v>29200000</v>
      </c>
    </row>
    <row r="1480" spans="1:5" ht="14.4" x14ac:dyDescent="0.3">
      <c r="A1480" s="17" t="s">
        <v>6889</v>
      </c>
      <c r="B1480" s="1" t="s">
        <v>311</v>
      </c>
      <c r="C1480" s="1" t="s">
        <v>3593</v>
      </c>
      <c r="D1480" s="1" t="s">
        <v>3594</v>
      </c>
      <c r="E1480" s="1">
        <v>6290000</v>
      </c>
    </row>
    <row r="1481" spans="1:5" ht="14.4" x14ac:dyDescent="0.3">
      <c r="A1481" s="17" t="s">
        <v>6890</v>
      </c>
      <c r="B1481" s="1" t="s">
        <v>207</v>
      </c>
      <c r="C1481" s="1">
        <v>6</v>
      </c>
      <c r="D1481" s="1" t="s">
        <v>3595</v>
      </c>
      <c r="E1481" s="1">
        <v>14100000</v>
      </c>
    </row>
    <row r="1482" spans="1:5" ht="14.4" x14ac:dyDescent="0.3">
      <c r="A1482" s="17" t="s">
        <v>6891</v>
      </c>
      <c r="B1482" s="1" t="s">
        <v>2498</v>
      </c>
      <c r="C1482" s="1" t="s">
        <v>193</v>
      </c>
      <c r="D1482" s="1" t="s">
        <v>3596</v>
      </c>
      <c r="E1482" s="1">
        <v>14000000</v>
      </c>
    </row>
    <row r="1483" spans="1:5" ht="14.4" x14ac:dyDescent="0.3">
      <c r="A1483" s="17" t="s">
        <v>6892</v>
      </c>
      <c r="B1483" s="1" t="s">
        <v>28</v>
      </c>
      <c r="C1483" s="1" t="s">
        <v>42</v>
      </c>
      <c r="D1483" s="1" t="s">
        <v>3597</v>
      </c>
      <c r="E1483" s="1">
        <v>12100000</v>
      </c>
    </row>
    <row r="1484" spans="1:5" ht="14.4" x14ac:dyDescent="0.3">
      <c r="A1484" s="17" t="s">
        <v>6893</v>
      </c>
      <c r="B1484" s="1" t="s">
        <v>241</v>
      </c>
      <c r="C1484" s="1" t="s">
        <v>269</v>
      </c>
      <c r="D1484" s="1" t="s">
        <v>275</v>
      </c>
      <c r="E1484" s="1">
        <v>20100000</v>
      </c>
    </row>
    <row r="1485" spans="1:5" ht="14.4" x14ac:dyDescent="0.3">
      <c r="A1485" s="17" t="s">
        <v>6894</v>
      </c>
      <c r="B1485" s="1" t="s">
        <v>300</v>
      </c>
      <c r="C1485" s="1" t="s">
        <v>303</v>
      </c>
      <c r="D1485" s="1" t="s">
        <v>3598</v>
      </c>
      <c r="E1485" s="1">
        <v>15200000</v>
      </c>
    </row>
    <row r="1486" spans="1:5" ht="14.4" x14ac:dyDescent="0.3">
      <c r="A1486" s="17" t="s">
        <v>6895</v>
      </c>
      <c r="B1486" s="1" t="s">
        <v>311</v>
      </c>
      <c r="C1486" s="1" t="s">
        <v>3599</v>
      </c>
      <c r="D1486" s="1" t="s">
        <v>3600</v>
      </c>
      <c r="E1486" s="1">
        <v>20500000</v>
      </c>
    </row>
    <row r="1487" spans="1:5" ht="14.4" x14ac:dyDescent="0.3">
      <c r="A1487" s="17" t="s">
        <v>6896</v>
      </c>
      <c r="B1487" s="1" t="s">
        <v>241</v>
      </c>
      <c r="C1487" s="1" t="s">
        <v>2501</v>
      </c>
      <c r="D1487" s="1" t="s">
        <v>3568</v>
      </c>
      <c r="E1487" s="1">
        <v>21200000</v>
      </c>
    </row>
    <row r="1488" spans="1:5" ht="14.4" x14ac:dyDescent="0.3">
      <c r="A1488" s="17" t="s">
        <v>6897</v>
      </c>
      <c r="B1488" s="1" t="s">
        <v>220</v>
      </c>
      <c r="C1488" s="1" t="s">
        <v>231</v>
      </c>
      <c r="D1488" s="1" t="s">
        <v>3601</v>
      </c>
      <c r="E1488" s="1">
        <v>8600000</v>
      </c>
    </row>
    <row r="1489" spans="1:5" ht="14.4" x14ac:dyDescent="0.3">
      <c r="A1489" s="17" t="s">
        <v>6898</v>
      </c>
      <c r="B1489" s="1" t="s">
        <v>156</v>
      </c>
      <c r="C1489" s="1" t="s">
        <v>2789</v>
      </c>
      <c r="D1489" s="1" t="s">
        <v>3602</v>
      </c>
      <c r="E1489" s="1">
        <v>12900000</v>
      </c>
    </row>
    <row r="1490" spans="1:5" ht="14.4" x14ac:dyDescent="0.3">
      <c r="A1490" s="17" t="s">
        <v>6899</v>
      </c>
      <c r="B1490" s="1" t="s">
        <v>156</v>
      </c>
      <c r="C1490" s="1" t="s">
        <v>3025</v>
      </c>
      <c r="D1490" s="1" t="s">
        <v>3603</v>
      </c>
      <c r="E1490" s="1">
        <v>17500000</v>
      </c>
    </row>
    <row r="1491" spans="1:5" ht="14.4" x14ac:dyDescent="0.3">
      <c r="A1491" s="17" t="s">
        <v>6900</v>
      </c>
      <c r="B1491" s="1" t="s">
        <v>241</v>
      </c>
      <c r="C1491" s="1" t="s">
        <v>2505</v>
      </c>
      <c r="D1491" s="1" t="s">
        <v>3604</v>
      </c>
      <c r="E1491" s="1">
        <v>22200000</v>
      </c>
    </row>
    <row r="1492" spans="1:5" ht="14.4" x14ac:dyDescent="0.3">
      <c r="A1492" s="17" t="s">
        <v>6901</v>
      </c>
      <c r="B1492" s="1" t="s">
        <v>241</v>
      </c>
      <c r="C1492" s="1" t="s">
        <v>2630</v>
      </c>
      <c r="D1492" s="1" t="s">
        <v>3605</v>
      </c>
      <c r="E1492" s="1">
        <v>16400000</v>
      </c>
    </row>
    <row r="1493" spans="1:5" ht="14.4" x14ac:dyDescent="0.3">
      <c r="A1493" s="17" t="s">
        <v>6902</v>
      </c>
      <c r="B1493" s="1" t="s">
        <v>2545</v>
      </c>
      <c r="C1493" s="1" t="s">
        <v>3606</v>
      </c>
      <c r="D1493" s="1" t="s">
        <v>341</v>
      </c>
      <c r="E1493" s="1">
        <v>15100000</v>
      </c>
    </row>
    <row r="1494" spans="1:5" ht="14.4" x14ac:dyDescent="0.3">
      <c r="A1494" s="17" t="s">
        <v>6903</v>
      </c>
      <c r="B1494" s="1" t="s">
        <v>60</v>
      </c>
      <c r="C1494" s="1" t="s">
        <v>61</v>
      </c>
      <c r="D1494" s="1" t="s">
        <v>3607</v>
      </c>
      <c r="E1494" s="1">
        <v>10700000</v>
      </c>
    </row>
    <row r="1495" spans="1:5" ht="14.4" x14ac:dyDescent="0.3">
      <c r="A1495" s="17" t="s">
        <v>6904</v>
      </c>
      <c r="B1495" s="1" t="s">
        <v>60</v>
      </c>
      <c r="C1495" s="1" t="s">
        <v>61</v>
      </c>
      <c r="D1495" s="1" t="s">
        <v>3607</v>
      </c>
      <c r="E1495" s="1">
        <v>10900000</v>
      </c>
    </row>
    <row r="1496" spans="1:5" ht="14.4" x14ac:dyDescent="0.3">
      <c r="A1496" s="17" t="s">
        <v>6905</v>
      </c>
      <c r="B1496" s="1" t="s">
        <v>220</v>
      </c>
      <c r="C1496" s="1" t="s">
        <v>2509</v>
      </c>
      <c r="D1496" s="1" t="s">
        <v>2477</v>
      </c>
      <c r="E1496" s="1">
        <v>19000000</v>
      </c>
    </row>
    <row r="1497" spans="1:5" ht="14.4" x14ac:dyDescent="0.3">
      <c r="A1497" s="17" t="s">
        <v>6906</v>
      </c>
      <c r="B1497" s="1" t="s">
        <v>28</v>
      </c>
      <c r="C1497" s="1" t="s">
        <v>2575</v>
      </c>
      <c r="D1497" s="1" t="s">
        <v>3608</v>
      </c>
      <c r="E1497" s="1">
        <v>7980000</v>
      </c>
    </row>
    <row r="1498" spans="1:5" ht="14.4" x14ac:dyDescent="0.3">
      <c r="A1498" s="17" t="s">
        <v>6907</v>
      </c>
      <c r="B1498" s="1" t="s">
        <v>288</v>
      </c>
      <c r="C1498" s="1" t="s">
        <v>2565</v>
      </c>
      <c r="D1498" s="1" t="s">
        <v>3609</v>
      </c>
      <c r="E1498" s="1">
        <v>10000000</v>
      </c>
    </row>
    <row r="1499" spans="1:5" ht="14.4" x14ac:dyDescent="0.3">
      <c r="A1499" s="17" t="s">
        <v>6908</v>
      </c>
      <c r="B1499" s="1" t="s">
        <v>45</v>
      </c>
      <c r="C1499" s="1" t="s">
        <v>2555</v>
      </c>
      <c r="D1499" s="1" t="s">
        <v>3580</v>
      </c>
      <c r="E1499" s="1">
        <v>31300000</v>
      </c>
    </row>
    <row r="1500" spans="1:5" ht="14.4" x14ac:dyDescent="0.3">
      <c r="A1500" s="17" t="s">
        <v>6909</v>
      </c>
      <c r="B1500" s="1" t="s">
        <v>28</v>
      </c>
      <c r="C1500" s="1" t="s">
        <v>38</v>
      </c>
      <c r="D1500" s="1" t="s">
        <v>3610</v>
      </c>
      <c r="E1500" s="1">
        <v>12700000</v>
      </c>
    </row>
    <row r="1501" spans="1:5" ht="14.4" x14ac:dyDescent="0.3">
      <c r="A1501" s="17" t="s">
        <v>6910</v>
      </c>
      <c r="B1501" s="1" t="s">
        <v>86</v>
      </c>
      <c r="C1501" s="1" t="s">
        <v>2793</v>
      </c>
      <c r="D1501" s="1" t="s">
        <v>3611</v>
      </c>
      <c r="E1501" s="1">
        <v>17900000</v>
      </c>
    </row>
    <row r="1502" spans="1:5" ht="14.4" x14ac:dyDescent="0.3">
      <c r="A1502" s="17" t="s">
        <v>6911</v>
      </c>
      <c r="B1502" s="1" t="s">
        <v>220</v>
      </c>
      <c r="C1502" s="1" t="s">
        <v>3099</v>
      </c>
      <c r="D1502" s="1" t="s">
        <v>3612</v>
      </c>
      <c r="E1502" s="1">
        <v>10200000</v>
      </c>
    </row>
    <row r="1503" spans="1:5" ht="14.4" x14ac:dyDescent="0.3">
      <c r="A1503" s="17" t="s">
        <v>6912</v>
      </c>
      <c r="B1503" s="1" t="s">
        <v>2498</v>
      </c>
      <c r="C1503" s="1" t="s">
        <v>193</v>
      </c>
      <c r="D1503" s="1" t="s">
        <v>195</v>
      </c>
      <c r="E1503" s="1">
        <v>16900000</v>
      </c>
    </row>
    <row r="1504" spans="1:5" ht="14.4" x14ac:dyDescent="0.3">
      <c r="A1504" s="17" t="s">
        <v>6913</v>
      </c>
      <c r="B1504" s="1" t="s">
        <v>2498</v>
      </c>
      <c r="C1504" s="1" t="s">
        <v>2830</v>
      </c>
      <c r="D1504" s="1" t="s">
        <v>3613</v>
      </c>
      <c r="E1504" s="1">
        <v>19000000</v>
      </c>
    </row>
    <row r="1505" spans="1:5" ht="14.4" x14ac:dyDescent="0.3">
      <c r="A1505" s="17" t="s">
        <v>6914</v>
      </c>
      <c r="B1505" s="1" t="s">
        <v>241</v>
      </c>
      <c r="C1505" s="1">
        <v>2008</v>
      </c>
      <c r="D1505" s="1" t="s">
        <v>3614</v>
      </c>
      <c r="E1505" s="1">
        <v>12200000</v>
      </c>
    </row>
    <row r="1506" spans="1:5" ht="14.4" x14ac:dyDescent="0.3">
      <c r="A1506" s="17" t="s">
        <v>6915</v>
      </c>
      <c r="B1506" s="1" t="s">
        <v>45</v>
      </c>
      <c r="C1506" s="1" t="s">
        <v>2720</v>
      </c>
      <c r="D1506" s="1" t="s">
        <v>3615</v>
      </c>
      <c r="E1506" s="1">
        <v>14500000</v>
      </c>
    </row>
    <row r="1507" spans="1:5" ht="14.4" x14ac:dyDescent="0.3">
      <c r="A1507" s="17" t="s">
        <v>6916</v>
      </c>
      <c r="B1507" s="1" t="s">
        <v>86</v>
      </c>
      <c r="C1507" s="1" t="s">
        <v>2747</v>
      </c>
      <c r="D1507" s="1" t="s">
        <v>337</v>
      </c>
      <c r="E1507" s="1">
        <v>10100000</v>
      </c>
    </row>
    <row r="1508" spans="1:5" ht="14.4" x14ac:dyDescent="0.3">
      <c r="A1508" s="17" t="s">
        <v>6917</v>
      </c>
      <c r="B1508" s="1" t="s">
        <v>86</v>
      </c>
      <c r="C1508" s="1" t="s">
        <v>106</v>
      </c>
      <c r="D1508" s="1" t="s">
        <v>1138</v>
      </c>
      <c r="E1508" s="1">
        <v>34100000</v>
      </c>
    </row>
    <row r="1509" spans="1:5" ht="14.4" x14ac:dyDescent="0.3">
      <c r="A1509" s="17" t="s">
        <v>6918</v>
      </c>
      <c r="B1509" s="1" t="s">
        <v>306</v>
      </c>
      <c r="C1509" s="1" t="s">
        <v>3616</v>
      </c>
      <c r="D1509" s="1" t="s">
        <v>3617</v>
      </c>
      <c r="E1509" s="1">
        <v>8900000</v>
      </c>
    </row>
    <row r="1510" spans="1:5" ht="14.4" x14ac:dyDescent="0.3">
      <c r="A1510" s="17" t="s">
        <v>6919</v>
      </c>
      <c r="B1510" s="1" t="s">
        <v>86</v>
      </c>
      <c r="C1510" s="1" t="s">
        <v>134</v>
      </c>
      <c r="D1510" s="1" t="s">
        <v>684</v>
      </c>
      <c r="E1510" s="1">
        <v>12000000</v>
      </c>
    </row>
    <row r="1511" spans="1:5" ht="14.4" x14ac:dyDescent="0.3">
      <c r="A1511" s="17" t="s">
        <v>6920</v>
      </c>
      <c r="B1511" s="1" t="s">
        <v>237</v>
      </c>
      <c r="C1511" s="1" t="s">
        <v>65</v>
      </c>
      <c r="D1511" s="1" t="s">
        <v>3000</v>
      </c>
      <c r="E1511" s="1">
        <v>15400000</v>
      </c>
    </row>
    <row r="1512" spans="1:5" ht="14.4" x14ac:dyDescent="0.3">
      <c r="A1512" s="17" t="s">
        <v>6921</v>
      </c>
      <c r="B1512" s="1" t="s">
        <v>45</v>
      </c>
      <c r="C1512" s="1" t="s">
        <v>2896</v>
      </c>
      <c r="D1512" s="1" t="s">
        <v>3618</v>
      </c>
      <c r="E1512" s="1">
        <v>16100000</v>
      </c>
    </row>
    <row r="1513" spans="1:5" ht="14.4" x14ac:dyDescent="0.3">
      <c r="A1513" s="17" t="s">
        <v>6922</v>
      </c>
      <c r="B1513" s="1" t="s">
        <v>156</v>
      </c>
      <c r="C1513" s="1" t="s">
        <v>3096</v>
      </c>
      <c r="D1513" s="1" t="s">
        <v>3619</v>
      </c>
      <c r="E1513" s="1">
        <v>17400000</v>
      </c>
    </row>
    <row r="1514" spans="1:5" ht="14.4" x14ac:dyDescent="0.3">
      <c r="A1514" s="17" t="s">
        <v>6923</v>
      </c>
      <c r="B1514" s="1" t="s">
        <v>306</v>
      </c>
      <c r="C1514" s="1" t="s">
        <v>3620</v>
      </c>
      <c r="D1514" s="1" t="s">
        <v>3621</v>
      </c>
      <c r="E1514" s="1">
        <v>12300000</v>
      </c>
    </row>
    <row r="1515" spans="1:5" ht="14.4" x14ac:dyDescent="0.3">
      <c r="A1515" s="17" t="s">
        <v>6924</v>
      </c>
      <c r="B1515" s="1" t="s">
        <v>2494</v>
      </c>
      <c r="C1515" s="1" t="s">
        <v>3497</v>
      </c>
      <c r="D1515" s="1" t="s">
        <v>349</v>
      </c>
      <c r="E1515" s="1">
        <v>16000000</v>
      </c>
    </row>
    <row r="1516" spans="1:5" ht="14.4" x14ac:dyDescent="0.3">
      <c r="A1516" s="17" t="s">
        <v>6925</v>
      </c>
      <c r="B1516" s="1" t="s">
        <v>241</v>
      </c>
      <c r="C1516" s="1" t="s">
        <v>2505</v>
      </c>
      <c r="D1516" s="1" t="s">
        <v>3622</v>
      </c>
      <c r="E1516" s="1">
        <v>22300000</v>
      </c>
    </row>
    <row r="1517" spans="1:5" ht="14.4" x14ac:dyDescent="0.3">
      <c r="A1517" s="17" t="s">
        <v>6926</v>
      </c>
      <c r="B1517" s="1" t="s">
        <v>300</v>
      </c>
      <c r="C1517" s="1" t="s">
        <v>3132</v>
      </c>
      <c r="D1517" s="1" t="s">
        <v>2477</v>
      </c>
      <c r="E1517" s="1">
        <v>10600000</v>
      </c>
    </row>
    <row r="1518" spans="1:5" ht="14.4" x14ac:dyDescent="0.3">
      <c r="A1518" s="17" t="s">
        <v>11797</v>
      </c>
      <c r="B1518" s="1" t="s">
        <v>86</v>
      </c>
      <c r="C1518" s="1" t="s">
        <v>134</v>
      </c>
      <c r="D1518" s="1" t="s">
        <v>684</v>
      </c>
      <c r="E1518" s="1">
        <v>12000000</v>
      </c>
    </row>
    <row r="1519" spans="1:5" ht="14.4" x14ac:dyDescent="0.3">
      <c r="A1519" s="17" t="s">
        <v>11798</v>
      </c>
      <c r="B1519" s="1" t="s">
        <v>2498</v>
      </c>
      <c r="C1519" s="1" t="s">
        <v>2523</v>
      </c>
      <c r="D1519" s="1" t="s">
        <v>11799</v>
      </c>
      <c r="E1519" s="1">
        <v>7920000</v>
      </c>
    </row>
    <row r="1520" spans="1:5" ht="14.4" x14ac:dyDescent="0.3">
      <c r="A1520" s="17" t="s">
        <v>6927</v>
      </c>
      <c r="B1520" s="1" t="s">
        <v>45</v>
      </c>
      <c r="C1520" s="1" t="s">
        <v>46</v>
      </c>
      <c r="D1520" s="1" t="s">
        <v>340</v>
      </c>
      <c r="E1520" s="1">
        <v>13500000</v>
      </c>
    </row>
    <row r="1521" spans="1:5" ht="14.4" x14ac:dyDescent="0.3">
      <c r="A1521" s="17" t="s">
        <v>6928</v>
      </c>
      <c r="B1521" s="1" t="s">
        <v>86</v>
      </c>
      <c r="C1521" s="1" t="s">
        <v>2793</v>
      </c>
      <c r="D1521" s="1" t="s">
        <v>3623</v>
      </c>
      <c r="E1521" s="1">
        <v>17600000</v>
      </c>
    </row>
    <row r="1522" spans="1:5" ht="14.4" x14ac:dyDescent="0.3">
      <c r="A1522" s="17" t="s">
        <v>6929</v>
      </c>
      <c r="B1522" s="1" t="s">
        <v>2498</v>
      </c>
      <c r="C1522" s="1" t="s">
        <v>2833</v>
      </c>
      <c r="D1522" s="1" t="s">
        <v>3624</v>
      </c>
      <c r="E1522" s="1">
        <v>37700000</v>
      </c>
    </row>
    <row r="1523" spans="1:5" ht="14.4" x14ac:dyDescent="0.3">
      <c r="A1523" s="17" t="s">
        <v>6930</v>
      </c>
      <c r="B1523" s="1" t="s">
        <v>2545</v>
      </c>
      <c r="C1523" s="1" t="s">
        <v>3625</v>
      </c>
      <c r="D1523" s="1" t="s">
        <v>3626</v>
      </c>
      <c r="E1523" s="1">
        <v>30600000</v>
      </c>
    </row>
    <row r="1524" spans="1:5" ht="14.4" x14ac:dyDescent="0.3">
      <c r="A1524" s="17" t="s">
        <v>6931</v>
      </c>
      <c r="B1524" s="1" t="s">
        <v>28</v>
      </c>
      <c r="C1524" s="1" t="s">
        <v>2575</v>
      </c>
      <c r="D1524" s="1" t="s">
        <v>3627</v>
      </c>
      <c r="E1524" s="1">
        <v>8100000</v>
      </c>
    </row>
    <row r="1525" spans="1:5" ht="14.4" x14ac:dyDescent="0.3">
      <c r="A1525" s="17" t="s">
        <v>6932</v>
      </c>
      <c r="B1525" s="1" t="s">
        <v>2498</v>
      </c>
      <c r="C1525" s="1" t="s">
        <v>199</v>
      </c>
      <c r="D1525" s="1" t="s">
        <v>3628</v>
      </c>
      <c r="E1525" s="1">
        <v>22000000</v>
      </c>
    </row>
    <row r="1526" spans="1:5" ht="14.4" x14ac:dyDescent="0.3">
      <c r="A1526" s="17" t="s">
        <v>6933</v>
      </c>
      <c r="B1526" s="1" t="s">
        <v>306</v>
      </c>
      <c r="C1526" s="1" t="s">
        <v>3616</v>
      </c>
      <c r="D1526" s="1" t="s">
        <v>3629</v>
      </c>
      <c r="E1526" s="1">
        <v>10700000</v>
      </c>
    </row>
    <row r="1527" spans="1:5" ht="14.4" x14ac:dyDescent="0.3">
      <c r="A1527" s="17" t="s">
        <v>11800</v>
      </c>
      <c r="B1527" s="1" t="s">
        <v>142</v>
      </c>
      <c r="C1527" s="1" t="s">
        <v>145</v>
      </c>
      <c r="D1527" s="1" t="s">
        <v>11801</v>
      </c>
      <c r="E1527" s="1">
        <v>12500000</v>
      </c>
    </row>
    <row r="1528" spans="1:5" ht="14.4" x14ac:dyDescent="0.3">
      <c r="A1528" s="17" t="s">
        <v>6934</v>
      </c>
      <c r="B1528" s="1" t="s">
        <v>306</v>
      </c>
      <c r="C1528" s="1" t="s">
        <v>3616</v>
      </c>
      <c r="D1528" s="1" t="s">
        <v>3629</v>
      </c>
      <c r="E1528" s="1">
        <v>9900000</v>
      </c>
    </row>
    <row r="1529" spans="1:5" ht="14.4" x14ac:dyDescent="0.3">
      <c r="A1529" s="17" t="s">
        <v>6935</v>
      </c>
      <c r="B1529" s="1" t="s">
        <v>2498</v>
      </c>
      <c r="C1529" s="1" t="s">
        <v>199</v>
      </c>
      <c r="D1529" s="1" t="s">
        <v>3628</v>
      </c>
      <c r="E1529" s="1">
        <v>23100000</v>
      </c>
    </row>
    <row r="1530" spans="1:5" ht="14.4" x14ac:dyDescent="0.3">
      <c r="A1530" s="17" t="s">
        <v>6936</v>
      </c>
      <c r="B1530" s="1" t="s">
        <v>241</v>
      </c>
      <c r="C1530" s="1" t="s">
        <v>2584</v>
      </c>
      <c r="D1530" s="1" t="s">
        <v>3630</v>
      </c>
      <c r="E1530" s="1">
        <v>16000000</v>
      </c>
    </row>
    <row r="1531" spans="1:5" ht="14.4" x14ac:dyDescent="0.3">
      <c r="A1531" s="17" t="s">
        <v>6937</v>
      </c>
      <c r="B1531" s="1" t="s">
        <v>241</v>
      </c>
      <c r="C1531" s="1">
        <v>2008</v>
      </c>
      <c r="D1531" s="1" t="s">
        <v>2622</v>
      </c>
      <c r="E1531" s="1">
        <v>20000000</v>
      </c>
    </row>
    <row r="1532" spans="1:5" ht="14.4" x14ac:dyDescent="0.3">
      <c r="A1532" s="17" t="s">
        <v>6938</v>
      </c>
      <c r="B1532" s="1" t="s">
        <v>241</v>
      </c>
      <c r="C1532" s="1" t="s">
        <v>2584</v>
      </c>
      <c r="D1532" s="1" t="s">
        <v>3059</v>
      </c>
      <c r="E1532" s="1">
        <v>16700000</v>
      </c>
    </row>
    <row r="1533" spans="1:5" ht="14.4" x14ac:dyDescent="0.3">
      <c r="A1533" s="17" t="s">
        <v>11802</v>
      </c>
      <c r="B1533" s="1" t="s">
        <v>68</v>
      </c>
      <c r="C1533" s="1">
        <v>580</v>
      </c>
      <c r="D1533" s="1" t="s">
        <v>1167</v>
      </c>
      <c r="E1533" s="1">
        <v>9700000</v>
      </c>
    </row>
    <row r="1534" spans="1:5" ht="14.4" x14ac:dyDescent="0.3">
      <c r="A1534" s="17" t="s">
        <v>6939</v>
      </c>
      <c r="B1534" s="1" t="s">
        <v>241</v>
      </c>
      <c r="C1534" s="1" t="s">
        <v>2584</v>
      </c>
      <c r="D1534" s="1" t="s">
        <v>2624</v>
      </c>
      <c r="E1534" s="1">
        <v>15700000</v>
      </c>
    </row>
    <row r="1535" spans="1:5" ht="14.4" x14ac:dyDescent="0.3">
      <c r="A1535" s="17" t="s">
        <v>6940</v>
      </c>
      <c r="B1535" s="1" t="s">
        <v>241</v>
      </c>
      <c r="C1535" s="1" t="s">
        <v>2621</v>
      </c>
      <c r="D1535" s="1" t="s">
        <v>3631</v>
      </c>
      <c r="E1535" s="1">
        <v>22500000</v>
      </c>
    </row>
    <row r="1536" spans="1:5" ht="14.4" x14ac:dyDescent="0.3">
      <c r="A1536" s="17" t="s">
        <v>6941</v>
      </c>
      <c r="B1536" s="1" t="s">
        <v>241</v>
      </c>
      <c r="C1536" s="1" t="s">
        <v>2584</v>
      </c>
      <c r="D1536" s="1" t="s">
        <v>3632</v>
      </c>
      <c r="E1536" s="1">
        <v>18200000</v>
      </c>
    </row>
    <row r="1537" spans="1:5" ht="14.4" x14ac:dyDescent="0.3">
      <c r="A1537" s="17" t="s">
        <v>6942</v>
      </c>
      <c r="B1537" s="1" t="s">
        <v>241</v>
      </c>
      <c r="C1537" s="1">
        <v>208</v>
      </c>
      <c r="D1537" s="1" t="s">
        <v>2649</v>
      </c>
      <c r="E1537" s="1">
        <v>13300000</v>
      </c>
    </row>
    <row r="1538" spans="1:5" ht="14.4" x14ac:dyDescent="0.3">
      <c r="A1538" s="17" t="s">
        <v>6943</v>
      </c>
      <c r="B1538" s="1" t="s">
        <v>237</v>
      </c>
      <c r="C1538" s="1" t="s">
        <v>65</v>
      </c>
      <c r="D1538" s="1" t="s">
        <v>3633</v>
      </c>
      <c r="E1538" s="1">
        <v>13300000</v>
      </c>
    </row>
    <row r="1539" spans="1:5" ht="14.4" x14ac:dyDescent="0.3">
      <c r="A1539" s="17" t="s">
        <v>6944</v>
      </c>
      <c r="B1539" s="1" t="s">
        <v>45</v>
      </c>
      <c r="C1539" s="1" t="s">
        <v>57</v>
      </c>
      <c r="D1539" s="1" t="s">
        <v>3634</v>
      </c>
      <c r="E1539" s="1">
        <v>14700000</v>
      </c>
    </row>
    <row r="1540" spans="1:5" ht="14.4" x14ac:dyDescent="0.3">
      <c r="A1540" s="17" t="s">
        <v>6945</v>
      </c>
      <c r="B1540" s="1" t="s">
        <v>2950</v>
      </c>
      <c r="C1540" s="1" t="s">
        <v>2951</v>
      </c>
      <c r="D1540" s="1" t="s">
        <v>3635</v>
      </c>
      <c r="E1540" s="1">
        <v>10600000</v>
      </c>
    </row>
    <row r="1541" spans="1:5" ht="14.4" x14ac:dyDescent="0.3">
      <c r="A1541" s="17" t="s">
        <v>6946</v>
      </c>
      <c r="B1541" s="1" t="s">
        <v>306</v>
      </c>
      <c r="C1541" s="1" t="s">
        <v>3636</v>
      </c>
      <c r="D1541" s="1" t="s">
        <v>3637</v>
      </c>
      <c r="E1541" s="1">
        <v>16000000</v>
      </c>
    </row>
    <row r="1542" spans="1:5" ht="14.4" x14ac:dyDescent="0.3">
      <c r="A1542" s="17" t="s">
        <v>6947</v>
      </c>
      <c r="B1542" s="1" t="s">
        <v>241</v>
      </c>
      <c r="C1542" s="1" t="s">
        <v>2513</v>
      </c>
      <c r="D1542" s="1" t="s">
        <v>2514</v>
      </c>
      <c r="E1542" s="1">
        <v>19800000</v>
      </c>
    </row>
    <row r="1543" spans="1:5" ht="14.4" x14ac:dyDescent="0.3">
      <c r="A1543" s="17" t="s">
        <v>6948</v>
      </c>
      <c r="B1543" s="1" t="s">
        <v>241</v>
      </c>
      <c r="C1543" s="1" t="s">
        <v>2513</v>
      </c>
      <c r="D1543" s="1" t="s">
        <v>3638</v>
      </c>
      <c r="E1543" s="1">
        <v>21800000</v>
      </c>
    </row>
    <row r="1544" spans="1:5" ht="14.4" x14ac:dyDescent="0.3">
      <c r="A1544" s="17" t="s">
        <v>6949</v>
      </c>
      <c r="B1544" s="1" t="s">
        <v>241</v>
      </c>
      <c r="C1544" s="1" t="s">
        <v>2593</v>
      </c>
      <c r="D1544" s="1" t="s">
        <v>3639</v>
      </c>
      <c r="E1544" s="1">
        <v>16300000</v>
      </c>
    </row>
    <row r="1545" spans="1:5" ht="14.4" x14ac:dyDescent="0.3">
      <c r="A1545" s="17" t="s">
        <v>6950</v>
      </c>
      <c r="B1545" s="1" t="s">
        <v>241</v>
      </c>
      <c r="C1545" s="1" t="s">
        <v>2478</v>
      </c>
      <c r="D1545" s="1" t="s">
        <v>2784</v>
      </c>
      <c r="E1545" s="1">
        <v>16500000</v>
      </c>
    </row>
    <row r="1546" spans="1:5" ht="14.4" x14ac:dyDescent="0.3">
      <c r="A1546" s="17" t="s">
        <v>6951</v>
      </c>
      <c r="B1546" s="1" t="s">
        <v>241</v>
      </c>
      <c r="C1546" s="1">
        <v>3008</v>
      </c>
      <c r="D1546" s="1" t="s">
        <v>2617</v>
      </c>
      <c r="E1546" s="1">
        <v>30000000</v>
      </c>
    </row>
    <row r="1547" spans="1:5" ht="14.4" x14ac:dyDescent="0.3">
      <c r="A1547" s="17" t="s">
        <v>11803</v>
      </c>
      <c r="B1547" s="1" t="s">
        <v>142</v>
      </c>
      <c r="C1547" s="1" t="s">
        <v>11804</v>
      </c>
      <c r="D1547" s="1" t="s">
        <v>11805</v>
      </c>
      <c r="E1547" s="1">
        <v>19600000</v>
      </c>
    </row>
    <row r="1548" spans="1:5" ht="14.4" x14ac:dyDescent="0.3">
      <c r="A1548" s="17" t="s">
        <v>6952</v>
      </c>
      <c r="B1548" s="1" t="s">
        <v>2545</v>
      </c>
      <c r="C1548" s="1" t="s">
        <v>3625</v>
      </c>
      <c r="D1548" s="1" t="s">
        <v>3640</v>
      </c>
      <c r="E1548" s="1">
        <v>6480000</v>
      </c>
    </row>
    <row r="1549" spans="1:5" ht="14.4" x14ac:dyDescent="0.3">
      <c r="A1549" s="17" t="s">
        <v>6953</v>
      </c>
      <c r="B1549" s="1" t="s">
        <v>86</v>
      </c>
      <c r="C1549" s="1" t="s">
        <v>2793</v>
      </c>
      <c r="D1549" s="1" t="s">
        <v>3641</v>
      </c>
      <c r="E1549" s="1">
        <v>17800000</v>
      </c>
    </row>
    <row r="1550" spans="1:5" ht="14.4" x14ac:dyDescent="0.3">
      <c r="A1550" s="17" t="s">
        <v>6954</v>
      </c>
      <c r="B1550" s="1" t="s">
        <v>86</v>
      </c>
      <c r="C1550" s="1" t="s">
        <v>2793</v>
      </c>
      <c r="D1550" s="1" t="s">
        <v>345</v>
      </c>
      <c r="E1550" s="1">
        <v>16200000</v>
      </c>
    </row>
    <row r="1551" spans="1:5" ht="14.4" x14ac:dyDescent="0.3">
      <c r="A1551" s="17" t="s">
        <v>6955</v>
      </c>
      <c r="B1551" s="1" t="s">
        <v>2498</v>
      </c>
      <c r="C1551" s="1" t="s">
        <v>199</v>
      </c>
      <c r="D1551" s="1" t="s">
        <v>3642</v>
      </c>
      <c r="E1551" s="1">
        <v>12400000</v>
      </c>
    </row>
    <row r="1552" spans="1:5" ht="14.4" x14ac:dyDescent="0.3">
      <c r="A1552" s="17" t="s">
        <v>6956</v>
      </c>
      <c r="B1552" s="1" t="s">
        <v>2521</v>
      </c>
      <c r="C1552" s="1" t="s">
        <v>3315</v>
      </c>
      <c r="D1552" s="1" t="s">
        <v>2477</v>
      </c>
      <c r="E1552" s="1">
        <v>14700000</v>
      </c>
    </row>
    <row r="1553" spans="1:5" ht="14.4" x14ac:dyDescent="0.3">
      <c r="A1553" s="17" t="s">
        <v>6957</v>
      </c>
      <c r="B1553" s="1" t="s">
        <v>220</v>
      </c>
      <c r="C1553" s="1" t="s">
        <v>2577</v>
      </c>
      <c r="D1553" s="1" t="s">
        <v>3643</v>
      </c>
      <c r="E1553" s="1">
        <v>12100000</v>
      </c>
    </row>
    <row r="1554" spans="1:5" ht="14.4" x14ac:dyDescent="0.3">
      <c r="A1554" s="17" t="s">
        <v>11806</v>
      </c>
      <c r="B1554" s="1" t="s">
        <v>86</v>
      </c>
      <c r="C1554" s="1" t="s">
        <v>2793</v>
      </c>
      <c r="D1554" s="1" t="s">
        <v>3623</v>
      </c>
      <c r="E1554" s="1">
        <v>17600000</v>
      </c>
    </row>
    <row r="1555" spans="1:5" ht="14.4" x14ac:dyDescent="0.3">
      <c r="A1555" s="17" t="s">
        <v>6958</v>
      </c>
      <c r="B1555" s="1" t="s">
        <v>86</v>
      </c>
      <c r="C1555" s="1" t="s">
        <v>2507</v>
      </c>
      <c r="D1555" s="1" t="s">
        <v>348</v>
      </c>
      <c r="E1555" s="1">
        <v>44100000</v>
      </c>
    </row>
    <row r="1556" spans="1:5" ht="14.4" x14ac:dyDescent="0.3">
      <c r="A1556" s="17" t="s">
        <v>11807</v>
      </c>
      <c r="B1556" s="1" t="s">
        <v>2498</v>
      </c>
      <c r="C1556" s="1" t="s">
        <v>188</v>
      </c>
      <c r="D1556" s="1" t="s">
        <v>11808</v>
      </c>
      <c r="E1556" s="1">
        <v>7730000</v>
      </c>
    </row>
    <row r="1557" spans="1:5" ht="14.4" x14ac:dyDescent="0.3">
      <c r="A1557" s="17" t="s">
        <v>6959</v>
      </c>
      <c r="B1557" s="1" t="s">
        <v>45</v>
      </c>
      <c r="C1557" s="1" t="s">
        <v>49</v>
      </c>
      <c r="D1557" s="1" t="s">
        <v>3644</v>
      </c>
      <c r="E1557" s="1">
        <v>54000000</v>
      </c>
    </row>
    <row r="1558" spans="1:5" ht="14.4" x14ac:dyDescent="0.3">
      <c r="A1558" s="17" t="s">
        <v>6960</v>
      </c>
      <c r="B1558" s="1" t="s">
        <v>241</v>
      </c>
      <c r="C1558" s="1" t="s">
        <v>3645</v>
      </c>
      <c r="D1558" s="1" t="s">
        <v>3646</v>
      </c>
      <c r="E1558" s="1">
        <v>25200000</v>
      </c>
    </row>
    <row r="1559" spans="1:5" ht="14.4" x14ac:dyDescent="0.3">
      <c r="A1559" s="17" t="s">
        <v>11809</v>
      </c>
      <c r="B1559" s="1" t="s">
        <v>86</v>
      </c>
      <c r="C1559" s="1" t="s">
        <v>3811</v>
      </c>
      <c r="D1559" s="1" t="s">
        <v>11810</v>
      </c>
      <c r="E1559" s="1">
        <v>5040000</v>
      </c>
    </row>
    <row r="1560" spans="1:5" ht="14.4" x14ac:dyDescent="0.3">
      <c r="A1560" s="17" t="s">
        <v>11811</v>
      </c>
      <c r="B1560" s="1" t="s">
        <v>45</v>
      </c>
      <c r="C1560" s="1" t="s">
        <v>3325</v>
      </c>
      <c r="D1560" s="1" t="s">
        <v>56</v>
      </c>
      <c r="E1560" s="1">
        <v>32200000</v>
      </c>
    </row>
    <row r="1561" spans="1:5" ht="14.4" x14ac:dyDescent="0.3">
      <c r="A1561" s="17" t="s">
        <v>11812</v>
      </c>
      <c r="B1561" s="1" t="s">
        <v>86</v>
      </c>
      <c r="C1561" s="1" t="s">
        <v>122</v>
      </c>
      <c r="D1561" s="1" t="s">
        <v>11813</v>
      </c>
      <c r="E1561" s="1">
        <v>15100000</v>
      </c>
    </row>
    <row r="1562" spans="1:5" ht="14.4" x14ac:dyDescent="0.3">
      <c r="A1562" s="17" t="s">
        <v>11814</v>
      </c>
      <c r="B1562" s="1" t="s">
        <v>156</v>
      </c>
      <c r="C1562" s="1" t="s">
        <v>2707</v>
      </c>
      <c r="D1562" s="1" t="s">
        <v>3553</v>
      </c>
      <c r="E1562" s="1">
        <v>5810000</v>
      </c>
    </row>
    <row r="1563" spans="1:5" ht="14.4" x14ac:dyDescent="0.3">
      <c r="A1563" s="17" t="s">
        <v>6961</v>
      </c>
      <c r="B1563" s="1" t="s">
        <v>14</v>
      </c>
      <c r="C1563" s="1" t="s">
        <v>2508</v>
      </c>
      <c r="D1563" s="1" t="s">
        <v>3647</v>
      </c>
      <c r="E1563" s="1">
        <v>9400000</v>
      </c>
    </row>
    <row r="1564" spans="1:5" ht="14.4" x14ac:dyDescent="0.3">
      <c r="A1564" s="17" t="s">
        <v>6962</v>
      </c>
      <c r="B1564" s="1" t="s">
        <v>241</v>
      </c>
      <c r="C1564" s="1">
        <v>3008</v>
      </c>
      <c r="D1564" s="1" t="s">
        <v>3648</v>
      </c>
      <c r="E1564" s="1">
        <v>19300000</v>
      </c>
    </row>
    <row r="1565" spans="1:5" ht="14.4" x14ac:dyDescent="0.3">
      <c r="A1565" s="17" t="s">
        <v>6963</v>
      </c>
      <c r="B1565" s="1" t="s">
        <v>2498</v>
      </c>
      <c r="C1565" s="1" t="s">
        <v>199</v>
      </c>
      <c r="D1565" s="1" t="s">
        <v>201</v>
      </c>
      <c r="E1565" s="1">
        <v>20700000</v>
      </c>
    </row>
    <row r="1566" spans="1:5" ht="14.4" x14ac:dyDescent="0.3">
      <c r="A1566" s="17" t="s">
        <v>6964</v>
      </c>
      <c r="B1566" s="1" t="s">
        <v>241</v>
      </c>
      <c r="C1566" s="1">
        <v>3008</v>
      </c>
      <c r="D1566" s="1" t="s">
        <v>3648</v>
      </c>
      <c r="E1566" s="1">
        <v>19300000</v>
      </c>
    </row>
    <row r="1567" spans="1:5" ht="14.4" x14ac:dyDescent="0.3">
      <c r="A1567" s="17" t="s">
        <v>6965</v>
      </c>
      <c r="B1567" s="1" t="s">
        <v>220</v>
      </c>
      <c r="C1567" s="1" t="s">
        <v>2762</v>
      </c>
      <c r="D1567" s="1" t="s">
        <v>3649</v>
      </c>
      <c r="E1567" s="1">
        <v>14400000</v>
      </c>
    </row>
    <row r="1568" spans="1:5" ht="14.4" x14ac:dyDescent="0.3">
      <c r="A1568" s="17" t="s">
        <v>6966</v>
      </c>
      <c r="B1568" s="1" t="s">
        <v>2498</v>
      </c>
      <c r="C1568" s="1" t="s">
        <v>3290</v>
      </c>
      <c r="D1568" s="1" t="s">
        <v>3291</v>
      </c>
      <c r="E1568" s="1">
        <v>13100000</v>
      </c>
    </row>
    <row r="1569" spans="1:5" ht="14.4" x14ac:dyDescent="0.3">
      <c r="A1569" s="17" t="s">
        <v>6967</v>
      </c>
      <c r="B1569" s="1" t="s">
        <v>241</v>
      </c>
      <c r="C1569" s="1" t="s">
        <v>3645</v>
      </c>
      <c r="D1569" s="1" t="s">
        <v>3646</v>
      </c>
      <c r="E1569" s="1">
        <v>25200000</v>
      </c>
    </row>
    <row r="1570" spans="1:5" ht="14.4" x14ac:dyDescent="0.3">
      <c r="A1570" s="17" t="s">
        <v>6968</v>
      </c>
      <c r="B1570" s="1" t="s">
        <v>2498</v>
      </c>
      <c r="C1570" s="1" t="s">
        <v>3290</v>
      </c>
      <c r="D1570" s="1" t="s">
        <v>3291</v>
      </c>
      <c r="E1570" s="1">
        <v>13100000</v>
      </c>
    </row>
    <row r="1571" spans="1:5" ht="14.4" x14ac:dyDescent="0.3">
      <c r="A1571" s="17" t="s">
        <v>11815</v>
      </c>
      <c r="B1571" s="1" t="s">
        <v>291</v>
      </c>
      <c r="C1571" s="1" t="s">
        <v>3080</v>
      </c>
      <c r="D1571" s="1" t="s">
        <v>11816</v>
      </c>
      <c r="E1571" s="1">
        <v>18500000</v>
      </c>
    </row>
    <row r="1572" spans="1:5" ht="14.4" x14ac:dyDescent="0.3">
      <c r="A1572" s="17" t="s">
        <v>11817</v>
      </c>
      <c r="B1572" s="1" t="s">
        <v>156</v>
      </c>
      <c r="C1572" s="1" t="s">
        <v>3096</v>
      </c>
      <c r="D1572" s="1" t="s">
        <v>164</v>
      </c>
      <c r="E1572" s="1">
        <v>20800000</v>
      </c>
    </row>
    <row r="1573" spans="1:5" ht="14.4" x14ac:dyDescent="0.3">
      <c r="A1573" s="17" t="s">
        <v>6969</v>
      </c>
      <c r="B1573" s="1" t="s">
        <v>2498</v>
      </c>
      <c r="C1573" s="1" t="s">
        <v>3290</v>
      </c>
      <c r="D1573" s="1" t="s">
        <v>3291</v>
      </c>
      <c r="E1573" s="1">
        <v>13100000</v>
      </c>
    </row>
    <row r="1574" spans="1:5" ht="14.4" x14ac:dyDescent="0.3">
      <c r="A1574" s="17" t="s">
        <v>6970</v>
      </c>
      <c r="B1574" s="1" t="s">
        <v>156</v>
      </c>
      <c r="C1574" s="1" t="s">
        <v>3072</v>
      </c>
      <c r="D1574" s="1" t="s">
        <v>3650</v>
      </c>
      <c r="E1574" s="1">
        <v>10300000</v>
      </c>
    </row>
    <row r="1575" spans="1:5" ht="14.4" x14ac:dyDescent="0.3">
      <c r="A1575" s="17" t="s">
        <v>6971</v>
      </c>
      <c r="B1575" s="1" t="s">
        <v>2816</v>
      </c>
      <c r="C1575" s="1" t="s">
        <v>2817</v>
      </c>
      <c r="D1575" s="1" t="s">
        <v>3651</v>
      </c>
      <c r="E1575" s="1">
        <v>13400000</v>
      </c>
    </row>
    <row r="1576" spans="1:5" ht="14.4" x14ac:dyDescent="0.3">
      <c r="A1576" s="17" t="s">
        <v>6972</v>
      </c>
      <c r="B1576" s="1" t="s">
        <v>237</v>
      </c>
      <c r="C1576" s="1" t="s">
        <v>65</v>
      </c>
      <c r="D1576" s="1" t="s">
        <v>3652</v>
      </c>
      <c r="E1576" s="1">
        <v>12100000</v>
      </c>
    </row>
    <row r="1577" spans="1:5" ht="14.4" x14ac:dyDescent="0.3">
      <c r="A1577" s="17" t="s">
        <v>6973</v>
      </c>
      <c r="B1577" s="1" t="s">
        <v>60</v>
      </c>
      <c r="C1577" s="1" t="s">
        <v>3200</v>
      </c>
      <c r="D1577" s="1" t="s">
        <v>3653</v>
      </c>
      <c r="E1577" s="1">
        <v>9400000</v>
      </c>
    </row>
    <row r="1578" spans="1:5" ht="14.4" x14ac:dyDescent="0.3">
      <c r="A1578" s="17" t="s">
        <v>6974</v>
      </c>
      <c r="B1578" s="1" t="s">
        <v>278</v>
      </c>
      <c r="C1578" s="1">
        <v>700</v>
      </c>
      <c r="D1578" s="1" t="s">
        <v>3654</v>
      </c>
      <c r="E1578" s="1">
        <v>14300000</v>
      </c>
    </row>
    <row r="1579" spans="1:5" ht="14.4" x14ac:dyDescent="0.3">
      <c r="A1579" s="17" t="s">
        <v>11818</v>
      </c>
      <c r="B1579" s="1" t="s">
        <v>214</v>
      </c>
      <c r="C1579" s="1" t="s">
        <v>2675</v>
      </c>
      <c r="D1579" s="1" t="s">
        <v>3758</v>
      </c>
      <c r="E1579" s="1">
        <v>22000000</v>
      </c>
    </row>
    <row r="1580" spans="1:5" ht="14.4" x14ac:dyDescent="0.3">
      <c r="A1580" s="17" t="s">
        <v>6975</v>
      </c>
      <c r="B1580" s="1" t="s">
        <v>28</v>
      </c>
      <c r="C1580" s="1" t="s">
        <v>2496</v>
      </c>
      <c r="D1580" s="1" t="s">
        <v>342</v>
      </c>
      <c r="E1580" s="1">
        <v>8200000</v>
      </c>
    </row>
    <row r="1581" spans="1:5" ht="14.4" x14ac:dyDescent="0.3">
      <c r="A1581" s="17" t="s">
        <v>11819</v>
      </c>
      <c r="B1581" s="1" t="s">
        <v>156</v>
      </c>
      <c r="C1581" s="1" t="s">
        <v>3072</v>
      </c>
      <c r="D1581" s="1" t="s">
        <v>3650</v>
      </c>
      <c r="E1581" s="1">
        <v>10300000</v>
      </c>
    </row>
    <row r="1582" spans="1:5" ht="14.4" x14ac:dyDescent="0.3">
      <c r="A1582" s="17" t="s">
        <v>11820</v>
      </c>
      <c r="B1582" s="1" t="s">
        <v>2494</v>
      </c>
      <c r="C1582" s="1" t="s">
        <v>3656</v>
      </c>
      <c r="D1582" s="1" t="s">
        <v>3657</v>
      </c>
      <c r="E1582" s="1">
        <v>12000000</v>
      </c>
    </row>
    <row r="1583" spans="1:5" ht="14.4" x14ac:dyDescent="0.3">
      <c r="A1583" s="17" t="s">
        <v>11821</v>
      </c>
      <c r="B1583" s="1" t="s">
        <v>156</v>
      </c>
      <c r="C1583" s="1" t="s">
        <v>3072</v>
      </c>
      <c r="D1583" s="1" t="s">
        <v>3650</v>
      </c>
      <c r="E1583" s="1">
        <v>10300000</v>
      </c>
    </row>
    <row r="1584" spans="1:5" ht="14.4" x14ac:dyDescent="0.3">
      <c r="A1584" s="17" t="s">
        <v>6976</v>
      </c>
      <c r="B1584" s="1" t="s">
        <v>68</v>
      </c>
      <c r="C1584" s="1">
        <v>500</v>
      </c>
      <c r="D1584" s="1" t="s">
        <v>325</v>
      </c>
      <c r="E1584" s="1">
        <v>11600000</v>
      </c>
    </row>
    <row r="1585" spans="1:5" ht="14.4" x14ac:dyDescent="0.3">
      <c r="A1585" s="17" t="s">
        <v>6977</v>
      </c>
      <c r="B1585" s="1" t="s">
        <v>86</v>
      </c>
      <c r="C1585" s="1" t="s">
        <v>93</v>
      </c>
      <c r="D1585" s="1" t="s">
        <v>3655</v>
      </c>
      <c r="E1585" s="1">
        <v>31400000</v>
      </c>
    </row>
    <row r="1586" spans="1:5" ht="14.4" x14ac:dyDescent="0.3">
      <c r="A1586" s="17" t="s">
        <v>6978</v>
      </c>
      <c r="B1586" s="1" t="s">
        <v>156</v>
      </c>
      <c r="C1586" s="1" t="s">
        <v>3096</v>
      </c>
      <c r="D1586" s="1" t="s">
        <v>164</v>
      </c>
      <c r="E1586" s="1">
        <v>20600000</v>
      </c>
    </row>
    <row r="1587" spans="1:5" ht="14.4" x14ac:dyDescent="0.3">
      <c r="A1587" s="17" t="s">
        <v>6979</v>
      </c>
      <c r="B1587" s="1" t="s">
        <v>2494</v>
      </c>
      <c r="C1587" s="1" t="s">
        <v>3656</v>
      </c>
      <c r="D1587" s="1" t="s">
        <v>3657</v>
      </c>
      <c r="E1587" s="1">
        <v>12000000</v>
      </c>
    </row>
    <row r="1588" spans="1:5" ht="14.4" x14ac:dyDescent="0.3">
      <c r="A1588" s="17" t="s">
        <v>6980</v>
      </c>
      <c r="B1588" s="1" t="s">
        <v>220</v>
      </c>
      <c r="C1588" s="1" t="s">
        <v>223</v>
      </c>
      <c r="D1588" s="1" t="s">
        <v>225</v>
      </c>
      <c r="E1588" s="1">
        <v>18000000</v>
      </c>
    </row>
    <row r="1589" spans="1:5" ht="14.4" x14ac:dyDescent="0.3">
      <c r="A1589" s="17" t="s">
        <v>6981</v>
      </c>
      <c r="B1589" s="1" t="s">
        <v>311</v>
      </c>
      <c r="C1589" s="1" t="s">
        <v>315</v>
      </c>
      <c r="D1589" s="1" t="s">
        <v>316</v>
      </c>
      <c r="E1589" s="1">
        <v>11600000</v>
      </c>
    </row>
    <row r="1590" spans="1:5" ht="14.4" x14ac:dyDescent="0.3">
      <c r="A1590" s="17" t="s">
        <v>6982</v>
      </c>
      <c r="B1590" s="1" t="s">
        <v>2549</v>
      </c>
      <c r="C1590" s="1" t="s">
        <v>3658</v>
      </c>
      <c r="D1590" s="1" t="s">
        <v>3659</v>
      </c>
      <c r="E1590" s="1">
        <v>14800000</v>
      </c>
    </row>
    <row r="1591" spans="1:5" ht="14.4" x14ac:dyDescent="0.3">
      <c r="A1591" s="17" t="s">
        <v>6983</v>
      </c>
      <c r="B1591" s="1" t="s">
        <v>2533</v>
      </c>
      <c r="C1591" s="1" t="s">
        <v>2599</v>
      </c>
      <c r="D1591" s="1" t="s">
        <v>339</v>
      </c>
      <c r="E1591" s="1">
        <v>7520000</v>
      </c>
    </row>
    <row r="1592" spans="1:5" ht="14.4" x14ac:dyDescent="0.3">
      <c r="A1592" s="17" t="s">
        <v>6984</v>
      </c>
      <c r="B1592" s="1" t="s">
        <v>173</v>
      </c>
      <c r="C1592" s="1">
        <v>7</v>
      </c>
      <c r="D1592" s="1" t="s">
        <v>175</v>
      </c>
      <c r="E1592" s="1">
        <v>17400000</v>
      </c>
    </row>
    <row r="1593" spans="1:5" ht="14.4" x14ac:dyDescent="0.3">
      <c r="A1593" s="17" t="s">
        <v>6985</v>
      </c>
      <c r="B1593" s="1" t="s">
        <v>173</v>
      </c>
      <c r="C1593" s="1">
        <v>7</v>
      </c>
      <c r="D1593" s="1" t="s">
        <v>175</v>
      </c>
      <c r="E1593" s="1">
        <v>21600000</v>
      </c>
    </row>
    <row r="1594" spans="1:5" ht="14.4" x14ac:dyDescent="0.3">
      <c r="A1594" s="17" t="s">
        <v>6986</v>
      </c>
      <c r="B1594" s="1" t="s">
        <v>214</v>
      </c>
      <c r="C1594" s="1" t="s">
        <v>2675</v>
      </c>
      <c r="D1594" s="1" t="s">
        <v>3660</v>
      </c>
      <c r="E1594" s="1">
        <v>18200000</v>
      </c>
    </row>
    <row r="1595" spans="1:5" ht="14.4" x14ac:dyDescent="0.3">
      <c r="A1595" s="17" t="s">
        <v>6987</v>
      </c>
      <c r="B1595" s="1" t="s">
        <v>156</v>
      </c>
      <c r="C1595" s="1" t="s">
        <v>3025</v>
      </c>
      <c r="D1595" s="1" t="s">
        <v>3279</v>
      </c>
      <c r="E1595" s="1">
        <v>24300000</v>
      </c>
    </row>
    <row r="1596" spans="1:5" ht="14.4" x14ac:dyDescent="0.3">
      <c r="A1596" s="17" t="s">
        <v>6988</v>
      </c>
      <c r="B1596" s="1" t="s">
        <v>317</v>
      </c>
      <c r="C1596" s="1" t="s">
        <v>318</v>
      </c>
      <c r="D1596" s="1" t="s">
        <v>320</v>
      </c>
      <c r="E1596" s="1">
        <v>11100000</v>
      </c>
    </row>
    <row r="1597" spans="1:5" ht="14.4" x14ac:dyDescent="0.3">
      <c r="A1597" s="17" t="s">
        <v>11822</v>
      </c>
      <c r="B1597" s="1" t="s">
        <v>220</v>
      </c>
      <c r="C1597" s="1" t="s">
        <v>2492</v>
      </c>
      <c r="D1597" s="1" t="s">
        <v>11823</v>
      </c>
      <c r="E1597" s="1">
        <v>14700000</v>
      </c>
    </row>
    <row r="1598" spans="1:5" ht="14.4" x14ac:dyDescent="0.3">
      <c r="A1598" s="17" t="s">
        <v>11824</v>
      </c>
      <c r="B1598" s="1" t="s">
        <v>2517</v>
      </c>
      <c r="C1598" s="1" t="s">
        <v>2688</v>
      </c>
      <c r="D1598" s="1" t="s">
        <v>3663</v>
      </c>
      <c r="E1598" s="1">
        <v>7430000</v>
      </c>
    </row>
    <row r="1599" spans="1:5" ht="14.4" x14ac:dyDescent="0.3">
      <c r="A1599" s="17" t="s">
        <v>6989</v>
      </c>
      <c r="B1599" s="1" t="s">
        <v>86</v>
      </c>
      <c r="C1599" s="1" t="s">
        <v>90</v>
      </c>
      <c r="D1599" s="1" t="s">
        <v>3661</v>
      </c>
      <c r="E1599" s="1">
        <v>12400000</v>
      </c>
    </row>
    <row r="1600" spans="1:5" ht="14.4" x14ac:dyDescent="0.3">
      <c r="A1600" s="17" t="s">
        <v>6990</v>
      </c>
      <c r="B1600" s="1" t="s">
        <v>2494</v>
      </c>
      <c r="C1600" s="1" t="s">
        <v>2531</v>
      </c>
      <c r="D1600" s="1" t="s">
        <v>3662</v>
      </c>
      <c r="E1600" s="1">
        <v>8400000</v>
      </c>
    </row>
    <row r="1601" spans="1:5" ht="14.4" x14ac:dyDescent="0.3">
      <c r="A1601" s="17" t="s">
        <v>6991</v>
      </c>
      <c r="B1601" s="1" t="s">
        <v>147</v>
      </c>
      <c r="C1601" s="1" t="s">
        <v>153</v>
      </c>
      <c r="D1601" s="1" t="s">
        <v>155</v>
      </c>
      <c r="E1601" s="1">
        <v>12500000</v>
      </c>
    </row>
    <row r="1602" spans="1:5" ht="14.4" x14ac:dyDescent="0.3">
      <c r="A1602" s="17" t="s">
        <v>6992</v>
      </c>
      <c r="B1602" s="1" t="s">
        <v>2517</v>
      </c>
      <c r="C1602" s="1" t="s">
        <v>2688</v>
      </c>
      <c r="D1602" s="1" t="s">
        <v>3663</v>
      </c>
      <c r="E1602" s="1">
        <v>7430000</v>
      </c>
    </row>
    <row r="1603" spans="1:5" ht="14.4" x14ac:dyDescent="0.3">
      <c r="A1603" s="17" t="s">
        <v>6993</v>
      </c>
      <c r="B1603" s="1" t="s">
        <v>220</v>
      </c>
      <c r="C1603" s="1" t="s">
        <v>2492</v>
      </c>
      <c r="D1603" s="1" t="s">
        <v>2477</v>
      </c>
      <c r="E1603" s="1">
        <v>16500000</v>
      </c>
    </row>
    <row r="1604" spans="1:5" ht="14.4" x14ac:dyDescent="0.3">
      <c r="A1604" s="17" t="s">
        <v>6994</v>
      </c>
      <c r="B1604" s="1" t="s">
        <v>86</v>
      </c>
      <c r="C1604" s="1" t="s">
        <v>90</v>
      </c>
      <c r="D1604" s="1" t="s">
        <v>3664</v>
      </c>
      <c r="E1604" s="1">
        <v>8000000</v>
      </c>
    </row>
    <row r="1605" spans="1:5" ht="14.4" x14ac:dyDescent="0.3">
      <c r="A1605" s="17" t="s">
        <v>6995</v>
      </c>
      <c r="B1605" s="1" t="s">
        <v>214</v>
      </c>
      <c r="C1605" s="1" t="s">
        <v>215</v>
      </c>
      <c r="D1605" s="1" t="s">
        <v>219</v>
      </c>
      <c r="E1605" s="1">
        <v>27400000</v>
      </c>
    </row>
    <row r="1606" spans="1:5" ht="14.4" x14ac:dyDescent="0.3">
      <c r="A1606" s="17" t="s">
        <v>11825</v>
      </c>
      <c r="B1606" s="1" t="s">
        <v>2494</v>
      </c>
      <c r="C1606" s="1" t="s">
        <v>2987</v>
      </c>
      <c r="D1606" s="1" t="s">
        <v>11826</v>
      </c>
      <c r="E1606" s="1">
        <v>8300000</v>
      </c>
    </row>
    <row r="1607" spans="1:5" ht="14.4" x14ac:dyDescent="0.3">
      <c r="A1607" s="17" t="s">
        <v>6996</v>
      </c>
      <c r="B1607" s="1" t="s">
        <v>214</v>
      </c>
      <c r="C1607" s="1" t="s">
        <v>215</v>
      </c>
      <c r="D1607" s="1" t="s">
        <v>2477</v>
      </c>
      <c r="E1607" s="1">
        <v>30000000</v>
      </c>
    </row>
    <row r="1608" spans="1:5" ht="14.4" x14ac:dyDescent="0.3">
      <c r="A1608" s="17" t="s">
        <v>6997</v>
      </c>
      <c r="B1608" s="1" t="s">
        <v>14</v>
      </c>
      <c r="C1608" s="1" t="s">
        <v>15</v>
      </c>
      <c r="D1608" s="1" t="s">
        <v>3665</v>
      </c>
      <c r="E1608" s="1">
        <v>7820000</v>
      </c>
    </row>
    <row r="1609" spans="1:5" ht="14.4" x14ac:dyDescent="0.3">
      <c r="A1609" s="17" t="s">
        <v>6998</v>
      </c>
      <c r="B1609" s="1" t="s">
        <v>86</v>
      </c>
      <c r="C1609" s="1" t="s">
        <v>3068</v>
      </c>
      <c r="D1609" s="1" t="s">
        <v>3666</v>
      </c>
      <c r="E1609" s="1">
        <v>32100000</v>
      </c>
    </row>
    <row r="1610" spans="1:5" ht="14.4" x14ac:dyDescent="0.3">
      <c r="A1610" s="17" t="s">
        <v>6999</v>
      </c>
      <c r="B1610" s="1" t="s">
        <v>86</v>
      </c>
      <c r="C1610" s="1" t="s">
        <v>90</v>
      </c>
      <c r="D1610" s="1" t="s">
        <v>330</v>
      </c>
      <c r="E1610" s="1">
        <v>7740000</v>
      </c>
    </row>
    <row r="1611" spans="1:5" ht="14.4" x14ac:dyDescent="0.3">
      <c r="A1611" s="17" t="s">
        <v>7000</v>
      </c>
      <c r="B1611" s="1" t="s">
        <v>86</v>
      </c>
      <c r="C1611" s="1" t="s">
        <v>2476</v>
      </c>
      <c r="D1611" s="1" t="s">
        <v>3667</v>
      </c>
      <c r="E1611" s="1">
        <v>57000000</v>
      </c>
    </row>
    <row r="1612" spans="1:5" ht="14.4" x14ac:dyDescent="0.3">
      <c r="A1612" s="17" t="s">
        <v>7001</v>
      </c>
      <c r="B1612" s="1" t="s">
        <v>60</v>
      </c>
      <c r="C1612" s="1" t="s">
        <v>2854</v>
      </c>
      <c r="D1612" s="1" t="s">
        <v>3668</v>
      </c>
      <c r="E1612" s="1">
        <v>17900000</v>
      </c>
    </row>
    <row r="1613" spans="1:5" ht="14.4" x14ac:dyDescent="0.3">
      <c r="A1613" s="17" t="s">
        <v>7002</v>
      </c>
      <c r="B1613" s="1" t="s">
        <v>220</v>
      </c>
      <c r="C1613" s="1" t="s">
        <v>2576</v>
      </c>
      <c r="D1613" s="1" t="s">
        <v>3669</v>
      </c>
      <c r="E1613" s="1">
        <v>30000000</v>
      </c>
    </row>
    <row r="1614" spans="1:5" ht="14.4" x14ac:dyDescent="0.3">
      <c r="A1614" s="17" t="s">
        <v>7003</v>
      </c>
      <c r="B1614" s="1" t="s">
        <v>2526</v>
      </c>
      <c r="C1614" s="1" t="s">
        <v>2527</v>
      </c>
      <c r="D1614" s="1" t="s">
        <v>3670</v>
      </c>
      <c r="E1614" s="1">
        <v>8400000</v>
      </c>
    </row>
    <row r="1615" spans="1:5" ht="14.4" x14ac:dyDescent="0.3">
      <c r="A1615" s="17" t="s">
        <v>7004</v>
      </c>
      <c r="B1615" s="1" t="s">
        <v>86</v>
      </c>
      <c r="C1615" s="1" t="s">
        <v>2793</v>
      </c>
      <c r="D1615" s="1" t="s">
        <v>3671</v>
      </c>
      <c r="E1615" s="1">
        <v>16000000</v>
      </c>
    </row>
    <row r="1616" spans="1:5" ht="14.4" x14ac:dyDescent="0.3">
      <c r="A1616" s="17" t="s">
        <v>7005</v>
      </c>
      <c r="B1616" s="1" t="s">
        <v>241</v>
      </c>
      <c r="C1616" s="1" t="s">
        <v>2485</v>
      </c>
      <c r="D1616" s="1" t="s">
        <v>3035</v>
      </c>
      <c r="E1616" s="1">
        <v>13300000</v>
      </c>
    </row>
    <row r="1617" spans="1:5" ht="14.4" x14ac:dyDescent="0.3">
      <c r="A1617" s="17" t="s">
        <v>7006</v>
      </c>
      <c r="B1617" s="1" t="s">
        <v>45</v>
      </c>
      <c r="C1617" s="1" t="s">
        <v>2822</v>
      </c>
      <c r="D1617" s="1" t="s">
        <v>3672</v>
      </c>
      <c r="E1617" s="1">
        <v>7970000</v>
      </c>
    </row>
    <row r="1618" spans="1:5" ht="14.4" x14ac:dyDescent="0.3">
      <c r="A1618" s="17" t="s">
        <v>7007</v>
      </c>
      <c r="B1618" s="1" t="s">
        <v>2533</v>
      </c>
      <c r="C1618" s="1" t="s">
        <v>2599</v>
      </c>
      <c r="D1618" s="1" t="s">
        <v>3673</v>
      </c>
      <c r="E1618" s="1">
        <v>10100000</v>
      </c>
    </row>
    <row r="1619" spans="1:5" ht="14.4" x14ac:dyDescent="0.3">
      <c r="A1619" s="17" t="s">
        <v>7008</v>
      </c>
      <c r="B1619" s="1" t="s">
        <v>45</v>
      </c>
      <c r="C1619" s="1" t="s">
        <v>2995</v>
      </c>
      <c r="D1619" s="1" t="s">
        <v>3674</v>
      </c>
      <c r="E1619" s="1">
        <v>8000000</v>
      </c>
    </row>
    <row r="1620" spans="1:5" ht="14.4" x14ac:dyDescent="0.3">
      <c r="A1620" s="17" t="s">
        <v>7009</v>
      </c>
      <c r="B1620" s="1" t="s">
        <v>147</v>
      </c>
      <c r="C1620" s="1" t="s">
        <v>153</v>
      </c>
      <c r="D1620" s="1" t="s">
        <v>3675</v>
      </c>
      <c r="E1620" s="1">
        <v>12300000</v>
      </c>
    </row>
    <row r="1621" spans="1:5" ht="14.4" x14ac:dyDescent="0.3">
      <c r="A1621" s="17" t="s">
        <v>7010</v>
      </c>
      <c r="B1621" s="1" t="s">
        <v>241</v>
      </c>
      <c r="C1621" s="1" t="s">
        <v>269</v>
      </c>
      <c r="D1621" s="1" t="s">
        <v>2477</v>
      </c>
      <c r="E1621" s="1">
        <v>18700000</v>
      </c>
    </row>
    <row r="1622" spans="1:5" ht="14.4" x14ac:dyDescent="0.3">
      <c r="A1622" s="17" t="s">
        <v>7011</v>
      </c>
      <c r="B1622" s="1" t="s">
        <v>2545</v>
      </c>
      <c r="C1622" s="1" t="s">
        <v>2733</v>
      </c>
      <c r="D1622" s="1" t="s">
        <v>3676</v>
      </c>
      <c r="E1622" s="1">
        <v>21000000</v>
      </c>
    </row>
    <row r="1623" spans="1:5" ht="14.4" x14ac:dyDescent="0.3">
      <c r="A1623" s="17" t="s">
        <v>7012</v>
      </c>
      <c r="B1623" s="1" t="s">
        <v>45</v>
      </c>
      <c r="C1623" s="1" t="s">
        <v>2525</v>
      </c>
      <c r="D1623" s="1" t="s">
        <v>3677</v>
      </c>
      <c r="E1623" s="1">
        <v>20900000</v>
      </c>
    </row>
    <row r="1624" spans="1:5" ht="14.4" x14ac:dyDescent="0.3">
      <c r="A1624" s="17" t="s">
        <v>7013</v>
      </c>
      <c r="B1624" s="1" t="s">
        <v>311</v>
      </c>
      <c r="C1624" s="1" t="s">
        <v>3593</v>
      </c>
      <c r="D1624" s="1" t="s">
        <v>3678</v>
      </c>
      <c r="E1624" s="1">
        <v>7140000</v>
      </c>
    </row>
    <row r="1625" spans="1:5" ht="14.4" x14ac:dyDescent="0.3">
      <c r="A1625" s="17" t="s">
        <v>7014</v>
      </c>
      <c r="B1625" s="1" t="s">
        <v>241</v>
      </c>
      <c r="C1625" s="1" t="s">
        <v>2505</v>
      </c>
      <c r="D1625" s="1" t="s">
        <v>3679</v>
      </c>
      <c r="E1625" s="1">
        <v>23600000</v>
      </c>
    </row>
    <row r="1626" spans="1:5" ht="14.4" x14ac:dyDescent="0.3">
      <c r="A1626" s="17" t="s">
        <v>7015</v>
      </c>
      <c r="B1626" s="1" t="s">
        <v>306</v>
      </c>
      <c r="C1626" s="1" t="s">
        <v>2564</v>
      </c>
      <c r="D1626" s="1" t="s">
        <v>3680</v>
      </c>
      <c r="E1626" s="1">
        <v>14000000</v>
      </c>
    </row>
    <row r="1627" spans="1:5" ht="14.4" x14ac:dyDescent="0.3">
      <c r="A1627" s="17" t="s">
        <v>7016</v>
      </c>
      <c r="B1627" s="1" t="s">
        <v>28</v>
      </c>
      <c r="C1627" s="1" t="s">
        <v>42</v>
      </c>
      <c r="D1627" s="1" t="s">
        <v>3681</v>
      </c>
      <c r="E1627" s="1">
        <v>14800000</v>
      </c>
    </row>
    <row r="1628" spans="1:5" ht="14.4" x14ac:dyDescent="0.3">
      <c r="A1628" s="17" t="s">
        <v>7017</v>
      </c>
      <c r="B1628" s="1" t="s">
        <v>2498</v>
      </c>
      <c r="C1628" s="1" t="s">
        <v>188</v>
      </c>
      <c r="D1628" s="1" t="s">
        <v>3682</v>
      </c>
      <c r="E1628" s="1">
        <v>7360000</v>
      </c>
    </row>
    <row r="1629" spans="1:5" ht="14.4" x14ac:dyDescent="0.3">
      <c r="A1629" s="17" t="s">
        <v>7018</v>
      </c>
      <c r="B1629" s="1" t="s">
        <v>86</v>
      </c>
      <c r="C1629" s="1" t="s">
        <v>3068</v>
      </c>
      <c r="D1629" s="1" t="s">
        <v>3683</v>
      </c>
      <c r="E1629" s="1">
        <v>34100000</v>
      </c>
    </row>
    <row r="1630" spans="1:5" ht="14.4" x14ac:dyDescent="0.3">
      <c r="A1630" s="17" t="s">
        <v>7019</v>
      </c>
      <c r="B1630" s="1" t="s">
        <v>86</v>
      </c>
      <c r="C1630" s="1" t="s">
        <v>3684</v>
      </c>
      <c r="D1630" s="1" t="s">
        <v>3685</v>
      </c>
      <c r="E1630" s="1">
        <v>65000000</v>
      </c>
    </row>
    <row r="1631" spans="1:5" ht="14.4" x14ac:dyDescent="0.3">
      <c r="A1631" s="17" t="s">
        <v>7020</v>
      </c>
      <c r="B1631" s="1" t="s">
        <v>142</v>
      </c>
      <c r="C1631" s="1" t="s">
        <v>145</v>
      </c>
      <c r="D1631" s="1" t="s">
        <v>3686</v>
      </c>
      <c r="E1631" s="1">
        <v>18700000</v>
      </c>
    </row>
    <row r="1632" spans="1:5" ht="14.4" x14ac:dyDescent="0.3">
      <c r="A1632" s="17" t="s">
        <v>7021</v>
      </c>
      <c r="B1632" s="1" t="s">
        <v>156</v>
      </c>
      <c r="C1632" s="1" t="s">
        <v>2479</v>
      </c>
      <c r="D1632" s="1" t="s">
        <v>3687</v>
      </c>
      <c r="E1632" s="1">
        <v>7560000</v>
      </c>
    </row>
    <row r="1633" spans="1:5" ht="14.4" x14ac:dyDescent="0.3">
      <c r="A1633" s="17" t="s">
        <v>7022</v>
      </c>
      <c r="B1633" s="1" t="s">
        <v>68</v>
      </c>
      <c r="C1633" s="1">
        <v>560</v>
      </c>
      <c r="D1633" s="1" t="s">
        <v>3688</v>
      </c>
      <c r="E1633" s="1">
        <v>7990000</v>
      </c>
    </row>
    <row r="1634" spans="1:5" ht="14.4" x14ac:dyDescent="0.3">
      <c r="A1634" s="17" t="s">
        <v>7023</v>
      </c>
      <c r="B1634" s="1" t="s">
        <v>86</v>
      </c>
      <c r="C1634" s="1" t="s">
        <v>106</v>
      </c>
      <c r="D1634" s="1" t="s">
        <v>3689</v>
      </c>
      <c r="E1634" s="1">
        <v>19400000</v>
      </c>
    </row>
    <row r="1635" spans="1:5" ht="14.4" x14ac:dyDescent="0.3">
      <c r="A1635" s="17" t="s">
        <v>7024</v>
      </c>
      <c r="B1635" s="1" t="s">
        <v>291</v>
      </c>
      <c r="C1635" s="1" t="s">
        <v>2537</v>
      </c>
      <c r="D1635" s="1" t="s">
        <v>3690</v>
      </c>
      <c r="E1635" s="1">
        <v>12800000</v>
      </c>
    </row>
    <row r="1636" spans="1:5" ht="14.4" x14ac:dyDescent="0.3">
      <c r="A1636" s="17" t="s">
        <v>7025</v>
      </c>
      <c r="B1636" s="1" t="s">
        <v>214</v>
      </c>
      <c r="C1636" s="1" t="s">
        <v>2675</v>
      </c>
      <c r="D1636" s="1" t="s">
        <v>3691</v>
      </c>
      <c r="E1636" s="1">
        <v>21800000</v>
      </c>
    </row>
    <row r="1637" spans="1:5" ht="14.4" x14ac:dyDescent="0.3">
      <c r="A1637" s="17" t="s">
        <v>7026</v>
      </c>
      <c r="B1637" s="1" t="s">
        <v>86</v>
      </c>
      <c r="C1637" s="1" t="s">
        <v>3692</v>
      </c>
      <c r="D1637" s="1" t="s">
        <v>3693</v>
      </c>
      <c r="E1637" s="1">
        <v>33400000</v>
      </c>
    </row>
    <row r="1638" spans="1:5" ht="14.4" x14ac:dyDescent="0.3">
      <c r="A1638" s="17" t="s">
        <v>7027</v>
      </c>
      <c r="B1638" s="1" t="s">
        <v>2498</v>
      </c>
      <c r="C1638" s="1" t="s">
        <v>3136</v>
      </c>
      <c r="D1638" s="1" t="s">
        <v>3694</v>
      </c>
      <c r="E1638" s="1">
        <v>17800000</v>
      </c>
    </row>
    <row r="1639" spans="1:5" ht="14.4" x14ac:dyDescent="0.3">
      <c r="A1639" s="17" t="s">
        <v>11827</v>
      </c>
      <c r="B1639" s="1" t="s">
        <v>68</v>
      </c>
      <c r="C1639" s="1">
        <v>500</v>
      </c>
      <c r="D1639" s="1" t="s">
        <v>3744</v>
      </c>
      <c r="E1639" s="1">
        <v>10000000</v>
      </c>
    </row>
    <row r="1640" spans="1:5" ht="14.4" x14ac:dyDescent="0.3">
      <c r="A1640" s="17" t="s">
        <v>7028</v>
      </c>
      <c r="B1640" s="1" t="s">
        <v>156</v>
      </c>
      <c r="C1640" s="1" t="s">
        <v>3072</v>
      </c>
      <c r="D1640" s="1" t="s">
        <v>158</v>
      </c>
      <c r="E1640" s="1">
        <v>9300000</v>
      </c>
    </row>
    <row r="1641" spans="1:5" ht="14.4" x14ac:dyDescent="0.3">
      <c r="A1641" s="17" t="s">
        <v>7029</v>
      </c>
      <c r="B1641" s="1" t="s">
        <v>2498</v>
      </c>
      <c r="C1641" s="1" t="s">
        <v>2920</v>
      </c>
      <c r="D1641" s="1" t="s">
        <v>3695</v>
      </c>
      <c r="E1641" s="1">
        <v>16400000</v>
      </c>
    </row>
    <row r="1642" spans="1:5" ht="14.4" x14ac:dyDescent="0.3">
      <c r="A1642" s="17" t="s">
        <v>7030</v>
      </c>
      <c r="B1642" s="1" t="s">
        <v>68</v>
      </c>
      <c r="C1642" s="1">
        <v>560</v>
      </c>
      <c r="D1642" s="1" t="s">
        <v>72</v>
      </c>
      <c r="E1642" s="1">
        <v>9300000</v>
      </c>
    </row>
    <row r="1643" spans="1:5" ht="14.4" x14ac:dyDescent="0.3">
      <c r="A1643" s="17" t="s">
        <v>7031</v>
      </c>
      <c r="B1643" s="1" t="s">
        <v>2494</v>
      </c>
      <c r="C1643" s="1" t="s">
        <v>3497</v>
      </c>
      <c r="D1643" s="1" t="s">
        <v>3696</v>
      </c>
      <c r="E1643" s="1">
        <v>15400000</v>
      </c>
    </row>
    <row r="1644" spans="1:5" ht="14.4" x14ac:dyDescent="0.3">
      <c r="A1644" s="17" t="s">
        <v>7032</v>
      </c>
      <c r="B1644" s="1" t="s">
        <v>241</v>
      </c>
      <c r="C1644" s="1" t="s">
        <v>2584</v>
      </c>
      <c r="D1644" s="1" t="s">
        <v>3697</v>
      </c>
      <c r="E1644" s="1">
        <v>15600000</v>
      </c>
    </row>
    <row r="1645" spans="1:5" ht="14.4" x14ac:dyDescent="0.3">
      <c r="A1645" s="17" t="s">
        <v>7033</v>
      </c>
      <c r="B1645" s="1" t="s">
        <v>28</v>
      </c>
      <c r="C1645" s="1" t="s">
        <v>38</v>
      </c>
      <c r="D1645" s="1" t="s">
        <v>3698</v>
      </c>
      <c r="E1645" s="1">
        <v>11700000</v>
      </c>
    </row>
    <row r="1646" spans="1:5" ht="14.4" x14ac:dyDescent="0.3">
      <c r="A1646" s="17" t="s">
        <v>7034</v>
      </c>
      <c r="B1646" s="1" t="s">
        <v>300</v>
      </c>
      <c r="C1646" s="1" t="s">
        <v>3699</v>
      </c>
      <c r="D1646" s="1" t="s">
        <v>338</v>
      </c>
      <c r="E1646" s="1">
        <v>14300000</v>
      </c>
    </row>
    <row r="1647" spans="1:5" ht="14.4" x14ac:dyDescent="0.3">
      <c r="A1647" s="17" t="s">
        <v>7035</v>
      </c>
      <c r="B1647" s="1" t="s">
        <v>241</v>
      </c>
      <c r="C1647" s="1" t="s">
        <v>2487</v>
      </c>
      <c r="D1647" s="1" t="s">
        <v>1150</v>
      </c>
      <c r="E1647" s="1">
        <v>17900000</v>
      </c>
    </row>
    <row r="1648" spans="1:5" ht="14.4" x14ac:dyDescent="0.3">
      <c r="A1648" s="17" t="s">
        <v>7036</v>
      </c>
      <c r="B1648" s="1" t="s">
        <v>220</v>
      </c>
      <c r="C1648" s="1" t="s">
        <v>2492</v>
      </c>
      <c r="D1648" s="1" t="s">
        <v>3700</v>
      </c>
      <c r="E1648" s="1">
        <v>22300000</v>
      </c>
    </row>
    <row r="1649" spans="1:5" ht="14.4" x14ac:dyDescent="0.3">
      <c r="A1649" s="17" t="s">
        <v>7037</v>
      </c>
      <c r="B1649" s="1" t="s">
        <v>2494</v>
      </c>
      <c r="C1649" s="1" t="s">
        <v>2495</v>
      </c>
      <c r="D1649" s="1" t="s">
        <v>3701</v>
      </c>
      <c r="E1649" s="1">
        <v>7670000</v>
      </c>
    </row>
    <row r="1650" spans="1:5" ht="14.4" x14ac:dyDescent="0.3">
      <c r="A1650" s="17" t="s">
        <v>7038</v>
      </c>
      <c r="B1650" s="1" t="s">
        <v>3427</v>
      </c>
      <c r="C1650" s="1" t="s">
        <v>3702</v>
      </c>
      <c r="D1650" s="1" t="s">
        <v>3703</v>
      </c>
      <c r="E1650" s="1">
        <v>15400000</v>
      </c>
    </row>
    <row r="1651" spans="1:5" ht="14.4" x14ac:dyDescent="0.3">
      <c r="A1651" s="17" t="s">
        <v>7039</v>
      </c>
      <c r="B1651" s="1" t="s">
        <v>311</v>
      </c>
      <c r="C1651" s="1" t="s">
        <v>3599</v>
      </c>
      <c r="D1651" s="1" t="s">
        <v>3704</v>
      </c>
      <c r="E1651" s="1">
        <v>16900000</v>
      </c>
    </row>
    <row r="1652" spans="1:5" ht="14.4" x14ac:dyDescent="0.3">
      <c r="A1652" s="17" t="s">
        <v>11828</v>
      </c>
      <c r="B1652" s="1" t="s">
        <v>68</v>
      </c>
      <c r="C1652" s="1">
        <v>600</v>
      </c>
      <c r="D1652" s="1" t="s">
        <v>11829</v>
      </c>
      <c r="E1652" s="1">
        <v>15100000</v>
      </c>
    </row>
    <row r="1653" spans="1:5" ht="14.4" x14ac:dyDescent="0.3">
      <c r="A1653" s="17" t="s">
        <v>11830</v>
      </c>
      <c r="B1653" s="1" t="s">
        <v>2955</v>
      </c>
      <c r="C1653" s="1" t="s">
        <v>2518</v>
      </c>
      <c r="D1653" s="1" t="s">
        <v>3705</v>
      </c>
      <c r="E1653" s="1">
        <v>8600000</v>
      </c>
    </row>
    <row r="1654" spans="1:5" ht="14.4" x14ac:dyDescent="0.3">
      <c r="A1654" s="17" t="s">
        <v>7040</v>
      </c>
      <c r="B1654" s="1" t="s">
        <v>2955</v>
      </c>
      <c r="C1654" s="1" t="s">
        <v>2518</v>
      </c>
      <c r="D1654" s="1" t="s">
        <v>3705</v>
      </c>
      <c r="E1654" s="1">
        <v>8600000</v>
      </c>
    </row>
    <row r="1655" spans="1:5" ht="14.4" x14ac:dyDescent="0.3">
      <c r="A1655" s="17" t="s">
        <v>11831</v>
      </c>
      <c r="B1655" s="1" t="s">
        <v>306</v>
      </c>
      <c r="C1655" s="1" t="s">
        <v>2596</v>
      </c>
      <c r="D1655" s="1" t="s">
        <v>3743</v>
      </c>
      <c r="E1655" s="1">
        <v>13500000</v>
      </c>
    </row>
    <row r="1656" spans="1:5" ht="14.4" x14ac:dyDescent="0.3">
      <c r="A1656" s="17" t="s">
        <v>7041</v>
      </c>
      <c r="B1656" s="1" t="s">
        <v>241</v>
      </c>
      <c r="C1656" s="1" t="s">
        <v>269</v>
      </c>
      <c r="D1656" s="1" t="s">
        <v>3706</v>
      </c>
      <c r="E1656" s="1">
        <v>19300000</v>
      </c>
    </row>
    <row r="1657" spans="1:5" ht="14.4" x14ac:dyDescent="0.3">
      <c r="A1657" s="17" t="s">
        <v>7042</v>
      </c>
      <c r="B1657" s="1" t="s">
        <v>167</v>
      </c>
      <c r="C1657" s="1" t="s">
        <v>2529</v>
      </c>
      <c r="D1657" s="1" t="s">
        <v>3707</v>
      </c>
      <c r="E1657" s="1">
        <v>8100000</v>
      </c>
    </row>
    <row r="1658" spans="1:5" ht="14.4" x14ac:dyDescent="0.3">
      <c r="A1658" s="17" t="s">
        <v>7043</v>
      </c>
      <c r="B1658" s="1" t="s">
        <v>14</v>
      </c>
      <c r="C1658" s="1" t="s">
        <v>2508</v>
      </c>
      <c r="D1658" s="1" t="s">
        <v>3708</v>
      </c>
      <c r="E1658" s="1">
        <v>12400000</v>
      </c>
    </row>
    <row r="1659" spans="1:5" ht="14.4" x14ac:dyDescent="0.3">
      <c r="A1659" s="17" t="s">
        <v>7044</v>
      </c>
      <c r="B1659" s="1" t="s">
        <v>288</v>
      </c>
      <c r="C1659" s="1" t="s">
        <v>3709</v>
      </c>
      <c r="D1659" s="1" t="s">
        <v>3710</v>
      </c>
      <c r="E1659" s="1">
        <v>15200000</v>
      </c>
    </row>
    <row r="1660" spans="1:5" ht="14.4" x14ac:dyDescent="0.3">
      <c r="A1660" s="17" t="s">
        <v>7045</v>
      </c>
      <c r="B1660" s="1" t="s">
        <v>147</v>
      </c>
      <c r="C1660" s="1" t="s">
        <v>153</v>
      </c>
      <c r="D1660" s="1" t="s">
        <v>3711</v>
      </c>
      <c r="E1660" s="1">
        <v>11200000</v>
      </c>
    </row>
    <row r="1661" spans="1:5" ht="14.4" x14ac:dyDescent="0.3">
      <c r="A1661" s="17" t="s">
        <v>7046</v>
      </c>
      <c r="B1661" s="1" t="s">
        <v>86</v>
      </c>
      <c r="C1661" s="1" t="s">
        <v>134</v>
      </c>
      <c r="D1661" s="1" t="s">
        <v>3712</v>
      </c>
      <c r="E1661" s="1">
        <v>12800000</v>
      </c>
    </row>
    <row r="1662" spans="1:5" ht="14.4" x14ac:dyDescent="0.3">
      <c r="A1662" s="17" t="s">
        <v>7047</v>
      </c>
      <c r="B1662" s="1" t="s">
        <v>311</v>
      </c>
      <c r="C1662" s="1" t="s">
        <v>3713</v>
      </c>
      <c r="D1662" s="1" t="s">
        <v>3714</v>
      </c>
      <c r="E1662" s="1">
        <v>15000000</v>
      </c>
    </row>
    <row r="1663" spans="1:5" ht="14.4" x14ac:dyDescent="0.3">
      <c r="A1663" s="17" t="s">
        <v>7048</v>
      </c>
      <c r="B1663" s="1" t="s">
        <v>2549</v>
      </c>
      <c r="C1663" s="1" t="s">
        <v>2655</v>
      </c>
      <c r="D1663" s="1" t="s">
        <v>3715</v>
      </c>
      <c r="E1663" s="1">
        <v>20500000</v>
      </c>
    </row>
    <row r="1664" spans="1:5" ht="14.4" x14ac:dyDescent="0.3">
      <c r="A1664" s="17" t="s">
        <v>7049</v>
      </c>
      <c r="B1664" s="1" t="s">
        <v>2493</v>
      </c>
      <c r="C1664" s="1" t="s">
        <v>83</v>
      </c>
      <c r="D1664" s="1" t="s">
        <v>85</v>
      </c>
      <c r="E1664" s="1">
        <v>13800000</v>
      </c>
    </row>
    <row r="1665" spans="1:5" ht="14.4" x14ac:dyDescent="0.3">
      <c r="A1665" s="17" t="s">
        <v>7050</v>
      </c>
      <c r="B1665" s="1" t="s">
        <v>2545</v>
      </c>
      <c r="C1665" s="1" t="s">
        <v>2546</v>
      </c>
      <c r="D1665" s="1" t="s">
        <v>3716</v>
      </c>
      <c r="E1665" s="1">
        <v>15500000</v>
      </c>
    </row>
    <row r="1666" spans="1:5" ht="14.4" x14ac:dyDescent="0.3">
      <c r="A1666" s="17" t="s">
        <v>7051</v>
      </c>
      <c r="B1666" s="1" t="s">
        <v>156</v>
      </c>
      <c r="C1666" s="1" t="s">
        <v>2868</v>
      </c>
      <c r="D1666" s="1" t="s">
        <v>157</v>
      </c>
      <c r="E1666" s="1">
        <v>12500000</v>
      </c>
    </row>
    <row r="1667" spans="1:5" ht="14.4" x14ac:dyDescent="0.3">
      <c r="A1667" s="17" t="s">
        <v>7052</v>
      </c>
      <c r="B1667" s="1" t="s">
        <v>241</v>
      </c>
      <c r="C1667" s="1" t="s">
        <v>2505</v>
      </c>
      <c r="D1667" s="1" t="s">
        <v>3717</v>
      </c>
      <c r="E1667" s="1">
        <v>24000000</v>
      </c>
    </row>
    <row r="1668" spans="1:5" ht="14.4" x14ac:dyDescent="0.3">
      <c r="A1668" s="17" t="s">
        <v>7053</v>
      </c>
      <c r="B1668" s="1" t="s">
        <v>288</v>
      </c>
      <c r="C1668" s="1" t="s">
        <v>3463</v>
      </c>
      <c r="D1668" s="1" t="s">
        <v>290</v>
      </c>
      <c r="E1668" s="1">
        <v>7900000</v>
      </c>
    </row>
    <row r="1669" spans="1:5" ht="14.4" x14ac:dyDescent="0.3">
      <c r="A1669" s="17" t="s">
        <v>7054</v>
      </c>
      <c r="B1669" s="1" t="s">
        <v>28</v>
      </c>
      <c r="C1669" s="1" t="s">
        <v>2496</v>
      </c>
      <c r="D1669" s="1" t="s">
        <v>3718</v>
      </c>
      <c r="E1669" s="1">
        <v>7940000</v>
      </c>
    </row>
    <row r="1670" spans="1:5" ht="14.4" x14ac:dyDescent="0.3">
      <c r="A1670" s="17" t="s">
        <v>7055</v>
      </c>
      <c r="B1670" s="1" t="s">
        <v>28</v>
      </c>
      <c r="C1670" s="1" t="s">
        <v>2575</v>
      </c>
      <c r="D1670" s="1" t="s">
        <v>2477</v>
      </c>
      <c r="E1670" s="1">
        <v>7850000</v>
      </c>
    </row>
    <row r="1671" spans="1:5" ht="14.4" x14ac:dyDescent="0.3">
      <c r="A1671" s="17" t="s">
        <v>7056</v>
      </c>
      <c r="B1671" s="1" t="s">
        <v>28</v>
      </c>
      <c r="C1671" s="1" t="s">
        <v>38</v>
      </c>
      <c r="D1671" s="1" t="s">
        <v>2292</v>
      </c>
      <c r="E1671" s="1">
        <v>11800000</v>
      </c>
    </row>
    <row r="1672" spans="1:5" ht="14.4" x14ac:dyDescent="0.3">
      <c r="A1672" s="17" t="s">
        <v>7057</v>
      </c>
      <c r="B1672" s="1" t="s">
        <v>214</v>
      </c>
      <c r="C1672" s="1" t="s">
        <v>2675</v>
      </c>
      <c r="D1672" s="1" t="s">
        <v>3719</v>
      </c>
      <c r="E1672" s="1">
        <v>17800000</v>
      </c>
    </row>
    <row r="1673" spans="1:5" ht="14.4" x14ac:dyDescent="0.3">
      <c r="A1673" s="17" t="s">
        <v>7058</v>
      </c>
      <c r="B1673" s="1" t="s">
        <v>214</v>
      </c>
      <c r="C1673" s="1" t="s">
        <v>2675</v>
      </c>
      <c r="D1673" s="1" t="s">
        <v>3720</v>
      </c>
      <c r="E1673" s="1">
        <v>18300000</v>
      </c>
    </row>
    <row r="1674" spans="1:5" ht="14.4" x14ac:dyDescent="0.3">
      <c r="A1674" s="17" t="s">
        <v>7059</v>
      </c>
      <c r="B1674" s="1" t="s">
        <v>214</v>
      </c>
      <c r="C1674" s="1" t="s">
        <v>2675</v>
      </c>
      <c r="D1674" s="1" t="s">
        <v>3721</v>
      </c>
      <c r="E1674" s="1">
        <v>17800000</v>
      </c>
    </row>
    <row r="1675" spans="1:5" ht="14.4" x14ac:dyDescent="0.3">
      <c r="A1675" s="17" t="s">
        <v>7060</v>
      </c>
      <c r="B1675" s="1" t="s">
        <v>306</v>
      </c>
      <c r="C1675" s="1" t="s">
        <v>3722</v>
      </c>
      <c r="D1675" s="1" t="s">
        <v>331</v>
      </c>
      <c r="E1675" s="1">
        <v>25600000</v>
      </c>
    </row>
    <row r="1676" spans="1:5" ht="14.4" x14ac:dyDescent="0.3">
      <c r="A1676" s="17" t="s">
        <v>7061</v>
      </c>
      <c r="B1676" s="1" t="s">
        <v>2533</v>
      </c>
      <c r="C1676" s="1" t="s">
        <v>2534</v>
      </c>
      <c r="D1676" s="1" t="s">
        <v>3723</v>
      </c>
      <c r="E1676" s="1">
        <v>9400000</v>
      </c>
    </row>
    <row r="1677" spans="1:5" ht="14.4" x14ac:dyDescent="0.3">
      <c r="A1677" s="17" t="s">
        <v>7062</v>
      </c>
      <c r="B1677" s="1" t="s">
        <v>214</v>
      </c>
      <c r="C1677" s="1" t="s">
        <v>2675</v>
      </c>
      <c r="D1677" s="1" t="s">
        <v>3724</v>
      </c>
      <c r="E1677" s="1">
        <v>14100000</v>
      </c>
    </row>
    <row r="1678" spans="1:5" ht="14.4" x14ac:dyDescent="0.3">
      <c r="A1678" s="17" t="s">
        <v>7063</v>
      </c>
      <c r="B1678" s="1" t="s">
        <v>28</v>
      </c>
      <c r="C1678" s="1" t="s">
        <v>35</v>
      </c>
      <c r="D1678" s="1" t="s">
        <v>3725</v>
      </c>
      <c r="E1678" s="1">
        <v>10500000</v>
      </c>
    </row>
    <row r="1679" spans="1:5" ht="14.4" x14ac:dyDescent="0.3">
      <c r="A1679" s="17" t="s">
        <v>7064</v>
      </c>
      <c r="B1679" s="1" t="s">
        <v>220</v>
      </c>
      <c r="C1679" s="1" t="s">
        <v>2682</v>
      </c>
      <c r="D1679" s="1" t="s">
        <v>3726</v>
      </c>
      <c r="E1679" s="1">
        <v>24200000</v>
      </c>
    </row>
    <row r="1680" spans="1:5" ht="14.4" x14ac:dyDescent="0.3">
      <c r="A1680" s="17" t="s">
        <v>7065</v>
      </c>
      <c r="B1680" s="1" t="s">
        <v>2816</v>
      </c>
      <c r="C1680" s="1" t="s">
        <v>2817</v>
      </c>
      <c r="D1680" s="1" t="s">
        <v>3727</v>
      </c>
      <c r="E1680" s="1">
        <v>10300000</v>
      </c>
    </row>
    <row r="1681" spans="1:5" ht="14.4" x14ac:dyDescent="0.3">
      <c r="A1681" s="17" t="s">
        <v>7066</v>
      </c>
      <c r="B1681" s="1" t="s">
        <v>28</v>
      </c>
      <c r="C1681" s="1" t="s">
        <v>35</v>
      </c>
      <c r="D1681" s="1" t="s">
        <v>37</v>
      </c>
      <c r="E1681" s="1">
        <v>11300000</v>
      </c>
    </row>
    <row r="1682" spans="1:5" ht="14.4" x14ac:dyDescent="0.3">
      <c r="A1682" s="17" t="s">
        <v>7067</v>
      </c>
      <c r="B1682" s="1" t="s">
        <v>207</v>
      </c>
      <c r="C1682" s="1" t="s">
        <v>2843</v>
      </c>
      <c r="D1682" s="1" t="s">
        <v>3728</v>
      </c>
      <c r="E1682" s="1">
        <v>21100000</v>
      </c>
    </row>
    <row r="1683" spans="1:5" ht="14.4" x14ac:dyDescent="0.3">
      <c r="A1683" s="17" t="s">
        <v>7068</v>
      </c>
      <c r="B1683" s="1" t="s">
        <v>207</v>
      </c>
      <c r="C1683" s="1" t="s">
        <v>2603</v>
      </c>
      <c r="D1683" s="1" t="s">
        <v>3729</v>
      </c>
      <c r="E1683" s="1">
        <v>16400000</v>
      </c>
    </row>
    <row r="1684" spans="1:5" ht="14.4" x14ac:dyDescent="0.3">
      <c r="A1684" s="17" t="s">
        <v>7069</v>
      </c>
      <c r="B1684" s="1" t="s">
        <v>68</v>
      </c>
      <c r="C1684" s="1">
        <v>560</v>
      </c>
      <c r="D1684" s="1" t="s">
        <v>74</v>
      </c>
      <c r="E1684" s="1">
        <v>8900000</v>
      </c>
    </row>
    <row r="1685" spans="1:5" ht="14.4" x14ac:dyDescent="0.3">
      <c r="A1685" s="17" t="s">
        <v>7070</v>
      </c>
      <c r="B1685" s="1" t="s">
        <v>241</v>
      </c>
      <c r="C1685" s="1">
        <v>3008</v>
      </c>
      <c r="D1685" s="1" t="s">
        <v>2615</v>
      </c>
      <c r="E1685" s="1">
        <v>22500000</v>
      </c>
    </row>
    <row r="1686" spans="1:5" ht="14.4" x14ac:dyDescent="0.3">
      <c r="A1686" s="17" t="s">
        <v>7071</v>
      </c>
      <c r="B1686" s="1" t="s">
        <v>2498</v>
      </c>
      <c r="C1686" s="1" t="s">
        <v>2499</v>
      </c>
      <c r="D1686" s="1" t="s">
        <v>3730</v>
      </c>
      <c r="E1686" s="1">
        <v>8600000</v>
      </c>
    </row>
    <row r="1687" spans="1:5" ht="14.4" x14ac:dyDescent="0.3">
      <c r="A1687" s="17" t="s">
        <v>7072</v>
      </c>
      <c r="B1687" s="1" t="s">
        <v>167</v>
      </c>
      <c r="C1687" s="1" t="s">
        <v>3731</v>
      </c>
      <c r="D1687" s="1" t="s">
        <v>3732</v>
      </c>
      <c r="E1687" s="1">
        <v>17500000</v>
      </c>
    </row>
    <row r="1688" spans="1:5" ht="14.4" x14ac:dyDescent="0.3">
      <c r="A1688" s="17" t="s">
        <v>7073</v>
      </c>
      <c r="B1688" s="1" t="s">
        <v>2992</v>
      </c>
      <c r="C1688" s="1" t="s">
        <v>2993</v>
      </c>
      <c r="D1688" s="1" t="s">
        <v>2477</v>
      </c>
      <c r="E1688" s="1">
        <v>16000000</v>
      </c>
    </row>
    <row r="1689" spans="1:5" ht="14.4" x14ac:dyDescent="0.3">
      <c r="A1689" s="17" t="s">
        <v>7074</v>
      </c>
      <c r="B1689" s="1" t="s">
        <v>2992</v>
      </c>
      <c r="C1689" s="1" t="s">
        <v>2993</v>
      </c>
      <c r="D1689" s="1" t="s">
        <v>2477</v>
      </c>
      <c r="E1689" s="1">
        <v>16000000</v>
      </c>
    </row>
    <row r="1690" spans="1:5" ht="14.4" x14ac:dyDescent="0.3">
      <c r="A1690" s="17" t="s">
        <v>7075</v>
      </c>
      <c r="B1690" s="1" t="s">
        <v>2545</v>
      </c>
      <c r="C1690" s="1" t="s">
        <v>3733</v>
      </c>
      <c r="D1690" s="1" t="s">
        <v>3734</v>
      </c>
      <c r="E1690" s="1">
        <v>31200000</v>
      </c>
    </row>
    <row r="1691" spans="1:5" ht="14.4" x14ac:dyDescent="0.3">
      <c r="A1691" s="17" t="s">
        <v>7076</v>
      </c>
      <c r="B1691" s="1" t="s">
        <v>220</v>
      </c>
      <c r="C1691" s="1" t="s">
        <v>2576</v>
      </c>
      <c r="D1691" s="1" t="s">
        <v>3735</v>
      </c>
      <c r="E1691" s="1">
        <v>16200000</v>
      </c>
    </row>
    <row r="1692" spans="1:5" ht="14.4" x14ac:dyDescent="0.3">
      <c r="A1692" s="17" t="s">
        <v>7077</v>
      </c>
      <c r="B1692" s="1" t="s">
        <v>45</v>
      </c>
      <c r="C1692" s="1" t="s">
        <v>2540</v>
      </c>
      <c r="D1692" s="1" t="s">
        <v>3736</v>
      </c>
      <c r="E1692" s="1">
        <v>9600000</v>
      </c>
    </row>
    <row r="1693" spans="1:5" ht="14.4" x14ac:dyDescent="0.3">
      <c r="A1693" s="17" t="s">
        <v>7078</v>
      </c>
      <c r="B1693" s="1" t="s">
        <v>28</v>
      </c>
      <c r="C1693" s="1" t="s">
        <v>2575</v>
      </c>
      <c r="D1693" s="1" t="s">
        <v>3737</v>
      </c>
      <c r="E1693" s="1">
        <v>8200000</v>
      </c>
    </row>
    <row r="1694" spans="1:5" ht="14.4" x14ac:dyDescent="0.3">
      <c r="A1694" s="17" t="s">
        <v>7079</v>
      </c>
      <c r="B1694" s="1" t="s">
        <v>241</v>
      </c>
      <c r="C1694" s="1" t="s">
        <v>2584</v>
      </c>
      <c r="D1694" s="1" t="s">
        <v>3738</v>
      </c>
      <c r="E1694" s="1">
        <v>17200000</v>
      </c>
    </row>
    <row r="1695" spans="1:5" ht="14.4" x14ac:dyDescent="0.3">
      <c r="A1695" s="17" t="s">
        <v>7080</v>
      </c>
      <c r="B1695" s="1" t="s">
        <v>2549</v>
      </c>
      <c r="C1695" s="1" t="s">
        <v>3485</v>
      </c>
      <c r="D1695" s="1" t="s">
        <v>3739</v>
      </c>
      <c r="E1695" s="1">
        <v>12400000</v>
      </c>
    </row>
    <row r="1696" spans="1:5" ht="14.4" x14ac:dyDescent="0.3">
      <c r="A1696" s="17" t="s">
        <v>7081</v>
      </c>
      <c r="B1696" s="1" t="s">
        <v>2494</v>
      </c>
      <c r="C1696" s="1" t="s">
        <v>2531</v>
      </c>
      <c r="D1696" s="1" t="s">
        <v>3740</v>
      </c>
      <c r="E1696" s="1">
        <v>10100000</v>
      </c>
    </row>
    <row r="1697" spans="1:5" ht="14.4" x14ac:dyDescent="0.3">
      <c r="A1697" s="17" t="s">
        <v>7082</v>
      </c>
      <c r="B1697" s="1" t="s">
        <v>311</v>
      </c>
      <c r="C1697" s="1" t="s">
        <v>2692</v>
      </c>
      <c r="D1697" s="1" t="s">
        <v>3741</v>
      </c>
      <c r="E1697" s="1">
        <v>8700000</v>
      </c>
    </row>
    <row r="1698" spans="1:5" ht="14.4" x14ac:dyDescent="0.3">
      <c r="A1698" s="17" t="s">
        <v>7083</v>
      </c>
      <c r="B1698" s="1" t="s">
        <v>2498</v>
      </c>
      <c r="C1698" s="1" t="s">
        <v>193</v>
      </c>
      <c r="D1698" s="1" t="s">
        <v>425</v>
      </c>
      <c r="E1698" s="1">
        <v>12300000</v>
      </c>
    </row>
    <row r="1699" spans="1:5" ht="14.4" x14ac:dyDescent="0.3">
      <c r="A1699" s="17" t="s">
        <v>7084</v>
      </c>
      <c r="B1699" s="1" t="s">
        <v>2498</v>
      </c>
      <c r="C1699" s="1" t="s">
        <v>2587</v>
      </c>
      <c r="D1699" s="1" t="s">
        <v>3742</v>
      </c>
      <c r="E1699" s="1">
        <v>17300000</v>
      </c>
    </row>
    <row r="1700" spans="1:5" ht="14.4" x14ac:dyDescent="0.3">
      <c r="A1700" s="17" t="s">
        <v>7085</v>
      </c>
      <c r="B1700" s="1" t="s">
        <v>306</v>
      </c>
      <c r="C1700" s="1" t="s">
        <v>2596</v>
      </c>
      <c r="D1700" s="1" t="s">
        <v>3743</v>
      </c>
      <c r="E1700" s="1">
        <v>13300000</v>
      </c>
    </row>
    <row r="1701" spans="1:5" ht="14.4" x14ac:dyDescent="0.3">
      <c r="A1701" s="17" t="s">
        <v>7086</v>
      </c>
      <c r="B1701" s="1" t="s">
        <v>68</v>
      </c>
      <c r="C1701" s="1">
        <v>500</v>
      </c>
      <c r="D1701" s="1" t="s">
        <v>3744</v>
      </c>
      <c r="E1701" s="1">
        <v>10000000</v>
      </c>
    </row>
    <row r="1702" spans="1:5" ht="14.4" x14ac:dyDescent="0.3">
      <c r="A1702" s="17" t="s">
        <v>7087</v>
      </c>
      <c r="B1702" s="1" t="s">
        <v>241</v>
      </c>
      <c r="C1702" s="1">
        <v>5008</v>
      </c>
      <c r="D1702" s="1" t="s">
        <v>1879</v>
      </c>
      <c r="E1702" s="1">
        <v>16800000</v>
      </c>
    </row>
    <row r="1703" spans="1:5" ht="14.4" x14ac:dyDescent="0.3">
      <c r="A1703" s="17" t="s">
        <v>7088</v>
      </c>
      <c r="B1703" s="1" t="s">
        <v>220</v>
      </c>
      <c r="C1703" s="1" t="s">
        <v>2509</v>
      </c>
      <c r="D1703" s="1" t="s">
        <v>3745</v>
      </c>
      <c r="E1703" s="1">
        <v>12700000</v>
      </c>
    </row>
    <row r="1704" spans="1:5" ht="14.4" x14ac:dyDescent="0.3">
      <c r="A1704" s="17" t="s">
        <v>7089</v>
      </c>
      <c r="B1704" s="1" t="s">
        <v>241</v>
      </c>
      <c r="C1704" s="1" t="s">
        <v>2505</v>
      </c>
      <c r="D1704" s="1" t="s">
        <v>416</v>
      </c>
      <c r="E1704" s="1">
        <v>23900000</v>
      </c>
    </row>
    <row r="1705" spans="1:5" ht="14.4" x14ac:dyDescent="0.3">
      <c r="A1705" s="17" t="s">
        <v>7090</v>
      </c>
      <c r="B1705" s="1" t="s">
        <v>241</v>
      </c>
      <c r="C1705" s="1" t="s">
        <v>2505</v>
      </c>
      <c r="D1705" s="1" t="s">
        <v>3746</v>
      </c>
      <c r="E1705" s="1">
        <v>22800000</v>
      </c>
    </row>
    <row r="1706" spans="1:5" ht="14.4" x14ac:dyDescent="0.3">
      <c r="A1706" s="17" t="s">
        <v>7091</v>
      </c>
      <c r="B1706" s="1" t="s">
        <v>28</v>
      </c>
      <c r="C1706" s="1" t="s">
        <v>2496</v>
      </c>
      <c r="D1706" s="1" t="s">
        <v>333</v>
      </c>
      <c r="E1706" s="1">
        <v>7050000</v>
      </c>
    </row>
    <row r="1707" spans="1:5" ht="14.4" x14ac:dyDescent="0.3">
      <c r="A1707" s="17" t="s">
        <v>7092</v>
      </c>
      <c r="B1707" s="1" t="s">
        <v>86</v>
      </c>
      <c r="C1707" s="1" t="s">
        <v>134</v>
      </c>
      <c r="D1707" s="1" t="s">
        <v>3747</v>
      </c>
      <c r="E1707" s="1">
        <v>12600000</v>
      </c>
    </row>
    <row r="1708" spans="1:5" ht="14.4" x14ac:dyDescent="0.3">
      <c r="A1708" s="17" t="s">
        <v>7093</v>
      </c>
      <c r="B1708" s="1" t="s">
        <v>300</v>
      </c>
      <c r="C1708" s="1" t="s">
        <v>2908</v>
      </c>
      <c r="D1708" s="1" t="s">
        <v>3748</v>
      </c>
      <c r="E1708" s="1">
        <v>12700000</v>
      </c>
    </row>
    <row r="1709" spans="1:5" ht="14.4" x14ac:dyDescent="0.3">
      <c r="A1709" s="17" t="s">
        <v>7094</v>
      </c>
      <c r="B1709" s="1" t="s">
        <v>2498</v>
      </c>
      <c r="C1709" s="1" t="s">
        <v>3261</v>
      </c>
      <c r="D1709" s="1" t="s">
        <v>3749</v>
      </c>
      <c r="E1709" s="1">
        <v>7710000</v>
      </c>
    </row>
    <row r="1710" spans="1:5" ht="14.4" x14ac:dyDescent="0.3">
      <c r="A1710" s="17" t="s">
        <v>7095</v>
      </c>
      <c r="B1710" s="1" t="s">
        <v>214</v>
      </c>
      <c r="C1710" s="1" t="s">
        <v>2675</v>
      </c>
      <c r="D1710" s="1" t="s">
        <v>3750</v>
      </c>
      <c r="E1710" s="1">
        <v>16000000</v>
      </c>
    </row>
    <row r="1711" spans="1:5" ht="14.4" x14ac:dyDescent="0.3">
      <c r="A1711" s="17" t="s">
        <v>7096</v>
      </c>
      <c r="B1711" s="1" t="s">
        <v>291</v>
      </c>
      <c r="C1711" s="1" t="s">
        <v>3080</v>
      </c>
      <c r="D1711" s="1" t="s">
        <v>3751</v>
      </c>
      <c r="E1711" s="1">
        <v>15500000</v>
      </c>
    </row>
    <row r="1712" spans="1:5" ht="14.4" x14ac:dyDescent="0.3">
      <c r="A1712" s="17" t="s">
        <v>7097</v>
      </c>
      <c r="B1712" s="1" t="s">
        <v>306</v>
      </c>
      <c r="C1712" s="1" t="s">
        <v>2491</v>
      </c>
      <c r="D1712" s="1" t="s">
        <v>3752</v>
      </c>
      <c r="E1712" s="1">
        <v>25000000</v>
      </c>
    </row>
    <row r="1713" spans="1:5" ht="14.4" x14ac:dyDescent="0.3">
      <c r="A1713" s="17" t="s">
        <v>7098</v>
      </c>
      <c r="B1713" s="1" t="s">
        <v>28</v>
      </c>
      <c r="C1713" s="1" t="s">
        <v>2575</v>
      </c>
      <c r="D1713" s="1" t="s">
        <v>3753</v>
      </c>
      <c r="E1713" s="1">
        <v>8900000</v>
      </c>
    </row>
    <row r="1714" spans="1:5" ht="14.4" x14ac:dyDescent="0.3">
      <c r="A1714" s="17" t="s">
        <v>7099</v>
      </c>
      <c r="B1714" s="1" t="s">
        <v>45</v>
      </c>
      <c r="C1714" s="1" t="s">
        <v>49</v>
      </c>
      <c r="D1714" s="1" t="s">
        <v>3754</v>
      </c>
      <c r="E1714" s="1">
        <v>39800000</v>
      </c>
    </row>
    <row r="1715" spans="1:5" ht="14.4" x14ac:dyDescent="0.3">
      <c r="A1715" s="17" t="s">
        <v>7100</v>
      </c>
      <c r="B1715" s="1" t="s">
        <v>241</v>
      </c>
      <c r="C1715" s="1">
        <v>3008</v>
      </c>
      <c r="D1715" s="1" t="s">
        <v>3755</v>
      </c>
      <c r="E1715" s="1">
        <v>18800000</v>
      </c>
    </row>
    <row r="1716" spans="1:5" ht="14.4" x14ac:dyDescent="0.3">
      <c r="A1716" s="17" t="s">
        <v>7101</v>
      </c>
      <c r="B1716" s="1" t="s">
        <v>241</v>
      </c>
      <c r="C1716" s="1" t="s">
        <v>2485</v>
      </c>
      <c r="D1716" s="1" t="s">
        <v>2486</v>
      </c>
      <c r="E1716" s="1">
        <v>16100000</v>
      </c>
    </row>
    <row r="1717" spans="1:5" ht="14.4" x14ac:dyDescent="0.3">
      <c r="A1717" s="17" t="s">
        <v>7102</v>
      </c>
      <c r="B1717" s="1" t="s">
        <v>241</v>
      </c>
      <c r="C1717" s="1">
        <v>308</v>
      </c>
      <c r="D1717" s="1" t="s">
        <v>3756</v>
      </c>
      <c r="E1717" s="1">
        <v>19900000</v>
      </c>
    </row>
    <row r="1718" spans="1:5" ht="14.4" x14ac:dyDescent="0.3">
      <c r="A1718" s="17" t="s">
        <v>7103</v>
      </c>
      <c r="B1718" s="1" t="s">
        <v>241</v>
      </c>
      <c r="C1718" s="1">
        <v>308</v>
      </c>
      <c r="D1718" s="1" t="s">
        <v>3757</v>
      </c>
      <c r="E1718" s="1">
        <v>19500000</v>
      </c>
    </row>
    <row r="1719" spans="1:5" ht="14.4" x14ac:dyDescent="0.3">
      <c r="A1719" s="17" t="s">
        <v>7104</v>
      </c>
      <c r="B1719" s="1" t="s">
        <v>214</v>
      </c>
      <c r="C1719" s="1" t="s">
        <v>2675</v>
      </c>
      <c r="D1719" s="1" t="s">
        <v>3758</v>
      </c>
      <c r="E1719" s="1">
        <v>21700000</v>
      </c>
    </row>
    <row r="1720" spans="1:5" ht="14.4" x14ac:dyDescent="0.3">
      <c r="A1720" s="17" t="s">
        <v>7105</v>
      </c>
      <c r="B1720" s="1" t="s">
        <v>241</v>
      </c>
      <c r="C1720" s="1" t="s">
        <v>2505</v>
      </c>
      <c r="D1720" s="1" t="s">
        <v>3759</v>
      </c>
      <c r="E1720" s="1">
        <v>26600000</v>
      </c>
    </row>
    <row r="1721" spans="1:5" ht="14.4" x14ac:dyDescent="0.3">
      <c r="A1721" s="17" t="s">
        <v>7106</v>
      </c>
      <c r="B1721" s="1" t="s">
        <v>167</v>
      </c>
      <c r="C1721" s="1" t="s">
        <v>168</v>
      </c>
      <c r="D1721" s="1" t="s">
        <v>3760</v>
      </c>
      <c r="E1721" s="1">
        <v>10800000</v>
      </c>
    </row>
    <row r="1722" spans="1:5" ht="14.4" x14ac:dyDescent="0.3">
      <c r="A1722" s="17" t="s">
        <v>7107</v>
      </c>
      <c r="B1722" s="1" t="s">
        <v>207</v>
      </c>
      <c r="C1722" s="1" t="s">
        <v>2806</v>
      </c>
      <c r="D1722" s="1" t="s">
        <v>210</v>
      </c>
      <c r="E1722" s="1">
        <v>21600000</v>
      </c>
    </row>
    <row r="1723" spans="1:5" ht="14.4" x14ac:dyDescent="0.3">
      <c r="A1723" s="17" t="s">
        <v>7108</v>
      </c>
      <c r="B1723" s="1" t="s">
        <v>2533</v>
      </c>
      <c r="C1723" s="1">
        <v>3</v>
      </c>
      <c r="D1723" s="1" t="s">
        <v>3761</v>
      </c>
      <c r="E1723" s="1">
        <v>6210000</v>
      </c>
    </row>
    <row r="1724" spans="1:5" ht="14.4" x14ac:dyDescent="0.3">
      <c r="A1724" s="17" t="s">
        <v>7109</v>
      </c>
      <c r="B1724" s="1" t="s">
        <v>237</v>
      </c>
      <c r="C1724" s="1" t="s">
        <v>65</v>
      </c>
      <c r="D1724" s="1" t="s">
        <v>3762</v>
      </c>
      <c r="E1724" s="1">
        <v>15200000</v>
      </c>
    </row>
    <row r="1725" spans="1:5" ht="14.4" x14ac:dyDescent="0.3">
      <c r="A1725" s="17" t="s">
        <v>7110</v>
      </c>
      <c r="B1725" s="1" t="s">
        <v>2494</v>
      </c>
      <c r="C1725" s="1" t="s">
        <v>3497</v>
      </c>
      <c r="D1725" s="1" t="s">
        <v>3763</v>
      </c>
      <c r="E1725" s="1">
        <v>13000000</v>
      </c>
    </row>
    <row r="1726" spans="1:5" ht="14.4" x14ac:dyDescent="0.3">
      <c r="A1726" s="17" t="s">
        <v>7111</v>
      </c>
      <c r="B1726" s="1" t="s">
        <v>3021</v>
      </c>
      <c r="C1726" s="1" t="s">
        <v>3764</v>
      </c>
      <c r="D1726" s="1" t="s">
        <v>3765</v>
      </c>
      <c r="E1726" s="1">
        <v>65000000</v>
      </c>
    </row>
    <row r="1727" spans="1:5" ht="14.4" x14ac:dyDescent="0.3">
      <c r="A1727" s="17" t="s">
        <v>11832</v>
      </c>
      <c r="B1727" s="1" t="s">
        <v>241</v>
      </c>
      <c r="C1727" s="1" t="s">
        <v>269</v>
      </c>
      <c r="D1727" s="1" t="s">
        <v>2978</v>
      </c>
      <c r="E1727" s="1">
        <v>22000000</v>
      </c>
    </row>
    <row r="1728" spans="1:5" ht="14.4" x14ac:dyDescent="0.3">
      <c r="A1728" s="17" t="s">
        <v>11833</v>
      </c>
      <c r="B1728" s="1" t="s">
        <v>241</v>
      </c>
      <c r="C1728" s="1" t="s">
        <v>269</v>
      </c>
      <c r="D1728" s="1" t="s">
        <v>2978</v>
      </c>
      <c r="E1728" s="1">
        <v>21600000</v>
      </c>
    </row>
    <row r="1729" spans="1:5" ht="14.4" x14ac:dyDescent="0.3">
      <c r="A1729" s="17" t="s">
        <v>11834</v>
      </c>
      <c r="B1729" s="1" t="s">
        <v>241</v>
      </c>
      <c r="C1729" s="1" t="s">
        <v>269</v>
      </c>
      <c r="D1729" s="1" t="s">
        <v>2978</v>
      </c>
      <c r="E1729" s="1">
        <v>22000000</v>
      </c>
    </row>
    <row r="1730" spans="1:5" ht="14.4" x14ac:dyDescent="0.3">
      <c r="A1730" s="17" t="s">
        <v>7112</v>
      </c>
      <c r="B1730" s="1" t="s">
        <v>241</v>
      </c>
      <c r="C1730" s="1" t="s">
        <v>2478</v>
      </c>
      <c r="D1730" s="1" t="s">
        <v>2477</v>
      </c>
      <c r="E1730" s="1">
        <v>13200000</v>
      </c>
    </row>
    <row r="1731" spans="1:5" ht="14.4" x14ac:dyDescent="0.3">
      <c r="A1731" s="17" t="s">
        <v>7113</v>
      </c>
      <c r="B1731" s="1" t="s">
        <v>220</v>
      </c>
      <c r="C1731" s="1" t="s">
        <v>3099</v>
      </c>
      <c r="D1731" s="1" t="s">
        <v>3766</v>
      </c>
      <c r="E1731" s="1">
        <v>11100000</v>
      </c>
    </row>
    <row r="1732" spans="1:5" ht="14.4" x14ac:dyDescent="0.3">
      <c r="A1732" s="17" t="s">
        <v>7114</v>
      </c>
      <c r="B1732" s="1" t="s">
        <v>3369</v>
      </c>
      <c r="C1732" s="1" t="s">
        <v>3767</v>
      </c>
      <c r="D1732" s="1" t="s">
        <v>3768</v>
      </c>
      <c r="E1732" s="1">
        <v>6830000</v>
      </c>
    </row>
    <row r="1733" spans="1:5" ht="14.4" x14ac:dyDescent="0.3">
      <c r="A1733" s="17" t="s">
        <v>7115</v>
      </c>
      <c r="B1733" s="1" t="s">
        <v>86</v>
      </c>
      <c r="C1733" s="1" t="s">
        <v>106</v>
      </c>
      <c r="D1733" s="1" t="s">
        <v>3769</v>
      </c>
      <c r="E1733" s="1">
        <v>14700000</v>
      </c>
    </row>
    <row r="1734" spans="1:5" ht="14.4" x14ac:dyDescent="0.3">
      <c r="A1734" s="17" t="s">
        <v>7116</v>
      </c>
      <c r="B1734" s="1" t="s">
        <v>237</v>
      </c>
      <c r="C1734" s="1" t="s">
        <v>65</v>
      </c>
      <c r="D1734" s="1" t="s">
        <v>3770</v>
      </c>
      <c r="E1734" s="1">
        <v>13900000</v>
      </c>
    </row>
    <row r="1735" spans="1:5" ht="14.4" x14ac:dyDescent="0.3">
      <c r="A1735" s="17" t="s">
        <v>11835</v>
      </c>
      <c r="B1735" s="1" t="s">
        <v>86</v>
      </c>
      <c r="C1735" s="1" t="s">
        <v>2793</v>
      </c>
      <c r="D1735" s="1" t="s">
        <v>2794</v>
      </c>
      <c r="E1735" s="1">
        <v>16400000</v>
      </c>
    </row>
    <row r="1736" spans="1:5" ht="14.4" x14ac:dyDescent="0.3">
      <c r="A1736" s="17" t="s">
        <v>7117</v>
      </c>
      <c r="B1736" s="1" t="s">
        <v>306</v>
      </c>
      <c r="C1736" s="1" t="s">
        <v>3771</v>
      </c>
      <c r="D1736" s="1" t="s">
        <v>3772</v>
      </c>
      <c r="E1736" s="1">
        <v>14900000</v>
      </c>
    </row>
    <row r="1737" spans="1:5" ht="14.4" x14ac:dyDescent="0.3">
      <c r="A1737" s="17" t="s">
        <v>7118</v>
      </c>
      <c r="B1737" s="1" t="s">
        <v>2950</v>
      </c>
      <c r="C1737" s="1" t="s">
        <v>2966</v>
      </c>
      <c r="D1737" s="1" t="s">
        <v>3773</v>
      </c>
      <c r="E1737" s="1">
        <v>9300000</v>
      </c>
    </row>
    <row r="1738" spans="1:5" ht="14.4" x14ac:dyDescent="0.3">
      <c r="A1738" s="17" t="s">
        <v>7119</v>
      </c>
      <c r="B1738" s="1" t="s">
        <v>291</v>
      </c>
      <c r="C1738" s="1" t="s">
        <v>3080</v>
      </c>
      <c r="D1738" s="1" t="s">
        <v>3774</v>
      </c>
      <c r="E1738" s="1">
        <v>17100000</v>
      </c>
    </row>
    <row r="1739" spans="1:5" ht="14.4" x14ac:dyDescent="0.3">
      <c r="A1739" s="17" t="s">
        <v>7120</v>
      </c>
      <c r="B1739" s="1" t="s">
        <v>241</v>
      </c>
      <c r="C1739" s="1" t="s">
        <v>269</v>
      </c>
      <c r="D1739" s="1" t="s">
        <v>506</v>
      </c>
      <c r="E1739" s="1">
        <v>23200000</v>
      </c>
    </row>
    <row r="1740" spans="1:5" ht="14.4" x14ac:dyDescent="0.3">
      <c r="A1740" s="17" t="s">
        <v>7121</v>
      </c>
      <c r="B1740" s="1" t="s">
        <v>241</v>
      </c>
      <c r="C1740" s="1" t="s">
        <v>2501</v>
      </c>
      <c r="D1740" s="1" t="s">
        <v>3775</v>
      </c>
      <c r="E1740" s="1">
        <v>20000000</v>
      </c>
    </row>
    <row r="1741" spans="1:5" ht="14.4" x14ac:dyDescent="0.3">
      <c r="A1741" s="17" t="s">
        <v>7122</v>
      </c>
      <c r="B1741" s="1" t="s">
        <v>45</v>
      </c>
      <c r="C1741" s="1" t="s">
        <v>2896</v>
      </c>
      <c r="D1741" s="1" t="s">
        <v>3776</v>
      </c>
      <c r="E1741" s="1">
        <v>15200000</v>
      </c>
    </row>
    <row r="1742" spans="1:5" ht="14.4" x14ac:dyDescent="0.3">
      <c r="A1742" s="17" t="s">
        <v>7123</v>
      </c>
      <c r="B1742" s="1" t="s">
        <v>68</v>
      </c>
      <c r="C1742" s="1">
        <v>560</v>
      </c>
      <c r="D1742" s="1" t="s">
        <v>3777</v>
      </c>
      <c r="E1742" s="1">
        <v>9200000</v>
      </c>
    </row>
    <row r="1743" spans="1:5" ht="14.4" x14ac:dyDescent="0.3">
      <c r="A1743" s="17" t="s">
        <v>7124</v>
      </c>
      <c r="B1743" s="1" t="s">
        <v>306</v>
      </c>
      <c r="C1743" s="1" t="s">
        <v>2564</v>
      </c>
      <c r="D1743" s="1" t="s">
        <v>3778</v>
      </c>
      <c r="E1743" s="1">
        <v>14000000</v>
      </c>
    </row>
    <row r="1744" spans="1:5" ht="14.4" x14ac:dyDescent="0.3">
      <c r="A1744" s="17" t="s">
        <v>7125</v>
      </c>
      <c r="B1744" s="1" t="s">
        <v>2498</v>
      </c>
      <c r="C1744" s="1" t="s">
        <v>3206</v>
      </c>
      <c r="D1744" s="1" t="s">
        <v>3779</v>
      </c>
      <c r="E1744" s="1">
        <v>9600000</v>
      </c>
    </row>
    <row r="1745" spans="1:5" ht="14.4" x14ac:dyDescent="0.3">
      <c r="A1745" s="17" t="s">
        <v>7126</v>
      </c>
      <c r="B1745" s="1" t="s">
        <v>241</v>
      </c>
      <c r="C1745" s="1">
        <v>5008</v>
      </c>
      <c r="D1745" s="1" t="s">
        <v>3780</v>
      </c>
      <c r="E1745" s="1">
        <v>13800000</v>
      </c>
    </row>
    <row r="1746" spans="1:5" ht="14.4" x14ac:dyDescent="0.3">
      <c r="A1746" s="17" t="s">
        <v>7127</v>
      </c>
      <c r="B1746" s="1" t="s">
        <v>28</v>
      </c>
      <c r="C1746" s="1" t="s">
        <v>38</v>
      </c>
      <c r="D1746" s="1" t="s">
        <v>3781</v>
      </c>
      <c r="E1746" s="1">
        <v>11700000</v>
      </c>
    </row>
    <row r="1747" spans="1:5" ht="14.4" x14ac:dyDescent="0.3">
      <c r="A1747" s="17" t="s">
        <v>7128</v>
      </c>
      <c r="B1747" s="1" t="s">
        <v>2816</v>
      </c>
      <c r="C1747" s="1" t="s">
        <v>2817</v>
      </c>
      <c r="D1747" s="1" t="s">
        <v>3782</v>
      </c>
      <c r="E1747" s="1">
        <v>9800000</v>
      </c>
    </row>
    <row r="1748" spans="1:5" ht="14.4" x14ac:dyDescent="0.3">
      <c r="A1748" s="17" t="s">
        <v>7129</v>
      </c>
      <c r="B1748" s="1" t="s">
        <v>2498</v>
      </c>
      <c r="C1748" s="1" t="s">
        <v>2833</v>
      </c>
      <c r="D1748" s="1" t="s">
        <v>3783</v>
      </c>
      <c r="E1748" s="1">
        <v>29300000</v>
      </c>
    </row>
    <row r="1749" spans="1:5" ht="14.4" x14ac:dyDescent="0.3">
      <c r="A1749" s="17" t="s">
        <v>7130</v>
      </c>
      <c r="B1749" s="1" t="s">
        <v>300</v>
      </c>
      <c r="C1749" s="1" t="s">
        <v>2653</v>
      </c>
      <c r="D1749" s="1" t="s">
        <v>3784</v>
      </c>
      <c r="E1749" s="1">
        <v>7710000</v>
      </c>
    </row>
    <row r="1750" spans="1:5" ht="14.4" x14ac:dyDescent="0.3">
      <c r="A1750" s="17" t="s">
        <v>7131</v>
      </c>
      <c r="B1750" s="1" t="s">
        <v>167</v>
      </c>
      <c r="C1750" s="1" t="s">
        <v>3785</v>
      </c>
      <c r="D1750" s="1" t="s">
        <v>3786</v>
      </c>
      <c r="E1750" s="1">
        <v>9900000</v>
      </c>
    </row>
    <row r="1751" spans="1:5" ht="14.4" x14ac:dyDescent="0.3">
      <c r="A1751" s="17" t="s">
        <v>7132</v>
      </c>
      <c r="B1751" s="1" t="s">
        <v>214</v>
      </c>
      <c r="C1751" s="1" t="s">
        <v>3787</v>
      </c>
      <c r="D1751" s="1" t="s">
        <v>3788</v>
      </c>
      <c r="E1751" s="1">
        <v>12900000</v>
      </c>
    </row>
    <row r="1752" spans="1:5" ht="14.4" x14ac:dyDescent="0.3">
      <c r="A1752" s="17" t="s">
        <v>7133</v>
      </c>
      <c r="B1752" s="1" t="s">
        <v>28</v>
      </c>
      <c r="C1752" s="1" t="s">
        <v>38</v>
      </c>
      <c r="D1752" s="1" t="s">
        <v>3789</v>
      </c>
      <c r="E1752" s="1">
        <v>12100000</v>
      </c>
    </row>
    <row r="1753" spans="1:5" ht="14.4" x14ac:dyDescent="0.3">
      <c r="A1753" s="17" t="s">
        <v>7134</v>
      </c>
      <c r="B1753" s="1" t="s">
        <v>45</v>
      </c>
      <c r="C1753" s="1" t="s">
        <v>57</v>
      </c>
      <c r="D1753" s="1" t="s">
        <v>3790</v>
      </c>
      <c r="E1753" s="1">
        <v>7100000</v>
      </c>
    </row>
    <row r="1754" spans="1:5" ht="14.4" x14ac:dyDescent="0.3">
      <c r="A1754" s="17" t="s">
        <v>7135</v>
      </c>
      <c r="B1754" s="1" t="s">
        <v>147</v>
      </c>
      <c r="C1754" s="1" t="s">
        <v>2845</v>
      </c>
      <c r="D1754" s="1" t="s">
        <v>3791</v>
      </c>
      <c r="E1754" s="1">
        <v>15200000</v>
      </c>
    </row>
    <row r="1755" spans="1:5" ht="14.4" x14ac:dyDescent="0.3">
      <c r="A1755" s="17" t="s">
        <v>7136</v>
      </c>
      <c r="B1755" s="1" t="s">
        <v>2498</v>
      </c>
      <c r="C1755" s="1" t="s">
        <v>2523</v>
      </c>
      <c r="D1755" s="1" t="s">
        <v>3792</v>
      </c>
      <c r="E1755" s="1">
        <v>8900000</v>
      </c>
    </row>
    <row r="1756" spans="1:5" ht="14.4" x14ac:dyDescent="0.3">
      <c r="A1756" s="17" t="s">
        <v>7137</v>
      </c>
      <c r="B1756" s="1" t="s">
        <v>2498</v>
      </c>
      <c r="C1756" s="1" t="s">
        <v>2499</v>
      </c>
      <c r="D1756" s="1" t="s">
        <v>3793</v>
      </c>
      <c r="E1756" s="1">
        <v>8800000</v>
      </c>
    </row>
    <row r="1757" spans="1:5" ht="14.4" x14ac:dyDescent="0.3">
      <c r="A1757" s="17" t="s">
        <v>7138</v>
      </c>
      <c r="B1757" s="1" t="s">
        <v>241</v>
      </c>
      <c r="C1757" s="1" t="s">
        <v>2478</v>
      </c>
      <c r="D1757" s="1" t="s">
        <v>3794</v>
      </c>
      <c r="E1757" s="1">
        <v>13500000</v>
      </c>
    </row>
    <row r="1758" spans="1:5" ht="14.4" x14ac:dyDescent="0.3">
      <c r="A1758" s="17" t="s">
        <v>7139</v>
      </c>
      <c r="B1758" s="1" t="s">
        <v>28</v>
      </c>
      <c r="C1758" s="1" t="s">
        <v>42</v>
      </c>
      <c r="D1758" s="1" t="s">
        <v>44</v>
      </c>
      <c r="E1758" s="1">
        <v>11500000</v>
      </c>
    </row>
    <row r="1759" spans="1:5" ht="14.4" x14ac:dyDescent="0.3">
      <c r="A1759" s="17" t="s">
        <v>7140</v>
      </c>
      <c r="B1759" s="1" t="s">
        <v>142</v>
      </c>
      <c r="C1759" s="1" t="s">
        <v>145</v>
      </c>
      <c r="D1759" s="1" t="s">
        <v>146</v>
      </c>
      <c r="E1759" s="1">
        <v>16500000</v>
      </c>
    </row>
    <row r="1760" spans="1:5" ht="14.4" x14ac:dyDescent="0.3">
      <c r="A1760" s="17" t="s">
        <v>7141</v>
      </c>
      <c r="B1760" s="1" t="s">
        <v>311</v>
      </c>
      <c r="C1760" s="1" t="s">
        <v>3438</v>
      </c>
      <c r="D1760" s="1" t="s">
        <v>3795</v>
      </c>
      <c r="E1760" s="1">
        <v>7400000</v>
      </c>
    </row>
    <row r="1761" spans="1:5" ht="14.4" x14ac:dyDescent="0.3">
      <c r="A1761" s="17" t="s">
        <v>7142</v>
      </c>
      <c r="B1761" s="1" t="s">
        <v>2950</v>
      </c>
      <c r="C1761" s="1" t="s">
        <v>2966</v>
      </c>
      <c r="D1761" s="1" t="s">
        <v>141</v>
      </c>
      <c r="E1761" s="1">
        <v>10800000</v>
      </c>
    </row>
    <row r="1762" spans="1:5" ht="14.4" x14ac:dyDescent="0.3">
      <c r="A1762" s="17" t="s">
        <v>7143</v>
      </c>
      <c r="B1762" s="1" t="s">
        <v>2498</v>
      </c>
      <c r="C1762" s="1" t="s">
        <v>3261</v>
      </c>
      <c r="D1762" s="1" t="s">
        <v>3796</v>
      </c>
      <c r="E1762" s="1">
        <v>9700000</v>
      </c>
    </row>
    <row r="1763" spans="1:5" ht="14.4" x14ac:dyDescent="0.3">
      <c r="A1763" s="17" t="s">
        <v>7144</v>
      </c>
      <c r="B1763" s="1" t="s">
        <v>220</v>
      </c>
      <c r="C1763" s="1" t="s">
        <v>2576</v>
      </c>
      <c r="D1763" s="1" t="s">
        <v>3797</v>
      </c>
      <c r="E1763" s="1">
        <v>21500000</v>
      </c>
    </row>
    <row r="1764" spans="1:5" ht="14.4" x14ac:dyDescent="0.3">
      <c r="A1764" s="17" t="s">
        <v>7145</v>
      </c>
      <c r="B1764" s="1" t="s">
        <v>220</v>
      </c>
      <c r="C1764" s="1" t="s">
        <v>231</v>
      </c>
      <c r="D1764" s="1" t="s">
        <v>3798</v>
      </c>
      <c r="E1764" s="1">
        <v>7350000</v>
      </c>
    </row>
    <row r="1765" spans="1:5" ht="14.4" x14ac:dyDescent="0.3">
      <c r="A1765" s="17" t="s">
        <v>7146</v>
      </c>
      <c r="B1765" s="1" t="s">
        <v>2533</v>
      </c>
      <c r="C1765" s="1" t="s">
        <v>3799</v>
      </c>
      <c r="D1765" s="1" t="s">
        <v>3800</v>
      </c>
      <c r="E1765" s="1">
        <v>6790000</v>
      </c>
    </row>
    <row r="1766" spans="1:5" ht="14.4" x14ac:dyDescent="0.3">
      <c r="A1766" s="17" t="s">
        <v>7147</v>
      </c>
      <c r="B1766" s="1" t="s">
        <v>2498</v>
      </c>
      <c r="C1766" s="1" t="s">
        <v>199</v>
      </c>
      <c r="D1766" s="1" t="s">
        <v>3801</v>
      </c>
      <c r="E1766" s="1">
        <v>20300000</v>
      </c>
    </row>
    <row r="1767" spans="1:5" ht="14.4" x14ac:dyDescent="0.3">
      <c r="A1767" s="17" t="s">
        <v>7148</v>
      </c>
      <c r="B1767" s="1" t="s">
        <v>241</v>
      </c>
      <c r="C1767" s="1" t="s">
        <v>2505</v>
      </c>
      <c r="D1767" s="1" t="s">
        <v>3622</v>
      </c>
      <c r="E1767" s="1">
        <v>22800000</v>
      </c>
    </row>
    <row r="1768" spans="1:5" ht="14.4" x14ac:dyDescent="0.3">
      <c r="A1768" s="17" t="s">
        <v>7149</v>
      </c>
      <c r="B1768" s="1" t="s">
        <v>45</v>
      </c>
      <c r="C1768" s="1" t="s">
        <v>2822</v>
      </c>
      <c r="D1768" s="1" t="s">
        <v>2477</v>
      </c>
      <c r="E1768" s="1">
        <v>11000000</v>
      </c>
    </row>
    <row r="1769" spans="1:5" ht="14.4" x14ac:dyDescent="0.3">
      <c r="A1769" s="17" t="s">
        <v>7150</v>
      </c>
      <c r="B1769" s="1" t="s">
        <v>28</v>
      </c>
      <c r="C1769" s="1" t="s">
        <v>3105</v>
      </c>
      <c r="D1769" s="1" t="s">
        <v>3802</v>
      </c>
      <c r="E1769" s="1">
        <v>16100000</v>
      </c>
    </row>
    <row r="1770" spans="1:5" ht="14.4" x14ac:dyDescent="0.3">
      <c r="A1770" s="17" t="s">
        <v>7151</v>
      </c>
      <c r="B1770" s="1" t="s">
        <v>306</v>
      </c>
      <c r="C1770" s="1" t="s">
        <v>2787</v>
      </c>
      <c r="D1770" s="1" t="s">
        <v>3803</v>
      </c>
      <c r="E1770" s="1">
        <v>18300000</v>
      </c>
    </row>
    <row r="1771" spans="1:5" ht="14.4" x14ac:dyDescent="0.3">
      <c r="A1771" s="17" t="s">
        <v>7152</v>
      </c>
      <c r="B1771" s="1" t="s">
        <v>2498</v>
      </c>
      <c r="C1771" s="1" t="s">
        <v>2664</v>
      </c>
      <c r="D1771" s="1" t="s">
        <v>3804</v>
      </c>
      <c r="E1771" s="1">
        <v>12200000</v>
      </c>
    </row>
    <row r="1772" spans="1:5" ht="14.4" x14ac:dyDescent="0.3">
      <c r="A1772" s="17" t="s">
        <v>7153</v>
      </c>
      <c r="B1772" s="1" t="s">
        <v>237</v>
      </c>
      <c r="C1772" s="1" t="s">
        <v>65</v>
      </c>
      <c r="D1772" s="1" t="s">
        <v>3805</v>
      </c>
      <c r="E1772" s="1">
        <v>13200000</v>
      </c>
    </row>
    <row r="1773" spans="1:5" ht="14.4" x14ac:dyDescent="0.3">
      <c r="A1773" s="17" t="s">
        <v>7154</v>
      </c>
      <c r="B1773" s="1" t="s">
        <v>241</v>
      </c>
      <c r="C1773" s="1" t="s">
        <v>2487</v>
      </c>
      <c r="D1773" s="1" t="s">
        <v>257</v>
      </c>
      <c r="E1773" s="1">
        <v>14400000</v>
      </c>
    </row>
    <row r="1774" spans="1:5" ht="14.4" x14ac:dyDescent="0.3">
      <c r="A1774" s="17" t="s">
        <v>7155</v>
      </c>
      <c r="B1774" s="1" t="s">
        <v>86</v>
      </c>
      <c r="C1774" s="1" t="s">
        <v>2793</v>
      </c>
      <c r="D1774" s="1" t="s">
        <v>3806</v>
      </c>
      <c r="E1774" s="1">
        <v>16300000</v>
      </c>
    </row>
    <row r="1775" spans="1:5" ht="14.4" x14ac:dyDescent="0.3">
      <c r="A1775" s="17" t="s">
        <v>7156</v>
      </c>
      <c r="B1775" s="1" t="s">
        <v>45</v>
      </c>
      <c r="C1775" s="1" t="s">
        <v>3807</v>
      </c>
      <c r="D1775" s="1" t="s">
        <v>3808</v>
      </c>
      <c r="E1775" s="1">
        <v>26200000</v>
      </c>
    </row>
    <row r="1776" spans="1:5" ht="14.4" x14ac:dyDescent="0.3">
      <c r="A1776" s="17" t="s">
        <v>7157</v>
      </c>
      <c r="B1776" s="1" t="s">
        <v>2498</v>
      </c>
      <c r="C1776" s="1" t="s">
        <v>196</v>
      </c>
      <c r="D1776" s="1" t="s">
        <v>3809</v>
      </c>
      <c r="E1776" s="1">
        <v>18800000</v>
      </c>
    </row>
    <row r="1777" spans="1:5" ht="14.4" x14ac:dyDescent="0.3">
      <c r="A1777" s="17" t="s">
        <v>7158</v>
      </c>
      <c r="B1777" s="1" t="s">
        <v>28</v>
      </c>
      <c r="C1777" s="1" t="s">
        <v>35</v>
      </c>
      <c r="D1777" s="1" t="s">
        <v>3810</v>
      </c>
      <c r="E1777" s="1">
        <v>10600000</v>
      </c>
    </row>
    <row r="1778" spans="1:5" ht="14.4" x14ac:dyDescent="0.3">
      <c r="A1778" s="17" t="s">
        <v>7159</v>
      </c>
      <c r="B1778" s="1" t="s">
        <v>86</v>
      </c>
      <c r="C1778" s="1" t="s">
        <v>3811</v>
      </c>
      <c r="D1778" s="1" t="s">
        <v>3812</v>
      </c>
      <c r="E1778" s="1">
        <v>6460000</v>
      </c>
    </row>
    <row r="1779" spans="1:5" ht="14.4" x14ac:dyDescent="0.3">
      <c r="A1779" s="17" t="s">
        <v>7160</v>
      </c>
      <c r="B1779" s="1" t="s">
        <v>3218</v>
      </c>
      <c r="C1779" s="1" t="s">
        <v>3219</v>
      </c>
      <c r="D1779" s="1" t="s">
        <v>3813</v>
      </c>
      <c r="E1779" s="1">
        <v>14300000</v>
      </c>
    </row>
    <row r="1780" spans="1:5" ht="14.4" x14ac:dyDescent="0.3">
      <c r="A1780" s="17" t="s">
        <v>7161</v>
      </c>
      <c r="B1780" s="1" t="s">
        <v>278</v>
      </c>
      <c r="C1780" s="1" t="s">
        <v>285</v>
      </c>
      <c r="D1780" s="1" t="s">
        <v>287</v>
      </c>
      <c r="E1780" s="1">
        <v>27500000</v>
      </c>
    </row>
    <row r="1781" spans="1:5" ht="14.4" x14ac:dyDescent="0.3">
      <c r="A1781" s="17" t="s">
        <v>7162</v>
      </c>
      <c r="B1781" s="1" t="s">
        <v>147</v>
      </c>
      <c r="C1781" s="1" t="s">
        <v>2528</v>
      </c>
      <c r="D1781" s="1" t="s">
        <v>152</v>
      </c>
      <c r="E1781" s="1">
        <v>18400000</v>
      </c>
    </row>
    <row r="1782" spans="1:5" ht="14.4" x14ac:dyDescent="0.3">
      <c r="A1782" s="17" t="s">
        <v>7163</v>
      </c>
      <c r="B1782" s="1" t="s">
        <v>241</v>
      </c>
      <c r="C1782" s="1">
        <v>3008</v>
      </c>
      <c r="D1782" s="1" t="s">
        <v>3814</v>
      </c>
      <c r="E1782" s="1">
        <v>22100000</v>
      </c>
    </row>
    <row r="1783" spans="1:5" ht="14.4" x14ac:dyDescent="0.3">
      <c r="A1783" s="17" t="s">
        <v>7164</v>
      </c>
      <c r="B1783" s="1" t="s">
        <v>2545</v>
      </c>
      <c r="C1783" s="1" t="s">
        <v>2856</v>
      </c>
      <c r="D1783" s="1" t="s">
        <v>3815</v>
      </c>
      <c r="E1783" s="1">
        <v>29500000</v>
      </c>
    </row>
    <row r="1784" spans="1:5" ht="14.4" x14ac:dyDescent="0.3">
      <c r="A1784" s="17" t="s">
        <v>7165</v>
      </c>
      <c r="B1784" s="1" t="s">
        <v>220</v>
      </c>
      <c r="C1784" s="1" t="s">
        <v>223</v>
      </c>
      <c r="D1784" s="1" t="s">
        <v>3816</v>
      </c>
      <c r="E1784" s="1">
        <v>18000000</v>
      </c>
    </row>
    <row r="1785" spans="1:5" ht="14.4" x14ac:dyDescent="0.3">
      <c r="A1785" s="17" t="s">
        <v>7166</v>
      </c>
      <c r="B1785" s="1" t="s">
        <v>207</v>
      </c>
      <c r="C1785" s="1" t="s">
        <v>2730</v>
      </c>
      <c r="D1785" s="1" t="s">
        <v>3817</v>
      </c>
      <c r="E1785" s="1">
        <v>12300000</v>
      </c>
    </row>
    <row r="1786" spans="1:5" ht="14.4" x14ac:dyDescent="0.3">
      <c r="A1786" s="17" t="s">
        <v>7167</v>
      </c>
      <c r="B1786" s="1" t="s">
        <v>2498</v>
      </c>
      <c r="C1786" s="1" t="s">
        <v>2499</v>
      </c>
      <c r="D1786" s="1" t="s">
        <v>3818</v>
      </c>
      <c r="E1786" s="1">
        <v>9800000</v>
      </c>
    </row>
    <row r="1787" spans="1:5" ht="14.4" x14ac:dyDescent="0.3">
      <c r="A1787" s="17" t="s">
        <v>7168</v>
      </c>
      <c r="B1787" s="1" t="s">
        <v>241</v>
      </c>
      <c r="C1787" s="1" t="s">
        <v>2501</v>
      </c>
      <c r="D1787" s="1" t="s">
        <v>3568</v>
      </c>
      <c r="E1787" s="1">
        <v>20400000</v>
      </c>
    </row>
    <row r="1788" spans="1:5" ht="14.4" x14ac:dyDescent="0.3">
      <c r="A1788" s="17" t="s">
        <v>7169</v>
      </c>
      <c r="B1788" s="1" t="s">
        <v>241</v>
      </c>
      <c r="C1788" s="1" t="s">
        <v>2501</v>
      </c>
      <c r="D1788" s="1" t="s">
        <v>3568</v>
      </c>
      <c r="E1788" s="1">
        <v>20500000</v>
      </c>
    </row>
    <row r="1789" spans="1:5" ht="14.4" x14ac:dyDescent="0.3">
      <c r="A1789" s="17" t="s">
        <v>7170</v>
      </c>
      <c r="B1789" s="1" t="s">
        <v>167</v>
      </c>
      <c r="C1789" s="1" t="s">
        <v>3192</v>
      </c>
      <c r="D1789" s="1" t="s">
        <v>3819</v>
      </c>
      <c r="E1789" s="1">
        <v>7980000</v>
      </c>
    </row>
    <row r="1790" spans="1:5" ht="14.4" x14ac:dyDescent="0.3">
      <c r="A1790" s="17" t="s">
        <v>7171</v>
      </c>
      <c r="B1790" s="1" t="s">
        <v>28</v>
      </c>
      <c r="C1790" s="1" t="s">
        <v>29</v>
      </c>
      <c r="D1790" s="1" t="s">
        <v>30</v>
      </c>
      <c r="E1790" s="1">
        <v>5990000</v>
      </c>
    </row>
    <row r="1791" spans="1:5" ht="14.4" x14ac:dyDescent="0.3">
      <c r="A1791" s="17" t="s">
        <v>7172</v>
      </c>
      <c r="B1791" s="1" t="s">
        <v>2545</v>
      </c>
      <c r="C1791" s="1" t="s">
        <v>2546</v>
      </c>
      <c r="D1791" s="1" t="s">
        <v>2309</v>
      </c>
      <c r="E1791" s="1">
        <v>10400000</v>
      </c>
    </row>
    <row r="1792" spans="1:5" ht="14.4" x14ac:dyDescent="0.3">
      <c r="A1792" s="17" t="s">
        <v>7173</v>
      </c>
      <c r="B1792" s="1" t="s">
        <v>241</v>
      </c>
      <c r="C1792" s="1" t="s">
        <v>276</v>
      </c>
      <c r="D1792" s="1" t="s">
        <v>277</v>
      </c>
      <c r="E1792" s="1">
        <v>16900000</v>
      </c>
    </row>
    <row r="1793" spans="1:5" ht="14.4" x14ac:dyDescent="0.3">
      <c r="A1793" s="17" t="s">
        <v>7174</v>
      </c>
      <c r="B1793" s="1" t="s">
        <v>2498</v>
      </c>
      <c r="C1793" s="1" t="s">
        <v>199</v>
      </c>
      <c r="D1793" s="1" t="s">
        <v>3820</v>
      </c>
      <c r="E1793" s="1">
        <v>18800000</v>
      </c>
    </row>
    <row r="1794" spans="1:5" ht="14.4" x14ac:dyDescent="0.3">
      <c r="A1794" s="17" t="s">
        <v>7175</v>
      </c>
      <c r="B1794" s="1" t="s">
        <v>300</v>
      </c>
      <c r="C1794" s="1" t="s">
        <v>3132</v>
      </c>
      <c r="D1794" s="1" t="s">
        <v>3133</v>
      </c>
      <c r="E1794" s="1">
        <v>12100000</v>
      </c>
    </row>
    <row r="1795" spans="1:5" ht="14.4" x14ac:dyDescent="0.3">
      <c r="A1795" s="17" t="s">
        <v>7176</v>
      </c>
      <c r="B1795" s="1" t="s">
        <v>300</v>
      </c>
      <c r="C1795" s="1" t="s">
        <v>2908</v>
      </c>
      <c r="D1795" s="1" t="s">
        <v>3821</v>
      </c>
      <c r="E1795" s="1">
        <v>11400000</v>
      </c>
    </row>
    <row r="1796" spans="1:5" ht="14.4" x14ac:dyDescent="0.3">
      <c r="A1796" s="17" t="s">
        <v>7177</v>
      </c>
      <c r="B1796" s="1" t="s">
        <v>86</v>
      </c>
      <c r="C1796" s="1" t="s">
        <v>2793</v>
      </c>
      <c r="D1796" s="1" t="s">
        <v>3822</v>
      </c>
      <c r="E1796" s="1">
        <v>16200000</v>
      </c>
    </row>
    <row r="1797" spans="1:5" ht="14.4" x14ac:dyDescent="0.3">
      <c r="A1797" s="17" t="s">
        <v>7178</v>
      </c>
      <c r="B1797" s="1" t="s">
        <v>237</v>
      </c>
      <c r="C1797" s="1" t="s">
        <v>65</v>
      </c>
      <c r="D1797" s="1" t="s">
        <v>3823</v>
      </c>
      <c r="E1797" s="1">
        <v>13100000</v>
      </c>
    </row>
    <row r="1798" spans="1:5" ht="14.4" x14ac:dyDescent="0.3">
      <c r="A1798" s="17" t="s">
        <v>7179</v>
      </c>
      <c r="B1798" s="1" t="s">
        <v>86</v>
      </c>
      <c r="C1798" s="1" t="s">
        <v>134</v>
      </c>
      <c r="D1798" s="1" t="s">
        <v>3824</v>
      </c>
      <c r="E1798" s="1">
        <v>12000000</v>
      </c>
    </row>
    <row r="1799" spans="1:5" ht="14.4" x14ac:dyDescent="0.3">
      <c r="A1799" s="17" t="s">
        <v>7180</v>
      </c>
      <c r="B1799" s="1" t="s">
        <v>2526</v>
      </c>
      <c r="C1799" s="1" t="s">
        <v>3825</v>
      </c>
      <c r="D1799" s="1" t="s">
        <v>3826</v>
      </c>
      <c r="E1799" s="1">
        <v>5420000</v>
      </c>
    </row>
    <row r="1800" spans="1:5" ht="14.4" x14ac:dyDescent="0.3">
      <c r="A1800" s="17" t="s">
        <v>7181</v>
      </c>
      <c r="B1800" s="1" t="s">
        <v>86</v>
      </c>
      <c r="C1800" s="1" t="s">
        <v>98</v>
      </c>
      <c r="D1800" s="1" t="s">
        <v>3827</v>
      </c>
      <c r="E1800" s="1">
        <v>10800000</v>
      </c>
    </row>
    <row r="1801" spans="1:5" ht="14.4" x14ac:dyDescent="0.3">
      <c r="A1801" s="17" t="s">
        <v>7182</v>
      </c>
      <c r="B1801" s="1" t="s">
        <v>2521</v>
      </c>
      <c r="C1801" s="1" t="s">
        <v>2543</v>
      </c>
      <c r="D1801" s="1" t="s">
        <v>3828</v>
      </c>
      <c r="E1801" s="1">
        <v>10500000</v>
      </c>
    </row>
    <row r="1802" spans="1:5" ht="14.4" x14ac:dyDescent="0.3">
      <c r="A1802" s="17" t="s">
        <v>7183</v>
      </c>
      <c r="B1802" s="1" t="s">
        <v>288</v>
      </c>
      <c r="C1802" s="1" t="s">
        <v>3463</v>
      </c>
      <c r="D1802" s="1" t="s">
        <v>3829</v>
      </c>
      <c r="E1802" s="1">
        <v>7910000</v>
      </c>
    </row>
    <row r="1803" spans="1:5" ht="14.4" x14ac:dyDescent="0.3">
      <c r="A1803" s="17" t="s">
        <v>7184</v>
      </c>
      <c r="B1803" s="1" t="s">
        <v>2498</v>
      </c>
      <c r="C1803" s="1" t="s">
        <v>2563</v>
      </c>
      <c r="D1803" s="1" t="s">
        <v>3830</v>
      </c>
      <c r="E1803" s="1">
        <v>17200000</v>
      </c>
    </row>
    <row r="1804" spans="1:5" ht="14.4" x14ac:dyDescent="0.3">
      <c r="A1804" s="17" t="s">
        <v>7185</v>
      </c>
      <c r="B1804" s="1" t="s">
        <v>86</v>
      </c>
      <c r="C1804" s="1" t="s">
        <v>2507</v>
      </c>
      <c r="D1804" s="1" t="s">
        <v>1037</v>
      </c>
      <c r="E1804" s="1">
        <v>29800000</v>
      </c>
    </row>
    <row r="1805" spans="1:5" ht="14.4" x14ac:dyDescent="0.3">
      <c r="A1805" s="17" t="s">
        <v>7186</v>
      </c>
      <c r="B1805" s="1" t="s">
        <v>2494</v>
      </c>
      <c r="C1805" s="1" t="s">
        <v>2987</v>
      </c>
      <c r="D1805" s="1" t="s">
        <v>3831</v>
      </c>
      <c r="E1805" s="1">
        <v>7190000</v>
      </c>
    </row>
    <row r="1806" spans="1:5" ht="14.4" x14ac:dyDescent="0.3">
      <c r="A1806" s="17" t="s">
        <v>7187</v>
      </c>
      <c r="B1806" s="1" t="s">
        <v>220</v>
      </c>
      <c r="C1806" s="1" t="s">
        <v>2682</v>
      </c>
      <c r="D1806" s="1" t="s">
        <v>3832</v>
      </c>
      <c r="E1806" s="1">
        <v>22700000</v>
      </c>
    </row>
    <row r="1807" spans="1:5" ht="14.4" x14ac:dyDescent="0.3">
      <c r="A1807" s="17" t="s">
        <v>7188</v>
      </c>
      <c r="B1807" s="1" t="s">
        <v>207</v>
      </c>
      <c r="C1807" s="1" t="s">
        <v>2937</v>
      </c>
      <c r="D1807" s="1" t="s">
        <v>3833</v>
      </c>
      <c r="E1807" s="1">
        <v>15200000</v>
      </c>
    </row>
    <row r="1808" spans="1:5" ht="14.4" x14ac:dyDescent="0.3">
      <c r="A1808" s="17" t="s">
        <v>7189</v>
      </c>
      <c r="B1808" s="1" t="s">
        <v>142</v>
      </c>
      <c r="C1808" s="1" t="s">
        <v>3834</v>
      </c>
      <c r="D1808" s="1" t="s">
        <v>3835</v>
      </c>
      <c r="E1808" s="1">
        <v>11300000</v>
      </c>
    </row>
    <row r="1809" spans="1:5" ht="14.4" x14ac:dyDescent="0.3">
      <c r="A1809" s="17" t="s">
        <v>7190</v>
      </c>
      <c r="B1809" s="1" t="s">
        <v>86</v>
      </c>
      <c r="C1809" s="1" t="s">
        <v>2507</v>
      </c>
      <c r="D1809" s="1" t="s">
        <v>3836</v>
      </c>
      <c r="E1809" s="1">
        <v>44100000</v>
      </c>
    </row>
    <row r="1810" spans="1:5" ht="14.4" x14ac:dyDescent="0.3">
      <c r="A1810" s="17" t="s">
        <v>7191</v>
      </c>
      <c r="B1810" s="1" t="s">
        <v>306</v>
      </c>
      <c r="C1810" s="1" t="s">
        <v>2862</v>
      </c>
      <c r="D1810" s="1" t="s">
        <v>3837</v>
      </c>
      <c r="E1810" s="1">
        <v>32600000</v>
      </c>
    </row>
    <row r="1811" spans="1:5" ht="14.4" x14ac:dyDescent="0.3">
      <c r="A1811" s="17" t="s">
        <v>7192</v>
      </c>
      <c r="B1811" s="1" t="s">
        <v>28</v>
      </c>
      <c r="C1811" s="1" t="s">
        <v>42</v>
      </c>
      <c r="D1811" s="1" t="s">
        <v>3341</v>
      </c>
      <c r="E1811" s="1">
        <v>11000000</v>
      </c>
    </row>
    <row r="1812" spans="1:5" ht="14.4" x14ac:dyDescent="0.3">
      <c r="A1812" s="17" t="s">
        <v>7193</v>
      </c>
      <c r="B1812" s="1" t="s">
        <v>45</v>
      </c>
      <c r="C1812" s="1" t="s">
        <v>49</v>
      </c>
      <c r="D1812" s="1" t="s">
        <v>3838</v>
      </c>
      <c r="E1812" s="1">
        <v>45400000</v>
      </c>
    </row>
    <row r="1813" spans="1:5" ht="14.4" x14ac:dyDescent="0.3">
      <c r="A1813" s="17" t="s">
        <v>7194</v>
      </c>
      <c r="B1813" s="1" t="s">
        <v>2498</v>
      </c>
      <c r="C1813" s="1" t="s">
        <v>199</v>
      </c>
      <c r="D1813" s="1" t="s">
        <v>3839</v>
      </c>
      <c r="E1813" s="1">
        <v>25900000</v>
      </c>
    </row>
    <row r="1814" spans="1:5" ht="14.4" x14ac:dyDescent="0.3">
      <c r="A1814" s="17" t="s">
        <v>7195</v>
      </c>
      <c r="B1814" s="1" t="s">
        <v>2545</v>
      </c>
      <c r="C1814" s="1" t="s">
        <v>3431</v>
      </c>
      <c r="D1814" s="1" t="s">
        <v>3432</v>
      </c>
      <c r="E1814" s="1">
        <v>14700000</v>
      </c>
    </row>
    <row r="1815" spans="1:5" ht="14.4" x14ac:dyDescent="0.3">
      <c r="A1815" s="17" t="s">
        <v>7196</v>
      </c>
      <c r="B1815" s="1" t="s">
        <v>86</v>
      </c>
      <c r="C1815" s="1" t="s">
        <v>3840</v>
      </c>
      <c r="D1815" s="1" t="s">
        <v>3841</v>
      </c>
      <c r="E1815" s="1">
        <v>22500000</v>
      </c>
    </row>
    <row r="1816" spans="1:5" ht="14.4" x14ac:dyDescent="0.3">
      <c r="A1816" s="17" t="s">
        <v>7197</v>
      </c>
      <c r="B1816" s="1" t="s">
        <v>180</v>
      </c>
      <c r="C1816" s="1" t="s">
        <v>183</v>
      </c>
      <c r="D1816" s="1" t="s">
        <v>2482</v>
      </c>
      <c r="E1816" s="1">
        <v>38900000</v>
      </c>
    </row>
    <row r="1817" spans="1:5" ht="14.4" x14ac:dyDescent="0.3">
      <c r="A1817" s="17" t="s">
        <v>7198</v>
      </c>
      <c r="B1817" s="1" t="s">
        <v>2498</v>
      </c>
      <c r="C1817" s="1" t="s">
        <v>2587</v>
      </c>
      <c r="D1817" s="1" t="s">
        <v>3842</v>
      </c>
      <c r="E1817" s="1">
        <v>15800000</v>
      </c>
    </row>
    <row r="1818" spans="1:5" ht="14.4" x14ac:dyDescent="0.3">
      <c r="A1818" s="17" t="s">
        <v>7199</v>
      </c>
      <c r="B1818" s="1" t="s">
        <v>241</v>
      </c>
      <c r="C1818" s="1" t="s">
        <v>2484</v>
      </c>
      <c r="D1818" s="1" t="s">
        <v>2881</v>
      </c>
      <c r="E1818" s="1">
        <v>13300000</v>
      </c>
    </row>
    <row r="1819" spans="1:5" ht="14.4" x14ac:dyDescent="0.3">
      <c r="A1819" s="17" t="s">
        <v>7200</v>
      </c>
      <c r="B1819" s="1" t="s">
        <v>147</v>
      </c>
      <c r="C1819" s="1" t="s">
        <v>153</v>
      </c>
      <c r="D1819" s="1" t="s">
        <v>3843</v>
      </c>
      <c r="E1819" s="1">
        <v>17300000</v>
      </c>
    </row>
    <row r="1820" spans="1:5" ht="14.4" x14ac:dyDescent="0.3">
      <c r="A1820" s="17" t="s">
        <v>7201</v>
      </c>
      <c r="B1820" s="1" t="s">
        <v>167</v>
      </c>
      <c r="C1820" s="1" t="s">
        <v>168</v>
      </c>
      <c r="D1820" s="1" t="s">
        <v>169</v>
      </c>
      <c r="E1820" s="1">
        <v>10800000</v>
      </c>
    </row>
    <row r="1821" spans="1:5" ht="14.4" x14ac:dyDescent="0.3">
      <c r="A1821" s="17" t="s">
        <v>7202</v>
      </c>
      <c r="B1821" s="1" t="s">
        <v>2545</v>
      </c>
      <c r="C1821" s="1" t="s">
        <v>2546</v>
      </c>
      <c r="D1821" s="1" t="s">
        <v>1562</v>
      </c>
      <c r="E1821" s="1">
        <v>12500000</v>
      </c>
    </row>
    <row r="1822" spans="1:5" ht="14.4" x14ac:dyDescent="0.3">
      <c r="A1822" s="17" t="s">
        <v>7203</v>
      </c>
      <c r="B1822" s="1" t="s">
        <v>291</v>
      </c>
      <c r="C1822" s="1" t="s">
        <v>3844</v>
      </c>
      <c r="D1822" s="1" t="s">
        <v>3845</v>
      </c>
      <c r="E1822" s="1">
        <v>14300000</v>
      </c>
    </row>
    <row r="1823" spans="1:5" ht="14.4" x14ac:dyDescent="0.3">
      <c r="A1823" s="17" t="s">
        <v>7204</v>
      </c>
      <c r="B1823" s="1" t="s">
        <v>45</v>
      </c>
      <c r="C1823" s="1" t="s">
        <v>49</v>
      </c>
      <c r="D1823" s="1" t="s">
        <v>3846</v>
      </c>
      <c r="E1823" s="1">
        <v>46300000</v>
      </c>
    </row>
    <row r="1824" spans="1:5" ht="14.4" x14ac:dyDescent="0.3">
      <c r="A1824" s="17" t="s">
        <v>7205</v>
      </c>
      <c r="B1824" s="1" t="s">
        <v>86</v>
      </c>
      <c r="C1824" s="1" t="s">
        <v>2476</v>
      </c>
      <c r="D1824" s="1" t="s">
        <v>3847</v>
      </c>
      <c r="E1824" s="1">
        <v>48800000</v>
      </c>
    </row>
    <row r="1825" spans="1:5" ht="14.4" x14ac:dyDescent="0.3">
      <c r="A1825" s="17" t="s">
        <v>7206</v>
      </c>
      <c r="B1825" s="1" t="s">
        <v>300</v>
      </c>
      <c r="C1825" s="1" t="s">
        <v>3699</v>
      </c>
      <c r="D1825" s="1" t="s">
        <v>3848</v>
      </c>
      <c r="E1825" s="1">
        <v>14000000</v>
      </c>
    </row>
    <row r="1826" spans="1:5" ht="14.4" x14ac:dyDescent="0.3">
      <c r="A1826" s="17" t="s">
        <v>7207</v>
      </c>
      <c r="B1826" s="1" t="s">
        <v>2521</v>
      </c>
      <c r="C1826" s="1" t="s">
        <v>2522</v>
      </c>
      <c r="D1826" s="1" t="s">
        <v>2477</v>
      </c>
      <c r="E1826" s="1">
        <v>22000000</v>
      </c>
    </row>
    <row r="1827" spans="1:5" ht="14.4" x14ac:dyDescent="0.3">
      <c r="A1827" s="17" t="s">
        <v>7208</v>
      </c>
      <c r="B1827" s="1" t="s">
        <v>86</v>
      </c>
      <c r="C1827" s="1" t="s">
        <v>2793</v>
      </c>
      <c r="D1827" s="1" t="s">
        <v>3849</v>
      </c>
      <c r="E1827" s="1">
        <v>15600000</v>
      </c>
    </row>
    <row r="1828" spans="1:5" ht="14.4" x14ac:dyDescent="0.3">
      <c r="A1828" s="17" t="s">
        <v>7209</v>
      </c>
      <c r="B1828" s="1" t="s">
        <v>2526</v>
      </c>
      <c r="C1828" s="1" t="s">
        <v>3850</v>
      </c>
      <c r="D1828" s="1" t="s">
        <v>3851</v>
      </c>
      <c r="E1828" s="1">
        <v>16100000</v>
      </c>
    </row>
    <row r="1829" spans="1:5" ht="14.4" x14ac:dyDescent="0.3">
      <c r="A1829" s="17" t="s">
        <v>11836</v>
      </c>
      <c r="B1829" s="1" t="s">
        <v>2498</v>
      </c>
      <c r="C1829" s="1" t="s">
        <v>2833</v>
      </c>
      <c r="D1829" s="1" t="s">
        <v>3624</v>
      </c>
      <c r="E1829" s="1">
        <v>40100000</v>
      </c>
    </row>
    <row r="1830" spans="1:5" ht="14.4" x14ac:dyDescent="0.3">
      <c r="A1830" s="17" t="s">
        <v>7210</v>
      </c>
      <c r="B1830" s="1" t="s">
        <v>180</v>
      </c>
      <c r="C1830" s="1" t="s">
        <v>2662</v>
      </c>
      <c r="D1830" s="1" t="s">
        <v>3852</v>
      </c>
      <c r="E1830" s="1">
        <v>11900000</v>
      </c>
    </row>
    <row r="1831" spans="1:5" ht="14.4" x14ac:dyDescent="0.3">
      <c r="A1831" s="17" t="s">
        <v>11837</v>
      </c>
      <c r="B1831" s="1" t="s">
        <v>2498</v>
      </c>
      <c r="C1831" s="1" t="s">
        <v>2833</v>
      </c>
      <c r="D1831" s="1" t="s">
        <v>3624</v>
      </c>
      <c r="E1831" s="1">
        <v>40100000</v>
      </c>
    </row>
    <row r="1832" spans="1:5" ht="14.4" x14ac:dyDescent="0.3">
      <c r="A1832" s="17" t="s">
        <v>7211</v>
      </c>
      <c r="B1832" s="1" t="s">
        <v>2498</v>
      </c>
      <c r="C1832" s="1" t="s">
        <v>2833</v>
      </c>
      <c r="D1832" s="1" t="s">
        <v>3624</v>
      </c>
      <c r="E1832" s="1">
        <v>40100000</v>
      </c>
    </row>
    <row r="1833" spans="1:5" ht="14.4" x14ac:dyDescent="0.3">
      <c r="A1833" s="17" t="s">
        <v>11838</v>
      </c>
      <c r="B1833" s="1" t="s">
        <v>2498</v>
      </c>
      <c r="C1833" s="1" t="s">
        <v>2833</v>
      </c>
      <c r="D1833" s="1" t="s">
        <v>3624</v>
      </c>
      <c r="E1833" s="1">
        <v>40100000</v>
      </c>
    </row>
    <row r="1834" spans="1:5" ht="14.4" x14ac:dyDescent="0.3">
      <c r="A1834" s="17" t="s">
        <v>11839</v>
      </c>
      <c r="B1834" s="1" t="s">
        <v>2498</v>
      </c>
      <c r="C1834" s="1" t="s">
        <v>2833</v>
      </c>
      <c r="D1834" s="1" t="s">
        <v>3624</v>
      </c>
      <c r="E1834" s="1">
        <v>40100000</v>
      </c>
    </row>
    <row r="1835" spans="1:5" ht="14.4" x14ac:dyDescent="0.3">
      <c r="A1835" s="17" t="s">
        <v>7212</v>
      </c>
      <c r="B1835" s="1" t="s">
        <v>214</v>
      </c>
      <c r="C1835" s="1" t="s">
        <v>215</v>
      </c>
      <c r="D1835" s="1" t="s">
        <v>2477</v>
      </c>
      <c r="E1835" s="1">
        <v>29700000</v>
      </c>
    </row>
    <row r="1836" spans="1:5" ht="14.4" x14ac:dyDescent="0.3">
      <c r="A1836" s="17" t="s">
        <v>7213</v>
      </c>
      <c r="B1836" s="1" t="s">
        <v>142</v>
      </c>
      <c r="C1836" s="1" t="s">
        <v>2768</v>
      </c>
      <c r="D1836" s="1" t="s">
        <v>1558</v>
      </c>
      <c r="E1836" s="1">
        <v>6960000</v>
      </c>
    </row>
    <row r="1837" spans="1:5" ht="14.4" x14ac:dyDescent="0.3">
      <c r="A1837" s="17" t="s">
        <v>7214</v>
      </c>
      <c r="B1837" s="1" t="s">
        <v>241</v>
      </c>
      <c r="C1837" s="1" t="s">
        <v>2505</v>
      </c>
      <c r="D1837" s="1" t="s">
        <v>768</v>
      </c>
      <c r="E1837" s="1">
        <v>23600000</v>
      </c>
    </row>
    <row r="1838" spans="1:5" ht="14.4" x14ac:dyDescent="0.3">
      <c r="A1838" s="17" t="s">
        <v>7215</v>
      </c>
      <c r="B1838" s="1" t="s">
        <v>173</v>
      </c>
      <c r="C1838" s="1">
        <v>7</v>
      </c>
      <c r="D1838" s="1" t="s">
        <v>179</v>
      </c>
      <c r="E1838" s="1">
        <v>18000000</v>
      </c>
    </row>
    <row r="1839" spans="1:5" ht="14.4" x14ac:dyDescent="0.3">
      <c r="A1839" s="17" t="s">
        <v>7216</v>
      </c>
      <c r="B1839" s="1" t="s">
        <v>28</v>
      </c>
      <c r="C1839" s="1" t="s">
        <v>31</v>
      </c>
      <c r="D1839" s="1" t="s">
        <v>3853</v>
      </c>
      <c r="E1839" s="1">
        <v>8200000</v>
      </c>
    </row>
    <row r="1840" spans="1:5" ht="14.4" x14ac:dyDescent="0.3">
      <c r="A1840" s="17" t="s">
        <v>7217</v>
      </c>
      <c r="B1840" s="1" t="s">
        <v>167</v>
      </c>
      <c r="C1840" s="1" t="s">
        <v>3785</v>
      </c>
      <c r="D1840" s="1" t="s">
        <v>3854</v>
      </c>
      <c r="E1840" s="1">
        <v>9100000</v>
      </c>
    </row>
    <row r="1841" spans="1:5" ht="14.4" x14ac:dyDescent="0.3">
      <c r="A1841" s="17" t="s">
        <v>7218</v>
      </c>
      <c r="B1841" s="1" t="s">
        <v>2545</v>
      </c>
      <c r="C1841" s="1" t="s">
        <v>2856</v>
      </c>
      <c r="D1841" s="1" t="s">
        <v>3855</v>
      </c>
      <c r="E1841" s="1">
        <v>25400000</v>
      </c>
    </row>
    <row r="1842" spans="1:5" ht="14.4" x14ac:dyDescent="0.3">
      <c r="A1842" s="17" t="s">
        <v>7219</v>
      </c>
      <c r="B1842" s="1" t="s">
        <v>28</v>
      </c>
      <c r="C1842" s="1" t="s">
        <v>31</v>
      </c>
      <c r="D1842" s="1" t="s">
        <v>3856</v>
      </c>
      <c r="E1842" s="1">
        <v>8700000</v>
      </c>
    </row>
    <row r="1843" spans="1:5" ht="14.4" x14ac:dyDescent="0.3">
      <c r="A1843" s="17" t="s">
        <v>7220</v>
      </c>
      <c r="B1843" s="1" t="s">
        <v>86</v>
      </c>
      <c r="C1843" s="1" t="s">
        <v>2476</v>
      </c>
      <c r="D1843" s="1" t="s">
        <v>3857</v>
      </c>
      <c r="E1843" s="1">
        <v>27200000</v>
      </c>
    </row>
    <row r="1844" spans="1:5" ht="14.4" x14ac:dyDescent="0.3">
      <c r="A1844" s="17" t="s">
        <v>7221</v>
      </c>
      <c r="B1844" s="1" t="s">
        <v>2498</v>
      </c>
      <c r="C1844" s="1" t="s">
        <v>199</v>
      </c>
      <c r="D1844" s="1" t="s">
        <v>3858</v>
      </c>
      <c r="E1844" s="1">
        <v>18700000</v>
      </c>
    </row>
    <row r="1845" spans="1:5" ht="14.4" x14ac:dyDescent="0.3">
      <c r="A1845" s="17" t="s">
        <v>7222</v>
      </c>
      <c r="B1845" s="1" t="s">
        <v>220</v>
      </c>
      <c r="C1845" s="1" t="s">
        <v>231</v>
      </c>
      <c r="D1845" s="1" t="s">
        <v>3859</v>
      </c>
      <c r="E1845" s="1">
        <v>11500000</v>
      </c>
    </row>
    <row r="1846" spans="1:5" ht="14.4" x14ac:dyDescent="0.3">
      <c r="A1846" s="17" t="s">
        <v>7223</v>
      </c>
      <c r="B1846" s="1" t="s">
        <v>180</v>
      </c>
      <c r="C1846" s="1" t="s">
        <v>2662</v>
      </c>
      <c r="D1846" s="1" t="s">
        <v>3860</v>
      </c>
      <c r="E1846" s="1">
        <v>11400000</v>
      </c>
    </row>
    <row r="1847" spans="1:5" ht="14.4" x14ac:dyDescent="0.3">
      <c r="A1847" s="17" t="s">
        <v>7224</v>
      </c>
      <c r="B1847" s="1" t="s">
        <v>214</v>
      </c>
      <c r="C1847" s="1" t="s">
        <v>2567</v>
      </c>
      <c r="D1847" s="1" t="s">
        <v>3861</v>
      </c>
      <c r="E1847" s="1">
        <v>15600000</v>
      </c>
    </row>
    <row r="1848" spans="1:5" ht="14.4" x14ac:dyDescent="0.3">
      <c r="A1848" s="17" t="s">
        <v>7225</v>
      </c>
      <c r="B1848" s="1" t="s">
        <v>156</v>
      </c>
      <c r="C1848" s="1" t="s">
        <v>3025</v>
      </c>
      <c r="D1848" s="1" t="s">
        <v>3862</v>
      </c>
      <c r="E1848" s="1">
        <v>23000000</v>
      </c>
    </row>
    <row r="1849" spans="1:5" ht="14.4" x14ac:dyDescent="0.3">
      <c r="A1849" s="17" t="s">
        <v>7226</v>
      </c>
      <c r="B1849" s="1" t="s">
        <v>28</v>
      </c>
      <c r="C1849" s="1" t="s">
        <v>2575</v>
      </c>
      <c r="D1849" s="1" t="s">
        <v>3863</v>
      </c>
      <c r="E1849" s="1">
        <v>8600000</v>
      </c>
    </row>
    <row r="1850" spans="1:5" ht="14.4" x14ac:dyDescent="0.3">
      <c r="A1850" s="17" t="s">
        <v>7227</v>
      </c>
      <c r="B1850" s="1" t="s">
        <v>86</v>
      </c>
      <c r="C1850" s="1" t="s">
        <v>2506</v>
      </c>
      <c r="D1850" s="1" t="s">
        <v>504</v>
      </c>
      <c r="E1850" s="1">
        <v>50000000</v>
      </c>
    </row>
    <row r="1851" spans="1:5" ht="14.4" x14ac:dyDescent="0.3">
      <c r="A1851" s="17" t="s">
        <v>7228</v>
      </c>
      <c r="B1851" s="1" t="s">
        <v>45</v>
      </c>
      <c r="C1851" s="1" t="s">
        <v>49</v>
      </c>
      <c r="D1851" s="1" t="s">
        <v>51</v>
      </c>
      <c r="E1851" s="1">
        <v>47200000</v>
      </c>
    </row>
    <row r="1852" spans="1:5" ht="14.4" x14ac:dyDescent="0.3">
      <c r="A1852" s="17" t="s">
        <v>7229</v>
      </c>
      <c r="B1852" s="1" t="s">
        <v>291</v>
      </c>
      <c r="C1852" s="1" t="s">
        <v>3161</v>
      </c>
      <c r="D1852" s="1" t="s">
        <v>3864</v>
      </c>
      <c r="E1852" s="1">
        <v>20300000</v>
      </c>
    </row>
    <row r="1853" spans="1:5" ht="14.4" x14ac:dyDescent="0.3">
      <c r="A1853" s="17" t="s">
        <v>7230</v>
      </c>
      <c r="B1853" s="1" t="s">
        <v>311</v>
      </c>
      <c r="C1853" s="1" t="s">
        <v>3865</v>
      </c>
      <c r="D1853" s="1" t="s">
        <v>323</v>
      </c>
      <c r="E1853" s="1">
        <v>15200000</v>
      </c>
    </row>
    <row r="1854" spans="1:5" ht="14.4" x14ac:dyDescent="0.3">
      <c r="A1854" s="17" t="s">
        <v>7231</v>
      </c>
      <c r="B1854" s="1" t="s">
        <v>220</v>
      </c>
      <c r="C1854" s="1" t="s">
        <v>2576</v>
      </c>
      <c r="D1854" s="1" t="s">
        <v>3866</v>
      </c>
      <c r="E1854" s="1">
        <v>24900000</v>
      </c>
    </row>
    <row r="1855" spans="1:5" ht="14.4" x14ac:dyDescent="0.3">
      <c r="A1855" s="17" t="s">
        <v>7232</v>
      </c>
      <c r="B1855" s="1" t="s">
        <v>2498</v>
      </c>
      <c r="C1855" s="1" t="s">
        <v>2499</v>
      </c>
      <c r="D1855" s="1" t="s">
        <v>3867</v>
      </c>
      <c r="E1855" s="1">
        <v>9200000</v>
      </c>
    </row>
    <row r="1856" spans="1:5" ht="14.4" x14ac:dyDescent="0.3">
      <c r="A1856" s="17" t="s">
        <v>7233</v>
      </c>
      <c r="B1856" s="1" t="s">
        <v>2498</v>
      </c>
      <c r="C1856" s="1" t="s">
        <v>2830</v>
      </c>
      <c r="D1856" s="1" t="s">
        <v>3868</v>
      </c>
      <c r="E1856" s="1">
        <v>14600000</v>
      </c>
    </row>
    <row r="1857" spans="1:5" ht="14.4" x14ac:dyDescent="0.3">
      <c r="A1857" s="17" t="s">
        <v>7234</v>
      </c>
      <c r="B1857" s="1" t="s">
        <v>2498</v>
      </c>
      <c r="C1857" s="1" t="s">
        <v>2664</v>
      </c>
      <c r="D1857" s="1" t="s">
        <v>3869</v>
      </c>
      <c r="E1857" s="1">
        <v>13600000</v>
      </c>
    </row>
    <row r="1858" spans="1:5" ht="14.4" x14ac:dyDescent="0.3">
      <c r="A1858" s="17" t="s">
        <v>7235</v>
      </c>
      <c r="B1858" s="1" t="s">
        <v>291</v>
      </c>
      <c r="C1858" s="1" t="s">
        <v>3080</v>
      </c>
      <c r="D1858" s="1" t="s">
        <v>3870</v>
      </c>
      <c r="E1858" s="1">
        <v>17000000</v>
      </c>
    </row>
    <row r="1859" spans="1:5" ht="14.4" x14ac:dyDescent="0.3">
      <c r="A1859" s="17" t="s">
        <v>7236</v>
      </c>
      <c r="B1859" s="1" t="s">
        <v>45</v>
      </c>
      <c r="C1859" s="1" t="s">
        <v>3061</v>
      </c>
      <c r="D1859" s="1" t="s">
        <v>3871</v>
      </c>
      <c r="E1859" s="1">
        <v>6900000</v>
      </c>
    </row>
    <row r="1860" spans="1:5" ht="14.4" x14ac:dyDescent="0.3">
      <c r="A1860" s="17" t="s">
        <v>7237</v>
      </c>
      <c r="B1860" s="1" t="s">
        <v>2498</v>
      </c>
      <c r="C1860" s="1" t="s">
        <v>3206</v>
      </c>
      <c r="D1860" s="1" t="s">
        <v>3872</v>
      </c>
      <c r="E1860" s="1">
        <v>9200000</v>
      </c>
    </row>
    <row r="1861" spans="1:5" ht="14.4" x14ac:dyDescent="0.3">
      <c r="A1861" s="17" t="s">
        <v>7238</v>
      </c>
      <c r="B1861" s="1" t="s">
        <v>86</v>
      </c>
      <c r="C1861" s="1" t="s">
        <v>2507</v>
      </c>
      <c r="D1861" s="1" t="s">
        <v>3873</v>
      </c>
      <c r="E1861" s="1">
        <v>34800000</v>
      </c>
    </row>
    <row r="1862" spans="1:5" ht="14.4" x14ac:dyDescent="0.3">
      <c r="A1862" s="17" t="s">
        <v>7239</v>
      </c>
      <c r="B1862" s="1" t="s">
        <v>2498</v>
      </c>
      <c r="C1862" s="1" t="s">
        <v>199</v>
      </c>
      <c r="D1862" s="1" t="s">
        <v>3874</v>
      </c>
      <c r="E1862" s="1">
        <v>21900000</v>
      </c>
    </row>
    <row r="1863" spans="1:5" ht="14.4" x14ac:dyDescent="0.3">
      <c r="A1863" s="17" t="s">
        <v>7240</v>
      </c>
      <c r="B1863" s="1" t="s">
        <v>86</v>
      </c>
      <c r="C1863" s="1" t="s">
        <v>122</v>
      </c>
      <c r="D1863" s="1" t="s">
        <v>3875</v>
      </c>
      <c r="E1863" s="1">
        <v>17400000</v>
      </c>
    </row>
    <row r="1864" spans="1:5" ht="14.4" x14ac:dyDescent="0.3">
      <c r="A1864" s="17" t="s">
        <v>7241</v>
      </c>
      <c r="B1864" s="1" t="s">
        <v>68</v>
      </c>
      <c r="C1864" s="1" t="s">
        <v>3343</v>
      </c>
      <c r="D1864" s="1" t="s">
        <v>3876</v>
      </c>
      <c r="E1864" s="1">
        <v>5960000</v>
      </c>
    </row>
    <row r="1865" spans="1:5" ht="14.4" x14ac:dyDescent="0.3">
      <c r="A1865" s="17" t="s">
        <v>7242</v>
      </c>
      <c r="B1865" s="1" t="s">
        <v>147</v>
      </c>
      <c r="C1865" s="1" t="s">
        <v>153</v>
      </c>
      <c r="D1865" s="1" t="s">
        <v>3877</v>
      </c>
      <c r="E1865" s="1">
        <v>10500000</v>
      </c>
    </row>
    <row r="1866" spans="1:5" ht="14.4" x14ac:dyDescent="0.3">
      <c r="A1866" s="17" t="s">
        <v>7243</v>
      </c>
      <c r="B1866" s="1" t="s">
        <v>241</v>
      </c>
      <c r="C1866" s="1" t="s">
        <v>2584</v>
      </c>
      <c r="D1866" s="1" t="s">
        <v>3878</v>
      </c>
      <c r="E1866" s="1">
        <v>15300000</v>
      </c>
    </row>
    <row r="1867" spans="1:5" ht="14.4" x14ac:dyDescent="0.3">
      <c r="A1867" s="17" t="s">
        <v>7244</v>
      </c>
      <c r="B1867" s="1" t="s">
        <v>220</v>
      </c>
      <c r="C1867" s="1" t="s">
        <v>2576</v>
      </c>
      <c r="D1867" s="1" t="s">
        <v>3879</v>
      </c>
      <c r="E1867" s="1">
        <v>16100000</v>
      </c>
    </row>
    <row r="1868" spans="1:5" ht="14.4" x14ac:dyDescent="0.3">
      <c r="A1868" s="17" t="s">
        <v>7245</v>
      </c>
      <c r="B1868" s="1" t="s">
        <v>2549</v>
      </c>
      <c r="C1868" s="1" t="s">
        <v>2655</v>
      </c>
      <c r="D1868" s="1" t="s">
        <v>1580</v>
      </c>
      <c r="E1868" s="1">
        <v>14000000</v>
      </c>
    </row>
    <row r="1869" spans="1:5" ht="14.4" x14ac:dyDescent="0.3">
      <c r="A1869" s="17" t="s">
        <v>7246</v>
      </c>
      <c r="B1869" s="1" t="s">
        <v>220</v>
      </c>
      <c r="C1869" s="1" t="s">
        <v>2576</v>
      </c>
      <c r="D1869" s="1" t="s">
        <v>3880</v>
      </c>
      <c r="E1869" s="1">
        <v>18700000</v>
      </c>
    </row>
    <row r="1870" spans="1:5" ht="14.4" x14ac:dyDescent="0.3">
      <c r="A1870" s="17" t="s">
        <v>7247</v>
      </c>
      <c r="B1870" s="1" t="s">
        <v>214</v>
      </c>
      <c r="C1870" s="1" t="s">
        <v>2675</v>
      </c>
      <c r="D1870" s="1" t="s">
        <v>3881</v>
      </c>
      <c r="E1870" s="1">
        <v>15400000</v>
      </c>
    </row>
    <row r="1871" spans="1:5" ht="14.4" x14ac:dyDescent="0.3">
      <c r="A1871" s="17" t="s">
        <v>7248</v>
      </c>
      <c r="B1871" s="1" t="s">
        <v>45</v>
      </c>
      <c r="C1871" s="1" t="s">
        <v>3325</v>
      </c>
      <c r="D1871" s="1" t="s">
        <v>56</v>
      </c>
      <c r="E1871" s="1">
        <v>28800000</v>
      </c>
    </row>
    <row r="1872" spans="1:5" ht="14.4" x14ac:dyDescent="0.3">
      <c r="A1872" s="17" t="s">
        <v>7249</v>
      </c>
      <c r="B1872" s="1" t="s">
        <v>241</v>
      </c>
      <c r="C1872" s="1" t="s">
        <v>269</v>
      </c>
      <c r="D1872" s="1" t="s">
        <v>324</v>
      </c>
      <c r="E1872" s="1">
        <v>21500000</v>
      </c>
    </row>
    <row r="1873" spans="1:5" ht="14.4" x14ac:dyDescent="0.3">
      <c r="A1873" s="17" t="s">
        <v>7250</v>
      </c>
      <c r="B1873" s="1" t="s">
        <v>86</v>
      </c>
      <c r="C1873" s="1" t="s">
        <v>3486</v>
      </c>
      <c r="D1873" s="1" t="s">
        <v>3882</v>
      </c>
      <c r="E1873" s="1">
        <v>58000000</v>
      </c>
    </row>
    <row r="1874" spans="1:5" ht="14.4" x14ac:dyDescent="0.3">
      <c r="A1874" s="17" t="s">
        <v>7251</v>
      </c>
      <c r="B1874" s="1" t="s">
        <v>86</v>
      </c>
      <c r="C1874" s="1" t="s">
        <v>106</v>
      </c>
      <c r="D1874" s="1" t="s">
        <v>3883</v>
      </c>
      <c r="E1874" s="1">
        <v>31600000</v>
      </c>
    </row>
    <row r="1875" spans="1:5" ht="14.4" x14ac:dyDescent="0.3">
      <c r="A1875" s="17" t="s">
        <v>7252</v>
      </c>
      <c r="B1875" s="1" t="s">
        <v>167</v>
      </c>
      <c r="C1875" s="1" t="s">
        <v>3192</v>
      </c>
      <c r="D1875" s="1" t="s">
        <v>3884</v>
      </c>
      <c r="E1875" s="1">
        <v>8900000</v>
      </c>
    </row>
    <row r="1876" spans="1:5" ht="14.4" x14ac:dyDescent="0.3">
      <c r="A1876" s="17" t="s">
        <v>7253</v>
      </c>
      <c r="B1876" s="1" t="s">
        <v>2992</v>
      </c>
      <c r="C1876" s="1" t="s">
        <v>2993</v>
      </c>
      <c r="D1876" s="1" t="s">
        <v>2477</v>
      </c>
      <c r="E1876" s="1">
        <v>18600000</v>
      </c>
    </row>
    <row r="1877" spans="1:5" ht="14.4" x14ac:dyDescent="0.3">
      <c r="A1877" s="17" t="s">
        <v>7254</v>
      </c>
      <c r="B1877" s="1" t="s">
        <v>220</v>
      </c>
      <c r="C1877" s="1" t="s">
        <v>3356</v>
      </c>
      <c r="D1877" s="1" t="s">
        <v>3357</v>
      </c>
      <c r="E1877" s="1">
        <v>27100000</v>
      </c>
    </row>
    <row r="1878" spans="1:5" ht="14.4" x14ac:dyDescent="0.3">
      <c r="A1878" s="17" t="s">
        <v>7255</v>
      </c>
      <c r="B1878" s="1" t="s">
        <v>220</v>
      </c>
      <c r="C1878" s="1" t="s">
        <v>2729</v>
      </c>
      <c r="D1878" s="1" t="s">
        <v>3885</v>
      </c>
      <c r="E1878" s="1">
        <v>11600000</v>
      </c>
    </row>
    <row r="1879" spans="1:5" ht="14.4" x14ac:dyDescent="0.3">
      <c r="A1879" s="17" t="s">
        <v>7256</v>
      </c>
      <c r="B1879" s="1" t="s">
        <v>2498</v>
      </c>
      <c r="C1879" s="1" t="s">
        <v>2663</v>
      </c>
      <c r="D1879" s="1" t="s">
        <v>3886</v>
      </c>
      <c r="E1879" s="1">
        <v>11900000</v>
      </c>
    </row>
    <row r="1880" spans="1:5" ht="14.4" x14ac:dyDescent="0.3">
      <c r="A1880" s="17" t="s">
        <v>7257</v>
      </c>
      <c r="B1880" s="1" t="s">
        <v>86</v>
      </c>
      <c r="C1880" s="1" t="s">
        <v>134</v>
      </c>
      <c r="D1880" s="1" t="s">
        <v>3887</v>
      </c>
      <c r="E1880" s="1">
        <v>13100000</v>
      </c>
    </row>
    <row r="1881" spans="1:5" ht="14.4" x14ac:dyDescent="0.3">
      <c r="A1881" s="17" t="s">
        <v>7258</v>
      </c>
      <c r="B1881" s="1" t="s">
        <v>241</v>
      </c>
      <c r="C1881" s="1" t="s">
        <v>276</v>
      </c>
      <c r="D1881" s="1" t="s">
        <v>3888</v>
      </c>
      <c r="E1881" s="1">
        <v>13200000</v>
      </c>
    </row>
    <row r="1882" spans="1:5" ht="14.4" x14ac:dyDescent="0.3">
      <c r="A1882" s="17" t="s">
        <v>7259</v>
      </c>
      <c r="B1882" s="1" t="s">
        <v>86</v>
      </c>
      <c r="C1882" s="1" t="s">
        <v>2793</v>
      </c>
      <c r="D1882" s="1" t="s">
        <v>3889</v>
      </c>
      <c r="E1882" s="1">
        <v>15500000</v>
      </c>
    </row>
    <row r="1883" spans="1:5" ht="14.4" x14ac:dyDescent="0.3">
      <c r="A1883" s="17" t="s">
        <v>7260</v>
      </c>
      <c r="B1883" s="1" t="s">
        <v>167</v>
      </c>
      <c r="C1883" s="1" t="s">
        <v>170</v>
      </c>
      <c r="D1883" s="1" t="s">
        <v>3890</v>
      </c>
      <c r="E1883" s="1">
        <v>12000000</v>
      </c>
    </row>
    <row r="1884" spans="1:5" ht="14.4" x14ac:dyDescent="0.3">
      <c r="A1884" s="17" t="s">
        <v>7261</v>
      </c>
      <c r="B1884" s="1" t="s">
        <v>28</v>
      </c>
      <c r="C1884" s="1" t="s">
        <v>38</v>
      </c>
      <c r="D1884" s="1" t="s">
        <v>3891</v>
      </c>
      <c r="E1884" s="1">
        <v>14900000</v>
      </c>
    </row>
    <row r="1885" spans="1:5" ht="14.4" x14ac:dyDescent="0.3">
      <c r="A1885" s="17" t="s">
        <v>7262</v>
      </c>
      <c r="B1885" s="1" t="s">
        <v>241</v>
      </c>
      <c r="C1885" s="1">
        <v>3008</v>
      </c>
      <c r="D1885" s="1" t="s">
        <v>3892</v>
      </c>
      <c r="E1885" s="1">
        <v>14400000</v>
      </c>
    </row>
    <row r="1886" spans="1:5" ht="14.4" x14ac:dyDescent="0.3">
      <c r="A1886" s="17" t="s">
        <v>7263</v>
      </c>
      <c r="B1886" s="1" t="s">
        <v>86</v>
      </c>
      <c r="C1886" s="1" t="s">
        <v>2507</v>
      </c>
      <c r="D1886" s="1" t="s">
        <v>3893</v>
      </c>
      <c r="E1886" s="1">
        <v>27800000</v>
      </c>
    </row>
    <row r="1887" spans="1:5" ht="14.4" x14ac:dyDescent="0.3">
      <c r="A1887" s="17" t="s">
        <v>7264</v>
      </c>
      <c r="B1887" s="1" t="s">
        <v>311</v>
      </c>
      <c r="C1887" s="1" t="s">
        <v>3456</v>
      </c>
      <c r="D1887" s="1" t="s">
        <v>3894</v>
      </c>
      <c r="E1887" s="1">
        <v>12200000</v>
      </c>
    </row>
    <row r="1888" spans="1:5" ht="14.4" x14ac:dyDescent="0.3">
      <c r="A1888" s="17" t="s">
        <v>7265</v>
      </c>
      <c r="B1888" s="1" t="s">
        <v>2545</v>
      </c>
      <c r="C1888" s="1" t="s">
        <v>2856</v>
      </c>
      <c r="D1888" s="1" t="s">
        <v>3895</v>
      </c>
      <c r="E1888" s="1">
        <v>22300000</v>
      </c>
    </row>
    <row r="1889" spans="1:5" ht="14.4" x14ac:dyDescent="0.3">
      <c r="A1889" s="17" t="s">
        <v>7266</v>
      </c>
      <c r="B1889" s="1" t="s">
        <v>2549</v>
      </c>
      <c r="C1889" s="1" t="s">
        <v>3041</v>
      </c>
      <c r="D1889" s="1" t="s">
        <v>3896</v>
      </c>
      <c r="E1889" s="1">
        <v>9500000</v>
      </c>
    </row>
    <row r="1890" spans="1:5" ht="14.4" x14ac:dyDescent="0.3">
      <c r="A1890" s="17" t="s">
        <v>7267</v>
      </c>
      <c r="B1890" s="1" t="s">
        <v>14</v>
      </c>
      <c r="C1890" s="1" t="s">
        <v>15</v>
      </c>
      <c r="D1890" s="1" t="s">
        <v>17</v>
      </c>
      <c r="E1890" s="1">
        <v>7450000</v>
      </c>
    </row>
    <row r="1891" spans="1:5" ht="14.4" x14ac:dyDescent="0.3">
      <c r="A1891" s="17" t="s">
        <v>7268</v>
      </c>
      <c r="B1891" s="1" t="s">
        <v>167</v>
      </c>
      <c r="C1891" s="1" t="s">
        <v>168</v>
      </c>
      <c r="D1891" s="1" t="s">
        <v>3897</v>
      </c>
      <c r="E1891" s="1">
        <v>9700000</v>
      </c>
    </row>
    <row r="1892" spans="1:5" ht="14.4" x14ac:dyDescent="0.3">
      <c r="A1892" s="17" t="s">
        <v>7269</v>
      </c>
      <c r="B1892" s="1" t="s">
        <v>220</v>
      </c>
      <c r="C1892" s="1" t="s">
        <v>2682</v>
      </c>
      <c r="D1892" s="1" t="s">
        <v>3898</v>
      </c>
      <c r="E1892" s="1">
        <v>25500000</v>
      </c>
    </row>
    <row r="1893" spans="1:5" ht="14.4" x14ac:dyDescent="0.3">
      <c r="A1893" s="17" t="s">
        <v>7270</v>
      </c>
      <c r="B1893" s="1" t="s">
        <v>28</v>
      </c>
      <c r="C1893" s="1" t="s">
        <v>2490</v>
      </c>
      <c r="D1893" s="1" t="s">
        <v>1156</v>
      </c>
      <c r="E1893" s="1">
        <v>14900000</v>
      </c>
    </row>
    <row r="1894" spans="1:5" ht="14.4" x14ac:dyDescent="0.3">
      <c r="A1894" s="17" t="s">
        <v>7271</v>
      </c>
      <c r="B1894" s="1" t="s">
        <v>2608</v>
      </c>
      <c r="C1894" s="1" t="s">
        <v>3899</v>
      </c>
      <c r="D1894" s="1" t="s">
        <v>3900</v>
      </c>
      <c r="E1894" s="1">
        <v>26000000</v>
      </c>
    </row>
    <row r="1895" spans="1:5" ht="14.4" x14ac:dyDescent="0.3">
      <c r="A1895" s="17" t="s">
        <v>7272</v>
      </c>
      <c r="B1895" s="1" t="s">
        <v>28</v>
      </c>
      <c r="C1895" s="1" t="s">
        <v>2496</v>
      </c>
      <c r="D1895" s="1" t="s">
        <v>2148</v>
      </c>
      <c r="E1895" s="1">
        <v>8700000</v>
      </c>
    </row>
    <row r="1896" spans="1:5" ht="14.4" x14ac:dyDescent="0.3">
      <c r="A1896" s="17" t="s">
        <v>7273</v>
      </c>
      <c r="B1896" s="1" t="s">
        <v>241</v>
      </c>
      <c r="C1896" s="1" t="s">
        <v>2484</v>
      </c>
      <c r="D1896" s="1" t="s">
        <v>3901</v>
      </c>
      <c r="E1896" s="1">
        <v>11600000</v>
      </c>
    </row>
    <row r="1897" spans="1:5" ht="14.4" x14ac:dyDescent="0.3">
      <c r="A1897" s="17" t="s">
        <v>7274</v>
      </c>
      <c r="B1897" s="1" t="s">
        <v>86</v>
      </c>
      <c r="C1897" s="1" t="s">
        <v>2476</v>
      </c>
      <c r="D1897" s="1" t="s">
        <v>1021</v>
      </c>
      <c r="E1897" s="1">
        <v>49800000</v>
      </c>
    </row>
    <row r="1898" spans="1:5" ht="14.4" x14ac:dyDescent="0.3">
      <c r="A1898" s="17" t="s">
        <v>7275</v>
      </c>
      <c r="B1898" s="1" t="s">
        <v>241</v>
      </c>
      <c r="C1898" s="1" t="s">
        <v>2584</v>
      </c>
      <c r="D1898" s="1" t="s">
        <v>327</v>
      </c>
      <c r="E1898" s="1">
        <v>14400000</v>
      </c>
    </row>
    <row r="1899" spans="1:5" ht="14.4" x14ac:dyDescent="0.3">
      <c r="A1899" s="17" t="s">
        <v>7276</v>
      </c>
      <c r="B1899" s="1" t="s">
        <v>86</v>
      </c>
      <c r="C1899" s="1" t="s">
        <v>2476</v>
      </c>
      <c r="D1899" s="1" t="s">
        <v>1021</v>
      </c>
      <c r="E1899" s="1">
        <v>49900000</v>
      </c>
    </row>
    <row r="1900" spans="1:5" ht="14.4" x14ac:dyDescent="0.3">
      <c r="A1900" s="17" t="s">
        <v>7277</v>
      </c>
      <c r="B1900" s="1" t="s">
        <v>2950</v>
      </c>
      <c r="C1900" s="1" t="s">
        <v>3544</v>
      </c>
      <c r="D1900" s="1" t="s">
        <v>3902</v>
      </c>
      <c r="E1900" s="1">
        <v>14300000</v>
      </c>
    </row>
    <row r="1901" spans="1:5" ht="14.4" x14ac:dyDescent="0.3">
      <c r="A1901" s="17" t="s">
        <v>7278</v>
      </c>
      <c r="B1901" s="1" t="s">
        <v>86</v>
      </c>
      <c r="C1901" s="1" t="s">
        <v>134</v>
      </c>
      <c r="D1901" s="1" t="s">
        <v>3903</v>
      </c>
      <c r="E1901" s="1">
        <v>11700000</v>
      </c>
    </row>
    <row r="1902" spans="1:5" ht="14.4" x14ac:dyDescent="0.3">
      <c r="A1902" s="17" t="s">
        <v>7279</v>
      </c>
      <c r="B1902" s="1" t="s">
        <v>86</v>
      </c>
      <c r="C1902" s="1" t="s">
        <v>122</v>
      </c>
      <c r="D1902" s="1" t="s">
        <v>3904</v>
      </c>
      <c r="E1902" s="1">
        <v>29000000</v>
      </c>
    </row>
    <row r="1903" spans="1:5" ht="14.4" x14ac:dyDescent="0.3">
      <c r="A1903" s="17" t="s">
        <v>7280</v>
      </c>
      <c r="B1903" s="1" t="s">
        <v>2494</v>
      </c>
      <c r="C1903" s="1" t="s">
        <v>2987</v>
      </c>
      <c r="D1903" s="1" t="s">
        <v>3905</v>
      </c>
      <c r="E1903" s="1">
        <v>7240000</v>
      </c>
    </row>
    <row r="1904" spans="1:5" ht="14.4" x14ac:dyDescent="0.3">
      <c r="A1904" s="17" t="s">
        <v>7281</v>
      </c>
      <c r="B1904" s="1" t="s">
        <v>241</v>
      </c>
      <c r="C1904" s="1" t="s">
        <v>3269</v>
      </c>
      <c r="D1904" s="1" t="s">
        <v>580</v>
      </c>
      <c r="E1904" s="1">
        <v>17700000</v>
      </c>
    </row>
    <row r="1905" spans="1:5" ht="14.4" x14ac:dyDescent="0.3">
      <c r="A1905" s="17" t="s">
        <v>7282</v>
      </c>
      <c r="B1905" s="1" t="s">
        <v>2498</v>
      </c>
      <c r="C1905" s="1" t="s">
        <v>188</v>
      </c>
      <c r="D1905" s="1" t="s">
        <v>3906</v>
      </c>
      <c r="E1905" s="1">
        <v>11500000</v>
      </c>
    </row>
    <row r="1906" spans="1:5" ht="14.4" x14ac:dyDescent="0.3">
      <c r="A1906" s="17" t="s">
        <v>7283</v>
      </c>
      <c r="B1906" s="1" t="s">
        <v>86</v>
      </c>
      <c r="C1906" s="1" t="s">
        <v>106</v>
      </c>
      <c r="D1906" s="1" t="s">
        <v>3907</v>
      </c>
      <c r="E1906" s="1">
        <v>20200000</v>
      </c>
    </row>
    <row r="1907" spans="1:5" ht="14.4" x14ac:dyDescent="0.3">
      <c r="A1907" s="17" t="s">
        <v>7284</v>
      </c>
      <c r="B1907" s="1" t="s">
        <v>2498</v>
      </c>
      <c r="C1907" s="1" t="s">
        <v>2499</v>
      </c>
      <c r="D1907" s="1" t="s">
        <v>328</v>
      </c>
      <c r="E1907" s="1">
        <v>8900000</v>
      </c>
    </row>
    <row r="1908" spans="1:5" ht="14.4" x14ac:dyDescent="0.3">
      <c r="A1908" s="17" t="s">
        <v>7285</v>
      </c>
      <c r="B1908" s="1" t="s">
        <v>86</v>
      </c>
      <c r="C1908" s="1" t="s">
        <v>122</v>
      </c>
      <c r="D1908" s="1" t="s">
        <v>3908</v>
      </c>
      <c r="E1908" s="1">
        <v>19800000</v>
      </c>
    </row>
    <row r="1909" spans="1:5" ht="14.4" x14ac:dyDescent="0.3">
      <c r="A1909" s="17" t="s">
        <v>7286</v>
      </c>
      <c r="B1909" s="1" t="s">
        <v>241</v>
      </c>
      <c r="C1909" s="1" t="s">
        <v>2485</v>
      </c>
      <c r="D1909" s="1" t="s">
        <v>3909</v>
      </c>
      <c r="E1909" s="1">
        <v>9000000</v>
      </c>
    </row>
    <row r="1910" spans="1:5" ht="14.4" x14ac:dyDescent="0.3">
      <c r="A1910" s="17" t="s">
        <v>7287</v>
      </c>
      <c r="B1910" s="1" t="s">
        <v>86</v>
      </c>
      <c r="C1910" s="1" t="s">
        <v>122</v>
      </c>
      <c r="D1910" s="1" t="s">
        <v>3910</v>
      </c>
      <c r="E1910" s="1">
        <v>22500000</v>
      </c>
    </row>
    <row r="1911" spans="1:5" ht="14.4" x14ac:dyDescent="0.3">
      <c r="A1911" s="17" t="s">
        <v>7288</v>
      </c>
      <c r="B1911" s="1" t="s">
        <v>288</v>
      </c>
      <c r="C1911" s="1" t="s">
        <v>3911</v>
      </c>
      <c r="D1911" s="1" t="s">
        <v>3912</v>
      </c>
      <c r="E1911" s="1">
        <v>6650000</v>
      </c>
    </row>
    <row r="1912" spans="1:5" ht="14.4" x14ac:dyDescent="0.3">
      <c r="A1912" s="17" t="s">
        <v>7289</v>
      </c>
      <c r="B1912" s="1" t="s">
        <v>45</v>
      </c>
      <c r="C1912" s="1" t="s">
        <v>2720</v>
      </c>
      <c r="D1912" s="1" t="s">
        <v>3913</v>
      </c>
      <c r="E1912" s="1">
        <v>15600000</v>
      </c>
    </row>
    <row r="1913" spans="1:5" ht="14.4" x14ac:dyDescent="0.3">
      <c r="A1913" s="17" t="s">
        <v>7290</v>
      </c>
      <c r="B1913" s="1" t="s">
        <v>291</v>
      </c>
      <c r="C1913" s="1" t="s">
        <v>3080</v>
      </c>
      <c r="D1913" s="1" t="s">
        <v>3914</v>
      </c>
      <c r="E1913" s="1">
        <v>24700000</v>
      </c>
    </row>
    <row r="1914" spans="1:5" ht="14.4" x14ac:dyDescent="0.3">
      <c r="A1914" s="17" t="s">
        <v>7291</v>
      </c>
      <c r="B1914" s="1" t="s">
        <v>86</v>
      </c>
      <c r="C1914" s="1" t="s">
        <v>2793</v>
      </c>
      <c r="D1914" s="1" t="s">
        <v>3915</v>
      </c>
      <c r="E1914" s="1">
        <v>19400000</v>
      </c>
    </row>
    <row r="1915" spans="1:5" ht="14.4" x14ac:dyDescent="0.3">
      <c r="A1915" s="17" t="s">
        <v>7292</v>
      </c>
      <c r="B1915" s="1" t="s">
        <v>300</v>
      </c>
      <c r="C1915" s="1" t="s">
        <v>2908</v>
      </c>
      <c r="D1915" s="1" t="s">
        <v>3916</v>
      </c>
      <c r="E1915" s="1">
        <v>12700000</v>
      </c>
    </row>
    <row r="1916" spans="1:5" ht="14.4" x14ac:dyDescent="0.3">
      <c r="A1916" s="17" t="s">
        <v>7293</v>
      </c>
      <c r="B1916" s="1" t="s">
        <v>241</v>
      </c>
      <c r="C1916" s="1">
        <v>3008</v>
      </c>
      <c r="D1916" s="1" t="s">
        <v>3917</v>
      </c>
      <c r="E1916" s="1">
        <v>22700000</v>
      </c>
    </row>
    <row r="1917" spans="1:5" ht="14.4" x14ac:dyDescent="0.3">
      <c r="A1917" s="17" t="s">
        <v>7294</v>
      </c>
      <c r="B1917" s="1" t="s">
        <v>241</v>
      </c>
      <c r="C1917" s="1" t="s">
        <v>2485</v>
      </c>
      <c r="D1917" s="1" t="s">
        <v>3909</v>
      </c>
      <c r="E1917" s="1">
        <v>9000000</v>
      </c>
    </row>
    <row r="1918" spans="1:5" ht="14.4" x14ac:dyDescent="0.3">
      <c r="A1918" s="17" t="s">
        <v>7295</v>
      </c>
      <c r="B1918" s="1" t="s">
        <v>214</v>
      </c>
      <c r="C1918" s="1" t="s">
        <v>2675</v>
      </c>
      <c r="D1918" s="1" t="s">
        <v>3918</v>
      </c>
      <c r="E1918" s="1">
        <v>14100000</v>
      </c>
    </row>
    <row r="1919" spans="1:5" ht="14.4" x14ac:dyDescent="0.3">
      <c r="A1919" s="17" t="s">
        <v>7296</v>
      </c>
      <c r="B1919" s="1" t="s">
        <v>68</v>
      </c>
      <c r="C1919" s="1">
        <v>580</v>
      </c>
      <c r="D1919" s="1" t="s">
        <v>3919</v>
      </c>
      <c r="E1919" s="1">
        <v>9900000</v>
      </c>
    </row>
    <row r="1920" spans="1:5" ht="14.4" x14ac:dyDescent="0.3">
      <c r="A1920" s="17" t="s">
        <v>7297</v>
      </c>
      <c r="B1920" s="1" t="s">
        <v>86</v>
      </c>
      <c r="C1920" s="1" t="s">
        <v>2793</v>
      </c>
      <c r="D1920" s="1" t="s">
        <v>3920</v>
      </c>
      <c r="E1920" s="1">
        <v>17700000</v>
      </c>
    </row>
    <row r="1921" spans="1:5" ht="14.4" x14ac:dyDescent="0.3">
      <c r="A1921" s="17" t="s">
        <v>7298</v>
      </c>
      <c r="B1921" s="1" t="s">
        <v>180</v>
      </c>
      <c r="C1921" s="1" t="s">
        <v>3419</v>
      </c>
      <c r="D1921" s="1" t="s">
        <v>3921</v>
      </c>
      <c r="E1921" s="1">
        <v>12000000</v>
      </c>
    </row>
    <row r="1922" spans="1:5" ht="14.4" x14ac:dyDescent="0.3">
      <c r="A1922" s="17" t="s">
        <v>7299</v>
      </c>
      <c r="B1922" s="1" t="s">
        <v>180</v>
      </c>
      <c r="C1922" s="1" t="s">
        <v>2662</v>
      </c>
      <c r="D1922" s="1" t="s">
        <v>3922</v>
      </c>
      <c r="E1922" s="1">
        <v>12400000</v>
      </c>
    </row>
    <row r="1923" spans="1:5" ht="14.4" x14ac:dyDescent="0.3">
      <c r="A1923" s="17" t="s">
        <v>7300</v>
      </c>
      <c r="B1923" s="1" t="s">
        <v>60</v>
      </c>
      <c r="C1923" s="1" t="s">
        <v>3150</v>
      </c>
      <c r="D1923" s="1" t="s">
        <v>3923</v>
      </c>
      <c r="E1923" s="1">
        <v>11700000</v>
      </c>
    </row>
    <row r="1924" spans="1:5" ht="14.4" x14ac:dyDescent="0.3">
      <c r="A1924" s="17" t="s">
        <v>7301</v>
      </c>
      <c r="B1924" s="1" t="s">
        <v>237</v>
      </c>
      <c r="C1924" s="1" t="s">
        <v>65</v>
      </c>
      <c r="D1924" s="1" t="s">
        <v>2758</v>
      </c>
      <c r="E1924" s="1">
        <v>14000000</v>
      </c>
    </row>
    <row r="1925" spans="1:5" ht="14.4" x14ac:dyDescent="0.3">
      <c r="A1925" s="17" t="s">
        <v>7302</v>
      </c>
      <c r="B1925" s="1" t="s">
        <v>147</v>
      </c>
      <c r="C1925" s="1" t="s">
        <v>2528</v>
      </c>
      <c r="D1925" s="1" t="s">
        <v>3924</v>
      </c>
      <c r="E1925" s="1">
        <v>18300000</v>
      </c>
    </row>
    <row r="1926" spans="1:5" ht="14.4" x14ac:dyDescent="0.3">
      <c r="A1926" s="17" t="s">
        <v>7303</v>
      </c>
      <c r="B1926" s="1" t="s">
        <v>28</v>
      </c>
      <c r="C1926" s="1" t="s">
        <v>38</v>
      </c>
      <c r="D1926" s="1" t="s">
        <v>3434</v>
      </c>
      <c r="E1926" s="1">
        <v>12200000</v>
      </c>
    </row>
    <row r="1927" spans="1:5" ht="14.4" x14ac:dyDescent="0.3">
      <c r="A1927" s="17" t="s">
        <v>7304</v>
      </c>
      <c r="B1927" s="1" t="s">
        <v>2533</v>
      </c>
      <c r="C1927" s="1" t="s">
        <v>2599</v>
      </c>
      <c r="D1927" s="1" t="s">
        <v>3925</v>
      </c>
      <c r="E1927" s="1">
        <v>9600000</v>
      </c>
    </row>
    <row r="1928" spans="1:5" ht="14.4" x14ac:dyDescent="0.3">
      <c r="A1928" s="17" t="s">
        <v>7305</v>
      </c>
      <c r="B1928" s="1" t="s">
        <v>68</v>
      </c>
      <c r="C1928" s="1" t="s">
        <v>3249</v>
      </c>
      <c r="D1928" s="1" t="s">
        <v>3926</v>
      </c>
      <c r="E1928" s="1">
        <v>17200000</v>
      </c>
    </row>
    <row r="1929" spans="1:5" ht="14.4" x14ac:dyDescent="0.3">
      <c r="A1929" s="17" t="s">
        <v>7306</v>
      </c>
      <c r="B1929" s="1" t="s">
        <v>86</v>
      </c>
      <c r="C1929" s="1" t="s">
        <v>134</v>
      </c>
      <c r="D1929" s="1" t="s">
        <v>3927</v>
      </c>
      <c r="E1929" s="1">
        <v>12200000</v>
      </c>
    </row>
    <row r="1930" spans="1:5" ht="14.4" x14ac:dyDescent="0.3">
      <c r="A1930" s="17" t="s">
        <v>11840</v>
      </c>
      <c r="B1930" s="1" t="s">
        <v>86</v>
      </c>
      <c r="C1930" s="1" t="s">
        <v>122</v>
      </c>
      <c r="D1930" s="1" t="s">
        <v>3935</v>
      </c>
      <c r="E1930" s="1">
        <v>23300000</v>
      </c>
    </row>
    <row r="1931" spans="1:5" ht="14.4" x14ac:dyDescent="0.3">
      <c r="A1931" s="17" t="s">
        <v>7307</v>
      </c>
      <c r="B1931" s="1" t="s">
        <v>2498</v>
      </c>
      <c r="C1931" s="1" t="s">
        <v>188</v>
      </c>
      <c r="D1931" s="1" t="s">
        <v>3928</v>
      </c>
      <c r="E1931" s="1">
        <v>10100000</v>
      </c>
    </row>
    <row r="1932" spans="1:5" ht="14.4" x14ac:dyDescent="0.3">
      <c r="A1932" s="17" t="s">
        <v>7308</v>
      </c>
      <c r="B1932" s="1" t="s">
        <v>207</v>
      </c>
      <c r="C1932" s="1" t="s">
        <v>3929</v>
      </c>
      <c r="D1932" s="1" t="s">
        <v>3930</v>
      </c>
      <c r="E1932" s="1">
        <v>14900000</v>
      </c>
    </row>
    <row r="1933" spans="1:5" ht="14.4" x14ac:dyDescent="0.3">
      <c r="A1933" s="17" t="s">
        <v>7309</v>
      </c>
      <c r="B1933" s="1" t="s">
        <v>241</v>
      </c>
      <c r="C1933" s="1" t="s">
        <v>2584</v>
      </c>
      <c r="D1933" s="1" t="s">
        <v>3931</v>
      </c>
      <c r="E1933" s="1">
        <v>14600000</v>
      </c>
    </row>
    <row r="1934" spans="1:5" ht="14.4" x14ac:dyDescent="0.3">
      <c r="A1934" s="17" t="s">
        <v>7310</v>
      </c>
      <c r="B1934" s="1" t="s">
        <v>241</v>
      </c>
      <c r="C1934" s="1" t="s">
        <v>2630</v>
      </c>
      <c r="D1934" s="1" t="s">
        <v>3932</v>
      </c>
      <c r="E1934" s="1">
        <v>18200000</v>
      </c>
    </row>
    <row r="1935" spans="1:5" ht="14.4" x14ac:dyDescent="0.3">
      <c r="A1935" s="17" t="s">
        <v>7311</v>
      </c>
      <c r="B1935" s="1" t="s">
        <v>45</v>
      </c>
      <c r="C1935" s="1" t="s">
        <v>49</v>
      </c>
      <c r="D1935" s="1" t="s">
        <v>3933</v>
      </c>
      <c r="E1935" s="1">
        <v>35800000</v>
      </c>
    </row>
    <row r="1936" spans="1:5" ht="14.4" x14ac:dyDescent="0.3">
      <c r="A1936" s="17" t="s">
        <v>7312</v>
      </c>
      <c r="B1936" s="1" t="s">
        <v>86</v>
      </c>
      <c r="C1936" s="1" t="s">
        <v>122</v>
      </c>
      <c r="D1936" s="1" t="s">
        <v>3934</v>
      </c>
      <c r="E1936" s="1">
        <v>12900000</v>
      </c>
    </row>
    <row r="1937" spans="1:5" ht="14.4" x14ac:dyDescent="0.3">
      <c r="A1937" s="17" t="s">
        <v>7313</v>
      </c>
      <c r="B1937" s="1" t="s">
        <v>86</v>
      </c>
      <c r="C1937" s="1" t="s">
        <v>122</v>
      </c>
      <c r="D1937" s="1" t="s">
        <v>3935</v>
      </c>
      <c r="E1937" s="1">
        <v>23300000</v>
      </c>
    </row>
    <row r="1938" spans="1:5" ht="14.4" x14ac:dyDescent="0.3">
      <c r="A1938" s="17" t="s">
        <v>7314</v>
      </c>
      <c r="B1938" s="1" t="s">
        <v>2498</v>
      </c>
      <c r="C1938" s="1" t="s">
        <v>2499</v>
      </c>
      <c r="D1938" s="1" t="s">
        <v>3936</v>
      </c>
      <c r="E1938" s="1">
        <v>9100000</v>
      </c>
    </row>
    <row r="1939" spans="1:5" ht="14.4" x14ac:dyDescent="0.3">
      <c r="A1939" s="17" t="s">
        <v>7315</v>
      </c>
      <c r="B1939" s="1" t="s">
        <v>2498</v>
      </c>
      <c r="C1939" s="1" t="s">
        <v>2499</v>
      </c>
      <c r="D1939" s="1" t="s">
        <v>3937</v>
      </c>
      <c r="E1939" s="1">
        <v>9400000</v>
      </c>
    </row>
    <row r="1940" spans="1:5" ht="14.4" x14ac:dyDescent="0.3">
      <c r="A1940" s="17" t="s">
        <v>7316</v>
      </c>
      <c r="B1940" s="1" t="s">
        <v>2665</v>
      </c>
      <c r="C1940" s="1" t="s">
        <v>3938</v>
      </c>
      <c r="D1940" s="1" t="s">
        <v>3939</v>
      </c>
      <c r="E1940" s="1">
        <v>34400000</v>
      </c>
    </row>
    <row r="1941" spans="1:5" ht="14.4" x14ac:dyDescent="0.3">
      <c r="A1941" s="17" t="s">
        <v>7317</v>
      </c>
      <c r="B1941" s="1" t="s">
        <v>241</v>
      </c>
      <c r="C1941" s="1">
        <v>5008</v>
      </c>
      <c r="D1941" s="1" t="s">
        <v>3940</v>
      </c>
      <c r="E1941" s="1">
        <v>16100000</v>
      </c>
    </row>
    <row r="1942" spans="1:5" ht="14.4" x14ac:dyDescent="0.3">
      <c r="A1942" s="17" t="s">
        <v>7318</v>
      </c>
      <c r="B1942" s="1" t="s">
        <v>2498</v>
      </c>
      <c r="C1942" s="1" t="s">
        <v>188</v>
      </c>
      <c r="D1942" s="1" t="s">
        <v>3941</v>
      </c>
      <c r="E1942" s="1">
        <v>9500000</v>
      </c>
    </row>
    <row r="1943" spans="1:5" ht="14.4" x14ac:dyDescent="0.3">
      <c r="A1943" s="17" t="s">
        <v>7319</v>
      </c>
      <c r="B1943" s="1" t="s">
        <v>68</v>
      </c>
      <c r="C1943" s="1">
        <v>600</v>
      </c>
      <c r="D1943" s="1" t="s">
        <v>2477</v>
      </c>
      <c r="E1943" s="1">
        <v>19700000</v>
      </c>
    </row>
    <row r="1944" spans="1:5" ht="14.4" x14ac:dyDescent="0.3">
      <c r="A1944" s="17" t="s">
        <v>7320</v>
      </c>
      <c r="B1944" s="1" t="s">
        <v>241</v>
      </c>
      <c r="C1944" s="1" t="s">
        <v>2487</v>
      </c>
      <c r="D1944" s="1" t="s">
        <v>3942</v>
      </c>
      <c r="E1944" s="1">
        <v>13100000</v>
      </c>
    </row>
    <row r="1945" spans="1:5" ht="14.4" x14ac:dyDescent="0.3">
      <c r="A1945" s="17" t="s">
        <v>7321</v>
      </c>
      <c r="B1945" s="1" t="s">
        <v>278</v>
      </c>
      <c r="C1945" s="1">
        <v>1200</v>
      </c>
      <c r="D1945" s="1" t="s">
        <v>3943</v>
      </c>
      <c r="E1945" s="1">
        <v>19300000</v>
      </c>
    </row>
    <row r="1946" spans="1:5" ht="14.4" x14ac:dyDescent="0.3">
      <c r="A1946" s="17" t="s">
        <v>7322</v>
      </c>
      <c r="B1946" s="1" t="s">
        <v>291</v>
      </c>
      <c r="C1946" s="1" t="s">
        <v>3161</v>
      </c>
      <c r="D1946" s="1" t="s">
        <v>3944</v>
      </c>
      <c r="E1946" s="1">
        <v>31300000</v>
      </c>
    </row>
    <row r="1947" spans="1:5" ht="14.4" x14ac:dyDescent="0.3">
      <c r="A1947" s="17" t="s">
        <v>7323</v>
      </c>
      <c r="B1947" s="1" t="s">
        <v>241</v>
      </c>
      <c r="C1947" s="1" t="s">
        <v>2487</v>
      </c>
      <c r="D1947" s="1" t="s">
        <v>7324</v>
      </c>
      <c r="E1947" s="1">
        <v>15300000</v>
      </c>
    </row>
    <row r="1948" spans="1:5" ht="14.4" x14ac:dyDescent="0.3">
      <c r="A1948" s="17" t="s">
        <v>7325</v>
      </c>
      <c r="B1948" s="1" t="s">
        <v>291</v>
      </c>
      <c r="C1948" s="1" t="s">
        <v>2537</v>
      </c>
      <c r="D1948" s="1" t="s">
        <v>7326</v>
      </c>
      <c r="E1948" s="1">
        <v>13000000</v>
      </c>
    </row>
    <row r="1949" spans="1:5" ht="14.4" x14ac:dyDescent="0.3">
      <c r="A1949" s="17" t="s">
        <v>7327</v>
      </c>
      <c r="B1949" s="1" t="s">
        <v>220</v>
      </c>
      <c r="C1949" s="1" t="s">
        <v>2891</v>
      </c>
      <c r="D1949" s="1" t="s">
        <v>5576</v>
      </c>
      <c r="E1949" s="1">
        <v>36500000</v>
      </c>
    </row>
    <row r="1950" spans="1:5" ht="14.4" x14ac:dyDescent="0.3">
      <c r="A1950" s="17" t="s">
        <v>7328</v>
      </c>
      <c r="B1950" s="1" t="s">
        <v>214</v>
      </c>
      <c r="C1950" s="1" t="s">
        <v>3360</v>
      </c>
      <c r="D1950" s="1" t="s">
        <v>7329</v>
      </c>
      <c r="E1950" s="1">
        <v>16200000</v>
      </c>
    </row>
    <row r="1951" spans="1:5" ht="14.4" x14ac:dyDescent="0.3">
      <c r="A1951" s="17" t="s">
        <v>7330</v>
      </c>
      <c r="B1951" s="1" t="s">
        <v>45</v>
      </c>
      <c r="C1951" s="1" t="s">
        <v>2540</v>
      </c>
      <c r="D1951" s="1" t="s">
        <v>7331</v>
      </c>
      <c r="E1951" s="1">
        <v>8300000</v>
      </c>
    </row>
    <row r="1952" spans="1:5" ht="14.4" x14ac:dyDescent="0.3">
      <c r="A1952" s="17" t="s">
        <v>7332</v>
      </c>
      <c r="B1952" s="1" t="s">
        <v>2950</v>
      </c>
      <c r="C1952" s="1" t="s">
        <v>2966</v>
      </c>
      <c r="D1952" s="1" t="s">
        <v>7333</v>
      </c>
      <c r="E1952" s="1">
        <v>10200000</v>
      </c>
    </row>
    <row r="1953" spans="1:5" ht="14.4" x14ac:dyDescent="0.3">
      <c r="A1953" s="17" t="s">
        <v>7334</v>
      </c>
      <c r="B1953" s="1" t="s">
        <v>241</v>
      </c>
      <c r="C1953" s="1" t="s">
        <v>2485</v>
      </c>
      <c r="D1953" s="1" t="s">
        <v>7335</v>
      </c>
      <c r="E1953" s="1">
        <v>9800000</v>
      </c>
    </row>
    <row r="1954" spans="1:5" ht="14.4" x14ac:dyDescent="0.3">
      <c r="A1954" s="17" t="s">
        <v>7336</v>
      </c>
      <c r="B1954" s="1" t="s">
        <v>86</v>
      </c>
      <c r="C1954" s="1" t="s">
        <v>122</v>
      </c>
      <c r="D1954" s="1" t="s">
        <v>7337</v>
      </c>
      <c r="E1954" s="1">
        <v>16200000</v>
      </c>
    </row>
    <row r="1955" spans="1:5" ht="14.4" x14ac:dyDescent="0.3">
      <c r="A1955" s="17" t="s">
        <v>7338</v>
      </c>
      <c r="B1955" s="1" t="s">
        <v>167</v>
      </c>
      <c r="C1955" s="1" t="s">
        <v>2535</v>
      </c>
      <c r="D1955" s="1" t="s">
        <v>7339</v>
      </c>
      <c r="E1955" s="1">
        <v>14200000</v>
      </c>
    </row>
    <row r="1956" spans="1:5" ht="14.4" x14ac:dyDescent="0.3">
      <c r="A1956" s="17" t="s">
        <v>7340</v>
      </c>
      <c r="B1956" s="1" t="s">
        <v>241</v>
      </c>
      <c r="C1956" s="1" t="s">
        <v>276</v>
      </c>
      <c r="D1956" s="1" t="s">
        <v>7341</v>
      </c>
      <c r="E1956" s="1">
        <v>11500000</v>
      </c>
    </row>
    <row r="1957" spans="1:5" ht="14.4" x14ac:dyDescent="0.3">
      <c r="A1957" s="17" t="s">
        <v>7342</v>
      </c>
      <c r="B1957" s="1" t="s">
        <v>156</v>
      </c>
      <c r="C1957" s="1" t="s">
        <v>2868</v>
      </c>
      <c r="D1957" s="1" t="s">
        <v>7343</v>
      </c>
      <c r="E1957" s="1">
        <v>14100000</v>
      </c>
    </row>
    <row r="1958" spans="1:5" ht="14.4" x14ac:dyDescent="0.3">
      <c r="A1958" s="17" t="s">
        <v>7344</v>
      </c>
      <c r="B1958" s="1" t="s">
        <v>220</v>
      </c>
      <c r="C1958" s="1" t="s">
        <v>2576</v>
      </c>
      <c r="D1958" s="1" t="s">
        <v>7345</v>
      </c>
      <c r="E1958" s="1">
        <v>25100000</v>
      </c>
    </row>
    <row r="1959" spans="1:5" ht="14.4" x14ac:dyDescent="0.3">
      <c r="A1959" s="17" t="s">
        <v>7346</v>
      </c>
      <c r="B1959" s="1" t="s">
        <v>173</v>
      </c>
      <c r="C1959" s="1">
        <v>7</v>
      </c>
      <c r="D1959" s="1" t="s">
        <v>7347</v>
      </c>
      <c r="E1959" s="1">
        <v>16600000</v>
      </c>
    </row>
    <row r="1960" spans="1:5" ht="14.4" x14ac:dyDescent="0.3">
      <c r="A1960" s="17" t="s">
        <v>7348</v>
      </c>
      <c r="B1960" s="1" t="s">
        <v>86</v>
      </c>
      <c r="C1960" s="1" t="s">
        <v>134</v>
      </c>
      <c r="D1960" s="1" t="s">
        <v>7349</v>
      </c>
      <c r="E1960" s="1">
        <v>13600000</v>
      </c>
    </row>
    <row r="1961" spans="1:5" ht="14.4" x14ac:dyDescent="0.3">
      <c r="A1961" s="17" t="s">
        <v>7350</v>
      </c>
      <c r="B1961" s="1" t="s">
        <v>237</v>
      </c>
      <c r="C1961" s="1" t="s">
        <v>65</v>
      </c>
      <c r="D1961" s="1" t="s">
        <v>7351</v>
      </c>
      <c r="E1961" s="1">
        <v>14400000</v>
      </c>
    </row>
    <row r="1962" spans="1:5" ht="14.4" x14ac:dyDescent="0.3">
      <c r="A1962" s="17" t="s">
        <v>7352</v>
      </c>
      <c r="B1962" s="1" t="s">
        <v>2498</v>
      </c>
      <c r="C1962" s="1" t="s">
        <v>188</v>
      </c>
      <c r="D1962" s="1" t="s">
        <v>7353</v>
      </c>
      <c r="E1962" s="1">
        <v>6820000</v>
      </c>
    </row>
    <row r="1963" spans="1:5" ht="14.4" x14ac:dyDescent="0.3">
      <c r="A1963" s="17" t="s">
        <v>7354</v>
      </c>
      <c r="B1963" s="1" t="s">
        <v>167</v>
      </c>
      <c r="C1963" s="1" t="s">
        <v>3363</v>
      </c>
      <c r="D1963" s="1" t="s">
        <v>7355</v>
      </c>
      <c r="E1963" s="1">
        <v>7170000</v>
      </c>
    </row>
    <row r="1964" spans="1:5" ht="14.4" x14ac:dyDescent="0.3">
      <c r="A1964" s="17" t="s">
        <v>7356</v>
      </c>
      <c r="B1964" s="1" t="s">
        <v>2498</v>
      </c>
      <c r="C1964" s="1" t="s">
        <v>188</v>
      </c>
      <c r="D1964" s="1" t="s">
        <v>7353</v>
      </c>
      <c r="E1964" s="1">
        <v>6610000</v>
      </c>
    </row>
    <row r="1965" spans="1:5" ht="14.4" x14ac:dyDescent="0.3">
      <c r="A1965" s="17" t="s">
        <v>7357</v>
      </c>
      <c r="B1965" s="1" t="s">
        <v>278</v>
      </c>
      <c r="C1965" s="1">
        <v>1500</v>
      </c>
      <c r="D1965" s="1" t="s">
        <v>280</v>
      </c>
      <c r="E1965" s="1">
        <v>31200000</v>
      </c>
    </row>
    <row r="1966" spans="1:5" ht="14.4" x14ac:dyDescent="0.3">
      <c r="A1966" s="17" t="s">
        <v>7358</v>
      </c>
      <c r="B1966" s="1" t="s">
        <v>2533</v>
      </c>
      <c r="C1966" s="1">
        <v>3</v>
      </c>
      <c r="D1966" s="1" t="s">
        <v>7359</v>
      </c>
      <c r="E1966" s="1">
        <v>8600000</v>
      </c>
    </row>
    <row r="1967" spans="1:5" ht="14.4" x14ac:dyDescent="0.3">
      <c r="A1967" s="17" t="s">
        <v>7360</v>
      </c>
      <c r="B1967" s="1" t="s">
        <v>207</v>
      </c>
      <c r="C1967" s="1" t="s">
        <v>208</v>
      </c>
      <c r="D1967" s="1" t="s">
        <v>2144</v>
      </c>
      <c r="E1967" s="1">
        <v>15500000</v>
      </c>
    </row>
    <row r="1968" spans="1:5" ht="14.4" x14ac:dyDescent="0.3">
      <c r="A1968" s="17" t="s">
        <v>7361</v>
      </c>
      <c r="B1968" s="1" t="s">
        <v>220</v>
      </c>
      <c r="C1968" s="1" t="s">
        <v>223</v>
      </c>
      <c r="D1968" s="1" t="s">
        <v>7362</v>
      </c>
      <c r="E1968" s="1">
        <v>21000000</v>
      </c>
    </row>
    <row r="1969" spans="1:5" ht="14.4" x14ac:dyDescent="0.3">
      <c r="A1969" s="17" t="s">
        <v>7363</v>
      </c>
      <c r="B1969" s="1" t="s">
        <v>86</v>
      </c>
      <c r="C1969" s="1" t="s">
        <v>2793</v>
      </c>
      <c r="D1969" s="1" t="s">
        <v>7364</v>
      </c>
      <c r="E1969" s="1">
        <v>18200000</v>
      </c>
    </row>
    <row r="1970" spans="1:5" ht="14.4" x14ac:dyDescent="0.3">
      <c r="A1970" s="17" t="s">
        <v>7365</v>
      </c>
      <c r="B1970" s="1" t="s">
        <v>2533</v>
      </c>
      <c r="C1970" s="1" t="s">
        <v>2694</v>
      </c>
      <c r="D1970" s="1" t="s">
        <v>7366</v>
      </c>
      <c r="E1970" s="1">
        <v>8200000</v>
      </c>
    </row>
    <row r="1971" spans="1:5" ht="14.4" x14ac:dyDescent="0.3">
      <c r="A1971" s="17" t="s">
        <v>7367</v>
      </c>
      <c r="B1971" s="1" t="s">
        <v>291</v>
      </c>
      <c r="C1971" s="1" t="s">
        <v>3080</v>
      </c>
      <c r="D1971" s="1" t="s">
        <v>7368</v>
      </c>
      <c r="E1971" s="1">
        <v>17200000</v>
      </c>
    </row>
    <row r="1972" spans="1:5" ht="14.4" x14ac:dyDescent="0.3">
      <c r="A1972" s="17" t="s">
        <v>7369</v>
      </c>
      <c r="B1972" s="1" t="s">
        <v>241</v>
      </c>
      <c r="C1972" s="1" t="s">
        <v>269</v>
      </c>
      <c r="D1972" s="1" t="s">
        <v>7370</v>
      </c>
      <c r="E1972" s="1">
        <v>21000000</v>
      </c>
    </row>
    <row r="1973" spans="1:5" ht="14.4" x14ac:dyDescent="0.3">
      <c r="A1973" s="17" t="s">
        <v>7371</v>
      </c>
      <c r="B1973" s="1" t="s">
        <v>156</v>
      </c>
      <c r="C1973" s="1" t="s">
        <v>2707</v>
      </c>
      <c r="D1973" s="1" t="s">
        <v>7372</v>
      </c>
      <c r="E1973" s="1">
        <v>6840000</v>
      </c>
    </row>
    <row r="1974" spans="1:5" ht="14.4" x14ac:dyDescent="0.3">
      <c r="A1974" s="17" t="s">
        <v>7373</v>
      </c>
      <c r="B1974" s="1" t="s">
        <v>2498</v>
      </c>
      <c r="C1974" s="1" t="s">
        <v>2830</v>
      </c>
      <c r="D1974" s="1" t="s">
        <v>7374</v>
      </c>
      <c r="E1974" s="1">
        <v>14000000</v>
      </c>
    </row>
    <row r="1975" spans="1:5" ht="14.4" x14ac:dyDescent="0.3">
      <c r="A1975" s="17" t="s">
        <v>7375</v>
      </c>
      <c r="B1975" s="1" t="s">
        <v>167</v>
      </c>
      <c r="C1975" s="1" t="s">
        <v>3785</v>
      </c>
      <c r="D1975" s="1" t="s">
        <v>7376</v>
      </c>
      <c r="E1975" s="1">
        <v>10300000</v>
      </c>
    </row>
    <row r="1976" spans="1:5" ht="14.4" x14ac:dyDescent="0.3">
      <c r="A1976" s="17" t="s">
        <v>7377</v>
      </c>
      <c r="B1976" s="1" t="s">
        <v>220</v>
      </c>
      <c r="C1976" s="1" t="s">
        <v>2492</v>
      </c>
      <c r="D1976" s="1" t="s">
        <v>5670</v>
      </c>
      <c r="E1976" s="1">
        <v>14600000</v>
      </c>
    </row>
    <row r="1977" spans="1:5" ht="14.4" x14ac:dyDescent="0.3">
      <c r="A1977" s="17" t="s">
        <v>7378</v>
      </c>
      <c r="B1977" s="1" t="s">
        <v>156</v>
      </c>
      <c r="C1977" s="1" t="s">
        <v>3096</v>
      </c>
      <c r="D1977" s="1" t="s">
        <v>7379</v>
      </c>
      <c r="E1977" s="1">
        <v>12500000</v>
      </c>
    </row>
    <row r="1978" spans="1:5" ht="14.4" x14ac:dyDescent="0.3">
      <c r="A1978" s="17" t="s">
        <v>7380</v>
      </c>
      <c r="B1978" s="1" t="s">
        <v>180</v>
      </c>
      <c r="C1978" s="1" t="s">
        <v>4451</v>
      </c>
      <c r="D1978" s="1" t="s">
        <v>7381</v>
      </c>
      <c r="E1978" s="1">
        <v>16400000</v>
      </c>
    </row>
    <row r="1979" spans="1:5" ht="14.4" x14ac:dyDescent="0.3">
      <c r="A1979" s="17" t="s">
        <v>7382</v>
      </c>
      <c r="B1979" s="1" t="s">
        <v>214</v>
      </c>
      <c r="C1979" s="1" t="s">
        <v>3360</v>
      </c>
      <c r="D1979" s="1" t="s">
        <v>7383</v>
      </c>
      <c r="E1979" s="1">
        <v>14300000</v>
      </c>
    </row>
    <row r="1980" spans="1:5" ht="14.4" x14ac:dyDescent="0.3">
      <c r="A1980" s="17" t="s">
        <v>7384</v>
      </c>
      <c r="B1980" s="1" t="s">
        <v>68</v>
      </c>
      <c r="C1980" s="1">
        <v>580</v>
      </c>
      <c r="D1980" s="1" t="s">
        <v>7385</v>
      </c>
      <c r="E1980" s="1">
        <v>10800000</v>
      </c>
    </row>
    <row r="1981" spans="1:5" ht="14.4" x14ac:dyDescent="0.3">
      <c r="A1981" s="17" t="s">
        <v>7386</v>
      </c>
      <c r="B1981" s="1" t="s">
        <v>2493</v>
      </c>
      <c r="C1981" s="1" t="s">
        <v>7387</v>
      </c>
      <c r="D1981" s="1" t="s">
        <v>3031</v>
      </c>
      <c r="E1981" s="1">
        <v>30600000</v>
      </c>
    </row>
    <row r="1982" spans="1:5" ht="14.4" x14ac:dyDescent="0.3">
      <c r="A1982" s="17" t="s">
        <v>7388</v>
      </c>
      <c r="B1982" s="1" t="s">
        <v>2549</v>
      </c>
      <c r="C1982" s="1" t="s">
        <v>3041</v>
      </c>
      <c r="D1982" s="1" t="s">
        <v>3042</v>
      </c>
      <c r="E1982" s="1">
        <v>12000000</v>
      </c>
    </row>
    <row r="1983" spans="1:5" ht="14.4" x14ac:dyDescent="0.3">
      <c r="A1983" s="17" t="s">
        <v>7389</v>
      </c>
      <c r="B1983" s="1" t="s">
        <v>291</v>
      </c>
      <c r="C1983" s="1" t="s">
        <v>3161</v>
      </c>
      <c r="D1983" s="1" t="s">
        <v>719</v>
      </c>
      <c r="E1983" s="1">
        <v>20500000</v>
      </c>
    </row>
    <row r="1984" spans="1:5" ht="14.4" x14ac:dyDescent="0.3">
      <c r="A1984" s="17" t="s">
        <v>7390</v>
      </c>
      <c r="B1984" s="1" t="s">
        <v>156</v>
      </c>
      <c r="C1984" s="1" t="s">
        <v>3096</v>
      </c>
      <c r="D1984" s="1" t="s">
        <v>5668</v>
      </c>
      <c r="E1984" s="1">
        <v>16600000</v>
      </c>
    </row>
    <row r="1985" spans="1:5" ht="14.4" x14ac:dyDescent="0.3">
      <c r="A1985" s="17" t="s">
        <v>7391</v>
      </c>
      <c r="B1985" s="1" t="s">
        <v>2498</v>
      </c>
      <c r="C1985" s="1" t="s">
        <v>2587</v>
      </c>
      <c r="D1985" s="1" t="s">
        <v>7392</v>
      </c>
      <c r="E1985" s="1">
        <v>11100000</v>
      </c>
    </row>
    <row r="1986" spans="1:5" ht="14.4" x14ac:dyDescent="0.3">
      <c r="A1986" s="17" t="s">
        <v>7393</v>
      </c>
      <c r="B1986" s="1" t="s">
        <v>2498</v>
      </c>
      <c r="C1986" s="1" t="s">
        <v>2587</v>
      </c>
      <c r="D1986" s="1" t="s">
        <v>7392</v>
      </c>
      <c r="E1986" s="1">
        <v>15300000</v>
      </c>
    </row>
    <row r="1987" spans="1:5" ht="14.4" x14ac:dyDescent="0.3">
      <c r="A1987" s="17" t="s">
        <v>7394</v>
      </c>
      <c r="B1987" s="1" t="s">
        <v>241</v>
      </c>
      <c r="C1987" s="1">
        <v>3008</v>
      </c>
      <c r="D1987" s="1" t="s">
        <v>2647</v>
      </c>
      <c r="E1987" s="1">
        <v>15500000</v>
      </c>
    </row>
    <row r="1988" spans="1:5" ht="14.4" x14ac:dyDescent="0.3">
      <c r="A1988" s="17" t="s">
        <v>7395</v>
      </c>
      <c r="B1988" s="1" t="s">
        <v>156</v>
      </c>
      <c r="C1988" s="1" t="s">
        <v>3096</v>
      </c>
      <c r="D1988" s="1" t="s">
        <v>7396</v>
      </c>
      <c r="E1988" s="1">
        <v>17000000</v>
      </c>
    </row>
    <row r="1989" spans="1:5" ht="14.4" x14ac:dyDescent="0.3">
      <c r="A1989" s="17" t="s">
        <v>7397</v>
      </c>
      <c r="B1989" s="1" t="s">
        <v>291</v>
      </c>
      <c r="C1989" s="1" t="s">
        <v>3844</v>
      </c>
      <c r="D1989" s="1" t="s">
        <v>7398</v>
      </c>
      <c r="E1989" s="1">
        <v>24100000</v>
      </c>
    </row>
    <row r="1990" spans="1:5" ht="14.4" x14ac:dyDescent="0.3">
      <c r="A1990" s="17" t="s">
        <v>7399</v>
      </c>
      <c r="B1990" s="1" t="s">
        <v>86</v>
      </c>
      <c r="C1990" s="1" t="s">
        <v>2476</v>
      </c>
      <c r="D1990" s="1" t="s">
        <v>5673</v>
      </c>
      <c r="E1990" s="1">
        <v>57000000</v>
      </c>
    </row>
    <row r="1991" spans="1:5" ht="14.4" x14ac:dyDescent="0.3">
      <c r="A1991" s="17" t="s">
        <v>7400</v>
      </c>
      <c r="B1991" s="1" t="s">
        <v>2545</v>
      </c>
      <c r="C1991" s="1" t="s">
        <v>2856</v>
      </c>
      <c r="D1991" s="1" t="s">
        <v>7401</v>
      </c>
      <c r="E1991" s="1">
        <v>19500000</v>
      </c>
    </row>
    <row r="1992" spans="1:5" ht="14.4" x14ac:dyDescent="0.3">
      <c r="A1992" s="17" t="s">
        <v>7402</v>
      </c>
      <c r="B1992" s="1" t="s">
        <v>2494</v>
      </c>
      <c r="C1992" s="1" t="s">
        <v>2959</v>
      </c>
      <c r="D1992" s="1" t="s">
        <v>7403</v>
      </c>
      <c r="E1992" s="1">
        <v>12800000</v>
      </c>
    </row>
    <row r="1993" spans="1:5" ht="14.4" x14ac:dyDescent="0.3">
      <c r="A1993" s="17" t="s">
        <v>7404</v>
      </c>
      <c r="B1993" s="1" t="s">
        <v>2498</v>
      </c>
      <c r="C1993" s="1" t="s">
        <v>2523</v>
      </c>
      <c r="D1993" s="1" t="s">
        <v>7405</v>
      </c>
      <c r="E1993" s="1">
        <v>12500000</v>
      </c>
    </row>
    <row r="1994" spans="1:5" ht="14.4" x14ac:dyDescent="0.3">
      <c r="A1994" s="17" t="s">
        <v>7406</v>
      </c>
      <c r="B1994" s="1" t="s">
        <v>45</v>
      </c>
      <c r="C1994" s="1" t="s">
        <v>2896</v>
      </c>
      <c r="D1994" s="1" t="s">
        <v>7407</v>
      </c>
      <c r="E1994" s="1">
        <v>14700000</v>
      </c>
    </row>
    <row r="1995" spans="1:5" ht="14.4" x14ac:dyDescent="0.3">
      <c r="A1995" s="17" t="s">
        <v>7408</v>
      </c>
      <c r="B1995" s="1" t="s">
        <v>311</v>
      </c>
      <c r="C1995" s="1" t="s">
        <v>3378</v>
      </c>
      <c r="D1995" s="1" t="s">
        <v>7409</v>
      </c>
      <c r="E1995" s="1">
        <v>20400000</v>
      </c>
    </row>
    <row r="1996" spans="1:5" ht="14.4" x14ac:dyDescent="0.3">
      <c r="A1996" s="17" t="s">
        <v>7410</v>
      </c>
      <c r="B1996" s="1" t="s">
        <v>241</v>
      </c>
      <c r="C1996" s="1" t="s">
        <v>2478</v>
      </c>
      <c r="D1996" s="1" t="s">
        <v>7411</v>
      </c>
      <c r="E1996" s="1">
        <v>14800000</v>
      </c>
    </row>
    <row r="1997" spans="1:5" ht="14.4" x14ac:dyDescent="0.3">
      <c r="A1997" s="17" t="s">
        <v>7412</v>
      </c>
      <c r="B1997" s="1" t="s">
        <v>311</v>
      </c>
      <c r="C1997" s="1" t="s">
        <v>3456</v>
      </c>
      <c r="D1997" s="1" t="s">
        <v>7413</v>
      </c>
      <c r="E1997" s="1">
        <v>10800000</v>
      </c>
    </row>
    <row r="1998" spans="1:5" ht="14.4" x14ac:dyDescent="0.3">
      <c r="A1998" s="17" t="s">
        <v>7414</v>
      </c>
      <c r="B1998" s="1" t="s">
        <v>147</v>
      </c>
      <c r="C1998" s="1" t="s">
        <v>153</v>
      </c>
      <c r="D1998" s="1" t="s">
        <v>7415</v>
      </c>
      <c r="E1998" s="1">
        <v>10300000</v>
      </c>
    </row>
    <row r="1999" spans="1:5" ht="14.4" x14ac:dyDescent="0.3">
      <c r="A1999" s="17" t="s">
        <v>7416</v>
      </c>
      <c r="B1999" s="1" t="s">
        <v>214</v>
      </c>
      <c r="C1999" s="1" t="s">
        <v>3360</v>
      </c>
      <c r="D1999" s="1" t="s">
        <v>1478</v>
      </c>
      <c r="E1999" s="1">
        <v>13400000</v>
      </c>
    </row>
    <row r="2000" spans="1:5" ht="14.4" x14ac:dyDescent="0.3">
      <c r="A2000" s="17" t="s">
        <v>7417</v>
      </c>
      <c r="B2000" s="1" t="s">
        <v>86</v>
      </c>
      <c r="C2000" s="1" t="s">
        <v>93</v>
      </c>
      <c r="D2000" s="1" t="s">
        <v>7418</v>
      </c>
      <c r="E2000" s="1">
        <v>25300000</v>
      </c>
    </row>
    <row r="2001" spans="1:5" ht="14.4" x14ac:dyDescent="0.3">
      <c r="A2001" s="17" t="s">
        <v>7419</v>
      </c>
      <c r="B2001" s="1" t="s">
        <v>300</v>
      </c>
      <c r="C2001" s="1" t="s">
        <v>2908</v>
      </c>
      <c r="D2001" s="1" t="s">
        <v>7420</v>
      </c>
      <c r="E2001" s="1">
        <v>14700000</v>
      </c>
    </row>
    <row r="2002" spans="1:5" ht="14.4" x14ac:dyDescent="0.3">
      <c r="A2002" s="17" t="s">
        <v>7421</v>
      </c>
      <c r="B2002" s="1" t="s">
        <v>86</v>
      </c>
      <c r="C2002" s="1" t="s">
        <v>2476</v>
      </c>
      <c r="D2002" s="1" t="s">
        <v>7422</v>
      </c>
      <c r="E2002" s="1">
        <v>18300000</v>
      </c>
    </row>
    <row r="2003" spans="1:5" ht="14.4" x14ac:dyDescent="0.3">
      <c r="A2003" s="17" t="s">
        <v>7423</v>
      </c>
      <c r="B2003" s="1" t="s">
        <v>220</v>
      </c>
      <c r="C2003" s="1" t="s">
        <v>2762</v>
      </c>
      <c r="D2003" s="1" t="s">
        <v>7424</v>
      </c>
      <c r="E2003" s="1">
        <v>13400000</v>
      </c>
    </row>
    <row r="2004" spans="1:5" ht="14.4" x14ac:dyDescent="0.3">
      <c r="A2004" s="17" t="s">
        <v>7425</v>
      </c>
      <c r="B2004" s="1" t="s">
        <v>2498</v>
      </c>
      <c r="C2004" s="1" t="s">
        <v>199</v>
      </c>
      <c r="D2004" s="1" t="s">
        <v>7426</v>
      </c>
      <c r="E2004" s="1">
        <v>11300000</v>
      </c>
    </row>
    <row r="2005" spans="1:5" ht="14.4" x14ac:dyDescent="0.3">
      <c r="A2005" s="17" t="s">
        <v>7427</v>
      </c>
      <c r="B2005" s="1" t="s">
        <v>2498</v>
      </c>
      <c r="C2005" s="1" t="s">
        <v>199</v>
      </c>
      <c r="D2005" s="1" t="s">
        <v>630</v>
      </c>
      <c r="E2005" s="1">
        <v>18500000</v>
      </c>
    </row>
    <row r="2006" spans="1:5" ht="14.4" x14ac:dyDescent="0.3">
      <c r="A2006" s="17" t="s">
        <v>7428</v>
      </c>
      <c r="B2006" s="1" t="s">
        <v>2498</v>
      </c>
      <c r="C2006" s="1" t="s">
        <v>2663</v>
      </c>
      <c r="D2006" s="1" t="s">
        <v>7429</v>
      </c>
      <c r="E2006" s="1">
        <v>12300000</v>
      </c>
    </row>
    <row r="2007" spans="1:5" ht="14.4" x14ac:dyDescent="0.3">
      <c r="A2007" s="17" t="s">
        <v>7430</v>
      </c>
      <c r="B2007" s="1" t="s">
        <v>2549</v>
      </c>
      <c r="C2007" s="1" t="s">
        <v>2655</v>
      </c>
      <c r="D2007" s="1" t="s">
        <v>3141</v>
      </c>
      <c r="E2007" s="1">
        <v>13200000</v>
      </c>
    </row>
    <row r="2008" spans="1:5" ht="14.4" x14ac:dyDescent="0.3">
      <c r="A2008" s="17" t="s">
        <v>7431</v>
      </c>
      <c r="B2008" s="1" t="s">
        <v>28</v>
      </c>
      <c r="C2008" s="1" t="s">
        <v>31</v>
      </c>
      <c r="D2008" s="1" t="s">
        <v>7432</v>
      </c>
      <c r="E2008" s="1">
        <v>8700000</v>
      </c>
    </row>
    <row r="2009" spans="1:5" ht="14.4" x14ac:dyDescent="0.3">
      <c r="A2009" s="17" t="s">
        <v>7433</v>
      </c>
      <c r="B2009" s="1" t="s">
        <v>220</v>
      </c>
      <c r="C2009" s="1" t="s">
        <v>2576</v>
      </c>
      <c r="D2009" s="1" t="s">
        <v>7434</v>
      </c>
      <c r="E2009" s="1">
        <v>30400000</v>
      </c>
    </row>
    <row r="2010" spans="1:5" ht="14.4" x14ac:dyDescent="0.3">
      <c r="A2010" s="17" t="s">
        <v>7435</v>
      </c>
      <c r="B2010" s="1" t="s">
        <v>220</v>
      </c>
      <c r="C2010" s="1" t="s">
        <v>3099</v>
      </c>
      <c r="D2010" s="1" t="s">
        <v>7436</v>
      </c>
      <c r="E2010" s="1">
        <v>9800000</v>
      </c>
    </row>
    <row r="2011" spans="1:5" ht="14.4" x14ac:dyDescent="0.3">
      <c r="A2011" s="17" t="s">
        <v>7437</v>
      </c>
      <c r="B2011" s="1" t="s">
        <v>156</v>
      </c>
      <c r="C2011" s="1" t="s">
        <v>3096</v>
      </c>
      <c r="D2011" s="1" t="s">
        <v>7379</v>
      </c>
      <c r="E2011" s="1">
        <v>12500000</v>
      </c>
    </row>
    <row r="2012" spans="1:5" ht="14.4" x14ac:dyDescent="0.3">
      <c r="A2012" s="17" t="s">
        <v>7438</v>
      </c>
      <c r="B2012" s="1" t="s">
        <v>241</v>
      </c>
      <c r="C2012" s="1">
        <v>3008</v>
      </c>
      <c r="D2012" s="1" t="s">
        <v>7439</v>
      </c>
      <c r="E2012" s="1">
        <v>15000000</v>
      </c>
    </row>
    <row r="2013" spans="1:5" ht="14.4" x14ac:dyDescent="0.3">
      <c r="A2013" s="17" t="s">
        <v>7440</v>
      </c>
      <c r="B2013" s="1" t="s">
        <v>2950</v>
      </c>
      <c r="C2013" s="1" t="s">
        <v>7441</v>
      </c>
      <c r="D2013" s="1" t="s">
        <v>7442</v>
      </c>
      <c r="E2013" s="1">
        <v>12800000</v>
      </c>
    </row>
    <row r="2014" spans="1:5" ht="14.4" x14ac:dyDescent="0.3">
      <c r="A2014" s="17" t="s">
        <v>11841</v>
      </c>
      <c r="B2014" s="1" t="s">
        <v>2493</v>
      </c>
      <c r="C2014" s="1" t="s">
        <v>3030</v>
      </c>
      <c r="D2014" s="1" t="s">
        <v>3031</v>
      </c>
      <c r="E2014" s="1">
        <v>28700000</v>
      </c>
    </row>
    <row r="2015" spans="1:5" ht="14.4" x14ac:dyDescent="0.3">
      <c r="A2015" s="17" t="s">
        <v>11842</v>
      </c>
      <c r="B2015" s="1" t="s">
        <v>2493</v>
      </c>
      <c r="C2015" s="1" t="s">
        <v>3030</v>
      </c>
      <c r="D2015" s="1" t="s">
        <v>3031</v>
      </c>
      <c r="E2015" s="1">
        <v>28700000</v>
      </c>
    </row>
    <row r="2016" spans="1:5" ht="14.4" x14ac:dyDescent="0.3">
      <c r="A2016" s="17" t="s">
        <v>11843</v>
      </c>
      <c r="B2016" s="1" t="s">
        <v>2493</v>
      </c>
      <c r="C2016" s="1" t="s">
        <v>3030</v>
      </c>
      <c r="D2016" s="1" t="s">
        <v>3031</v>
      </c>
      <c r="E2016" s="1">
        <v>28700000</v>
      </c>
    </row>
    <row r="2017" spans="1:5" ht="14.4" x14ac:dyDescent="0.3">
      <c r="A2017" s="17" t="s">
        <v>7443</v>
      </c>
      <c r="B2017" s="1" t="s">
        <v>45</v>
      </c>
      <c r="C2017" s="1" t="s">
        <v>2480</v>
      </c>
      <c r="D2017" s="1" t="s">
        <v>7444</v>
      </c>
      <c r="E2017" s="1">
        <v>10700000</v>
      </c>
    </row>
    <row r="2018" spans="1:5" ht="14.4" x14ac:dyDescent="0.3">
      <c r="A2018" s="17" t="s">
        <v>7445</v>
      </c>
      <c r="B2018" s="1" t="s">
        <v>2665</v>
      </c>
      <c r="C2018" s="1" t="s">
        <v>3047</v>
      </c>
      <c r="D2018" s="1" t="s">
        <v>7446</v>
      </c>
      <c r="E2018" s="1">
        <v>27900000</v>
      </c>
    </row>
    <row r="2019" spans="1:5" ht="14.4" x14ac:dyDescent="0.3">
      <c r="A2019" s="17" t="s">
        <v>7447</v>
      </c>
      <c r="B2019" s="1" t="s">
        <v>147</v>
      </c>
      <c r="C2019" s="1" t="s">
        <v>153</v>
      </c>
      <c r="D2019" s="1" t="s">
        <v>5526</v>
      </c>
      <c r="E2019" s="1">
        <v>11400000</v>
      </c>
    </row>
    <row r="2020" spans="1:5" ht="14.4" x14ac:dyDescent="0.3">
      <c r="A2020" s="17" t="s">
        <v>7448</v>
      </c>
      <c r="B2020" s="1" t="s">
        <v>207</v>
      </c>
      <c r="C2020" s="1" t="s">
        <v>7449</v>
      </c>
      <c r="D2020" s="1" t="s">
        <v>7450</v>
      </c>
      <c r="E2020" s="1">
        <v>23900000</v>
      </c>
    </row>
    <row r="2021" spans="1:5" ht="14.4" x14ac:dyDescent="0.3">
      <c r="A2021" s="17" t="s">
        <v>7451</v>
      </c>
      <c r="B2021" s="1" t="s">
        <v>156</v>
      </c>
      <c r="C2021" s="1" t="s">
        <v>2479</v>
      </c>
      <c r="D2021" s="1" t="s">
        <v>7452</v>
      </c>
      <c r="E2021" s="1">
        <v>11000000</v>
      </c>
    </row>
    <row r="2022" spans="1:5" ht="14.4" x14ac:dyDescent="0.3">
      <c r="A2022" s="17" t="s">
        <v>7453</v>
      </c>
      <c r="B2022" s="1" t="s">
        <v>68</v>
      </c>
      <c r="C2022" s="1" t="s">
        <v>3249</v>
      </c>
      <c r="D2022" s="1" t="s">
        <v>7454</v>
      </c>
      <c r="E2022" s="1">
        <v>13800000</v>
      </c>
    </row>
    <row r="2023" spans="1:5" ht="14.4" x14ac:dyDescent="0.3">
      <c r="A2023" s="17" t="s">
        <v>7455</v>
      </c>
      <c r="B2023" s="1" t="s">
        <v>156</v>
      </c>
      <c r="C2023" s="1" t="s">
        <v>3072</v>
      </c>
      <c r="D2023" s="1" t="s">
        <v>7456</v>
      </c>
      <c r="E2023" s="1">
        <v>8700000</v>
      </c>
    </row>
    <row r="2024" spans="1:5" ht="14.4" x14ac:dyDescent="0.3">
      <c r="A2024" s="17" t="s">
        <v>7457</v>
      </c>
      <c r="B2024" s="1" t="s">
        <v>2498</v>
      </c>
      <c r="C2024" s="1" t="s">
        <v>2499</v>
      </c>
      <c r="D2024" s="1" t="s">
        <v>7458</v>
      </c>
      <c r="E2024" s="1">
        <v>9400000</v>
      </c>
    </row>
    <row r="2025" spans="1:5" ht="14.4" x14ac:dyDescent="0.3">
      <c r="A2025" s="17" t="s">
        <v>7459</v>
      </c>
      <c r="B2025" s="1" t="s">
        <v>300</v>
      </c>
      <c r="C2025" s="1" t="s">
        <v>2908</v>
      </c>
      <c r="D2025" s="1" t="s">
        <v>7460</v>
      </c>
      <c r="E2025" s="1">
        <v>11900000</v>
      </c>
    </row>
    <row r="2026" spans="1:5" ht="14.4" x14ac:dyDescent="0.3">
      <c r="A2026" s="17" t="s">
        <v>7461</v>
      </c>
      <c r="B2026" s="1" t="s">
        <v>291</v>
      </c>
      <c r="C2026" s="1" t="s">
        <v>4921</v>
      </c>
      <c r="D2026" s="1" t="s">
        <v>7462</v>
      </c>
      <c r="E2026" s="1">
        <v>11400000</v>
      </c>
    </row>
    <row r="2027" spans="1:5" ht="14.4" x14ac:dyDescent="0.3">
      <c r="A2027" s="17" t="s">
        <v>7463</v>
      </c>
      <c r="B2027" s="1" t="s">
        <v>156</v>
      </c>
      <c r="C2027" s="1" t="s">
        <v>2707</v>
      </c>
      <c r="D2027" s="1" t="s">
        <v>7464</v>
      </c>
      <c r="E2027" s="1">
        <v>6820000</v>
      </c>
    </row>
    <row r="2028" spans="1:5" ht="14.4" x14ac:dyDescent="0.3">
      <c r="A2028" s="17" t="s">
        <v>7465</v>
      </c>
      <c r="B2028" s="1" t="s">
        <v>86</v>
      </c>
      <c r="C2028" s="1" t="s">
        <v>134</v>
      </c>
      <c r="D2028" s="1" t="s">
        <v>7466</v>
      </c>
      <c r="E2028" s="1">
        <v>11900000</v>
      </c>
    </row>
    <row r="2029" spans="1:5" ht="14.4" x14ac:dyDescent="0.3">
      <c r="A2029" s="17" t="s">
        <v>7467</v>
      </c>
      <c r="B2029" s="1" t="s">
        <v>86</v>
      </c>
      <c r="C2029" s="1" t="s">
        <v>3130</v>
      </c>
      <c r="D2029" s="1" t="s">
        <v>3131</v>
      </c>
      <c r="E2029" s="1">
        <v>16400000</v>
      </c>
    </row>
    <row r="2030" spans="1:5" ht="14.4" x14ac:dyDescent="0.3">
      <c r="A2030" s="17" t="s">
        <v>7468</v>
      </c>
      <c r="B2030" s="1" t="s">
        <v>86</v>
      </c>
      <c r="C2030" s="1" t="s">
        <v>2976</v>
      </c>
      <c r="D2030" s="1" t="s">
        <v>7469</v>
      </c>
      <c r="E2030" s="1">
        <v>12700000</v>
      </c>
    </row>
    <row r="2031" spans="1:5" ht="14.4" x14ac:dyDescent="0.3">
      <c r="A2031" s="17" t="s">
        <v>7470</v>
      </c>
      <c r="B2031" s="1" t="s">
        <v>207</v>
      </c>
      <c r="C2031" s="1" t="s">
        <v>3176</v>
      </c>
      <c r="D2031" s="1" t="s">
        <v>7471</v>
      </c>
      <c r="E2031" s="1">
        <v>15300000</v>
      </c>
    </row>
    <row r="2032" spans="1:5" ht="14.4" x14ac:dyDescent="0.3">
      <c r="A2032" s="17" t="s">
        <v>7472</v>
      </c>
      <c r="B2032" s="1" t="s">
        <v>60</v>
      </c>
      <c r="C2032" s="1" t="s">
        <v>2520</v>
      </c>
      <c r="D2032" s="1" t="s">
        <v>7473</v>
      </c>
      <c r="E2032" s="1">
        <v>15500000</v>
      </c>
    </row>
    <row r="2033" spans="1:5" ht="14.4" x14ac:dyDescent="0.3">
      <c r="A2033" s="17" t="s">
        <v>7474</v>
      </c>
      <c r="B2033" s="1" t="s">
        <v>86</v>
      </c>
      <c r="C2033" s="1" t="s">
        <v>2476</v>
      </c>
      <c r="D2033" s="1" t="s">
        <v>7475</v>
      </c>
      <c r="E2033" s="1">
        <v>34700000</v>
      </c>
    </row>
    <row r="2034" spans="1:5" ht="14.4" x14ac:dyDescent="0.3">
      <c r="A2034" s="17" t="s">
        <v>7476</v>
      </c>
      <c r="B2034" s="1" t="s">
        <v>220</v>
      </c>
      <c r="C2034" s="1" t="s">
        <v>231</v>
      </c>
      <c r="D2034" s="1" t="s">
        <v>7477</v>
      </c>
      <c r="E2034" s="1">
        <v>8900000</v>
      </c>
    </row>
    <row r="2035" spans="1:5" ht="14.4" x14ac:dyDescent="0.3">
      <c r="A2035" s="17" t="s">
        <v>7478</v>
      </c>
      <c r="B2035" s="1" t="s">
        <v>2521</v>
      </c>
      <c r="C2035" s="1" t="s">
        <v>2522</v>
      </c>
      <c r="D2035" s="1" t="s">
        <v>7479</v>
      </c>
      <c r="E2035" s="1">
        <v>16900000</v>
      </c>
    </row>
    <row r="2036" spans="1:5" ht="14.4" x14ac:dyDescent="0.3">
      <c r="A2036" s="17" t="s">
        <v>7480</v>
      </c>
      <c r="B2036" s="1" t="s">
        <v>311</v>
      </c>
      <c r="C2036" s="1" t="s">
        <v>7481</v>
      </c>
      <c r="D2036" s="1" t="s">
        <v>7482</v>
      </c>
      <c r="E2036" s="1">
        <v>15600000</v>
      </c>
    </row>
    <row r="2037" spans="1:5" ht="14.4" x14ac:dyDescent="0.3">
      <c r="A2037" s="17" t="s">
        <v>7483</v>
      </c>
      <c r="B2037" s="1" t="s">
        <v>28</v>
      </c>
      <c r="C2037" s="1" t="s">
        <v>42</v>
      </c>
      <c r="D2037" s="1" t="s">
        <v>7484</v>
      </c>
      <c r="E2037" s="1">
        <v>10600000</v>
      </c>
    </row>
    <row r="2038" spans="1:5" ht="14.4" x14ac:dyDescent="0.3">
      <c r="A2038" s="17" t="s">
        <v>7485</v>
      </c>
      <c r="B2038" s="1" t="s">
        <v>2549</v>
      </c>
      <c r="C2038" s="1" t="s">
        <v>2655</v>
      </c>
      <c r="D2038" s="1" t="s">
        <v>363</v>
      </c>
      <c r="E2038" s="1">
        <v>12600000</v>
      </c>
    </row>
    <row r="2039" spans="1:5" ht="14.4" x14ac:dyDescent="0.3">
      <c r="A2039" s="17" t="s">
        <v>7486</v>
      </c>
      <c r="B2039" s="1" t="s">
        <v>237</v>
      </c>
      <c r="C2039" s="1" t="s">
        <v>65</v>
      </c>
      <c r="D2039" s="1" t="s">
        <v>7487</v>
      </c>
      <c r="E2039" s="1">
        <v>13900000</v>
      </c>
    </row>
    <row r="2040" spans="1:5" ht="14.4" x14ac:dyDescent="0.3">
      <c r="A2040" s="17" t="s">
        <v>7488</v>
      </c>
      <c r="B2040" s="1" t="s">
        <v>306</v>
      </c>
      <c r="C2040" s="1" t="s">
        <v>2862</v>
      </c>
      <c r="D2040" s="1" t="s">
        <v>7489</v>
      </c>
      <c r="E2040" s="1">
        <v>18000000</v>
      </c>
    </row>
    <row r="2041" spans="1:5" ht="14.4" x14ac:dyDescent="0.3">
      <c r="A2041" s="17" t="s">
        <v>7490</v>
      </c>
      <c r="B2041" s="1" t="s">
        <v>306</v>
      </c>
      <c r="C2041" s="1" t="s">
        <v>2862</v>
      </c>
      <c r="D2041" s="1" t="s">
        <v>7491</v>
      </c>
      <c r="E2041" s="1">
        <v>18700000</v>
      </c>
    </row>
    <row r="2042" spans="1:5" ht="14.4" x14ac:dyDescent="0.3">
      <c r="A2042" s="17" t="s">
        <v>7492</v>
      </c>
      <c r="B2042" s="1" t="s">
        <v>156</v>
      </c>
      <c r="C2042" s="1" t="s">
        <v>2789</v>
      </c>
      <c r="D2042" s="1" t="s">
        <v>7493</v>
      </c>
      <c r="E2042" s="1">
        <v>9400000</v>
      </c>
    </row>
    <row r="2043" spans="1:5" ht="14.4" x14ac:dyDescent="0.3">
      <c r="A2043" s="17" t="s">
        <v>7494</v>
      </c>
      <c r="B2043" s="1" t="s">
        <v>2498</v>
      </c>
      <c r="C2043" s="1" t="s">
        <v>2523</v>
      </c>
      <c r="D2043" s="1" t="s">
        <v>7495</v>
      </c>
      <c r="E2043" s="1">
        <v>9800000</v>
      </c>
    </row>
    <row r="2044" spans="1:5" ht="14.4" x14ac:dyDescent="0.3">
      <c r="A2044" s="17" t="s">
        <v>7496</v>
      </c>
      <c r="B2044" s="1" t="s">
        <v>86</v>
      </c>
      <c r="C2044" s="1" t="s">
        <v>2476</v>
      </c>
      <c r="D2044" s="1" t="s">
        <v>7497</v>
      </c>
      <c r="E2044" s="1">
        <v>44600000</v>
      </c>
    </row>
    <row r="2045" spans="1:5" ht="14.4" x14ac:dyDescent="0.3">
      <c r="A2045" s="17" t="s">
        <v>7498</v>
      </c>
      <c r="B2045" s="1" t="s">
        <v>2498</v>
      </c>
      <c r="C2045" s="1" t="s">
        <v>2499</v>
      </c>
      <c r="D2045" s="1" t="s">
        <v>5674</v>
      </c>
      <c r="E2045" s="1">
        <v>9800000</v>
      </c>
    </row>
    <row r="2046" spans="1:5" ht="14.4" x14ac:dyDescent="0.3">
      <c r="A2046" s="17" t="s">
        <v>7499</v>
      </c>
      <c r="B2046" s="1" t="s">
        <v>2498</v>
      </c>
      <c r="C2046" s="1" t="s">
        <v>3136</v>
      </c>
      <c r="D2046" s="1" t="s">
        <v>7500</v>
      </c>
      <c r="E2046" s="1">
        <v>17900000</v>
      </c>
    </row>
    <row r="2047" spans="1:5" ht="14.4" x14ac:dyDescent="0.3">
      <c r="A2047" s="17" t="s">
        <v>7501</v>
      </c>
      <c r="B2047" s="1" t="s">
        <v>86</v>
      </c>
      <c r="C2047" s="1" t="s">
        <v>122</v>
      </c>
      <c r="D2047" s="1" t="s">
        <v>7502</v>
      </c>
      <c r="E2047" s="1">
        <v>15700000</v>
      </c>
    </row>
    <row r="2048" spans="1:5" ht="14.4" x14ac:dyDescent="0.3">
      <c r="A2048" s="17" t="s">
        <v>7503</v>
      </c>
      <c r="B2048" s="1" t="s">
        <v>3218</v>
      </c>
      <c r="C2048" s="1" t="s">
        <v>3219</v>
      </c>
      <c r="D2048" s="1" t="s">
        <v>7504</v>
      </c>
      <c r="E2048" s="1">
        <v>10600000</v>
      </c>
    </row>
    <row r="2049" spans="1:5" ht="14.4" x14ac:dyDescent="0.3">
      <c r="A2049" s="17" t="s">
        <v>7505</v>
      </c>
      <c r="B2049" s="1" t="s">
        <v>2494</v>
      </c>
      <c r="C2049" s="1" t="s">
        <v>2987</v>
      </c>
      <c r="D2049" s="1" t="s">
        <v>7506</v>
      </c>
      <c r="E2049" s="1">
        <v>8600000</v>
      </c>
    </row>
    <row r="2050" spans="1:5" ht="14.4" x14ac:dyDescent="0.3">
      <c r="A2050" s="17" t="s">
        <v>7507</v>
      </c>
      <c r="B2050" s="1" t="s">
        <v>2526</v>
      </c>
      <c r="C2050" s="1" t="s">
        <v>3825</v>
      </c>
      <c r="D2050" s="1" t="s">
        <v>7508</v>
      </c>
      <c r="E2050" s="1">
        <v>5460000</v>
      </c>
    </row>
    <row r="2051" spans="1:5" ht="14.4" x14ac:dyDescent="0.3">
      <c r="A2051" s="17" t="s">
        <v>7509</v>
      </c>
      <c r="B2051" s="1" t="s">
        <v>311</v>
      </c>
      <c r="C2051" s="1" t="s">
        <v>312</v>
      </c>
      <c r="D2051" s="1" t="s">
        <v>314</v>
      </c>
      <c r="E2051" s="1">
        <v>28200000</v>
      </c>
    </row>
    <row r="2052" spans="1:5" ht="14.4" x14ac:dyDescent="0.3">
      <c r="A2052" s="17" t="s">
        <v>7510</v>
      </c>
      <c r="B2052" s="1" t="s">
        <v>241</v>
      </c>
      <c r="C2052" s="1">
        <v>3008</v>
      </c>
      <c r="D2052" s="1" t="s">
        <v>253</v>
      </c>
      <c r="E2052" s="1">
        <v>14700000</v>
      </c>
    </row>
    <row r="2053" spans="1:5" ht="14.4" x14ac:dyDescent="0.3">
      <c r="A2053" s="17" t="s">
        <v>7511</v>
      </c>
      <c r="B2053" s="1" t="s">
        <v>180</v>
      </c>
      <c r="C2053" s="1" t="s">
        <v>3419</v>
      </c>
      <c r="D2053" s="1" t="s">
        <v>3420</v>
      </c>
      <c r="E2053" s="1">
        <v>9600000</v>
      </c>
    </row>
    <row r="2054" spans="1:5" ht="14.4" x14ac:dyDescent="0.3">
      <c r="A2054" s="17" t="s">
        <v>7512</v>
      </c>
      <c r="B2054" s="1" t="s">
        <v>2493</v>
      </c>
      <c r="C2054" s="1" t="s">
        <v>7513</v>
      </c>
      <c r="D2054" s="1" t="s">
        <v>2477</v>
      </c>
      <c r="E2054" s="1">
        <v>15500000</v>
      </c>
    </row>
    <row r="2055" spans="1:5" ht="14.4" x14ac:dyDescent="0.3">
      <c r="A2055" s="17" t="s">
        <v>7514</v>
      </c>
      <c r="B2055" s="1" t="s">
        <v>214</v>
      </c>
      <c r="C2055" s="1" t="s">
        <v>2567</v>
      </c>
      <c r="D2055" s="1" t="s">
        <v>7515</v>
      </c>
      <c r="E2055" s="1">
        <v>13500000</v>
      </c>
    </row>
    <row r="2056" spans="1:5" ht="14.4" x14ac:dyDescent="0.3">
      <c r="A2056" s="17" t="s">
        <v>7516</v>
      </c>
      <c r="B2056" s="1" t="s">
        <v>214</v>
      </c>
      <c r="C2056" s="1" t="s">
        <v>7517</v>
      </c>
      <c r="D2056" s="1" t="s">
        <v>5667</v>
      </c>
      <c r="E2056" s="1">
        <v>12700000</v>
      </c>
    </row>
    <row r="2057" spans="1:5" ht="14.4" x14ac:dyDescent="0.3">
      <c r="A2057" s="17" t="s">
        <v>7518</v>
      </c>
      <c r="B2057" s="1" t="s">
        <v>2545</v>
      </c>
      <c r="C2057" s="1" t="s">
        <v>2856</v>
      </c>
      <c r="D2057" s="1" t="s">
        <v>5555</v>
      </c>
      <c r="E2057" s="1">
        <v>20900000</v>
      </c>
    </row>
    <row r="2058" spans="1:5" ht="14.4" x14ac:dyDescent="0.3">
      <c r="A2058" s="17" t="s">
        <v>7519</v>
      </c>
      <c r="B2058" s="1" t="s">
        <v>2545</v>
      </c>
      <c r="C2058" s="1" t="s">
        <v>2856</v>
      </c>
      <c r="D2058" s="1" t="s">
        <v>5555</v>
      </c>
      <c r="E2058" s="1">
        <v>25300000</v>
      </c>
    </row>
    <row r="2059" spans="1:5" ht="14.4" x14ac:dyDescent="0.3">
      <c r="A2059" s="17" t="s">
        <v>7520</v>
      </c>
      <c r="B2059" s="1" t="s">
        <v>220</v>
      </c>
      <c r="C2059" s="1" t="s">
        <v>2577</v>
      </c>
      <c r="D2059" s="1" t="s">
        <v>7521</v>
      </c>
      <c r="E2059" s="1">
        <v>11300000</v>
      </c>
    </row>
    <row r="2060" spans="1:5" ht="14.4" x14ac:dyDescent="0.3">
      <c r="A2060" s="17" t="s">
        <v>7522</v>
      </c>
      <c r="B2060" s="1" t="s">
        <v>2533</v>
      </c>
      <c r="C2060" s="1" t="s">
        <v>2582</v>
      </c>
      <c r="D2060" s="1" t="s">
        <v>7523</v>
      </c>
      <c r="E2060" s="1">
        <v>7030000</v>
      </c>
    </row>
    <row r="2061" spans="1:5" ht="14.4" x14ac:dyDescent="0.3">
      <c r="A2061" s="17" t="s">
        <v>7524</v>
      </c>
      <c r="B2061" s="1" t="s">
        <v>28</v>
      </c>
      <c r="C2061" s="1" t="s">
        <v>2496</v>
      </c>
      <c r="D2061" s="1" t="s">
        <v>7525</v>
      </c>
      <c r="E2061" s="1">
        <v>7310000</v>
      </c>
    </row>
    <row r="2062" spans="1:5" ht="14.4" x14ac:dyDescent="0.3">
      <c r="A2062" s="17" t="s">
        <v>7526</v>
      </c>
      <c r="B2062" s="1" t="s">
        <v>2498</v>
      </c>
      <c r="C2062" s="1" t="s">
        <v>193</v>
      </c>
      <c r="D2062" s="1" t="s">
        <v>7527</v>
      </c>
      <c r="E2062" s="1">
        <v>12700000</v>
      </c>
    </row>
    <row r="2063" spans="1:5" ht="14.4" x14ac:dyDescent="0.3">
      <c r="A2063" s="17" t="s">
        <v>7528</v>
      </c>
      <c r="B2063" s="1" t="s">
        <v>86</v>
      </c>
      <c r="C2063" s="1" t="s">
        <v>2507</v>
      </c>
      <c r="D2063" s="1" t="s">
        <v>2477</v>
      </c>
      <c r="E2063" s="1">
        <v>23600000</v>
      </c>
    </row>
    <row r="2064" spans="1:5" ht="14.4" x14ac:dyDescent="0.3">
      <c r="A2064" s="17" t="s">
        <v>7529</v>
      </c>
      <c r="B2064" s="1" t="s">
        <v>86</v>
      </c>
      <c r="C2064" s="1" t="s">
        <v>2859</v>
      </c>
      <c r="D2064" s="1" t="s">
        <v>7530</v>
      </c>
      <c r="E2064" s="1">
        <v>22100000</v>
      </c>
    </row>
    <row r="2065" spans="1:5" ht="14.4" x14ac:dyDescent="0.3">
      <c r="A2065" s="17" t="s">
        <v>7531</v>
      </c>
      <c r="B2065" s="1" t="s">
        <v>86</v>
      </c>
      <c r="C2065" s="1" t="s">
        <v>2507</v>
      </c>
      <c r="D2065" s="1" t="s">
        <v>2477</v>
      </c>
      <c r="E2065" s="1">
        <v>23600000</v>
      </c>
    </row>
    <row r="2066" spans="1:5" ht="14.4" x14ac:dyDescent="0.3">
      <c r="A2066" s="17" t="s">
        <v>7532</v>
      </c>
      <c r="B2066" s="1" t="s">
        <v>86</v>
      </c>
      <c r="C2066" s="1" t="s">
        <v>2507</v>
      </c>
      <c r="D2066" s="1" t="s">
        <v>2477</v>
      </c>
      <c r="E2066" s="1">
        <v>23600000</v>
      </c>
    </row>
    <row r="2067" spans="1:5" ht="14.4" x14ac:dyDescent="0.3">
      <c r="A2067" s="17" t="s">
        <v>7533</v>
      </c>
      <c r="B2067" s="1" t="s">
        <v>220</v>
      </c>
      <c r="C2067" s="1" t="s">
        <v>2762</v>
      </c>
      <c r="D2067" s="1" t="s">
        <v>7534</v>
      </c>
      <c r="E2067" s="1">
        <v>13200000</v>
      </c>
    </row>
    <row r="2068" spans="1:5" ht="14.4" x14ac:dyDescent="0.3">
      <c r="A2068" s="17" t="s">
        <v>7535</v>
      </c>
      <c r="B2068" s="1" t="s">
        <v>86</v>
      </c>
      <c r="C2068" s="1" t="s">
        <v>2507</v>
      </c>
      <c r="D2068" s="1" t="s">
        <v>2477</v>
      </c>
      <c r="E2068" s="1">
        <v>23600000</v>
      </c>
    </row>
    <row r="2069" spans="1:5" ht="14.4" x14ac:dyDescent="0.3">
      <c r="A2069" s="17" t="s">
        <v>7536</v>
      </c>
      <c r="B2069" s="1" t="s">
        <v>86</v>
      </c>
      <c r="C2069" s="1" t="s">
        <v>2507</v>
      </c>
      <c r="D2069" s="1" t="s">
        <v>2477</v>
      </c>
      <c r="E2069" s="1">
        <v>23600000</v>
      </c>
    </row>
    <row r="2070" spans="1:5" ht="14.4" x14ac:dyDescent="0.3">
      <c r="A2070" s="17" t="s">
        <v>7537</v>
      </c>
      <c r="B2070" s="1" t="s">
        <v>86</v>
      </c>
      <c r="C2070" s="1" t="s">
        <v>2507</v>
      </c>
      <c r="D2070" s="1" t="s">
        <v>2477</v>
      </c>
      <c r="E2070" s="1">
        <v>23600000</v>
      </c>
    </row>
    <row r="2071" spans="1:5" ht="14.4" x14ac:dyDescent="0.3">
      <c r="A2071" s="17" t="s">
        <v>7538</v>
      </c>
      <c r="B2071" s="1" t="s">
        <v>86</v>
      </c>
      <c r="C2071" s="1" t="s">
        <v>2507</v>
      </c>
      <c r="D2071" s="1" t="s">
        <v>2477</v>
      </c>
      <c r="E2071" s="1">
        <v>24900000</v>
      </c>
    </row>
    <row r="2072" spans="1:5" ht="14.4" x14ac:dyDescent="0.3">
      <c r="A2072" s="17" t="s">
        <v>7539</v>
      </c>
      <c r="B2072" s="1" t="s">
        <v>86</v>
      </c>
      <c r="C2072" s="1" t="s">
        <v>2507</v>
      </c>
      <c r="D2072" s="1" t="s">
        <v>2477</v>
      </c>
      <c r="E2072" s="1">
        <v>23600000</v>
      </c>
    </row>
    <row r="2073" spans="1:5" ht="14.4" x14ac:dyDescent="0.3">
      <c r="A2073" s="17" t="s">
        <v>7540</v>
      </c>
      <c r="B2073" s="1" t="s">
        <v>86</v>
      </c>
      <c r="C2073" s="1" t="s">
        <v>2507</v>
      </c>
      <c r="D2073" s="1" t="s">
        <v>2477</v>
      </c>
      <c r="E2073" s="1">
        <v>23600000</v>
      </c>
    </row>
    <row r="2074" spans="1:5" ht="14.4" x14ac:dyDescent="0.3">
      <c r="A2074" s="17" t="s">
        <v>7541</v>
      </c>
      <c r="B2074" s="1" t="s">
        <v>241</v>
      </c>
      <c r="C2074" s="1">
        <v>3008</v>
      </c>
      <c r="D2074" s="1" t="s">
        <v>2477</v>
      </c>
      <c r="E2074" s="1">
        <v>17200000</v>
      </c>
    </row>
    <row r="2075" spans="1:5" ht="14.4" x14ac:dyDescent="0.3">
      <c r="A2075" s="17" t="s">
        <v>7542</v>
      </c>
      <c r="B2075" s="1" t="s">
        <v>86</v>
      </c>
      <c r="C2075" s="1" t="s">
        <v>2507</v>
      </c>
      <c r="D2075" s="1" t="s">
        <v>2477</v>
      </c>
      <c r="E2075" s="1">
        <v>23600000</v>
      </c>
    </row>
    <row r="2076" spans="1:5" ht="14.4" x14ac:dyDescent="0.3">
      <c r="A2076" s="17" t="s">
        <v>7543</v>
      </c>
      <c r="B2076" s="1" t="s">
        <v>241</v>
      </c>
      <c r="C2076" s="1" t="s">
        <v>269</v>
      </c>
      <c r="D2076" s="1" t="s">
        <v>2477</v>
      </c>
      <c r="E2076" s="1">
        <v>20700000</v>
      </c>
    </row>
    <row r="2077" spans="1:5" ht="14.4" x14ac:dyDescent="0.3">
      <c r="A2077" s="17" t="s">
        <v>7544</v>
      </c>
      <c r="B2077" s="1" t="s">
        <v>241</v>
      </c>
      <c r="C2077" s="1">
        <v>2008</v>
      </c>
      <c r="D2077" s="1" t="s">
        <v>2477</v>
      </c>
      <c r="E2077" s="1">
        <v>12800000</v>
      </c>
    </row>
    <row r="2078" spans="1:5" ht="14.4" x14ac:dyDescent="0.3">
      <c r="A2078" s="17" t="s">
        <v>7545</v>
      </c>
      <c r="B2078" s="1" t="s">
        <v>173</v>
      </c>
      <c r="C2078" s="1">
        <v>7</v>
      </c>
      <c r="D2078" s="1" t="s">
        <v>2477</v>
      </c>
      <c r="E2078" s="1">
        <v>21400000</v>
      </c>
    </row>
    <row r="2079" spans="1:5" ht="14.4" x14ac:dyDescent="0.3">
      <c r="A2079" s="17" t="s">
        <v>7546</v>
      </c>
      <c r="B2079" s="1" t="s">
        <v>86</v>
      </c>
      <c r="C2079" s="1" t="s">
        <v>106</v>
      </c>
      <c r="D2079" s="1" t="s">
        <v>2477</v>
      </c>
      <c r="E2079" s="1">
        <v>35000000</v>
      </c>
    </row>
    <row r="2080" spans="1:5" ht="14.4" x14ac:dyDescent="0.3">
      <c r="A2080" s="17" t="s">
        <v>7547</v>
      </c>
      <c r="B2080" s="1" t="s">
        <v>241</v>
      </c>
      <c r="C2080" s="1" t="s">
        <v>2501</v>
      </c>
      <c r="D2080" s="1" t="s">
        <v>2477</v>
      </c>
      <c r="E2080" s="1">
        <v>19800000</v>
      </c>
    </row>
    <row r="2081" spans="1:5" ht="14.4" x14ac:dyDescent="0.3">
      <c r="A2081" s="17" t="s">
        <v>7548</v>
      </c>
      <c r="B2081" s="1" t="s">
        <v>241</v>
      </c>
      <c r="C2081" s="1" t="s">
        <v>269</v>
      </c>
      <c r="D2081" s="1" t="s">
        <v>2477</v>
      </c>
      <c r="E2081" s="1">
        <v>24900000</v>
      </c>
    </row>
    <row r="2082" spans="1:5" ht="14.4" x14ac:dyDescent="0.3">
      <c r="A2082" s="17" t="s">
        <v>7549</v>
      </c>
      <c r="B2082" s="1" t="s">
        <v>220</v>
      </c>
      <c r="C2082" s="1" t="s">
        <v>2492</v>
      </c>
      <c r="D2082" s="1" t="s">
        <v>2477</v>
      </c>
      <c r="E2082" s="1">
        <v>26900000</v>
      </c>
    </row>
    <row r="2083" spans="1:5" ht="14.4" x14ac:dyDescent="0.3">
      <c r="A2083" s="17" t="s">
        <v>7550</v>
      </c>
      <c r="B2083" s="1" t="s">
        <v>241</v>
      </c>
      <c r="C2083" s="1" t="s">
        <v>2487</v>
      </c>
      <c r="D2083" s="1" t="s">
        <v>2477</v>
      </c>
      <c r="E2083" s="1">
        <v>13800000</v>
      </c>
    </row>
    <row r="2084" spans="1:5" ht="14.4" x14ac:dyDescent="0.3">
      <c r="A2084" s="17" t="s">
        <v>7551</v>
      </c>
      <c r="B2084" s="1" t="s">
        <v>18</v>
      </c>
      <c r="C2084" s="1" t="s">
        <v>2641</v>
      </c>
      <c r="D2084" s="1" t="s">
        <v>2477</v>
      </c>
      <c r="E2084" s="1">
        <v>18100000</v>
      </c>
    </row>
    <row r="2085" spans="1:5" ht="14.4" x14ac:dyDescent="0.3">
      <c r="A2085" s="17" t="s">
        <v>7552</v>
      </c>
      <c r="B2085" s="1" t="s">
        <v>45</v>
      </c>
      <c r="C2085" s="1" t="s">
        <v>49</v>
      </c>
      <c r="D2085" s="1" t="s">
        <v>2477</v>
      </c>
      <c r="E2085" s="1">
        <v>47600000</v>
      </c>
    </row>
    <row r="2086" spans="1:5" ht="14.4" x14ac:dyDescent="0.3">
      <c r="A2086" s="17" t="s">
        <v>7553</v>
      </c>
      <c r="B2086" s="1" t="s">
        <v>86</v>
      </c>
      <c r="C2086" s="1" t="s">
        <v>2507</v>
      </c>
      <c r="D2086" s="1" t="s">
        <v>2477</v>
      </c>
      <c r="E2086" s="1">
        <v>20100000</v>
      </c>
    </row>
    <row r="2087" spans="1:5" ht="14.4" x14ac:dyDescent="0.3">
      <c r="A2087" s="17" t="s">
        <v>7554</v>
      </c>
      <c r="B2087" s="1" t="s">
        <v>207</v>
      </c>
      <c r="C2087" s="1" t="s">
        <v>211</v>
      </c>
      <c r="D2087" s="1" t="s">
        <v>2477</v>
      </c>
      <c r="E2087" s="1">
        <v>33900000</v>
      </c>
    </row>
    <row r="2088" spans="1:5" ht="14.4" x14ac:dyDescent="0.3">
      <c r="A2088" s="17" t="s">
        <v>7555</v>
      </c>
      <c r="B2088" s="1" t="s">
        <v>173</v>
      </c>
      <c r="C2088" s="1">
        <v>7</v>
      </c>
      <c r="D2088" s="1" t="s">
        <v>2477</v>
      </c>
      <c r="E2088" s="1">
        <v>22600000</v>
      </c>
    </row>
    <row r="2089" spans="1:5" ht="14.4" x14ac:dyDescent="0.3">
      <c r="A2089" s="17" t="s">
        <v>7556</v>
      </c>
      <c r="B2089" s="1" t="s">
        <v>241</v>
      </c>
      <c r="C2089" s="1">
        <v>208</v>
      </c>
      <c r="D2089" s="1" t="s">
        <v>2477</v>
      </c>
      <c r="E2089" s="1">
        <v>10000000</v>
      </c>
    </row>
    <row r="2090" spans="1:5" ht="14.4" x14ac:dyDescent="0.3">
      <c r="A2090" s="17" t="s">
        <v>7557</v>
      </c>
      <c r="B2090" s="1" t="s">
        <v>2498</v>
      </c>
      <c r="C2090" s="1" t="s">
        <v>2833</v>
      </c>
      <c r="D2090" s="1" t="s">
        <v>2477</v>
      </c>
      <c r="E2090" s="1">
        <v>43100000</v>
      </c>
    </row>
    <row r="2091" spans="1:5" ht="14.4" x14ac:dyDescent="0.3">
      <c r="A2091" s="17" t="s">
        <v>7558</v>
      </c>
      <c r="B2091" s="1" t="s">
        <v>86</v>
      </c>
      <c r="C2091" s="1" t="s">
        <v>93</v>
      </c>
      <c r="D2091" s="1" t="s">
        <v>2477</v>
      </c>
      <c r="E2091" s="1">
        <v>24100000</v>
      </c>
    </row>
    <row r="2092" spans="1:5" ht="14.4" x14ac:dyDescent="0.3">
      <c r="A2092" s="17" t="s">
        <v>7559</v>
      </c>
      <c r="B2092" s="1" t="s">
        <v>220</v>
      </c>
      <c r="C2092" s="1" t="s">
        <v>223</v>
      </c>
      <c r="D2092" s="1" t="s">
        <v>2477</v>
      </c>
      <c r="E2092" s="1">
        <v>17500000</v>
      </c>
    </row>
    <row r="2093" spans="1:5" ht="14.4" x14ac:dyDescent="0.3">
      <c r="A2093" s="17" t="s">
        <v>7560</v>
      </c>
      <c r="B2093" s="1" t="s">
        <v>86</v>
      </c>
      <c r="C2093" s="1" t="s">
        <v>2826</v>
      </c>
      <c r="D2093" s="1" t="s">
        <v>2477</v>
      </c>
      <c r="E2093" s="1">
        <v>21000000</v>
      </c>
    </row>
    <row r="2094" spans="1:5" ht="14.4" x14ac:dyDescent="0.3">
      <c r="A2094" s="17" t="s">
        <v>7561</v>
      </c>
      <c r="B2094" s="1" t="s">
        <v>2498</v>
      </c>
      <c r="C2094" s="1" t="s">
        <v>199</v>
      </c>
      <c r="D2094" s="1" t="s">
        <v>2477</v>
      </c>
      <c r="E2094" s="1">
        <v>23700000</v>
      </c>
    </row>
    <row r="2095" spans="1:5" ht="14.4" x14ac:dyDescent="0.3">
      <c r="A2095" s="17" t="s">
        <v>7562</v>
      </c>
      <c r="B2095" s="1" t="s">
        <v>278</v>
      </c>
      <c r="C2095" s="1" t="s">
        <v>285</v>
      </c>
      <c r="D2095" s="1" t="s">
        <v>2477</v>
      </c>
      <c r="E2095" s="1">
        <v>25300000</v>
      </c>
    </row>
    <row r="2096" spans="1:5" ht="14.4" x14ac:dyDescent="0.3">
      <c r="A2096" s="17" t="s">
        <v>7563</v>
      </c>
      <c r="B2096" s="1" t="s">
        <v>278</v>
      </c>
      <c r="C2096" s="1">
        <v>1500</v>
      </c>
      <c r="D2096" s="1" t="s">
        <v>2477</v>
      </c>
      <c r="E2096" s="1">
        <v>39000000</v>
      </c>
    </row>
    <row r="2097" spans="1:5" ht="14.4" x14ac:dyDescent="0.3">
      <c r="A2097" s="17" t="s">
        <v>7564</v>
      </c>
      <c r="B2097" s="1" t="s">
        <v>278</v>
      </c>
      <c r="C2097" s="1">
        <v>1500</v>
      </c>
      <c r="D2097" s="1" t="s">
        <v>2477</v>
      </c>
      <c r="E2097" s="1">
        <v>49700000</v>
      </c>
    </row>
    <row r="2098" spans="1:5" ht="14.4" x14ac:dyDescent="0.3">
      <c r="A2098" s="17" t="s">
        <v>7565</v>
      </c>
      <c r="B2098" s="1" t="s">
        <v>306</v>
      </c>
      <c r="C2098" s="1" t="s">
        <v>2491</v>
      </c>
      <c r="D2098" s="1" t="s">
        <v>2477</v>
      </c>
      <c r="E2098" s="1">
        <v>20700000</v>
      </c>
    </row>
    <row r="2099" spans="1:5" ht="14.4" x14ac:dyDescent="0.3">
      <c r="A2099" s="17" t="s">
        <v>7566</v>
      </c>
      <c r="B2099" s="1" t="s">
        <v>220</v>
      </c>
      <c r="C2099" s="1" t="s">
        <v>2762</v>
      </c>
      <c r="D2099" s="1" t="s">
        <v>2477</v>
      </c>
      <c r="E2099" s="1">
        <v>14000000</v>
      </c>
    </row>
    <row r="2100" spans="1:5" ht="14.4" x14ac:dyDescent="0.3">
      <c r="A2100" s="17" t="s">
        <v>7567</v>
      </c>
      <c r="B2100" s="1" t="s">
        <v>306</v>
      </c>
      <c r="C2100" s="1" t="s">
        <v>5026</v>
      </c>
      <c r="D2100" s="1" t="s">
        <v>2477</v>
      </c>
      <c r="E2100" s="1">
        <v>29900000</v>
      </c>
    </row>
    <row r="2101" spans="1:5" ht="14.4" x14ac:dyDescent="0.3">
      <c r="A2101" s="17" t="s">
        <v>7568</v>
      </c>
      <c r="B2101" s="1" t="s">
        <v>86</v>
      </c>
      <c r="C2101" s="1" t="s">
        <v>106</v>
      </c>
      <c r="D2101" s="1" t="s">
        <v>2477</v>
      </c>
      <c r="E2101" s="1">
        <v>33900000</v>
      </c>
    </row>
    <row r="2102" spans="1:5" ht="14.4" x14ac:dyDescent="0.3">
      <c r="A2102" s="17" t="s">
        <v>7569</v>
      </c>
      <c r="B2102" s="1" t="s">
        <v>86</v>
      </c>
      <c r="C2102" s="1" t="s">
        <v>2507</v>
      </c>
      <c r="D2102" s="1" t="s">
        <v>2477</v>
      </c>
      <c r="E2102" s="1">
        <v>24700000</v>
      </c>
    </row>
    <row r="2103" spans="1:5" ht="14.4" x14ac:dyDescent="0.3">
      <c r="A2103" s="17" t="s">
        <v>7570</v>
      </c>
      <c r="B2103" s="1" t="s">
        <v>86</v>
      </c>
      <c r="C2103" s="1" t="s">
        <v>2507</v>
      </c>
      <c r="D2103" s="1" t="s">
        <v>2477</v>
      </c>
      <c r="E2103" s="1">
        <v>28400000</v>
      </c>
    </row>
    <row r="2104" spans="1:5" ht="14.4" x14ac:dyDescent="0.3">
      <c r="A2104" s="17" t="s">
        <v>7571</v>
      </c>
      <c r="B2104" s="1" t="s">
        <v>86</v>
      </c>
      <c r="C2104" s="1" t="s">
        <v>134</v>
      </c>
      <c r="D2104" s="1" t="s">
        <v>2477</v>
      </c>
      <c r="E2104" s="1">
        <v>12400000</v>
      </c>
    </row>
    <row r="2105" spans="1:5" ht="14.4" x14ac:dyDescent="0.3">
      <c r="A2105" s="17" t="s">
        <v>7572</v>
      </c>
      <c r="B2105" s="1" t="s">
        <v>86</v>
      </c>
      <c r="C2105" s="1" t="s">
        <v>134</v>
      </c>
      <c r="D2105" s="1" t="s">
        <v>2477</v>
      </c>
      <c r="E2105" s="1">
        <v>12400000</v>
      </c>
    </row>
    <row r="2106" spans="1:5" ht="14.4" x14ac:dyDescent="0.3">
      <c r="A2106" s="17" t="s">
        <v>7573</v>
      </c>
      <c r="B2106" s="1" t="s">
        <v>86</v>
      </c>
      <c r="C2106" s="1" t="s">
        <v>2793</v>
      </c>
      <c r="D2106" s="1" t="s">
        <v>2477</v>
      </c>
      <c r="E2106" s="1">
        <v>17700000</v>
      </c>
    </row>
    <row r="2107" spans="1:5" ht="14.4" x14ac:dyDescent="0.3">
      <c r="A2107" s="17" t="s">
        <v>7574</v>
      </c>
      <c r="B2107" s="1" t="s">
        <v>2950</v>
      </c>
      <c r="C2107" s="1" t="s">
        <v>2966</v>
      </c>
      <c r="D2107" s="1" t="s">
        <v>2477</v>
      </c>
      <c r="E2107" s="1">
        <v>9900000</v>
      </c>
    </row>
    <row r="2108" spans="1:5" ht="14.4" x14ac:dyDescent="0.3">
      <c r="A2108" s="17" t="s">
        <v>7575</v>
      </c>
      <c r="B2108" s="1" t="s">
        <v>142</v>
      </c>
      <c r="C2108" s="1" t="s">
        <v>145</v>
      </c>
      <c r="D2108" s="1" t="s">
        <v>2477</v>
      </c>
      <c r="E2108" s="1">
        <v>16800000</v>
      </c>
    </row>
    <row r="2109" spans="1:5" ht="14.4" x14ac:dyDescent="0.3">
      <c r="A2109" s="17" t="s">
        <v>7576</v>
      </c>
      <c r="B2109" s="1" t="s">
        <v>147</v>
      </c>
      <c r="C2109" s="1" t="s">
        <v>150</v>
      </c>
      <c r="D2109" s="1" t="s">
        <v>2477</v>
      </c>
      <c r="E2109" s="1">
        <v>15200000</v>
      </c>
    </row>
    <row r="2110" spans="1:5" ht="14.4" x14ac:dyDescent="0.3">
      <c r="A2110" s="17" t="s">
        <v>7577</v>
      </c>
      <c r="B2110" s="1" t="s">
        <v>147</v>
      </c>
      <c r="C2110" s="1" t="s">
        <v>153</v>
      </c>
      <c r="D2110" s="1" t="s">
        <v>2477</v>
      </c>
      <c r="E2110" s="1">
        <v>11000000</v>
      </c>
    </row>
    <row r="2111" spans="1:5" ht="14.4" x14ac:dyDescent="0.3">
      <c r="A2111" s="17" t="s">
        <v>7578</v>
      </c>
      <c r="B2111" s="1" t="s">
        <v>167</v>
      </c>
      <c r="C2111" s="1" t="s">
        <v>170</v>
      </c>
      <c r="D2111" s="1" t="s">
        <v>2477</v>
      </c>
      <c r="E2111" s="1">
        <v>12500000</v>
      </c>
    </row>
    <row r="2112" spans="1:5" ht="14.4" x14ac:dyDescent="0.3">
      <c r="A2112" s="17" t="s">
        <v>7579</v>
      </c>
      <c r="B2112" s="1" t="s">
        <v>173</v>
      </c>
      <c r="C2112" s="1">
        <v>7</v>
      </c>
      <c r="D2112" s="1" t="s">
        <v>2477</v>
      </c>
      <c r="E2112" s="1">
        <v>14500000</v>
      </c>
    </row>
    <row r="2113" spans="1:5" ht="14.4" x14ac:dyDescent="0.3">
      <c r="A2113" s="17" t="s">
        <v>7580</v>
      </c>
      <c r="B2113" s="1" t="s">
        <v>180</v>
      </c>
      <c r="C2113" s="1" t="s">
        <v>181</v>
      </c>
      <c r="D2113" s="1" t="s">
        <v>2477</v>
      </c>
      <c r="E2113" s="1">
        <v>23400000</v>
      </c>
    </row>
    <row r="2114" spans="1:5" ht="14.4" x14ac:dyDescent="0.3">
      <c r="A2114" s="17" t="s">
        <v>7581</v>
      </c>
      <c r="B2114" s="1" t="s">
        <v>2521</v>
      </c>
      <c r="C2114" s="1" t="s">
        <v>2522</v>
      </c>
      <c r="D2114" s="1" t="s">
        <v>2477</v>
      </c>
      <c r="E2114" s="1">
        <v>18100000</v>
      </c>
    </row>
    <row r="2115" spans="1:5" ht="14.4" x14ac:dyDescent="0.3">
      <c r="A2115" s="17" t="s">
        <v>7582</v>
      </c>
      <c r="B2115" s="1" t="s">
        <v>2498</v>
      </c>
      <c r="C2115" s="1" t="s">
        <v>2830</v>
      </c>
      <c r="D2115" s="1" t="s">
        <v>2477</v>
      </c>
      <c r="E2115" s="1">
        <v>15100000</v>
      </c>
    </row>
    <row r="2116" spans="1:5" ht="14.4" x14ac:dyDescent="0.3">
      <c r="A2116" s="17" t="s">
        <v>7583</v>
      </c>
      <c r="B2116" s="1" t="s">
        <v>2498</v>
      </c>
      <c r="C2116" s="1" t="s">
        <v>3136</v>
      </c>
      <c r="D2116" s="1" t="s">
        <v>2477</v>
      </c>
      <c r="E2116" s="1">
        <v>13900000</v>
      </c>
    </row>
    <row r="2117" spans="1:5" ht="14.4" x14ac:dyDescent="0.3">
      <c r="A2117" s="17" t="s">
        <v>7584</v>
      </c>
      <c r="B2117" s="1" t="s">
        <v>2498</v>
      </c>
      <c r="C2117" s="1" t="s">
        <v>3136</v>
      </c>
      <c r="D2117" s="1" t="s">
        <v>2477</v>
      </c>
      <c r="E2117" s="1">
        <v>15700000</v>
      </c>
    </row>
    <row r="2118" spans="1:5" ht="14.4" x14ac:dyDescent="0.3">
      <c r="A2118" s="17" t="s">
        <v>7585</v>
      </c>
      <c r="B2118" s="1" t="s">
        <v>2498</v>
      </c>
      <c r="C2118" s="1" t="s">
        <v>188</v>
      </c>
      <c r="D2118" s="1" t="s">
        <v>2477</v>
      </c>
      <c r="E2118" s="1">
        <v>9700000</v>
      </c>
    </row>
    <row r="2119" spans="1:5" ht="14.4" x14ac:dyDescent="0.3">
      <c r="A2119" s="17" t="s">
        <v>7586</v>
      </c>
      <c r="B2119" s="1" t="s">
        <v>2498</v>
      </c>
      <c r="C2119" s="1" t="s">
        <v>190</v>
      </c>
      <c r="D2119" s="1" t="s">
        <v>2477</v>
      </c>
      <c r="E2119" s="1">
        <v>24300000</v>
      </c>
    </row>
    <row r="2120" spans="1:5" ht="14.4" x14ac:dyDescent="0.3">
      <c r="A2120" s="17" t="s">
        <v>7587</v>
      </c>
      <c r="B2120" s="1" t="s">
        <v>2498</v>
      </c>
      <c r="C2120" s="1" t="s">
        <v>2587</v>
      </c>
      <c r="D2120" s="1" t="s">
        <v>2477</v>
      </c>
      <c r="E2120" s="1">
        <v>17900000</v>
      </c>
    </row>
    <row r="2121" spans="1:5" ht="14.4" x14ac:dyDescent="0.3">
      <c r="A2121" s="17" t="s">
        <v>7588</v>
      </c>
      <c r="B2121" s="1" t="s">
        <v>2498</v>
      </c>
      <c r="C2121" s="1" t="s">
        <v>2563</v>
      </c>
      <c r="D2121" s="1" t="s">
        <v>2477</v>
      </c>
      <c r="E2121" s="1">
        <v>14500000</v>
      </c>
    </row>
    <row r="2122" spans="1:5" ht="14.4" x14ac:dyDescent="0.3">
      <c r="A2122" s="17" t="s">
        <v>7589</v>
      </c>
      <c r="B2122" s="1" t="s">
        <v>2498</v>
      </c>
      <c r="C2122" s="1" t="s">
        <v>2833</v>
      </c>
      <c r="D2122" s="1" t="s">
        <v>2477</v>
      </c>
      <c r="E2122" s="1">
        <v>32700000</v>
      </c>
    </row>
    <row r="2123" spans="1:5" ht="14.4" x14ac:dyDescent="0.3">
      <c r="A2123" s="17" t="s">
        <v>7590</v>
      </c>
      <c r="B2123" s="1" t="s">
        <v>207</v>
      </c>
      <c r="C2123" s="1" t="s">
        <v>2806</v>
      </c>
      <c r="D2123" s="1" t="s">
        <v>2477</v>
      </c>
      <c r="E2123" s="1">
        <v>20300000</v>
      </c>
    </row>
    <row r="2124" spans="1:5" ht="14.4" x14ac:dyDescent="0.3">
      <c r="A2124" s="17" t="s">
        <v>7591</v>
      </c>
      <c r="B2124" s="1" t="s">
        <v>214</v>
      </c>
      <c r="C2124" s="1" t="s">
        <v>2560</v>
      </c>
      <c r="D2124" s="1" t="s">
        <v>2477</v>
      </c>
      <c r="E2124" s="1">
        <v>18600000</v>
      </c>
    </row>
    <row r="2125" spans="1:5" ht="14.4" x14ac:dyDescent="0.3">
      <c r="A2125" s="17" t="s">
        <v>7592</v>
      </c>
      <c r="B2125" s="1" t="s">
        <v>214</v>
      </c>
      <c r="C2125" s="1" t="s">
        <v>215</v>
      </c>
      <c r="D2125" s="1" t="s">
        <v>2477</v>
      </c>
      <c r="E2125" s="1">
        <v>33300000</v>
      </c>
    </row>
    <row r="2126" spans="1:5" ht="14.4" x14ac:dyDescent="0.3">
      <c r="A2126" s="17" t="s">
        <v>7593</v>
      </c>
      <c r="B2126" s="1" t="s">
        <v>220</v>
      </c>
      <c r="C2126" s="1" t="s">
        <v>221</v>
      </c>
      <c r="D2126" s="1" t="s">
        <v>2477</v>
      </c>
      <c r="E2126" s="1">
        <v>9400000</v>
      </c>
    </row>
    <row r="2127" spans="1:5" ht="14.4" x14ac:dyDescent="0.3">
      <c r="A2127" s="17" t="s">
        <v>7594</v>
      </c>
      <c r="B2127" s="1" t="s">
        <v>220</v>
      </c>
      <c r="C2127" s="1" t="s">
        <v>223</v>
      </c>
      <c r="D2127" s="1" t="s">
        <v>2477</v>
      </c>
      <c r="E2127" s="1">
        <v>19000000</v>
      </c>
    </row>
    <row r="2128" spans="1:5" ht="14.4" x14ac:dyDescent="0.3">
      <c r="A2128" s="17" t="s">
        <v>7595</v>
      </c>
      <c r="B2128" s="1" t="s">
        <v>220</v>
      </c>
      <c r="C2128" s="1" t="s">
        <v>223</v>
      </c>
      <c r="D2128" s="1" t="s">
        <v>2477</v>
      </c>
      <c r="E2128" s="1">
        <v>19000000</v>
      </c>
    </row>
    <row r="2129" spans="1:5" ht="14.4" x14ac:dyDescent="0.3">
      <c r="A2129" s="17" t="s">
        <v>7596</v>
      </c>
      <c r="B2129" s="1" t="s">
        <v>220</v>
      </c>
      <c r="C2129" s="1" t="s">
        <v>2509</v>
      </c>
      <c r="D2129" s="1" t="s">
        <v>2477</v>
      </c>
      <c r="E2129" s="1">
        <v>10800000</v>
      </c>
    </row>
    <row r="2130" spans="1:5" ht="14.4" x14ac:dyDescent="0.3">
      <c r="A2130" s="17" t="s">
        <v>7597</v>
      </c>
      <c r="B2130" s="1" t="s">
        <v>220</v>
      </c>
      <c r="C2130" s="1" t="s">
        <v>2729</v>
      </c>
      <c r="D2130" s="1" t="s">
        <v>2477</v>
      </c>
      <c r="E2130" s="1">
        <v>10400000</v>
      </c>
    </row>
    <row r="2131" spans="1:5" ht="14.4" x14ac:dyDescent="0.3">
      <c r="A2131" s="17" t="s">
        <v>7598</v>
      </c>
      <c r="B2131" s="1" t="s">
        <v>237</v>
      </c>
      <c r="C2131" s="1" t="s">
        <v>65</v>
      </c>
      <c r="D2131" s="1" t="s">
        <v>2477</v>
      </c>
      <c r="E2131" s="1">
        <v>11500000</v>
      </c>
    </row>
    <row r="2132" spans="1:5" ht="14.4" x14ac:dyDescent="0.3">
      <c r="A2132" s="17" t="s">
        <v>7599</v>
      </c>
      <c r="B2132" s="1" t="s">
        <v>237</v>
      </c>
      <c r="C2132" s="1" t="s">
        <v>3170</v>
      </c>
      <c r="D2132" s="1" t="s">
        <v>2477</v>
      </c>
      <c r="E2132" s="1">
        <v>16400000</v>
      </c>
    </row>
    <row r="2133" spans="1:5" ht="14.4" x14ac:dyDescent="0.3">
      <c r="A2133" s="17" t="s">
        <v>7600</v>
      </c>
      <c r="B2133" s="1" t="s">
        <v>2549</v>
      </c>
      <c r="C2133" s="1" t="s">
        <v>7601</v>
      </c>
      <c r="D2133" s="1" t="s">
        <v>2477</v>
      </c>
      <c r="E2133" s="1">
        <v>14600000</v>
      </c>
    </row>
    <row r="2134" spans="1:5" ht="14.4" x14ac:dyDescent="0.3">
      <c r="A2134" s="17" t="s">
        <v>7602</v>
      </c>
      <c r="B2134" s="1" t="s">
        <v>2549</v>
      </c>
      <c r="C2134" s="1" t="s">
        <v>3485</v>
      </c>
      <c r="D2134" s="1" t="s">
        <v>2477</v>
      </c>
      <c r="E2134" s="1">
        <v>14400000</v>
      </c>
    </row>
    <row r="2135" spans="1:5" ht="14.4" x14ac:dyDescent="0.3">
      <c r="A2135" s="17" t="s">
        <v>7603</v>
      </c>
      <c r="B2135" s="1" t="s">
        <v>2549</v>
      </c>
      <c r="C2135" s="1" t="s">
        <v>2655</v>
      </c>
      <c r="D2135" s="1" t="s">
        <v>2477</v>
      </c>
      <c r="E2135" s="1">
        <v>17500000</v>
      </c>
    </row>
    <row r="2136" spans="1:5" ht="14.4" x14ac:dyDescent="0.3">
      <c r="A2136" s="17" t="s">
        <v>7604</v>
      </c>
      <c r="B2136" s="1" t="s">
        <v>241</v>
      </c>
      <c r="C2136" s="1">
        <v>2008</v>
      </c>
      <c r="D2136" s="1" t="s">
        <v>2477</v>
      </c>
      <c r="E2136" s="1">
        <v>11100000</v>
      </c>
    </row>
    <row r="2137" spans="1:5" ht="14.4" x14ac:dyDescent="0.3">
      <c r="A2137" s="17" t="s">
        <v>7605</v>
      </c>
      <c r="B2137" s="1" t="s">
        <v>241</v>
      </c>
      <c r="C2137" s="1">
        <v>2008</v>
      </c>
      <c r="D2137" s="1" t="s">
        <v>2477</v>
      </c>
      <c r="E2137" s="1">
        <v>12100000</v>
      </c>
    </row>
    <row r="2138" spans="1:5" ht="14.4" x14ac:dyDescent="0.3">
      <c r="A2138" s="17" t="s">
        <v>7606</v>
      </c>
      <c r="B2138" s="1" t="s">
        <v>241</v>
      </c>
      <c r="C2138" s="1" t="s">
        <v>2584</v>
      </c>
      <c r="D2138" s="1" t="s">
        <v>2477</v>
      </c>
      <c r="E2138" s="1">
        <v>14300000</v>
      </c>
    </row>
    <row r="2139" spans="1:5" ht="14.4" x14ac:dyDescent="0.3">
      <c r="A2139" s="17" t="s">
        <v>7607</v>
      </c>
      <c r="B2139" s="1" t="s">
        <v>241</v>
      </c>
      <c r="C2139" s="1">
        <v>3008</v>
      </c>
      <c r="D2139" s="1" t="s">
        <v>2477</v>
      </c>
      <c r="E2139" s="1">
        <v>14400000</v>
      </c>
    </row>
    <row r="2140" spans="1:5" ht="14.4" x14ac:dyDescent="0.3">
      <c r="A2140" s="17" t="s">
        <v>7608</v>
      </c>
      <c r="B2140" s="1" t="s">
        <v>241</v>
      </c>
      <c r="C2140" s="1">
        <v>3008</v>
      </c>
      <c r="D2140" s="1" t="s">
        <v>2477</v>
      </c>
      <c r="E2140" s="1">
        <v>14700000</v>
      </c>
    </row>
    <row r="2141" spans="1:5" ht="14.4" x14ac:dyDescent="0.3">
      <c r="A2141" s="17" t="s">
        <v>7609</v>
      </c>
      <c r="B2141" s="1" t="s">
        <v>241</v>
      </c>
      <c r="C2141" s="1">
        <v>3008</v>
      </c>
      <c r="D2141" s="1" t="s">
        <v>2477</v>
      </c>
      <c r="E2141" s="1">
        <v>14900000</v>
      </c>
    </row>
    <row r="2142" spans="1:5" ht="14.4" x14ac:dyDescent="0.3">
      <c r="A2142" s="17" t="s">
        <v>7610</v>
      </c>
      <c r="B2142" s="1" t="s">
        <v>241</v>
      </c>
      <c r="C2142" s="1">
        <v>3008</v>
      </c>
      <c r="D2142" s="1" t="s">
        <v>2477</v>
      </c>
      <c r="E2142" s="1">
        <v>17200000</v>
      </c>
    </row>
    <row r="2143" spans="1:5" ht="14.4" x14ac:dyDescent="0.3">
      <c r="A2143" s="17" t="s">
        <v>7611</v>
      </c>
      <c r="B2143" s="1" t="s">
        <v>241</v>
      </c>
      <c r="C2143" s="1">
        <v>3008</v>
      </c>
      <c r="D2143" s="1" t="s">
        <v>2477</v>
      </c>
      <c r="E2143" s="1">
        <v>18700000</v>
      </c>
    </row>
    <row r="2144" spans="1:5" ht="14.4" x14ac:dyDescent="0.3">
      <c r="A2144" s="17" t="s">
        <v>7612</v>
      </c>
      <c r="B2144" s="1" t="s">
        <v>241</v>
      </c>
      <c r="C2144" s="1">
        <v>5008</v>
      </c>
      <c r="D2144" s="1" t="s">
        <v>2477</v>
      </c>
      <c r="E2144" s="1">
        <v>24000000</v>
      </c>
    </row>
    <row r="2145" spans="1:5" ht="14.4" x14ac:dyDescent="0.3">
      <c r="A2145" s="17" t="s">
        <v>7613</v>
      </c>
      <c r="B2145" s="1" t="s">
        <v>241</v>
      </c>
      <c r="C2145" s="1" t="s">
        <v>269</v>
      </c>
      <c r="D2145" s="1" t="s">
        <v>2477</v>
      </c>
      <c r="E2145" s="1">
        <v>16100000</v>
      </c>
    </row>
    <row r="2146" spans="1:5" ht="14.4" x14ac:dyDescent="0.3">
      <c r="A2146" s="17" t="s">
        <v>7614</v>
      </c>
      <c r="B2146" s="1" t="s">
        <v>241</v>
      </c>
      <c r="C2146" s="1" t="s">
        <v>269</v>
      </c>
      <c r="D2146" s="1" t="s">
        <v>2477</v>
      </c>
      <c r="E2146" s="1">
        <v>16800000</v>
      </c>
    </row>
    <row r="2147" spans="1:5" ht="14.4" x14ac:dyDescent="0.3">
      <c r="A2147" s="17" t="s">
        <v>7615</v>
      </c>
      <c r="B2147" s="1" t="s">
        <v>241</v>
      </c>
      <c r="C2147" s="1" t="s">
        <v>276</v>
      </c>
      <c r="D2147" s="1" t="s">
        <v>2477</v>
      </c>
      <c r="E2147" s="1">
        <v>15200000</v>
      </c>
    </row>
    <row r="2148" spans="1:5" ht="14.4" x14ac:dyDescent="0.3">
      <c r="A2148" s="17" t="s">
        <v>7616</v>
      </c>
      <c r="B2148" s="1" t="s">
        <v>241</v>
      </c>
      <c r="C2148" s="1" t="s">
        <v>2584</v>
      </c>
      <c r="D2148" s="1" t="s">
        <v>2477</v>
      </c>
      <c r="E2148" s="1">
        <v>14300000</v>
      </c>
    </row>
    <row r="2149" spans="1:5" ht="15" customHeight="1" x14ac:dyDescent="0.3">
      <c r="A2149" t="s">
        <v>7617</v>
      </c>
      <c r="B2149" t="s">
        <v>241</v>
      </c>
      <c r="C2149" t="s">
        <v>2485</v>
      </c>
      <c r="D2149" t="s">
        <v>2477</v>
      </c>
      <c r="E2149">
        <v>16100000</v>
      </c>
    </row>
    <row r="2150" spans="1:5" ht="15" customHeight="1" x14ac:dyDescent="0.3">
      <c r="A2150" t="s">
        <v>7618</v>
      </c>
      <c r="B2150" t="s">
        <v>241</v>
      </c>
      <c r="C2150" t="s">
        <v>2487</v>
      </c>
      <c r="D2150" t="s">
        <v>2477</v>
      </c>
      <c r="E2150">
        <v>13800000</v>
      </c>
    </row>
    <row r="2151" spans="1:5" ht="15" customHeight="1" x14ac:dyDescent="0.3">
      <c r="A2151" t="s">
        <v>7619</v>
      </c>
      <c r="B2151" t="s">
        <v>241</v>
      </c>
      <c r="C2151">
        <v>3008</v>
      </c>
      <c r="D2151" t="s">
        <v>2477</v>
      </c>
      <c r="E2151">
        <v>14900000</v>
      </c>
    </row>
    <row r="2152" spans="1:5" ht="15" customHeight="1" x14ac:dyDescent="0.3">
      <c r="A2152" t="s">
        <v>7620</v>
      </c>
      <c r="B2152" t="s">
        <v>241</v>
      </c>
      <c r="C2152">
        <v>308</v>
      </c>
      <c r="D2152" t="s">
        <v>2477</v>
      </c>
      <c r="E2152">
        <v>17000000</v>
      </c>
    </row>
    <row r="2153" spans="1:5" ht="15" customHeight="1" x14ac:dyDescent="0.3">
      <c r="A2153" t="s">
        <v>7621</v>
      </c>
      <c r="B2153" t="s">
        <v>241</v>
      </c>
      <c r="C2153" t="s">
        <v>2593</v>
      </c>
      <c r="D2153" t="s">
        <v>2477</v>
      </c>
      <c r="E2153">
        <v>15400000</v>
      </c>
    </row>
    <row r="2154" spans="1:5" ht="15" customHeight="1" x14ac:dyDescent="0.3">
      <c r="A2154" t="s">
        <v>7622</v>
      </c>
      <c r="B2154" t="s">
        <v>241</v>
      </c>
      <c r="C2154" t="s">
        <v>2513</v>
      </c>
      <c r="D2154" t="s">
        <v>2477</v>
      </c>
      <c r="E2154">
        <v>18100000</v>
      </c>
    </row>
    <row r="2155" spans="1:5" ht="15" customHeight="1" x14ac:dyDescent="0.3">
      <c r="A2155" t="s">
        <v>7623</v>
      </c>
      <c r="B2155" t="s">
        <v>278</v>
      </c>
      <c r="C2155">
        <v>1500</v>
      </c>
      <c r="D2155" t="s">
        <v>2477</v>
      </c>
      <c r="E2155">
        <v>30600000</v>
      </c>
    </row>
    <row r="2156" spans="1:5" ht="15" customHeight="1" x14ac:dyDescent="0.3">
      <c r="A2156" t="s">
        <v>7624</v>
      </c>
      <c r="B2156" t="s">
        <v>278</v>
      </c>
      <c r="C2156" t="s">
        <v>285</v>
      </c>
      <c r="D2156" t="s">
        <v>2477</v>
      </c>
      <c r="E2156">
        <v>26000000</v>
      </c>
    </row>
    <row r="2157" spans="1:5" ht="15" customHeight="1" x14ac:dyDescent="0.3">
      <c r="A2157" t="s">
        <v>7625</v>
      </c>
      <c r="B2157" t="s">
        <v>291</v>
      </c>
      <c r="C2157" t="s">
        <v>2537</v>
      </c>
      <c r="D2157" t="s">
        <v>2477</v>
      </c>
      <c r="E2157">
        <v>11600000</v>
      </c>
    </row>
    <row r="2158" spans="1:5" ht="15" customHeight="1" x14ac:dyDescent="0.3">
      <c r="A2158" t="s">
        <v>7626</v>
      </c>
      <c r="B2158" t="s">
        <v>291</v>
      </c>
      <c r="C2158" t="s">
        <v>2537</v>
      </c>
      <c r="D2158" t="s">
        <v>2477</v>
      </c>
      <c r="E2158">
        <v>11900000</v>
      </c>
    </row>
    <row r="2159" spans="1:5" ht="15" customHeight="1" x14ac:dyDescent="0.3">
      <c r="A2159" t="s">
        <v>7627</v>
      </c>
      <c r="B2159" t="s">
        <v>291</v>
      </c>
      <c r="C2159" t="s">
        <v>2537</v>
      </c>
      <c r="D2159" t="s">
        <v>2477</v>
      </c>
      <c r="E2159">
        <v>14400000</v>
      </c>
    </row>
    <row r="2160" spans="1:5" ht="15" customHeight="1" x14ac:dyDescent="0.3">
      <c r="A2160" t="s">
        <v>7628</v>
      </c>
      <c r="B2160" t="s">
        <v>291</v>
      </c>
      <c r="C2160" t="s">
        <v>295</v>
      </c>
      <c r="D2160" t="s">
        <v>2477</v>
      </c>
      <c r="E2160">
        <v>10100000</v>
      </c>
    </row>
    <row r="2161" spans="1:5" ht="15" customHeight="1" x14ac:dyDescent="0.3">
      <c r="A2161" t="s">
        <v>7629</v>
      </c>
      <c r="B2161" t="s">
        <v>291</v>
      </c>
      <c r="C2161" t="s">
        <v>297</v>
      </c>
      <c r="D2161" t="s">
        <v>2477</v>
      </c>
      <c r="E2161">
        <v>17400000</v>
      </c>
    </row>
    <row r="2162" spans="1:5" ht="15" customHeight="1" x14ac:dyDescent="0.3">
      <c r="A2162" t="s">
        <v>7630</v>
      </c>
      <c r="B2162" t="s">
        <v>2545</v>
      </c>
      <c r="C2162" t="s">
        <v>2856</v>
      </c>
      <c r="D2162" t="s">
        <v>2477</v>
      </c>
      <c r="E2162">
        <v>25600000</v>
      </c>
    </row>
    <row r="2163" spans="1:5" ht="15" customHeight="1" x14ac:dyDescent="0.3">
      <c r="A2163" t="s">
        <v>7631</v>
      </c>
      <c r="B2163" t="s">
        <v>300</v>
      </c>
      <c r="C2163" t="s">
        <v>303</v>
      </c>
      <c r="D2163" t="s">
        <v>2477</v>
      </c>
      <c r="E2163">
        <v>14000000</v>
      </c>
    </row>
    <row r="2164" spans="1:5" ht="15" customHeight="1" x14ac:dyDescent="0.3">
      <c r="A2164" t="s">
        <v>7632</v>
      </c>
      <c r="B2164" t="s">
        <v>306</v>
      </c>
      <c r="C2164" t="s">
        <v>307</v>
      </c>
      <c r="D2164" t="s">
        <v>2477</v>
      </c>
      <c r="E2164">
        <v>18700000</v>
      </c>
    </row>
    <row r="2165" spans="1:5" ht="15" customHeight="1" x14ac:dyDescent="0.3">
      <c r="A2165" t="s">
        <v>7633</v>
      </c>
      <c r="B2165" t="s">
        <v>317</v>
      </c>
      <c r="C2165" t="s">
        <v>318</v>
      </c>
      <c r="D2165" t="s">
        <v>2477</v>
      </c>
      <c r="E2165">
        <v>10900000</v>
      </c>
    </row>
    <row r="2166" spans="1:5" ht="15" customHeight="1" x14ac:dyDescent="0.3">
      <c r="A2166" t="s">
        <v>7634</v>
      </c>
      <c r="B2166" t="s">
        <v>14</v>
      </c>
      <c r="C2166" t="s">
        <v>15</v>
      </c>
      <c r="D2166" t="s">
        <v>2477</v>
      </c>
      <c r="E2166">
        <v>7540000</v>
      </c>
    </row>
    <row r="2167" spans="1:5" ht="15" customHeight="1" x14ac:dyDescent="0.3">
      <c r="A2167" t="s">
        <v>7635</v>
      </c>
      <c r="B2167" t="s">
        <v>28</v>
      </c>
      <c r="C2167" t="s">
        <v>29</v>
      </c>
      <c r="D2167" t="s">
        <v>2477</v>
      </c>
      <c r="E2167">
        <v>5550000</v>
      </c>
    </row>
    <row r="2168" spans="1:5" ht="15" customHeight="1" x14ac:dyDescent="0.3">
      <c r="A2168" t="s">
        <v>7636</v>
      </c>
      <c r="B2168" t="s">
        <v>28</v>
      </c>
      <c r="C2168" t="s">
        <v>31</v>
      </c>
      <c r="D2168" t="s">
        <v>2477</v>
      </c>
      <c r="E2168">
        <v>8200000</v>
      </c>
    </row>
    <row r="2169" spans="1:5" ht="15" customHeight="1" x14ac:dyDescent="0.3">
      <c r="A2169" t="s">
        <v>7637</v>
      </c>
      <c r="B2169" t="s">
        <v>28</v>
      </c>
      <c r="C2169" t="s">
        <v>35</v>
      </c>
      <c r="D2169" t="s">
        <v>2477</v>
      </c>
      <c r="E2169">
        <v>10100000</v>
      </c>
    </row>
    <row r="2170" spans="1:5" ht="15" customHeight="1" x14ac:dyDescent="0.3">
      <c r="A2170" t="s">
        <v>7638</v>
      </c>
      <c r="B2170" t="s">
        <v>28</v>
      </c>
      <c r="C2170" t="s">
        <v>35</v>
      </c>
      <c r="D2170" t="s">
        <v>2477</v>
      </c>
      <c r="E2170">
        <v>12000000</v>
      </c>
    </row>
    <row r="2171" spans="1:5" ht="15" customHeight="1" x14ac:dyDescent="0.3">
      <c r="A2171" t="s">
        <v>7639</v>
      </c>
      <c r="B2171" t="s">
        <v>28</v>
      </c>
      <c r="C2171" t="s">
        <v>38</v>
      </c>
      <c r="D2171" t="s">
        <v>2477</v>
      </c>
      <c r="E2171">
        <v>11500000</v>
      </c>
    </row>
    <row r="2172" spans="1:5" ht="15" customHeight="1" x14ac:dyDescent="0.3">
      <c r="A2172" t="s">
        <v>7640</v>
      </c>
      <c r="B2172" t="s">
        <v>28</v>
      </c>
      <c r="C2172" t="s">
        <v>42</v>
      </c>
      <c r="D2172" t="s">
        <v>2477</v>
      </c>
      <c r="E2172">
        <v>11600000</v>
      </c>
    </row>
    <row r="2173" spans="1:5" ht="15" customHeight="1" x14ac:dyDescent="0.3">
      <c r="A2173" t="s">
        <v>7641</v>
      </c>
      <c r="B2173" t="s">
        <v>45</v>
      </c>
      <c r="C2173" t="s">
        <v>7642</v>
      </c>
      <c r="D2173" t="s">
        <v>2477</v>
      </c>
      <c r="E2173">
        <v>10000000</v>
      </c>
    </row>
    <row r="2174" spans="1:5" ht="15" customHeight="1" x14ac:dyDescent="0.3">
      <c r="A2174" t="s">
        <v>7643</v>
      </c>
      <c r="B2174" t="s">
        <v>45</v>
      </c>
      <c r="C2174" t="s">
        <v>52</v>
      </c>
      <c r="D2174" t="s">
        <v>2477</v>
      </c>
      <c r="E2174">
        <v>9700000</v>
      </c>
    </row>
    <row r="2175" spans="1:5" ht="15" customHeight="1" x14ac:dyDescent="0.3">
      <c r="A2175" t="s">
        <v>7644</v>
      </c>
      <c r="B2175" t="s">
        <v>45</v>
      </c>
      <c r="C2175" t="s">
        <v>3325</v>
      </c>
      <c r="D2175" t="s">
        <v>2477</v>
      </c>
      <c r="E2175">
        <v>32400000</v>
      </c>
    </row>
    <row r="2176" spans="1:5" ht="15" customHeight="1" x14ac:dyDescent="0.3">
      <c r="A2176" t="s">
        <v>7645</v>
      </c>
      <c r="B2176" t="s">
        <v>45</v>
      </c>
      <c r="C2176" t="s">
        <v>2480</v>
      </c>
      <c r="D2176" t="s">
        <v>2477</v>
      </c>
      <c r="E2176">
        <v>10500000</v>
      </c>
    </row>
    <row r="2177" spans="1:5" ht="15" customHeight="1" x14ac:dyDescent="0.3">
      <c r="A2177" t="s">
        <v>7646</v>
      </c>
      <c r="B2177" t="s">
        <v>60</v>
      </c>
      <c r="C2177" t="s">
        <v>2520</v>
      </c>
      <c r="D2177" t="s">
        <v>2477</v>
      </c>
      <c r="E2177">
        <v>14600000</v>
      </c>
    </row>
    <row r="2178" spans="1:5" ht="15" customHeight="1" x14ac:dyDescent="0.3">
      <c r="A2178" t="s">
        <v>7647</v>
      </c>
      <c r="B2178" t="s">
        <v>68</v>
      </c>
      <c r="C2178">
        <v>560</v>
      </c>
      <c r="D2178" t="s">
        <v>2477</v>
      </c>
      <c r="E2178">
        <v>8400000</v>
      </c>
    </row>
    <row r="2179" spans="1:5" ht="15" customHeight="1" x14ac:dyDescent="0.3">
      <c r="A2179" t="s">
        <v>7648</v>
      </c>
      <c r="B2179" t="s">
        <v>220</v>
      </c>
      <c r="C2179" t="s">
        <v>2492</v>
      </c>
      <c r="D2179" t="s">
        <v>7649</v>
      </c>
      <c r="E2179">
        <v>15300000</v>
      </c>
    </row>
    <row r="2180" spans="1:5" ht="15" customHeight="1" x14ac:dyDescent="0.3">
      <c r="A2180" t="s">
        <v>7650</v>
      </c>
      <c r="B2180" t="s">
        <v>2498</v>
      </c>
      <c r="C2180" t="s">
        <v>3206</v>
      </c>
      <c r="D2180" t="s">
        <v>7651</v>
      </c>
      <c r="E2180">
        <v>9400000</v>
      </c>
    </row>
    <row r="2181" spans="1:5" ht="15" customHeight="1" x14ac:dyDescent="0.3">
      <c r="A2181" t="s">
        <v>7652</v>
      </c>
      <c r="B2181" t="s">
        <v>2549</v>
      </c>
      <c r="C2181" t="s">
        <v>4750</v>
      </c>
      <c r="D2181" t="s">
        <v>7653</v>
      </c>
      <c r="E2181">
        <v>15700000</v>
      </c>
    </row>
    <row r="2182" spans="1:5" ht="15" customHeight="1" x14ac:dyDescent="0.3">
      <c r="A2182" t="s">
        <v>7654</v>
      </c>
      <c r="B2182" t="s">
        <v>2545</v>
      </c>
      <c r="C2182" t="s">
        <v>2856</v>
      </c>
      <c r="D2182" t="s">
        <v>7655</v>
      </c>
      <c r="E2182">
        <v>23100000</v>
      </c>
    </row>
    <row r="2183" spans="1:5" ht="15" customHeight="1" x14ac:dyDescent="0.3">
      <c r="A2183" t="s">
        <v>7656</v>
      </c>
      <c r="B2183" t="s">
        <v>241</v>
      </c>
      <c r="C2183" t="s">
        <v>2584</v>
      </c>
      <c r="D2183" t="s">
        <v>2698</v>
      </c>
      <c r="E2183">
        <v>13800000</v>
      </c>
    </row>
    <row r="2184" spans="1:5" ht="15" customHeight="1" x14ac:dyDescent="0.3">
      <c r="A2184" t="s">
        <v>7657</v>
      </c>
      <c r="B2184" t="s">
        <v>241</v>
      </c>
      <c r="C2184" t="s">
        <v>269</v>
      </c>
      <c r="D2184" t="s">
        <v>7658</v>
      </c>
      <c r="E2184">
        <v>20700000</v>
      </c>
    </row>
    <row r="2185" spans="1:5" ht="15" customHeight="1" x14ac:dyDescent="0.3">
      <c r="A2185" t="s">
        <v>7659</v>
      </c>
      <c r="B2185" t="s">
        <v>86</v>
      </c>
      <c r="C2185" t="s">
        <v>2793</v>
      </c>
      <c r="D2185" t="s">
        <v>7660</v>
      </c>
      <c r="E2185">
        <v>15400000</v>
      </c>
    </row>
    <row r="2186" spans="1:5" ht="15" customHeight="1" x14ac:dyDescent="0.3">
      <c r="A2186" t="s">
        <v>7661</v>
      </c>
      <c r="B2186" t="s">
        <v>278</v>
      </c>
      <c r="C2186" t="s">
        <v>7662</v>
      </c>
      <c r="D2186" t="s">
        <v>7663</v>
      </c>
      <c r="E2186">
        <v>72000000</v>
      </c>
    </row>
    <row r="2187" spans="1:5" ht="15" customHeight="1" x14ac:dyDescent="0.3">
      <c r="A2187" t="s">
        <v>7664</v>
      </c>
      <c r="B2187" t="s">
        <v>278</v>
      </c>
      <c r="C2187">
        <v>2500</v>
      </c>
      <c r="D2187" t="s">
        <v>2477</v>
      </c>
      <c r="E2187">
        <v>30800000</v>
      </c>
    </row>
    <row r="2188" spans="1:5" ht="15" customHeight="1" x14ac:dyDescent="0.3">
      <c r="A2188" t="s">
        <v>7665</v>
      </c>
      <c r="B2188" t="s">
        <v>2498</v>
      </c>
      <c r="C2188" t="s">
        <v>199</v>
      </c>
      <c r="D2188" t="s">
        <v>7666</v>
      </c>
      <c r="E2188">
        <v>13600000</v>
      </c>
    </row>
    <row r="2189" spans="1:5" ht="15" customHeight="1" x14ac:dyDescent="0.3">
      <c r="A2189" t="s">
        <v>7667</v>
      </c>
      <c r="B2189" t="s">
        <v>28</v>
      </c>
      <c r="C2189" t="s">
        <v>2496</v>
      </c>
      <c r="D2189" t="s">
        <v>5672</v>
      </c>
      <c r="E2189">
        <v>8300000</v>
      </c>
    </row>
    <row r="2190" spans="1:5" ht="15" customHeight="1" x14ac:dyDescent="0.3">
      <c r="A2190" t="s">
        <v>7668</v>
      </c>
      <c r="B2190" t="s">
        <v>28</v>
      </c>
      <c r="C2190" t="s">
        <v>31</v>
      </c>
      <c r="D2190" t="s">
        <v>5669</v>
      </c>
      <c r="E2190">
        <v>7930000</v>
      </c>
    </row>
    <row r="2191" spans="1:5" ht="15" customHeight="1" x14ac:dyDescent="0.3">
      <c r="A2191" t="s">
        <v>7669</v>
      </c>
      <c r="B2191" t="s">
        <v>2498</v>
      </c>
      <c r="C2191" t="s">
        <v>2499</v>
      </c>
      <c r="D2191" t="s">
        <v>7670</v>
      </c>
      <c r="E2191">
        <v>8400000</v>
      </c>
    </row>
    <row r="2192" spans="1:5" ht="15" customHeight="1" x14ac:dyDescent="0.3">
      <c r="A2192" t="s">
        <v>7671</v>
      </c>
      <c r="B2192" t="s">
        <v>2494</v>
      </c>
      <c r="C2192" t="s">
        <v>2531</v>
      </c>
      <c r="D2192" t="s">
        <v>5610</v>
      </c>
      <c r="E2192">
        <v>9400000</v>
      </c>
    </row>
    <row r="2193" spans="1:5" ht="15" customHeight="1" x14ac:dyDescent="0.3">
      <c r="A2193" t="s">
        <v>7672</v>
      </c>
      <c r="B2193" t="s">
        <v>86</v>
      </c>
      <c r="C2193" t="s">
        <v>2507</v>
      </c>
      <c r="D2193" t="s">
        <v>7673</v>
      </c>
      <c r="E2193">
        <v>29900000</v>
      </c>
    </row>
    <row r="2194" spans="1:5" ht="15" customHeight="1" x14ac:dyDescent="0.3">
      <c r="A2194" t="s">
        <v>7674</v>
      </c>
      <c r="B2194" t="s">
        <v>86</v>
      </c>
      <c r="C2194" t="s">
        <v>2793</v>
      </c>
      <c r="D2194" t="s">
        <v>7675</v>
      </c>
      <c r="E2194">
        <v>15300000</v>
      </c>
    </row>
    <row r="2195" spans="1:5" ht="15" customHeight="1" x14ac:dyDescent="0.3">
      <c r="A2195" t="s">
        <v>7676</v>
      </c>
      <c r="B2195" t="s">
        <v>167</v>
      </c>
      <c r="C2195" t="s">
        <v>2609</v>
      </c>
      <c r="D2195" t="s">
        <v>7677</v>
      </c>
      <c r="E2195">
        <v>6420000</v>
      </c>
    </row>
    <row r="2196" spans="1:5" ht="15" customHeight="1" x14ac:dyDescent="0.3">
      <c r="A2196" t="s">
        <v>7678</v>
      </c>
      <c r="B2196" t="s">
        <v>45</v>
      </c>
      <c r="C2196" t="s">
        <v>2822</v>
      </c>
      <c r="D2196" t="s">
        <v>7679</v>
      </c>
      <c r="E2196">
        <v>7560000</v>
      </c>
    </row>
    <row r="2197" spans="1:5" ht="15" customHeight="1" x14ac:dyDescent="0.3">
      <c r="A2197" t="s">
        <v>7680</v>
      </c>
      <c r="B2197" t="s">
        <v>45</v>
      </c>
      <c r="C2197" t="s">
        <v>7681</v>
      </c>
      <c r="D2197" t="s">
        <v>7682</v>
      </c>
      <c r="E2197">
        <v>6570000</v>
      </c>
    </row>
    <row r="2198" spans="1:5" ht="15" customHeight="1" x14ac:dyDescent="0.3">
      <c r="A2198" t="s">
        <v>7683</v>
      </c>
      <c r="B2198" t="s">
        <v>86</v>
      </c>
      <c r="C2198" t="s">
        <v>3068</v>
      </c>
      <c r="D2198" t="s">
        <v>7684</v>
      </c>
      <c r="E2198">
        <v>37700000</v>
      </c>
    </row>
    <row r="2199" spans="1:5" ht="15" customHeight="1" x14ac:dyDescent="0.3">
      <c r="A2199" t="s">
        <v>7685</v>
      </c>
      <c r="B2199" t="s">
        <v>3218</v>
      </c>
      <c r="C2199" t="s">
        <v>7686</v>
      </c>
      <c r="D2199" t="s">
        <v>7687</v>
      </c>
      <c r="E2199">
        <v>17600000</v>
      </c>
    </row>
    <row r="2200" spans="1:5" ht="15" customHeight="1" x14ac:dyDescent="0.3">
      <c r="A2200" t="s">
        <v>7688</v>
      </c>
      <c r="B2200" t="s">
        <v>86</v>
      </c>
      <c r="C2200" t="s">
        <v>134</v>
      </c>
      <c r="D2200" t="s">
        <v>7689</v>
      </c>
      <c r="E2200">
        <v>13600000</v>
      </c>
    </row>
    <row r="2201" spans="1:5" ht="15" customHeight="1" x14ac:dyDescent="0.3">
      <c r="A2201" t="s">
        <v>7690</v>
      </c>
      <c r="B2201" t="s">
        <v>220</v>
      </c>
      <c r="C2201" t="s">
        <v>2762</v>
      </c>
      <c r="D2201" t="s">
        <v>7691</v>
      </c>
      <c r="E2201">
        <v>13300000</v>
      </c>
    </row>
    <row r="2202" spans="1:5" ht="15" customHeight="1" x14ac:dyDescent="0.3">
      <c r="A2202" t="s">
        <v>7692</v>
      </c>
      <c r="B2202" t="s">
        <v>2498</v>
      </c>
      <c r="C2202" t="s">
        <v>199</v>
      </c>
      <c r="D2202" t="s">
        <v>7693</v>
      </c>
      <c r="E2202">
        <v>21100000</v>
      </c>
    </row>
    <row r="2203" spans="1:5" ht="15" customHeight="1" x14ac:dyDescent="0.3">
      <c r="A2203" t="s">
        <v>7694</v>
      </c>
      <c r="B2203" t="s">
        <v>28</v>
      </c>
      <c r="C2203" t="s">
        <v>31</v>
      </c>
      <c r="D2203" t="s">
        <v>7695</v>
      </c>
      <c r="E2203">
        <v>5820000</v>
      </c>
    </row>
    <row r="2204" spans="1:5" ht="15" customHeight="1" x14ac:dyDescent="0.3">
      <c r="A2204" t="s">
        <v>7696</v>
      </c>
      <c r="B2204" t="s">
        <v>3218</v>
      </c>
      <c r="C2204" t="s">
        <v>7697</v>
      </c>
      <c r="D2204" t="s">
        <v>7698</v>
      </c>
      <c r="E2204">
        <v>19000000</v>
      </c>
    </row>
    <row r="2205" spans="1:5" ht="15" customHeight="1" x14ac:dyDescent="0.3">
      <c r="A2205" t="s">
        <v>7699</v>
      </c>
      <c r="B2205" t="s">
        <v>147</v>
      </c>
      <c r="C2205" t="s">
        <v>153</v>
      </c>
      <c r="D2205" t="s">
        <v>7700</v>
      </c>
      <c r="E2205">
        <v>11500000</v>
      </c>
    </row>
    <row r="2206" spans="1:5" ht="15" customHeight="1" x14ac:dyDescent="0.3">
      <c r="A2206" t="s">
        <v>7701</v>
      </c>
      <c r="B2206" t="s">
        <v>45</v>
      </c>
      <c r="C2206" t="s">
        <v>49</v>
      </c>
      <c r="D2206" t="s">
        <v>7702</v>
      </c>
      <c r="E2206">
        <v>19500000</v>
      </c>
    </row>
    <row r="2207" spans="1:5" ht="15" customHeight="1" x14ac:dyDescent="0.3">
      <c r="A2207" t="s">
        <v>7703</v>
      </c>
      <c r="B2207" t="s">
        <v>2494</v>
      </c>
      <c r="C2207" t="s">
        <v>2531</v>
      </c>
      <c r="D2207" t="s">
        <v>7704</v>
      </c>
      <c r="E2207">
        <v>9400000</v>
      </c>
    </row>
    <row r="2208" spans="1:5" ht="15" customHeight="1" x14ac:dyDescent="0.3">
      <c r="A2208" t="s">
        <v>7705</v>
      </c>
      <c r="B2208" t="s">
        <v>241</v>
      </c>
      <c r="C2208" t="s">
        <v>2487</v>
      </c>
      <c r="D2208" t="s">
        <v>7706</v>
      </c>
      <c r="E2208">
        <v>21200000</v>
      </c>
    </row>
    <row r="2209" spans="1:5" ht="15" customHeight="1" x14ac:dyDescent="0.3">
      <c r="A2209" t="s">
        <v>7707</v>
      </c>
      <c r="B2209" t="s">
        <v>156</v>
      </c>
      <c r="C2209" t="s">
        <v>3334</v>
      </c>
      <c r="D2209" t="s">
        <v>7708</v>
      </c>
      <c r="E2209">
        <v>6650000</v>
      </c>
    </row>
    <row r="2210" spans="1:5" ht="15" customHeight="1" x14ac:dyDescent="0.3">
      <c r="A2210" t="s">
        <v>7709</v>
      </c>
      <c r="B2210" t="s">
        <v>311</v>
      </c>
      <c r="C2210" t="s">
        <v>312</v>
      </c>
      <c r="D2210" t="s">
        <v>7710</v>
      </c>
      <c r="E2210">
        <v>15600000</v>
      </c>
    </row>
    <row r="2211" spans="1:5" ht="15" customHeight="1" x14ac:dyDescent="0.3">
      <c r="A2211" t="s">
        <v>7711</v>
      </c>
      <c r="B2211" t="s">
        <v>2521</v>
      </c>
      <c r="C2211" t="s">
        <v>2522</v>
      </c>
      <c r="D2211" t="s">
        <v>7712</v>
      </c>
      <c r="E2211">
        <v>22000000</v>
      </c>
    </row>
    <row r="2212" spans="1:5" ht="15" customHeight="1" x14ac:dyDescent="0.3">
      <c r="A2212" t="s">
        <v>7713</v>
      </c>
      <c r="B2212" t="s">
        <v>214</v>
      </c>
      <c r="C2212" t="s">
        <v>2675</v>
      </c>
      <c r="D2212" t="s">
        <v>7714</v>
      </c>
      <c r="E2212">
        <v>25700000</v>
      </c>
    </row>
    <row r="2213" spans="1:5" ht="15" customHeight="1" x14ac:dyDescent="0.3">
      <c r="A2213" t="s">
        <v>7715</v>
      </c>
      <c r="B2213" t="s">
        <v>2498</v>
      </c>
      <c r="C2213" t="s">
        <v>2499</v>
      </c>
      <c r="D2213" t="s">
        <v>7716</v>
      </c>
      <c r="E2213">
        <v>8700000</v>
      </c>
    </row>
    <row r="2214" spans="1:5" ht="15" customHeight="1" x14ac:dyDescent="0.3">
      <c r="A2214" t="s">
        <v>7717</v>
      </c>
      <c r="B2214" t="s">
        <v>241</v>
      </c>
      <c r="C2214">
        <v>3008</v>
      </c>
      <c r="D2214" t="s">
        <v>3014</v>
      </c>
      <c r="E2214">
        <v>22100000</v>
      </c>
    </row>
    <row r="2215" spans="1:5" ht="15" customHeight="1" x14ac:dyDescent="0.3">
      <c r="A2215" t="s">
        <v>7718</v>
      </c>
      <c r="B2215" t="s">
        <v>147</v>
      </c>
      <c r="C2215" t="s">
        <v>153</v>
      </c>
      <c r="D2215" t="s">
        <v>7719</v>
      </c>
      <c r="E2215">
        <v>11400000</v>
      </c>
    </row>
    <row r="2216" spans="1:5" ht="15" customHeight="1" x14ac:dyDescent="0.3">
      <c r="A2216" t="s">
        <v>7720</v>
      </c>
      <c r="B2216" t="s">
        <v>300</v>
      </c>
      <c r="C2216" t="s">
        <v>2653</v>
      </c>
      <c r="D2216" t="s">
        <v>7721</v>
      </c>
      <c r="E2216">
        <v>7180000</v>
      </c>
    </row>
    <row r="2217" spans="1:5" ht="15" customHeight="1" x14ac:dyDescent="0.3">
      <c r="A2217" t="s">
        <v>7722</v>
      </c>
      <c r="B2217" t="s">
        <v>45</v>
      </c>
      <c r="C2217" t="s">
        <v>7723</v>
      </c>
      <c r="D2217" t="s">
        <v>7724</v>
      </c>
      <c r="E2217">
        <v>26300000</v>
      </c>
    </row>
    <row r="2218" spans="1:5" ht="15" customHeight="1" x14ac:dyDescent="0.3">
      <c r="A2218" t="s">
        <v>7725</v>
      </c>
      <c r="B2218" t="s">
        <v>241</v>
      </c>
      <c r="C2218" t="s">
        <v>2484</v>
      </c>
      <c r="D2218" t="s">
        <v>7726</v>
      </c>
      <c r="E2218">
        <v>16700000</v>
      </c>
    </row>
    <row r="2219" spans="1:5" ht="15" customHeight="1" x14ac:dyDescent="0.3">
      <c r="A2219" t="s">
        <v>7727</v>
      </c>
      <c r="B2219" t="s">
        <v>2665</v>
      </c>
      <c r="C2219" t="s">
        <v>7728</v>
      </c>
      <c r="D2219" t="s">
        <v>7729</v>
      </c>
      <c r="E2219">
        <v>30400000</v>
      </c>
    </row>
    <row r="2220" spans="1:5" ht="15" customHeight="1" x14ac:dyDescent="0.3">
      <c r="A2220" t="s">
        <v>7730</v>
      </c>
      <c r="B2220" t="s">
        <v>45</v>
      </c>
      <c r="C2220" t="s">
        <v>46</v>
      </c>
      <c r="D2220" t="s">
        <v>7407</v>
      </c>
      <c r="E2220">
        <v>15100000</v>
      </c>
    </row>
    <row r="2221" spans="1:5" ht="15" customHeight="1" x14ac:dyDescent="0.3">
      <c r="A2221" t="s">
        <v>7731</v>
      </c>
      <c r="B2221" t="s">
        <v>45</v>
      </c>
      <c r="C2221" t="s">
        <v>2764</v>
      </c>
      <c r="D2221" t="s">
        <v>7732</v>
      </c>
      <c r="E2221">
        <v>9500000</v>
      </c>
    </row>
    <row r="2222" spans="1:5" ht="15" customHeight="1" x14ac:dyDescent="0.3">
      <c r="A2222" t="s">
        <v>7733</v>
      </c>
      <c r="B2222" t="s">
        <v>241</v>
      </c>
      <c r="C2222" t="s">
        <v>269</v>
      </c>
      <c r="D2222" t="s">
        <v>1885</v>
      </c>
      <c r="E2222">
        <v>16400000</v>
      </c>
    </row>
    <row r="2223" spans="1:5" ht="15" customHeight="1" x14ac:dyDescent="0.3">
      <c r="A2223" t="s">
        <v>7734</v>
      </c>
      <c r="B2223" t="s">
        <v>2950</v>
      </c>
      <c r="C2223" t="s">
        <v>7441</v>
      </c>
      <c r="D2223" t="s">
        <v>7735</v>
      </c>
      <c r="E2223">
        <v>11500000</v>
      </c>
    </row>
    <row r="2224" spans="1:5" ht="15" customHeight="1" x14ac:dyDescent="0.3">
      <c r="A2224" t="s">
        <v>7736</v>
      </c>
      <c r="B2224" t="s">
        <v>86</v>
      </c>
      <c r="C2224" t="s">
        <v>2793</v>
      </c>
      <c r="D2224" t="s">
        <v>7737</v>
      </c>
      <c r="E2224">
        <v>16100000</v>
      </c>
    </row>
    <row r="2225" spans="1:5" ht="15" customHeight="1" x14ac:dyDescent="0.3">
      <c r="A2225" t="s">
        <v>7738</v>
      </c>
      <c r="B2225" t="s">
        <v>86</v>
      </c>
      <c r="C2225" t="s">
        <v>90</v>
      </c>
      <c r="D2225" t="s">
        <v>7739</v>
      </c>
      <c r="E2225">
        <v>8000000</v>
      </c>
    </row>
    <row r="2226" spans="1:5" ht="15" customHeight="1" x14ac:dyDescent="0.3">
      <c r="A2226" t="s">
        <v>7740</v>
      </c>
      <c r="B2226" t="s">
        <v>214</v>
      </c>
      <c r="C2226" t="s">
        <v>2804</v>
      </c>
      <c r="D2226" t="s">
        <v>5671</v>
      </c>
      <c r="E2226">
        <v>23800000</v>
      </c>
    </row>
    <row r="2227" spans="1:5" ht="15" customHeight="1" x14ac:dyDescent="0.3">
      <c r="A2227" t="s">
        <v>7741</v>
      </c>
      <c r="B2227" t="s">
        <v>2545</v>
      </c>
      <c r="C2227" t="s">
        <v>2546</v>
      </c>
      <c r="D2227" t="s">
        <v>7742</v>
      </c>
      <c r="E2227">
        <v>18300000</v>
      </c>
    </row>
    <row r="2228" spans="1:5" ht="15" customHeight="1" x14ac:dyDescent="0.3">
      <c r="A2228" t="s">
        <v>7743</v>
      </c>
      <c r="B2228" t="s">
        <v>28</v>
      </c>
      <c r="C2228" t="s">
        <v>42</v>
      </c>
      <c r="D2228" t="s">
        <v>7744</v>
      </c>
      <c r="E2228">
        <v>11400000</v>
      </c>
    </row>
    <row r="2229" spans="1:5" ht="15" customHeight="1" x14ac:dyDescent="0.3">
      <c r="A2229" t="s">
        <v>7745</v>
      </c>
      <c r="B2229" t="s">
        <v>241</v>
      </c>
      <c r="C2229" t="s">
        <v>2501</v>
      </c>
      <c r="D2229" t="s">
        <v>7746</v>
      </c>
      <c r="E2229">
        <v>19900000</v>
      </c>
    </row>
    <row r="2230" spans="1:5" ht="15" customHeight="1" x14ac:dyDescent="0.3">
      <c r="A2230" t="s">
        <v>7747</v>
      </c>
      <c r="B2230" t="s">
        <v>86</v>
      </c>
      <c r="C2230" t="s">
        <v>2476</v>
      </c>
      <c r="D2230" t="s">
        <v>7748</v>
      </c>
      <c r="E2230">
        <v>38500000</v>
      </c>
    </row>
    <row r="2231" spans="1:5" ht="15" customHeight="1" x14ac:dyDescent="0.3">
      <c r="A2231" t="s">
        <v>7749</v>
      </c>
      <c r="B2231" t="s">
        <v>278</v>
      </c>
      <c r="C2231">
        <v>2500</v>
      </c>
      <c r="D2231" t="s">
        <v>2477</v>
      </c>
      <c r="E2231">
        <v>30400000</v>
      </c>
    </row>
    <row r="2232" spans="1:5" ht="15" customHeight="1" x14ac:dyDescent="0.3">
      <c r="A2232" t="s">
        <v>7750</v>
      </c>
      <c r="B2232" t="s">
        <v>204</v>
      </c>
      <c r="C2232" t="s">
        <v>7751</v>
      </c>
      <c r="D2232" t="s">
        <v>7752</v>
      </c>
      <c r="E2232">
        <v>8300000</v>
      </c>
    </row>
    <row r="2233" spans="1:5" ht="15" customHeight="1" x14ac:dyDescent="0.3">
      <c r="A2233" t="s">
        <v>7753</v>
      </c>
      <c r="B2233" t="s">
        <v>167</v>
      </c>
      <c r="C2233" t="s">
        <v>2535</v>
      </c>
      <c r="D2233" t="s">
        <v>7754</v>
      </c>
      <c r="E2233">
        <v>14800000</v>
      </c>
    </row>
    <row r="2234" spans="1:5" ht="15" customHeight="1" x14ac:dyDescent="0.3">
      <c r="A2234" t="s">
        <v>7755</v>
      </c>
      <c r="B2234" t="s">
        <v>45</v>
      </c>
      <c r="C2234" t="s">
        <v>2822</v>
      </c>
      <c r="D2234" t="s">
        <v>7756</v>
      </c>
      <c r="E2234">
        <v>7740000</v>
      </c>
    </row>
    <row r="2235" spans="1:5" ht="15" customHeight="1" x14ac:dyDescent="0.3">
      <c r="A2235" t="s">
        <v>7757</v>
      </c>
      <c r="B2235" t="s">
        <v>45</v>
      </c>
      <c r="C2235" t="s">
        <v>2896</v>
      </c>
      <c r="D2235" t="s">
        <v>7758</v>
      </c>
      <c r="E2235">
        <v>14700000</v>
      </c>
    </row>
    <row r="2236" spans="1:5" ht="15" customHeight="1" x14ac:dyDescent="0.3">
      <c r="A2236" t="s">
        <v>7759</v>
      </c>
      <c r="B2236" t="s">
        <v>45</v>
      </c>
      <c r="C2236" t="s">
        <v>2764</v>
      </c>
      <c r="D2236" t="s">
        <v>7760</v>
      </c>
      <c r="E2236">
        <v>11500000</v>
      </c>
    </row>
    <row r="2237" spans="1:5" ht="15" customHeight="1" x14ac:dyDescent="0.3">
      <c r="A2237" t="s">
        <v>7761</v>
      </c>
      <c r="B2237" t="s">
        <v>220</v>
      </c>
      <c r="C2237" t="s">
        <v>2576</v>
      </c>
      <c r="D2237" t="s">
        <v>7762</v>
      </c>
      <c r="E2237">
        <v>15400000</v>
      </c>
    </row>
    <row r="2238" spans="1:5" ht="15" customHeight="1" x14ac:dyDescent="0.3">
      <c r="A2238" t="s">
        <v>7763</v>
      </c>
      <c r="B2238" t="s">
        <v>60</v>
      </c>
      <c r="C2238" t="s">
        <v>3150</v>
      </c>
      <c r="D2238" t="s">
        <v>7764</v>
      </c>
      <c r="E2238">
        <v>11700000</v>
      </c>
    </row>
    <row r="2239" spans="1:5" ht="15" customHeight="1" x14ac:dyDescent="0.3">
      <c r="A2239" t="s">
        <v>7765</v>
      </c>
      <c r="B2239" t="s">
        <v>147</v>
      </c>
      <c r="C2239" t="s">
        <v>150</v>
      </c>
      <c r="D2239" t="s">
        <v>7766</v>
      </c>
      <c r="E2239">
        <v>14000000</v>
      </c>
    </row>
    <row r="2240" spans="1:5" ht="15" customHeight="1" x14ac:dyDescent="0.3">
      <c r="A2240" t="s">
        <v>7767</v>
      </c>
      <c r="B2240" t="s">
        <v>241</v>
      </c>
      <c r="C2240" t="s">
        <v>276</v>
      </c>
      <c r="D2240" t="s">
        <v>7768</v>
      </c>
      <c r="E2240">
        <v>10400000</v>
      </c>
    </row>
    <row r="2241" spans="1:5" ht="15" customHeight="1" x14ac:dyDescent="0.3">
      <c r="A2241" t="s">
        <v>7769</v>
      </c>
      <c r="B2241" t="s">
        <v>2950</v>
      </c>
      <c r="C2241" t="s">
        <v>3544</v>
      </c>
      <c r="D2241" t="s">
        <v>7770</v>
      </c>
      <c r="E2241">
        <v>14000000</v>
      </c>
    </row>
    <row r="2242" spans="1:5" ht="15" customHeight="1" x14ac:dyDescent="0.3">
      <c r="A2242" t="s">
        <v>11844</v>
      </c>
      <c r="B2242" t="s">
        <v>28</v>
      </c>
      <c r="C2242" t="s">
        <v>2547</v>
      </c>
      <c r="D2242" t="s">
        <v>3480</v>
      </c>
      <c r="E2242">
        <v>8500000</v>
      </c>
    </row>
    <row r="2243" spans="1:5" ht="15" customHeight="1" x14ac:dyDescent="0.3">
      <c r="A2243" t="s">
        <v>7771</v>
      </c>
      <c r="B2243" t="s">
        <v>28</v>
      </c>
      <c r="C2243" t="s">
        <v>2496</v>
      </c>
      <c r="D2243" t="s">
        <v>7772</v>
      </c>
      <c r="E2243">
        <v>7930000</v>
      </c>
    </row>
    <row r="2244" spans="1:5" ht="15" customHeight="1" x14ac:dyDescent="0.3">
      <c r="A2244" t="s">
        <v>7773</v>
      </c>
      <c r="B2244" t="s">
        <v>288</v>
      </c>
      <c r="C2244" t="s">
        <v>2835</v>
      </c>
      <c r="D2244" t="s">
        <v>7774</v>
      </c>
      <c r="E2244">
        <v>7800000</v>
      </c>
    </row>
    <row r="2245" spans="1:5" ht="15" customHeight="1" x14ac:dyDescent="0.3">
      <c r="A2245" t="s">
        <v>7775</v>
      </c>
      <c r="B2245" t="s">
        <v>2494</v>
      </c>
      <c r="C2245" t="s">
        <v>2779</v>
      </c>
      <c r="D2245" t="s">
        <v>7776</v>
      </c>
      <c r="E2245">
        <v>14200000</v>
      </c>
    </row>
    <row r="2246" spans="1:5" ht="15" customHeight="1" x14ac:dyDescent="0.3">
      <c r="A2246" t="s">
        <v>7777</v>
      </c>
      <c r="B2246" t="s">
        <v>214</v>
      </c>
      <c r="C2246" t="s">
        <v>4640</v>
      </c>
      <c r="D2246" t="s">
        <v>7778</v>
      </c>
      <c r="E2246">
        <v>19600000</v>
      </c>
    </row>
    <row r="2247" spans="1:5" ht="15" customHeight="1" x14ac:dyDescent="0.3">
      <c r="A2247" t="s">
        <v>7779</v>
      </c>
      <c r="B2247" t="s">
        <v>241</v>
      </c>
      <c r="C2247" t="s">
        <v>269</v>
      </c>
      <c r="D2247" t="s">
        <v>3706</v>
      </c>
      <c r="E2247">
        <v>19300000</v>
      </c>
    </row>
    <row r="2248" spans="1:5" ht="15" customHeight="1" x14ac:dyDescent="0.3">
      <c r="A2248" t="s">
        <v>7780</v>
      </c>
      <c r="B2248" t="s">
        <v>2498</v>
      </c>
      <c r="C2248" t="s">
        <v>2664</v>
      </c>
      <c r="D2248" t="s">
        <v>7781</v>
      </c>
      <c r="E2248">
        <v>13400000</v>
      </c>
    </row>
    <row r="2249" spans="1:5" ht="15" customHeight="1" x14ac:dyDescent="0.3">
      <c r="A2249" t="s">
        <v>7782</v>
      </c>
      <c r="B2249" t="s">
        <v>5061</v>
      </c>
      <c r="C2249" t="s">
        <v>7783</v>
      </c>
      <c r="D2249" t="s">
        <v>7784</v>
      </c>
      <c r="E2249">
        <v>13100000</v>
      </c>
    </row>
    <row r="2250" spans="1:5" ht="15" customHeight="1" x14ac:dyDescent="0.3">
      <c r="A2250" t="s">
        <v>7785</v>
      </c>
      <c r="B2250" t="s">
        <v>241</v>
      </c>
      <c r="C2250" t="s">
        <v>269</v>
      </c>
      <c r="D2250" t="s">
        <v>3706</v>
      </c>
      <c r="E2250">
        <v>19600000</v>
      </c>
    </row>
    <row r="2251" spans="1:5" ht="15" customHeight="1" x14ac:dyDescent="0.3">
      <c r="A2251" t="s">
        <v>7786</v>
      </c>
      <c r="B2251" t="s">
        <v>4288</v>
      </c>
      <c r="C2251" t="s">
        <v>7787</v>
      </c>
      <c r="D2251" t="s">
        <v>7788</v>
      </c>
      <c r="E2251">
        <v>26600000</v>
      </c>
    </row>
    <row r="2252" spans="1:5" ht="15" customHeight="1" x14ac:dyDescent="0.3">
      <c r="A2252" t="s">
        <v>7789</v>
      </c>
      <c r="B2252" t="s">
        <v>306</v>
      </c>
      <c r="C2252" t="s">
        <v>2862</v>
      </c>
      <c r="D2252" t="s">
        <v>7790</v>
      </c>
      <c r="E2252">
        <v>30100000</v>
      </c>
    </row>
    <row r="2253" spans="1:5" ht="15" customHeight="1" x14ac:dyDescent="0.3">
      <c r="A2253" t="s">
        <v>7791</v>
      </c>
      <c r="B2253" t="s">
        <v>306</v>
      </c>
      <c r="C2253" t="s">
        <v>2491</v>
      </c>
      <c r="D2253" t="s">
        <v>7792</v>
      </c>
      <c r="E2253">
        <v>19400000</v>
      </c>
    </row>
    <row r="2254" spans="1:5" ht="15" customHeight="1" x14ac:dyDescent="0.3">
      <c r="A2254" t="s">
        <v>7793</v>
      </c>
      <c r="B2254" t="s">
        <v>86</v>
      </c>
      <c r="C2254" t="s">
        <v>2507</v>
      </c>
      <c r="D2254" t="s">
        <v>129</v>
      </c>
      <c r="E2254">
        <v>43800000</v>
      </c>
    </row>
    <row r="2255" spans="1:5" ht="15" customHeight="1" x14ac:dyDescent="0.3">
      <c r="A2255" t="s">
        <v>7794</v>
      </c>
      <c r="B2255" t="s">
        <v>2498</v>
      </c>
      <c r="C2255" t="s">
        <v>2664</v>
      </c>
      <c r="D2255" t="s">
        <v>7795</v>
      </c>
      <c r="E2255">
        <v>13100000</v>
      </c>
    </row>
    <row r="2256" spans="1:5" ht="15" customHeight="1" x14ac:dyDescent="0.3">
      <c r="A2256" t="s">
        <v>7796</v>
      </c>
      <c r="B2256" t="s">
        <v>220</v>
      </c>
      <c r="C2256" t="s">
        <v>2569</v>
      </c>
      <c r="D2256" t="s">
        <v>7797</v>
      </c>
      <c r="E2256">
        <v>9200000</v>
      </c>
    </row>
    <row r="2257" spans="1:5" ht="15" customHeight="1" x14ac:dyDescent="0.3">
      <c r="A2257" t="s">
        <v>7798</v>
      </c>
      <c r="B2257" t="s">
        <v>156</v>
      </c>
      <c r="C2257" t="s">
        <v>2572</v>
      </c>
      <c r="D2257" t="s">
        <v>2573</v>
      </c>
      <c r="E2257">
        <v>12400000</v>
      </c>
    </row>
    <row r="2258" spans="1:5" ht="15" customHeight="1" x14ac:dyDescent="0.3">
      <c r="A2258" t="s">
        <v>7799</v>
      </c>
      <c r="B2258" t="s">
        <v>278</v>
      </c>
      <c r="C2258">
        <v>700</v>
      </c>
      <c r="D2258" t="s">
        <v>7800</v>
      </c>
      <c r="E2258">
        <v>13300000</v>
      </c>
    </row>
    <row r="2259" spans="1:5" ht="15" customHeight="1" x14ac:dyDescent="0.3">
      <c r="A2259" t="s">
        <v>7801</v>
      </c>
      <c r="B2259" t="s">
        <v>147</v>
      </c>
      <c r="C2259" t="s">
        <v>150</v>
      </c>
      <c r="D2259" t="s">
        <v>7802</v>
      </c>
      <c r="E2259">
        <v>14400000</v>
      </c>
    </row>
    <row r="2260" spans="1:5" ht="15" customHeight="1" x14ac:dyDescent="0.3">
      <c r="A2260" t="s">
        <v>7803</v>
      </c>
      <c r="B2260" t="s">
        <v>2498</v>
      </c>
      <c r="C2260" t="s">
        <v>2523</v>
      </c>
      <c r="D2260" t="s">
        <v>7804</v>
      </c>
      <c r="E2260">
        <v>10900000</v>
      </c>
    </row>
    <row r="2261" spans="1:5" ht="15" customHeight="1" x14ac:dyDescent="0.3">
      <c r="A2261" t="s">
        <v>7805</v>
      </c>
      <c r="B2261" t="s">
        <v>86</v>
      </c>
      <c r="C2261" t="s">
        <v>3068</v>
      </c>
      <c r="D2261" t="s">
        <v>7806</v>
      </c>
      <c r="E2261">
        <v>12800000</v>
      </c>
    </row>
    <row r="2262" spans="1:5" ht="15" customHeight="1" x14ac:dyDescent="0.3">
      <c r="A2262" t="s">
        <v>7807</v>
      </c>
      <c r="B2262" t="s">
        <v>86</v>
      </c>
      <c r="C2262" t="s">
        <v>90</v>
      </c>
      <c r="D2262" t="s">
        <v>7808</v>
      </c>
      <c r="E2262">
        <v>8600000</v>
      </c>
    </row>
    <row r="2263" spans="1:5" ht="15" customHeight="1" x14ac:dyDescent="0.3">
      <c r="A2263" t="s">
        <v>7809</v>
      </c>
      <c r="B2263" t="s">
        <v>241</v>
      </c>
      <c r="C2263" t="s">
        <v>2487</v>
      </c>
      <c r="D2263" t="s">
        <v>7810</v>
      </c>
      <c r="E2263">
        <v>19700000</v>
      </c>
    </row>
    <row r="2264" spans="1:5" ht="15" customHeight="1" x14ac:dyDescent="0.3">
      <c r="A2264" t="s">
        <v>7811</v>
      </c>
      <c r="B2264" t="s">
        <v>237</v>
      </c>
      <c r="C2264" t="s">
        <v>65</v>
      </c>
      <c r="D2264" t="s">
        <v>7812</v>
      </c>
      <c r="E2264">
        <v>14400000</v>
      </c>
    </row>
    <row r="2265" spans="1:5" ht="15" customHeight="1" x14ac:dyDescent="0.3">
      <c r="A2265" t="s">
        <v>7813</v>
      </c>
      <c r="B2265" t="s">
        <v>156</v>
      </c>
      <c r="C2265" t="s">
        <v>2868</v>
      </c>
      <c r="D2265" t="s">
        <v>7814</v>
      </c>
      <c r="E2265">
        <v>11500000</v>
      </c>
    </row>
    <row r="2266" spans="1:5" ht="15" customHeight="1" x14ac:dyDescent="0.3">
      <c r="A2266" t="s">
        <v>7815</v>
      </c>
      <c r="B2266" t="s">
        <v>45</v>
      </c>
      <c r="C2266" t="s">
        <v>2764</v>
      </c>
      <c r="D2266" t="s">
        <v>7816</v>
      </c>
      <c r="E2266">
        <v>10100000</v>
      </c>
    </row>
    <row r="2267" spans="1:5" ht="15" customHeight="1" x14ac:dyDescent="0.3">
      <c r="A2267" t="s">
        <v>7817</v>
      </c>
      <c r="B2267" t="s">
        <v>2474</v>
      </c>
      <c r="C2267" t="s">
        <v>2685</v>
      </c>
      <c r="D2267" t="s">
        <v>7818</v>
      </c>
      <c r="E2267">
        <v>9000000</v>
      </c>
    </row>
    <row r="2268" spans="1:5" ht="15" customHeight="1" x14ac:dyDescent="0.3">
      <c r="A2268" t="s">
        <v>7819</v>
      </c>
      <c r="B2268" t="s">
        <v>180</v>
      </c>
      <c r="C2268" t="s">
        <v>2662</v>
      </c>
      <c r="D2268" t="s">
        <v>7820</v>
      </c>
      <c r="E2268">
        <v>11800000</v>
      </c>
    </row>
    <row r="2269" spans="1:5" ht="15" customHeight="1" x14ac:dyDescent="0.3">
      <c r="A2269" t="s">
        <v>7821</v>
      </c>
      <c r="B2269" t="s">
        <v>86</v>
      </c>
      <c r="C2269" t="s">
        <v>122</v>
      </c>
      <c r="D2269" t="s">
        <v>7822</v>
      </c>
      <c r="E2269">
        <v>25300000</v>
      </c>
    </row>
    <row r="2270" spans="1:5" ht="15" customHeight="1" x14ac:dyDescent="0.3">
      <c r="A2270" t="s">
        <v>7823</v>
      </c>
      <c r="B2270" t="s">
        <v>2498</v>
      </c>
      <c r="C2270" t="s">
        <v>2587</v>
      </c>
      <c r="D2270" t="s">
        <v>7824</v>
      </c>
      <c r="E2270">
        <v>17100000</v>
      </c>
    </row>
    <row r="2271" spans="1:5" ht="15" customHeight="1" x14ac:dyDescent="0.3">
      <c r="A2271" t="s">
        <v>7840</v>
      </c>
      <c r="B2271" t="s">
        <v>214</v>
      </c>
      <c r="C2271" t="s">
        <v>3494</v>
      </c>
      <c r="D2271" t="s">
        <v>7841</v>
      </c>
      <c r="E2271">
        <v>11300000</v>
      </c>
    </row>
    <row r="2272" spans="1:5" ht="15" customHeight="1" x14ac:dyDescent="0.3">
      <c r="A2272" t="s">
        <v>7842</v>
      </c>
      <c r="B2272" t="s">
        <v>241</v>
      </c>
      <c r="C2272">
        <v>3008</v>
      </c>
      <c r="D2272" t="s">
        <v>7843</v>
      </c>
      <c r="E2272">
        <v>15000000</v>
      </c>
    </row>
    <row r="2273" spans="1:5" ht="15" customHeight="1" x14ac:dyDescent="0.3">
      <c r="A2273" t="s">
        <v>7844</v>
      </c>
      <c r="B2273" t="s">
        <v>45</v>
      </c>
      <c r="C2273" t="s">
        <v>7845</v>
      </c>
      <c r="D2273" t="s">
        <v>7846</v>
      </c>
      <c r="E2273">
        <v>52000000</v>
      </c>
    </row>
    <row r="2274" spans="1:5" ht="15" customHeight="1" x14ac:dyDescent="0.3">
      <c r="A2274" t="s">
        <v>7847</v>
      </c>
      <c r="B2274" t="s">
        <v>241</v>
      </c>
      <c r="C2274" t="s">
        <v>2630</v>
      </c>
      <c r="D2274" t="s">
        <v>7848</v>
      </c>
      <c r="E2274">
        <v>17000000</v>
      </c>
    </row>
    <row r="2275" spans="1:5" ht="15" customHeight="1" x14ac:dyDescent="0.3">
      <c r="A2275" t="s">
        <v>7849</v>
      </c>
      <c r="B2275" t="s">
        <v>156</v>
      </c>
      <c r="C2275" t="s">
        <v>3096</v>
      </c>
      <c r="D2275" t="s">
        <v>7850</v>
      </c>
      <c r="E2275">
        <v>16600000</v>
      </c>
    </row>
    <row r="2276" spans="1:5" ht="15" customHeight="1" x14ac:dyDescent="0.3">
      <c r="A2276" t="s">
        <v>7851</v>
      </c>
      <c r="B2276" t="s">
        <v>241</v>
      </c>
      <c r="C2276" t="s">
        <v>2484</v>
      </c>
      <c r="D2276" t="s">
        <v>959</v>
      </c>
      <c r="E2276">
        <v>12300000</v>
      </c>
    </row>
    <row r="2277" spans="1:5" ht="15" customHeight="1" x14ac:dyDescent="0.3">
      <c r="A2277" t="s">
        <v>7852</v>
      </c>
      <c r="B2277" t="s">
        <v>86</v>
      </c>
      <c r="C2277" t="s">
        <v>106</v>
      </c>
      <c r="D2277" t="s">
        <v>7853</v>
      </c>
      <c r="E2277">
        <v>27800000</v>
      </c>
    </row>
    <row r="2278" spans="1:5" ht="15" customHeight="1" x14ac:dyDescent="0.3">
      <c r="A2278" t="s">
        <v>7854</v>
      </c>
      <c r="B2278" t="s">
        <v>2498</v>
      </c>
      <c r="C2278" t="s">
        <v>188</v>
      </c>
      <c r="D2278" t="s">
        <v>7855</v>
      </c>
      <c r="E2278">
        <v>11600000</v>
      </c>
    </row>
    <row r="2279" spans="1:5" ht="15" customHeight="1" x14ac:dyDescent="0.3">
      <c r="A2279" t="s">
        <v>7856</v>
      </c>
      <c r="B2279" t="s">
        <v>214</v>
      </c>
      <c r="C2279" t="s">
        <v>2675</v>
      </c>
      <c r="D2279" t="s">
        <v>7857</v>
      </c>
      <c r="E2279">
        <v>15700000</v>
      </c>
    </row>
    <row r="2280" spans="1:5" ht="15" customHeight="1" x14ac:dyDescent="0.3">
      <c r="A2280" t="s">
        <v>7858</v>
      </c>
      <c r="B2280" t="s">
        <v>2498</v>
      </c>
      <c r="C2280" t="s">
        <v>2499</v>
      </c>
      <c r="D2280" t="s">
        <v>7859</v>
      </c>
      <c r="E2280">
        <v>9000000</v>
      </c>
    </row>
    <row r="2281" spans="1:5" ht="15" customHeight="1" x14ac:dyDescent="0.3">
      <c r="A2281" t="s">
        <v>7860</v>
      </c>
      <c r="B2281" t="s">
        <v>68</v>
      </c>
      <c r="C2281">
        <v>580</v>
      </c>
      <c r="D2281" t="s">
        <v>7861</v>
      </c>
      <c r="E2281">
        <v>8200000</v>
      </c>
    </row>
    <row r="2282" spans="1:5" ht="15" customHeight="1" x14ac:dyDescent="0.3">
      <c r="A2282" t="s">
        <v>7862</v>
      </c>
      <c r="B2282" t="s">
        <v>86</v>
      </c>
      <c r="C2282" t="s">
        <v>106</v>
      </c>
      <c r="D2282" t="s">
        <v>7863</v>
      </c>
      <c r="E2282">
        <v>19600000</v>
      </c>
    </row>
    <row r="2283" spans="1:5" ht="15" customHeight="1" x14ac:dyDescent="0.3">
      <c r="A2283" t="s">
        <v>7864</v>
      </c>
      <c r="B2283" t="s">
        <v>300</v>
      </c>
      <c r="C2283" t="s">
        <v>3299</v>
      </c>
      <c r="D2283" t="s">
        <v>7865</v>
      </c>
      <c r="E2283">
        <v>13100000</v>
      </c>
    </row>
    <row r="2284" spans="1:5" ht="15" customHeight="1" x14ac:dyDescent="0.3">
      <c r="A2284" t="s">
        <v>7866</v>
      </c>
      <c r="B2284" t="s">
        <v>86</v>
      </c>
      <c r="C2284" t="s">
        <v>3068</v>
      </c>
      <c r="D2284" t="s">
        <v>7867</v>
      </c>
      <c r="E2284">
        <v>31200000</v>
      </c>
    </row>
    <row r="2285" spans="1:5" ht="15" customHeight="1" x14ac:dyDescent="0.3">
      <c r="A2285" t="s">
        <v>7868</v>
      </c>
      <c r="B2285" t="s">
        <v>28</v>
      </c>
      <c r="C2285" t="s">
        <v>4019</v>
      </c>
      <c r="D2285" t="s">
        <v>7838</v>
      </c>
      <c r="E2285">
        <v>5370000</v>
      </c>
    </row>
    <row r="2286" spans="1:5" ht="15" customHeight="1" x14ac:dyDescent="0.3">
      <c r="A2286" t="s">
        <v>7869</v>
      </c>
      <c r="B2286" t="s">
        <v>241</v>
      </c>
      <c r="C2286" t="s">
        <v>2487</v>
      </c>
      <c r="D2286" t="s">
        <v>7870</v>
      </c>
      <c r="E2286">
        <v>13100000</v>
      </c>
    </row>
    <row r="2287" spans="1:5" ht="15" customHeight="1" x14ac:dyDescent="0.3">
      <c r="A2287" t="s">
        <v>7871</v>
      </c>
      <c r="B2287" t="s">
        <v>306</v>
      </c>
      <c r="C2287" t="s">
        <v>7872</v>
      </c>
      <c r="D2287" t="s">
        <v>2477</v>
      </c>
      <c r="E2287">
        <v>12600000</v>
      </c>
    </row>
    <row r="2288" spans="1:5" ht="15" customHeight="1" x14ac:dyDescent="0.3">
      <c r="A2288" t="s">
        <v>7873</v>
      </c>
      <c r="B2288" t="s">
        <v>241</v>
      </c>
      <c r="C2288" t="s">
        <v>2478</v>
      </c>
      <c r="D2288" t="s">
        <v>7874</v>
      </c>
      <c r="E2288">
        <v>13500000</v>
      </c>
    </row>
    <row r="2289" spans="1:5" ht="15" customHeight="1" x14ac:dyDescent="0.3">
      <c r="A2289" t="s">
        <v>7875</v>
      </c>
      <c r="B2289" t="s">
        <v>241</v>
      </c>
      <c r="C2289" t="s">
        <v>2485</v>
      </c>
      <c r="D2289" t="s">
        <v>1184</v>
      </c>
      <c r="E2289">
        <v>12800000</v>
      </c>
    </row>
    <row r="2290" spans="1:5" ht="15" customHeight="1" x14ac:dyDescent="0.3">
      <c r="A2290" t="s">
        <v>7876</v>
      </c>
      <c r="B2290" t="s">
        <v>220</v>
      </c>
      <c r="C2290" t="s">
        <v>2682</v>
      </c>
      <c r="D2290" t="s">
        <v>2477</v>
      </c>
      <c r="E2290">
        <v>23500000</v>
      </c>
    </row>
    <row r="2291" spans="1:5" ht="15" customHeight="1" x14ac:dyDescent="0.3">
      <c r="A2291" t="s">
        <v>7877</v>
      </c>
      <c r="B2291" t="s">
        <v>2498</v>
      </c>
      <c r="C2291" t="s">
        <v>188</v>
      </c>
      <c r="D2291" t="s">
        <v>7878</v>
      </c>
      <c r="E2291">
        <v>9500000</v>
      </c>
    </row>
    <row r="2292" spans="1:5" ht="15" customHeight="1" x14ac:dyDescent="0.3">
      <c r="A2292" t="s">
        <v>7879</v>
      </c>
      <c r="B2292" t="s">
        <v>214</v>
      </c>
      <c r="C2292" t="s">
        <v>7880</v>
      </c>
      <c r="D2292" t="s">
        <v>7881</v>
      </c>
      <c r="E2292">
        <v>6900000</v>
      </c>
    </row>
    <row r="2293" spans="1:5" ht="15" customHeight="1" x14ac:dyDescent="0.3">
      <c r="A2293" t="s">
        <v>7882</v>
      </c>
      <c r="B2293" t="s">
        <v>2498</v>
      </c>
      <c r="C2293" t="s">
        <v>188</v>
      </c>
      <c r="D2293" t="s">
        <v>2154</v>
      </c>
      <c r="E2293">
        <v>8000000</v>
      </c>
    </row>
    <row r="2294" spans="1:5" ht="15" customHeight="1" x14ac:dyDescent="0.3">
      <c r="A2294" t="s">
        <v>7883</v>
      </c>
      <c r="B2294" t="s">
        <v>288</v>
      </c>
      <c r="C2294" t="s">
        <v>2847</v>
      </c>
      <c r="D2294" t="s">
        <v>7884</v>
      </c>
      <c r="E2294">
        <v>8300000</v>
      </c>
    </row>
    <row r="2295" spans="1:5" ht="15" customHeight="1" x14ac:dyDescent="0.3">
      <c r="A2295" t="s">
        <v>7885</v>
      </c>
      <c r="B2295" t="s">
        <v>2549</v>
      </c>
      <c r="C2295" t="s">
        <v>2655</v>
      </c>
      <c r="D2295" t="s">
        <v>2477</v>
      </c>
      <c r="E2295">
        <v>14200000</v>
      </c>
    </row>
    <row r="2296" spans="1:5" ht="15" customHeight="1" x14ac:dyDescent="0.3">
      <c r="A2296" t="s">
        <v>7886</v>
      </c>
      <c r="B2296" t="s">
        <v>306</v>
      </c>
      <c r="C2296" t="s">
        <v>3722</v>
      </c>
      <c r="D2296" t="s">
        <v>7887</v>
      </c>
      <c r="E2296">
        <v>22500000</v>
      </c>
    </row>
    <row r="2297" spans="1:5" ht="15" customHeight="1" x14ac:dyDescent="0.3">
      <c r="A2297" t="s">
        <v>7888</v>
      </c>
      <c r="B2297" t="s">
        <v>68</v>
      </c>
      <c r="C2297">
        <v>560</v>
      </c>
      <c r="D2297" t="s">
        <v>7889</v>
      </c>
      <c r="E2297">
        <v>9000000</v>
      </c>
    </row>
    <row r="2298" spans="1:5" ht="15" customHeight="1" x14ac:dyDescent="0.3">
      <c r="A2298" t="s">
        <v>7890</v>
      </c>
      <c r="B2298" t="s">
        <v>60</v>
      </c>
      <c r="C2298" t="s">
        <v>2854</v>
      </c>
      <c r="D2298" t="s">
        <v>7891</v>
      </c>
      <c r="E2298">
        <v>13900000</v>
      </c>
    </row>
    <row r="2299" spans="1:5" ht="15" customHeight="1" x14ac:dyDescent="0.3">
      <c r="A2299" t="s">
        <v>7892</v>
      </c>
      <c r="B2299" t="s">
        <v>220</v>
      </c>
      <c r="C2299" t="s">
        <v>223</v>
      </c>
      <c r="D2299" t="s">
        <v>7893</v>
      </c>
      <c r="E2299">
        <v>17200000</v>
      </c>
    </row>
    <row r="2300" spans="1:5" ht="15" customHeight="1" x14ac:dyDescent="0.3">
      <c r="A2300" t="s">
        <v>7894</v>
      </c>
      <c r="B2300" t="s">
        <v>2494</v>
      </c>
      <c r="C2300" t="s">
        <v>3656</v>
      </c>
      <c r="D2300" t="s">
        <v>7895</v>
      </c>
      <c r="E2300">
        <v>13000000</v>
      </c>
    </row>
    <row r="2301" spans="1:5" ht="15" customHeight="1" x14ac:dyDescent="0.3">
      <c r="A2301" t="s">
        <v>7896</v>
      </c>
      <c r="B2301" t="s">
        <v>2533</v>
      </c>
      <c r="C2301" t="s">
        <v>3799</v>
      </c>
      <c r="D2301" t="s">
        <v>7897</v>
      </c>
      <c r="E2301">
        <v>8300000</v>
      </c>
    </row>
    <row r="2302" spans="1:5" ht="15" customHeight="1" x14ac:dyDescent="0.3">
      <c r="A2302" t="s">
        <v>7898</v>
      </c>
      <c r="B2302" t="s">
        <v>207</v>
      </c>
      <c r="C2302" t="s">
        <v>2603</v>
      </c>
      <c r="D2302" t="s">
        <v>2604</v>
      </c>
      <c r="E2302">
        <v>15900000</v>
      </c>
    </row>
    <row r="2303" spans="1:5" ht="15" customHeight="1" x14ac:dyDescent="0.3">
      <c r="A2303" t="s">
        <v>7899</v>
      </c>
      <c r="B2303" t="s">
        <v>156</v>
      </c>
      <c r="C2303" t="s">
        <v>2868</v>
      </c>
      <c r="D2303" t="s">
        <v>7900</v>
      </c>
      <c r="E2303">
        <v>14000000</v>
      </c>
    </row>
    <row r="2304" spans="1:5" ht="15" customHeight="1" x14ac:dyDescent="0.3">
      <c r="A2304" t="s">
        <v>7901</v>
      </c>
      <c r="B2304" t="s">
        <v>14</v>
      </c>
      <c r="C2304" t="s">
        <v>2508</v>
      </c>
      <c r="D2304" t="s">
        <v>7902</v>
      </c>
      <c r="E2304">
        <v>9300000</v>
      </c>
    </row>
    <row r="2305" spans="1:5" ht="15" customHeight="1" x14ac:dyDescent="0.3">
      <c r="A2305" t="s">
        <v>7903</v>
      </c>
      <c r="B2305" t="s">
        <v>2498</v>
      </c>
      <c r="C2305" t="s">
        <v>2587</v>
      </c>
      <c r="D2305" t="s">
        <v>7904</v>
      </c>
      <c r="E2305">
        <v>19000000</v>
      </c>
    </row>
    <row r="2306" spans="1:5" ht="15" customHeight="1" x14ac:dyDescent="0.3">
      <c r="A2306" t="s">
        <v>7905</v>
      </c>
      <c r="B2306" t="s">
        <v>214</v>
      </c>
      <c r="C2306" t="s">
        <v>2675</v>
      </c>
      <c r="D2306" t="s">
        <v>7906</v>
      </c>
      <c r="E2306">
        <v>14000000</v>
      </c>
    </row>
    <row r="2307" spans="1:5" ht="15" customHeight="1" x14ac:dyDescent="0.3">
      <c r="A2307" t="s">
        <v>7907</v>
      </c>
      <c r="B2307" t="s">
        <v>2498</v>
      </c>
      <c r="C2307" t="s">
        <v>2664</v>
      </c>
      <c r="D2307" t="s">
        <v>7908</v>
      </c>
      <c r="E2307">
        <v>12800000</v>
      </c>
    </row>
    <row r="2308" spans="1:5" ht="15" customHeight="1" x14ac:dyDescent="0.3">
      <c r="A2308" t="s">
        <v>7909</v>
      </c>
      <c r="B2308" t="s">
        <v>220</v>
      </c>
      <c r="C2308" t="s">
        <v>2762</v>
      </c>
      <c r="D2308" t="s">
        <v>7910</v>
      </c>
      <c r="E2308">
        <v>13200000</v>
      </c>
    </row>
    <row r="2309" spans="1:5" ht="15" customHeight="1" x14ac:dyDescent="0.3">
      <c r="A2309" t="s">
        <v>7911</v>
      </c>
      <c r="B2309" t="s">
        <v>14</v>
      </c>
      <c r="C2309" t="s">
        <v>2508</v>
      </c>
      <c r="D2309" t="s">
        <v>7835</v>
      </c>
      <c r="E2309">
        <v>12400000</v>
      </c>
    </row>
    <row r="2310" spans="1:5" ht="15" customHeight="1" x14ac:dyDescent="0.3">
      <c r="A2310" t="s">
        <v>7912</v>
      </c>
      <c r="B2310" t="s">
        <v>306</v>
      </c>
      <c r="C2310" t="s">
        <v>7913</v>
      </c>
      <c r="D2310" t="s">
        <v>2477</v>
      </c>
      <c r="E2310">
        <v>14800000</v>
      </c>
    </row>
    <row r="2311" spans="1:5" ht="15" customHeight="1" x14ac:dyDescent="0.3">
      <c r="A2311" t="s">
        <v>7914</v>
      </c>
      <c r="B2311" t="s">
        <v>241</v>
      </c>
      <c r="C2311">
        <v>5008</v>
      </c>
      <c r="D2311" t="s">
        <v>7915</v>
      </c>
      <c r="E2311">
        <v>17000000</v>
      </c>
    </row>
    <row r="2312" spans="1:5" ht="15" customHeight="1" x14ac:dyDescent="0.3">
      <c r="A2312" t="s">
        <v>7916</v>
      </c>
      <c r="B2312" t="s">
        <v>60</v>
      </c>
      <c r="C2312" t="s">
        <v>3200</v>
      </c>
      <c r="D2312" t="s">
        <v>7917</v>
      </c>
      <c r="E2312">
        <v>9600000</v>
      </c>
    </row>
    <row r="2313" spans="1:5" ht="15" customHeight="1" x14ac:dyDescent="0.3">
      <c r="A2313" t="s">
        <v>7918</v>
      </c>
      <c r="B2313" t="s">
        <v>2498</v>
      </c>
      <c r="C2313" t="s">
        <v>2499</v>
      </c>
      <c r="D2313" t="s">
        <v>7919</v>
      </c>
      <c r="E2313">
        <v>7190000</v>
      </c>
    </row>
    <row r="2314" spans="1:5" ht="15" customHeight="1" x14ac:dyDescent="0.3">
      <c r="A2314" t="s">
        <v>7920</v>
      </c>
      <c r="B2314" t="s">
        <v>2494</v>
      </c>
      <c r="C2314" t="s">
        <v>7921</v>
      </c>
      <c r="D2314" t="s">
        <v>2477</v>
      </c>
      <c r="E2314">
        <v>20500000</v>
      </c>
    </row>
    <row r="2315" spans="1:5" ht="15" customHeight="1" x14ac:dyDescent="0.3">
      <c r="A2315" t="s">
        <v>7922</v>
      </c>
      <c r="B2315" t="s">
        <v>167</v>
      </c>
      <c r="C2315" t="s">
        <v>3731</v>
      </c>
      <c r="D2315" t="s">
        <v>3732</v>
      </c>
      <c r="E2315">
        <v>17500000</v>
      </c>
    </row>
    <row r="2316" spans="1:5" ht="15" customHeight="1" x14ac:dyDescent="0.3">
      <c r="A2316" t="s">
        <v>7923</v>
      </c>
      <c r="B2316" t="s">
        <v>2545</v>
      </c>
      <c r="C2316" t="s">
        <v>2651</v>
      </c>
      <c r="D2316" t="s">
        <v>7924</v>
      </c>
      <c r="E2316">
        <v>23400000</v>
      </c>
    </row>
    <row r="2317" spans="1:5" ht="15" customHeight="1" x14ac:dyDescent="0.3">
      <c r="A2317" t="s">
        <v>7925</v>
      </c>
      <c r="B2317" t="s">
        <v>311</v>
      </c>
      <c r="C2317" t="s">
        <v>3865</v>
      </c>
      <c r="D2317" t="s">
        <v>7926</v>
      </c>
      <c r="E2317">
        <v>15400000</v>
      </c>
    </row>
    <row r="2318" spans="1:5" ht="15" customHeight="1" x14ac:dyDescent="0.3">
      <c r="A2318" t="s">
        <v>7927</v>
      </c>
      <c r="B2318" t="s">
        <v>300</v>
      </c>
      <c r="C2318" t="s">
        <v>303</v>
      </c>
      <c r="D2318" t="s">
        <v>7928</v>
      </c>
      <c r="E2318">
        <v>16700000</v>
      </c>
    </row>
    <row r="2319" spans="1:5" ht="15" customHeight="1" x14ac:dyDescent="0.3">
      <c r="A2319" t="s">
        <v>7929</v>
      </c>
      <c r="B2319" t="s">
        <v>241</v>
      </c>
      <c r="C2319" t="s">
        <v>2584</v>
      </c>
      <c r="D2319" t="s">
        <v>2477</v>
      </c>
      <c r="E2319">
        <v>17400000</v>
      </c>
    </row>
    <row r="2320" spans="1:5" ht="15" customHeight="1" x14ac:dyDescent="0.3">
      <c r="A2320" t="s">
        <v>7930</v>
      </c>
      <c r="B2320" t="s">
        <v>220</v>
      </c>
      <c r="C2320" t="s">
        <v>223</v>
      </c>
      <c r="D2320" t="s">
        <v>2620</v>
      </c>
      <c r="E2320">
        <v>20200000</v>
      </c>
    </row>
    <row r="2321" spans="1:5" ht="15" customHeight="1" x14ac:dyDescent="0.3">
      <c r="A2321" t="s">
        <v>7931</v>
      </c>
      <c r="B2321" t="s">
        <v>214</v>
      </c>
      <c r="C2321" t="s">
        <v>2675</v>
      </c>
      <c r="D2321" t="s">
        <v>7932</v>
      </c>
      <c r="E2321">
        <v>18700000</v>
      </c>
    </row>
    <row r="2322" spans="1:5" ht="15" customHeight="1" x14ac:dyDescent="0.3">
      <c r="A2322" t="s">
        <v>7933</v>
      </c>
      <c r="B2322" t="s">
        <v>278</v>
      </c>
      <c r="C2322">
        <v>700</v>
      </c>
      <c r="D2322" t="s">
        <v>2477</v>
      </c>
      <c r="E2322">
        <v>13200000</v>
      </c>
    </row>
    <row r="2323" spans="1:5" ht="15" customHeight="1" x14ac:dyDescent="0.3">
      <c r="A2323" t="s">
        <v>7934</v>
      </c>
      <c r="B2323" t="s">
        <v>45</v>
      </c>
      <c r="C2323" t="s">
        <v>46</v>
      </c>
      <c r="D2323" t="s">
        <v>7935</v>
      </c>
      <c r="E2323">
        <v>12800000</v>
      </c>
    </row>
    <row r="2324" spans="1:5" ht="15" customHeight="1" x14ac:dyDescent="0.3">
      <c r="A2324" t="s">
        <v>7936</v>
      </c>
      <c r="B2324" t="s">
        <v>28</v>
      </c>
      <c r="C2324" t="s">
        <v>2490</v>
      </c>
      <c r="D2324" t="s">
        <v>3138</v>
      </c>
      <c r="E2324">
        <v>15200000</v>
      </c>
    </row>
    <row r="2325" spans="1:5" ht="15" customHeight="1" x14ac:dyDescent="0.3">
      <c r="A2325" t="s">
        <v>7937</v>
      </c>
      <c r="B2325" t="s">
        <v>220</v>
      </c>
      <c r="C2325" t="s">
        <v>223</v>
      </c>
      <c r="D2325" t="s">
        <v>2620</v>
      </c>
      <c r="E2325">
        <v>20000000</v>
      </c>
    </row>
    <row r="2326" spans="1:5" ht="15" customHeight="1" x14ac:dyDescent="0.3">
      <c r="A2326" t="s">
        <v>7938</v>
      </c>
      <c r="B2326" t="s">
        <v>2521</v>
      </c>
      <c r="C2326" t="s">
        <v>2543</v>
      </c>
      <c r="D2326" t="s">
        <v>7939</v>
      </c>
      <c r="E2326">
        <v>9700000</v>
      </c>
    </row>
    <row r="2327" spans="1:5" ht="15" customHeight="1" x14ac:dyDescent="0.3">
      <c r="A2327" t="s">
        <v>7940</v>
      </c>
      <c r="B2327" t="s">
        <v>86</v>
      </c>
      <c r="C2327" t="s">
        <v>2476</v>
      </c>
      <c r="D2327" t="s">
        <v>7941</v>
      </c>
      <c r="E2327">
        <v>33400000</v>
      </c>
    </row>
    <row r="2328" spans="1:5" ht="15" customHeight="1" x14ac:dyDescent="0.3">
      <c r="A2328" t="s">
        <v>7942</v>
      </c>
      <c r="B2328" t="s">
        <v>220</v>
      </c>
      <c r="C2328" t="s">
        <v>2762</v>
      </c>
      <c r="D2328" t="s">
        <v>7943</v>
      </c>
      <c r="E2328">
        <v>14500000</v>
      </c>
    </row>
    <row r="2329" spans="1:5" ht="15" customHeight="1" x14ac:dyDescent="0.3">
      <c r="A2329" t="s">
        <v>7944</v>
      </c>
      <c r="B2329" t="s">
        <v>45</v>
      </c>
      <c r="C2329" t="s">
        <v>2555</v>
      </c>
      <c r="D2329" t="s">
        <v>7945</v>
      </c>
      <c r="E2329">
        <v>33700000</v>
      </c>
    </row>
    <row r="2330" spans="1:5" ht="15" customHeight="1" x14ac:dyDescent="0.3">
      <c r="A2330" t="s">
        <v>7946</v>
      </c>
      <c r="B2330" t="s">
        <v>241</v>
      </c>
      <c r="C2330" t="s">
        <v>2484</v>
      </c>
      <c r="D2330" t="s">
        <v>7726</v>
      </c>
      <c r="E2330">
        <v>15400000</v>
      </c>
    </row>
    <row r="2331" spans="1:5" ht="15" customHeight="1" x14ac:dyDescent="0.3">
      <c r="A2331" t="s">
        <v>7947</v>
      </c>
      <c r="B2331" t="s">
        <v>207</v>
      </c>
      <c r="C2331" t="s">
        <v>3176</v>
      </c>
      <c r="D2331" t="s">
        <v>7948</v>
      </c>
      <c r="E2331">
        <v>18400000</v>
      </c>
    </row>
    <row r="2332" spans="1:5" ht="15" customHeight="1" x14ac:dyDescent="0.3">
      <c r="A2332" t="s">
        <v>7949</v>
      </c>
      <c r="B2332" t="s">
        <v>86</v>
      </c>
      <c r="C2332" t="s">
        <v>3840</v>
      </c>
      <c r="D2332" t="s">
        <v>730</v>
      </c>
      <c r="E2332">
        <v>24800000</v>
      </c>
    </row>
    <row r="2333" spans="1:5" ht="15" customHeight="1" x14ac:dyDescent="0.3">
      <c r="A2333" t="s">
        <v>7950</v>
      </c>
      <c r="B2333" t="s">
        <v>220</v>
      </c>
      <c r="C2333" t="s">
        <v>2762</v>
      </c>
      <c r="D2333" t="s">
        <v>7951</v>
      </c>
      <c r="E2333">
        <v>13400000</v>
      </c>
    </row>
    <row r="2334" spans="1:5" ht="15" customHeight="1" x14ac:dyDescent="0.3">
      <c r="A2334" t="s">
        <v>7952</v>
      </c>
      <c r="B2334" t="s">
        <v>14</v>
      </c>
      <c r="C2334" t="s">
        <v>2508</v>
      </c>
      <c r="D2334" t="s">
        <v>7953</v>
      </c>
      <c r="E2334">
        <v>11200000</v>
      </c>
    </row>
    <row r="2335" spans="1:5" ht="15" customHeight="1" x14ac:dyDescent="0.3">
      <c r="A2335" t="s">
        <v>7954</v>
      </c>
      <c r="B2335" t="s">
        <v>241</v>
      </c>
      <c r="C2335" t="s">
        <v>2505</v>
      </c>
      <c r="D2335" t="s">
        <v>7955</v>
      </c>
      <c r="E2335">
        <v>24300000</v>
      </c>
    </row>
    <row r="2336" spans="1:5" ht="15" customHeight="1" x14ac:dyDescent="0.3">
      <c r="A2336" t="s">
        <v>7956</v>
      </c>
      <c r="B2336" t="s">
        <v>2498</v>
      </c>
      <c r="C2336" t="s">
        <v>188</v>
      </c>
      <c r="D2336" t="s">
        <v>7957</v>
      </c>
      <c r="E2336">
        <v>6830000</v>
      </c>
    </row>
    <row r="2337" spans="1:5" ht="15" customHeight="1" x14ac:dyDescent="0.3">
      <c r="A2337" t="s">
        <v>7958</v>
      </c>
      <c r="B2337" t="s">
        <v>4152</v>
      </c>
      <c r="C2337" t="s">
        <v>7959</v>
      </c>
      <c r="D2337" t="s">
        <v>7960</v>
      </c>
      <c r="E2337">
        <v>7220000</v>
      </c>
    </row>
    <row r="2338" spans="1:5" ht="15" customHeight="1" x14ac:dyDescent="0.3">
      <c r="A2338" t="s">
        <v>7961</v>
      </c>
      <c r="B2338" t="s">
        <v>220</v>
      </c>
      <c r="C2338" t="s">
        <v>2569</v>
      </c>
      <c r="D2338" t="s">
        <v>7962</v>
      </c>
      <c r="E2338">
        <v>10500000</v>
      </c>
    </row>
    <row r="2339" spans="1:5" ht="15" customHeight="1" x14ac:dyDescent="0.3">
      <c r="A2339" t="s">
        <v>7963</v>
      </c>
      <c r="B2339" t="s">
        <v>2494</v>
      </c>
      <c r="C2339" t="s">
        <v>7964</v>
      </c>
      <c r="D2339" t="s">
        <v>7965</v>
      </c>
      <c r="E2339">
        <v>13100000</v>
      </c>
    </row>
    <row r="2340" spans="1:5" ht="15" customHeight="1" x14ac:dyDescent="0.3">
      <c r="A2340" t="s">
        <v>7966</v>
      </c>
      <c r="B2340" t="s">
        <v>241</v>
      </c>
      <c r="C2340" t="s">
        <v>2584</v>
      </c>
      <c r="D2340" t="s">
        <v>7967</v>
      </c>
      <c r="E2340">
        <v>14300000</v>
      </c>
    </row>
    <row r="2341" spans="1:5" ht="15" customHeight="1" x14ac:dyDescent="0.3">
      <c r="A2341" t="s">
        <v>7968</v>
      </c>
      <c r="B2341" t="s">
        <v>2474</v>
      </c>
      <c r="C2341" t="s">
        <v>2475</v>
      </c>
      <c r="D2341" t="s">
        <v>7969</v>
      </c>
      <c r="E2341">
        <v>15500000</v>
      </c>
    </row>
    <row r="2342" spans="1:5" ht="15" customHeight="1" x14ac:dyDescent="0.3">
      <c r="A2342" t="s">
        <v>7970</v>
      </c>
      <c r="B2342" t="s">
        <v>241</v>
      </c>
      <c r="C2342" t="s">
        <v>269</v>
      </c>
      <c r="D2342" t="s">
        <v>7971</v>
      </c>
      <c r="E2342">
        <v>21700000</v>
      </c>
    </row>
    <row r="2343" spans="1:5" ht="15" customHeight="1" x14ac:dyDescent="0.3">
      <c r="A2343" t="s">
        <v>7972</v>
      </c>
      <c r="B2343" t="s">
        <v>86</v>
      </c>
      <c r="C2343" t="s">
        <v>2507</v>
      </c>
      <c r="D2343" t="s">
        <v>7973</v>
      </c>
      <c r="E2343">
        <v>31000000</v>
      </c>
    </row>
    <row r="2344" spans="1:5" ht="15" customHeight="1" x14ac:dyDescent="0.3">
      <c r="A2344" t="s">
        <v>7974</v>
      </c>
      <c r="B2344" t="s">
        <v>2498</v>
      </c>
      <c r="C2344" t="s">
        <v>199</v>
      </c>
      <c r="D2344" t="s">
        <v>7975</v>
      </c>
      <c r="E2344">
        <v>29600000</v>
      </c>
    </row>
    <row r="2345" spans="1:5" ht="15" customHeight="1" x14ac:dyDescent="0.3">
      <c r="A2345" t="s">
        <v>7976</v>
      </c>
      <c r="B2345" t="s">
        <v>278</v>
      </c>
      <c r="C2345">
        <v>1500</v>
      </c>
      <c r="D2345" t="s">
        <v>1439</v>
      </c>
      <c r="E2345">
        <v>22300000</v>
      </c>
    </row>
    <row r="2346" spans="1:5" ht="15" customHeight="1" x14ac:dyDescent="0.3">
      <c r="A2346" t="s">
        <v>7977</v>
      </c>
      <c r="B2346" t="s">
        <v>278</v>
      </c>
      <c r="C2346" t="s">
        <v>285</v>
      </c>
      <c r="D2346" t="s">
        <v>7978</v>
      </c>
      <c r="E2346">
        <v>29300000</v>
      </c>
    </row>
    <row r="2347" spans="1:5" ht="15" customHeight="1" x14ac:dyDescent="0.3">
      <c r="A2347" t="s">
        <v>7979</v>
      </c>
      <c r="B2347" t="s">
        <v>68</v>
      </c>
      <c r="C2347" t="s">
        <v>7980</v>
      </c>
      <c r="D2347" t="s">
        <v>7981</v>
      </c>
      <c r="E2347">
        <v>17700000</v>
      </c>
    </row>
    <row r="2348" spans="1:5" ht="15" customHeight="1" x14ac:dyDescent="0.3">
      <c r="A2348" t="s">
        <v>7982</v>
      </c>
      <c r="B2348" t="s">
        <v>2498</v>
      </c>
      <c r="C2348" t="s">
        <v>2499</v>
      </c>
      <c r="D2348" t="s">
        <v>7983</v>
      </c>
      <c r="E2348">
        <v>8900000</v>
      </c>
    </row>
    <row r="2349" spans="1:5" ht="15" customHeight="1" x14ac:dyDescent="0.3">
      <c r="A2349" t="s">
        <v>7984</v>
      </c>
      <c r="B2349" t="s">
        <v>220</v>
      </c>
      <c r="C2349" t="s">
        <v>2492</v>
      </c>
      <c r="D2349" t="s">
        <v>7985</v>
      </c>
      <c r="E2349">
        <v>21100000</v>
      </c>
    </row>
    <row r="2350" spans="1:5" ht="15" customHeight="1" x14ac:dyDescent="0.3">
      <c r="A2350" t="s">
        <v>7986</v>
      </c>
      <c r="B2350" t="s">
        <v>2545</v>
      </c>
      <c r="C2350" t="s">
        <v>2856</v>
      </c>
      <c r="D2350" t="s">
        <v>7987</v>
      </c>
      <c r="E2350">
        <v>22800000</v>
      </c>
    </row>
    <row r="2351" spans="1:5" ht="15" customHeight="1" x14ac:dyDescent="0.3">
      <c r="A2351" t="s">
        <v>7988</v>
      </c>
      <c r="B2351" t="s">
        <v>291</v>
      </c>
      <c r="C2351" t="s">
        <v>295</v>
      </c>
      <c r="D2351" t="s">
        <v>1990</v>
      </c>
      <c r="E2351">
        <v>15500000</v>
      </c>
    </row>
    <row r="2352" spans="1:5" ht="15" customHeight="1" x14ac:dyDescent="0.3">
      <c r="A2352" t="s">
        <v>7989</v>
      </c>
      <c r="B2352" t="s">
        <v>45</v>
      </c>
      <c r="C2352" t="s">
        <v>2899</v>
      </c>
      <c r="D2352" t="s">
        <v>7990</v>
      </c>
      <c r="E2352">
        <v>6450000</v>
      </c>
    </row>
    <row r="2353" spans="1:5" ht="15" customHeight="1" x14ac:dyDescent="0.3">
      <c r="A2353" t="s">
        <v>7991</v>
      </c>
      <c r="B2353" t="s">
        <v>180</v>
      </c>
      <c r="C2353" t="s">
        <v>7992</v>
      </c>
      <c r="D2353" t="s">
        <v>7993</v>
      </c>
      <c r="E2353">
        <v>16700000</v>
      </c>
    </row>
    <row r="2354" spans="1:5" ht="15" customHeight="1" x14ac:dyDescent="0.3">
      <c r="A2354" t="s">
        <v>7994</v>
      </c>
      <c r="B2354" t="s">
        <v>86</v>
      </c>
      <c r="C2354" t="s">
        <v>2507</v>
      </c>
      <c r="D2354" t="s">
        <v>7995</v>
      </c>
      <c r="E2354">
        <v>41900000</v>
      </c>
    </row>
    <row r="2355" spans="1:5" ht="15" customHeight="1" x14ac:dyDescent="0.3">
      <c r="A2355" t="s">
        <v>7996</v>
      </c>
      <c r="B2355" t="s">
        <v>86</v>
      </c>
      <c r="C2355" t="s">
        <v>3068</v>
      </c>
      <c r="D2355" t="s">
        <v>7997</v>
      </c>
      <c r="E2355">
        <v>39100000</v>
      </c>
    </row>
    <row r="2356" spans="1:5" ht="15" customHeight="1" x14ac:dyDescent="0.3">
      <c r="A2356" t="s">
        <v>7998</v>
      </c>
      <c r="B2356" t="s">
        <v>220</v>
      </c>
      <c r="C2356" t="s">
        <v>2729</v>
      </c>
      <c r="D2356" t="s">
        <v>7999</v>
      </c>
      <c r="E2356">
        <v>13500000</v>
      </c>
    </row>
    <row r="2357" spans="1:5" ht="15" customHeight="1" x14ac:dyDescent="0.3">
      <c r="A2357" t="s">
        <v>8000</v>
      </c>
      <c r="B2357" t="s">
        <v>28</v>
      </c>
      <c r="C2357" t="s">
        <v>2547</v>
      </c>
      <c r="D2357" t="s">
        <v>8001</v>
      </c>
      <c r="E2357">
        <v>8700000</v>
      </c>
    </row>
    <row r="2358" spans="1:5" ht="15" customHeight="1" x14ac:dyDescent="0.3">
      <c r="A2358" t="s">
        <v>8002</v>
      </c>
      <c r="B2358" t="s">
        <v>300</v>
      </c>
      <c r="C2358" t="s">
        <v>2541</v>
      </c>
      <c r="D2358" t="s">
        <v>8003</v>
      </c>
      <c r="E2358">
        <v>9400000</v>
      </c>
    </row>
    <row r="2359" spans="1:5" ht="15" customHeight="1" x14ac:dyDescent="0.3">
      <c r="A2359" t="s">
        <v>8004</v>
      </c>
      <c r="B2359" t="s">
        <v>2545</v>
      </c>
      <c r="C2359" t="s">
        <v>8005</v>
      </c>
      <c r="D2359" t="s">
        <v>8006</v>
      </c>
      <c r="E2359">
        <v>15900000</v>
      </c>
    </row>
    <row r="2360" spans="1:5" ht="15" customHeight="1" x14ac:dyDescent="0.3">
      <c r="A2360" t="s">
        <v>8007</v>
      </c>
      <c r="B2360" t="s">
        <v>180</v>
      </c>
      <c r="C2360" t="s">
        <v>2662</v>
      </c>
      <c r="D2360" t="s">
        <v>8008</v>
      </c>
      <c r="E2360">
        <v>11600000</v>
      </c>
    </row>
    <row r="2361" spans="1:5" ht="15" customHeight="1" x14ac:dyDescent="0.3">
      <c r="A2361" t="s">
        <v>8009</v>
      </c>
      <c r="B2361" t="s">
        <v>241</v>
      </c>
      <c r="C2361" t="s">
        <v>2501</v>
      </c>
      <c r="D2361" t="s">
        <v>8010</v>
      </c>
      <c r="E2361">
        <v>20000000</v>
      </c>
    </row>
    <row r="2362" spans="1:5" ht="15" customHeight="1" x14ac:dyDescent="0.3">
      <c r="A2362" t="s">
        <v>8011</v>
      </c>
      <c r="B2362" t="s">
        <v>241</v>
      </c>
      <c r="C2362" t="s">
        <v>2501</v>
      </c>
      <c r="D2362" t="s">
        <v>8010</v>
      </c>
      <c r="E2362">
        <v>24400000</v>
      </c>
    </row>
    <row r="2363" spans="1:5" ht="15" customHeight="1" x14ac:dyDescent="0.3">
      <c r="A2363" t="s">
        <v>8012</v>
      </c>
      <c r="B2363" t="s">
        <v>2498</v>
      </c>
      <c r="C2363" t="s">
        <v>2499</v>
      </c>
      <c r="D2363" t="s">
        <v>3417</v>
      </c>
      <c r="E2363">
        <v>10000000</v>
      </c>
    </row>
    <row r="2364" spans="1:5" ht="15" customHeight="1" x14ac:dyDescent="0.3">
      <c r="A2364" t="s">
        <v>8013</v>
      </c>
      <c r="B2364" t="s">
        <v>2498</v>
      </c>
      <c r="C2364" t="s">
        <v>2587</v>
      </c>
      <c r="D2364" t="s">
        <v>8014</v>
      </c>
      <c r="E2364">
        <v>18500000</v>
      </c>
    </row>
    <row r="2365" spans="1:5" ht="15" customHeight="1" x14ac:dyDescent="0.3">
      <c r="A2365" t="s">
        <v>8015</v>
      </c>
      <c r="B2365" t="s">
        <v>86</v>
      </c>
      <c r="C2365" t="s">
        <v>2793</v>
      </c>
      <c r="D2365" t="s">
        <v>409</v>
      </c>
      <c r="E2365">
        <v>18100000</v>
      </c>
    </row>
    <row r="2366" spans="1:5" ht="15" customHeight="1" x14ac:dyDescent="0.3">
      <c r="A2366" t="s">
        <v>8016</v>
      </c>
      <c r="B2366" t="s">
        <v>2498</v>
      </c>
      <c r="C2366" t="s">
        <v>199</v>
      </c>
      <c r="D2366" t="s">
        <v>8017</v>
      </c>
      <c r="E2366">
        <v>13500000</v>
      </c>
    </row>
    <row r="2367" spans="1:5" ht="15" customHeight="1" x14ac:dyDescent="0.3">
      <c r="A2367" t="s">
        <v>8018</v>
      </c>
      <c r="B2367" t="s">
        <v>45</v>
      </c>
      <c r="C2367" t="s">
        <v>2555</v>
      </c>
      <c r="D2367" t="s">
        <v>8019</v>
      </c>
      <c r="E2367">
        <v>35700000</v>
      </c>
    </row>
    <row r="2368" spans="1:5" ht="15" customHeight="1" x14ac:dyDescent="0.3">
      <c r="A2368" t="s">
        <v>8020</v>
      </c>
      <c r="B2368" t="s">
        <v>2498</v>
      </c>
      <c r="C2368" t="s">
        <v>193</v>
      </c>
      <c r="D2368" t="s">
        <v>8021</v>
      </c>
      <c r="E2368">
        <v>14600000</v>
      </c>
    </row>
    <row r="2369" spans="1:5" ht="15" customHeight="1" x14ac:dyDescent="0.3">
      <c r="A2369" t="s">
        <v>8022</v>
      </c>
      <c r="B2369" t="s">
        <v>311</v>
      </c>
      <c r="C2369" t="s">
        <v>315</v>
      </c>
      <c r="D2369" t="s">
        <v>8023</v>
      </c>
      <c r="E2369">
        <v>8200000</v>
      </c>
    </row>
    <row r="2370" spans="1:5" ht="15" customHeight="1" x14ac:dyDescent="0.3">
      <c r="A2370" t="s">
        <v>8024</v>
      </c>
      <c r="B2370" t="s">
        <v>2474</v>
      </c>
      <c r="C2370" t="s">
        <v>2685</v>
      </c>
      <c r="D2370" t="s">
        <v>8025</v>
      </c>
      <c r="E2370">
        <v>8400000</v>
      </c>
    </row>
    <row r="2371" spans="1:5" ht="15" customHeight="1" x14ac:dyDescent="0.3">
      <c r="A2371" t="s">
        <v>8026</v>
      </c>
      <c r="B2371" t="s">
        <v>2494</v>
      </c>
      <c r="C2371" t="s">
        <v>2959</v>
      </c>
      <c r="D2371" t="s">
        <v>8027</v>
      </c>
      <c r="E2371">
        <v>8800000</v>
      </c>
    </row>
    <row r="2372" spans="1:5" ht="15" customHeight="1" x14ac:dyDescent="0.3">
      <c r="A2372" t="s">
        <v>8028</v>
      </c>
      <c r="B2372" t="s">
        <v>204</v>
      </c>
      <c r="C2372" t="s">
        <v>8029</v>
      </c>
      <c r="D2372" t="s">
        <v>8030</v>
      </c>
      <c r="E2372">
        <v>8600000</v>
      </c>
    </row>
    <row r="2373" spans="1:5" ht="15" customHeight="1" x14ac:dyDescent="0.3">
      <c r="A2373" t="s">
        <v>8031</v>
      </c>
      <c r="B2373" t="s">
        <v>28</v>
      </c>
      <c r="C2373" t="s">
        <v>2575</v>
      </c>
      <c r="D2373" t="s">
        <v>8032</v>
      </c>
      <c r="E2373">
        <v>7800000</v>
      </c>
    </row>
    <row r="2374" spans="1:5" ht="15" customHeight="1" x14ac:dyDescent="0.3">
      <c r="A2374" t="s">
        <v>8033</v>
      </c>
      <c r="B2374" t="s">
        <v>220</v>
      </c>
      <c r="C2374" t="s">
        <v>2576</v>
      </c>
      <c r="D2374" t="s">
        <v>8034</v>
      </c>
      <c r="E2374">
        <v>15700000</v>
      </c>
    </row>
    <row r="2375" spans="1:5" ht="15" customHeight="1" x14ac:dyDescent="0.3">
      <c r="A2375" t="s">
        <v>8035</v>
      </c>
      <c r="B2375" t="s">
        <v>2545</v>
      </c>
      <c r="C2375" t="s">
        <v>2856</v>
      </c>
      <c r="D2375" t="s">
        <v>8036</v>
      </c>
      <c r="E2375">
        <v>22500000</v>
      </c>
    </row>
    <row r="2376" spans="1:5" ht="15" customHeight="1" x14ac:dyDescent="0.3">
      <c r="A2376" t="s">
        <v>8037</v>
      </c>
      <c r="B2376" t="s">
        <v>220</v>
      </c>
      <c r="C2376" t="s">
        <v>2729</v>
      </c>
      <c r="D2376" t="s">
        <v>8038</v>
      </c>
      <c r="E2376">
        <v>12600000</v>
      </c>
    </row>
    <row r="2377" spans="1:5" ht="15" customHeight="1" x14ac:dyDescent="0.3">
      <c r="A2377" t="s">
        <v>8039</v>
      </c>
      <c r="B2377" t="s">
        <v>156</v>
      </c>
      <c r="C2377" t="s">
        <v>2707</v>
      </c>
      <c r="D2377" t="s">
        <v>8040</v>
      </c>
      <c r="E2377">
        <v>9100000</v>
      </c>
    </row>
    <row r="2378" spans="1:5" ht="15" customHeight="1" x14ac:dyDescent="0.3">
      <c r="A2378" t="s">
        <v>8041</v>
      </c>
      <c r="B2378" t="s">
        <v>278</v>
      </c>
      <c r="C2378">
        <v>700</v>
      </c>
      <c r="D2378" t="s">
        <v>2477</v>
      </c>
      <c r="E2378">
        <v>13200000</v>
      </c>
    </row>
    <row r="2379" spans="1:5" ht="15" customHeight="1" x14ac:dyDescent="0.3">
      <c r="A2379" t="s">
        <v>8042</v>
      </c>
      <c r="B2379" t="s">
        <v>86</v>
      </c>
      <c r="C2379" t="s">
        <v>122</v>
      </c>
      <c r="D2379" t="s">
        <v>8043</v>
      </c>
      <c r="E2379">
        <v>26400000</v>
      </c>
    </row>
    <row r="2380" spans="1:5" ht="15" customHeight="1" x14ac:dyDescent="0.3">
      <c r="A2380" t="s">
        <v>8044</v>
      </c>
      <c r="B2380" t="s">
        <v>86</v>
      </c>
      <c r="C2380" t="s">
        <v>106</v>
      </c>
      <c r="D2380" t="s">
        <v>1122</v>
      </c>
      <c r="E2380">
        <v>29600000</v>
      </c>
    </row>
    <row r="2381" spans="1:5" ht="15" customHeight="1" x14ac:dyDescent="0.3">
      <c r="A2381" t="s">
        <v>8045</v>
      </c>
      <c r="B2381" t="s">
        <v>142</v>
      </c>
      <c r="C2381" t="s">
        <v>3834</v>
      </c>
      <c r="D2381" t="s">
        <v>8046</v>
      </c>
      <c r="E2381">
        <v>10900000</v>
      </c>
    </row>
    <row r="2382" spans="1:5" ht="15" customHeight="1" x14ac:dyDescent="0.3">
      <c r="A2382" t="s">
        <v>8047</v>
      </c>
      <c r="B2382" t="s">
        <v>220</v>
      </c>
      <c r="C2382" t="s">
        <v>2682</v>
      </c>
      <c r="D2382" t="s">
        <v>8048</v>
      </c>
      <c r="E2382">
        <v>23400000</v>
      </c>
    </row>
    <row r="2383" spans="1:5" ht="15" customHeight="1" x14ac:dyDescent="0.3">
      <c r="A2383" t="s">
        <v>8049</v>
      </c>
      <c r="B2383" t="s">
        <v>2545</v>
      </c>
      <c r="C2383" t="s">
        <v>2546</v>
      </c>
      <c r="D2383" t="s">
        <v>8050</v>
      </c>
      <c r="E2383">
        <v>17100000</v>
      </c>
    </row>
    <row r="2384" spans="1:5" ht="15" customHeight="1" x14ac:dyDescent="0.3">
      <c r="A2384" t="s">
        <v>8051</v>
      </c>
      <c r="B2384" t="s">
        <v>2498</v>
      </c>
      <c r="C2384" t="s">
        <v>2664</v>
      </c>
      <c r="D2384" t="s">
        <v>1776</v>
      </c>
      <c r="E2384">
        <v>13900000</v>
      </c>
    </row>
    <row r="2385" spans="1:5" ht="15" customHeight="1" x14ac:dyDescent="0.3">
      <c r="A2385" t="s">
        <v>11845</v>
      </c>
      <c r="B2385" t="s">
        <v>220</v>
      </c>
      <c r="C2385" t="s">
        <v>2682</v>
      </c>
      <c r="D2385" t="s">
        <v>8048</v>
      </c>
      <c r="E2385">
        <v>23400000</v>
      </c>
    </row>
    <row r="2386" spans="1:5" ht="15" customHeight="1" x14ac:dyDescent="0.3">
      <c r="A2386" t="s">
        <v>8052</v>
      </c>
      <c r="B2386" t="s">
        <v>241</v>
      </c>
      <c r="C2386" t="s">
        <v>2505</v>
      </c>
      <c r="D2386" t="s">
        <v>8053</v>
      </c>
      <c r="E2386">
        <v>24100000</v>
      </c>
    </row>
    <row r="2387" spans="1:5" ht="15" customHeight="1" x14ac:dyDescent="0.3">
      <c r="A2387" t="s">
        <v>8054</v>
      </c>
      <c r="B2387" t="s">
        <v>86</v>
      </c>
      <c r="C2387" t="s">
        <v>93</v>
      </c>
      <c r="D2387" t="s">
        <v>8055</v>
      </c>
      <c r="E2387">
        <v>11100000</v>
      </c>
    </row>
    <row r="2388" spans="1:5" ht="15" customHeight="1" x14ac:dyDescent="0.3">
      <c r="A2388" t="s">
        <v>8056</v>
      </c>
      <c r="B2388" t="s">
        <v>241</v>
      </c>
      <c r="C2388" t="s">
        <v>2485</v>
      </c>
      <c r="D2388" t="s">
        <v>8057</v>
      </c>
      <c r="E2388">
        <v>9000000</v>
      </c>
    </row>
    <row r="2389" spans="1:5" ht="15" customHeight="1" x14ac:dyDescent="0.3">
      <c r="A2389" t="s">
        <v>8058</v>
      </c>
      <c r="B2389" t="s">
        <v>14</v>
      </c>
      <c r="C2389" t="s">
        <v>15</v>
      </c>
      <c r="D2389" t="s">
        <v>8059</v>
      </c>
      <c r="E2389">
        <v>7910000</v>
      </c>
    </row>
    <row r="2390" spans="1:5" ht="15" customHeight="1" x14ac:dyDescent="0.3">
      <c r="A2390" t="s">
        <v>9122</v>
      </c>
      <c r="B2390" t="s">
        <v>306</v>
      </c>
      <c r="C2390" t="s">
        <v>7913</v>
      </c>
      <c r="D2390" t="s">
        <v>2477</v>
      </c>
      <c r="E2390">
        <v>14700000</v>
      </c>
    </row>
    <row r="2391" spans="1:5" ht="15" customHeight="1" x14ac:dyDescent="0.3">
      <c r="A2391" t="s">
        <v>9114</v>
      </c>
      <c r="B2391" t="s">
        <v>28</v>
      </c>
      <c r="C2391" t="s">
        <v>3105</v>
      </c>
      <c r="D2391" t="s">
        <v>3802</v>
      </c>
      <c r="E2391">
        <v>15400000</v>
      </c>
    </row>
    <row r="2392" spans="1:5" ht="15" customHeight="1" x14ac:dyDescent="0.3">
      <c r="A2392" t="s">
        <v>9115</v>
      </c>
      <c r="B2392" t="s">
        <v>86</v>
      </c>
      <c r="C2392" t="s">
        <v>106</v>
      </c>
      <c r="D2392" t="s">
        <v>8743</v>
      </c>
      <c r="E2392">
        <v>28900000</v>
      </c>
    </row>
    <row r="2393" spans="1:5" ht="15" customHeight="1" x14ac:dyDescent="0.3">
      <c r="A2393" t="s">
        <v>9116</v>
      </c>
      <c r="B2393" t="s">
        <v>237</v>
      </c>
      <c r="C2393" t="s">
        <v>65</v>
      </c>
      <c r="D2393" t="s">
        <v>8744</v>
      </c>
      <c r="E2393">
        <v>13000000</v>
      </c>
    </row>
    <row r="2394" spans="1:5" ht="15" customHeight="1" x14ac:dyDescent="0.3">
      <c r="A2394" t="s">
        <v>9117</v>
      </c>
      <c r="B2394" t="s">
        <v>28</v>
      </c>
      <c r="C2394" t="s">
        <v>2575</v>
      </c>
      <c r="D2394" t="s">
        <v>8745</v>
      </c>
      <c r="E2394">
        <v>8800000</v>
      </c>
    </row>
    <row r="2395" spans="1:5" ht="15" customHeight="1" x14ac:dyDescent="0.3">
      <c r="A2395" t="s">
        <v>9118</v>
      </c>
      <c r="B2395" t="s">
        <v>173</v>
      </c>
      <c r="C2395">
        <v>7</v>
      </c>
      <c r="D2395" t="s">
        <v>8746</v>
      </c>
      <c r="E2395">
        <v>24100000</v>
      </c>
    </row>
    <row r="2396" spans="1:5" ht="15" customHeight="1" x14ac:dyDescent="0.3">
      <c r="A2396" t="s">
        <v>9119</v>
      </c>
      <c r="B2396" t="s">
        <v>68</v>
      </c>
      <c r="C2396" t="s">
        <v>2568</v>
      </c>
      <c r="D2396" t="s">
        <v>8747</v>
      </c>
      <c r="E2396">
        <v>8500000</v>
      </c>
    </row>
    <row r="2397" spans="1:5" ht="15" customHeight="1" x14ac:dyDescent="0.3">
      <c r="A2397" t="s">
        <v>9120</v>
      </c>
      <c r="B2397" t="s">
        <v>86</v>
      </c>
      <c r="C2397" t="s">
        <v>2826</v>
      </c>
      <c r="D2397" t="s">
        <v>8748</v>
      </c>
      <c r="E2397">
        <v>21700000</v>
      </c>
    </row>
    <row r="2398" spans="1:5" ht="15" customHeight="1" x14ac:dyDescent="0.3">
      <c r="A2398" t="s">
        <v>9121</v>
      </c>
      <c r="B2398" t="s">
        <v>28</v>
      </c>
      <c r="C2398" t="s">
        <v>38</v>
      </c>
      <c r="D2398" t="s">
        <v>1231</v>
      </c>
      <c r="E2398">
        <v>11100000</v>
      </c>
    </row>
    <row r="2399" spans="1:5" ht="15" customHeight="1" x14ac:dyDescent="0.3">
      <c r="A2399" t="s">
        <v>9125</v>
      </c>
      <c r="B2399" t="s">
        <v>86</v>
      </c>
      <c r="C2399" t="s">
        <v>3068</v>
      </c>
      <c r="D2399" t="s">
        <v>3382</v>
      </c>
      <c r="E2399">
        <v>14000000</v>
      </c>
    </row>
    <row r="2400" spans="1:5" ht="15" customHeight="1" x14ac:dyDescent="0.3">
      <c r="A2400" t="s">
        <v>9126</v>
      </c>
      <c r="B2400" t="s">
        <v>2498</v>
      </c>
      <c r="C2400" t="s">
        <v>2499</v>
      </c>
      <c r="D2400" t="s">
        <v>8749</v>
      </c>
      <c r="E2400">
        <v>9000000</v>
      </c>
    </row>
    <row r="2401" spans="1:5" ht="15" customHeight="1" x14ac:dyDescent="0.3">
      <c r="A2401" t="s">
        <v>9127</v>
      </c>
      <c r="B2401" t="s">
        <v>2545</v>
      </c>
      <c r="C2401" t="s">
        <v>4941</v>
      </c>
      <c r="D2401" t="s">
        <v>8750</v>
      </c>
      <c r="E2401">
        <v>13500000</v>
      </c>
    </row>
    <row r="2402" spans="1:5" ht="15" customHeight="1" x14ac:dyDescent="0.3">
      <c r="A2402" t="s">
        <v>9128</v>
      </c>
      <c r="B2402" t="s">
        <v>278</v>
      </c>
      <c r="C2402" t="s">
        <v>285</v>
      </c>
      <c r="D2402" t="s">
        <v>8751</v>
      </c>
      <c r="E2402">
        <v>27300000</v>
      </c>
    </row>
    <row r="2403" spans="1:5" ht="15" customHeight="1" x14ac:dyDescent="0.3">
      <c r="A2403" t="s">
        <v>9129</v>
      </c>
      <c r="B2403" t="s">
        <v>2950</v>
      </c>
      <c r="C2403" t="s">
        <v>2966</v>
      </c>
      <c r="D2403" t="s">
        <v>8752</v>
      </c>
      <c r="E2403">
        <v>8100000</v>
      </c>
    </row>
    <row r="2404" spans="1:5" ht="15" customHeight="1" x14ac:dyDescent="0.3">
      <c r="A2404" t="s">
        <v>9130</v>
      </c>
      <c r="B2404" t="s">
        <v>207</v>
      </c>
      <c r="C2404" t="s">
        <v>2843</v>
      </c>
      <c r="D2404" t="s">
        <v>2477</v>
      </c>
      <c r="E2404">
        <v>24000000</v>
      </c>
    </row>
    <row r="2405" spans="1:5" ht="15" customHeight="1" x14ac:dyDescent="0.3">
      <c r="A2405" t="s">
        <v>9131</v>
      </c>
      <c r="B2405" t="s">
        <v>2498</v>
      </c>
      <c r="C2405" t="s">
        <v>2587</v>
      </c>
      <c r="D2405" t="s">
        <v>8753</v>
      </c>
      <c r="E2405">
        <v>17100000</v>
      </c>
    </row>
    <row r="2406" spans="1:5" ht="15" customHeight="1" x14ac:dyDescent="0.3">
      <c r="A2406" t="s">
        <v>9132</v>
      </c>
      <c r="B2406" t="s">
        <v>241</v>
      </c>
      <c r="C2406" t="s">
        <v>2484</v>
      </c>
      <c r="D2406" t="s">
        <v>8598</v>
      </c>
      <c r="E2406">
        <v>12200000</v>
      </c>
    </row>
    <row r="2407" spans="1:5" ht="15" customHeight="1" x14ac:dyDescent="0.3">
      <c r="A2407" t="s">
        <v>9133</v>
      </c>
      <c r="B2407" t="s">
        <v>214</v>
      </c>
      <c r="C2407" t="s">
        <v>8855</v>
      </c>
      <c r="D2407" t="s">
        <v>8601</v>
      </c>
      <c r="E2407">
        <v>17400000</v>
      </c>
    </row>
    <row r="2408" spans="1:5" ht="15" customHeight="1" x14ac:dyDescent="0.3">
      <c r="A2408" t="s">
        <v>9134</v>
      </c>
      <c r="B2408" t="s">
        <v>241</v>
      </c>
      <c r="C2408">
        <v>308</v>
      </c>
      <c r="D2408" t="s">
        <v>2477</v>
      </c>
      <c r="E2408">
        <v>10800000</v>
      </c>
    </row>
    <row r="2409" spans="1:5" ht="15" customHeight="1" x14ac:dyDescent="0.3">
      <c r="A2409" t="s">
        <v>9135</v>
      </c>
      <c r="B2409" t="s">
        <v>241</v>
      </c>
      <c r="C2409" t="s">
        <v>2593</v>
      </c>
      <c r="D2409" t="s">
        <v>8754</v>
      </c>
      <c r="E2409">
        <v>15300000</v>
      </c>
    </row>
    <row r="2410" spans="1:5" ht="15" customHeight="1" x14ac:dyDescent="0.3">
      <c r="A2410" t="s">
        <v>9136</v>
      </c>
      <c r="B2410" t="s">
        <v>156</v>
      </c>
      <c r="C2410" t="s">
        <v>3096</v>
      </c>
      <c r="D2410" t="s">
        <v>8755</v>
      </c>
      <c r="E2410">
        <v>18700000</v>
      </c>
    </row>
    <row r="2411" spans="1:5" ht="15" customHeight="1" x14ac:dyDescent="0.3">
      <c r="A2411" t="s">
        <v>9137</v>
      </c>
      <c r="B2411" t="s">
        <v>86</v>
      </c>
      <c r="C2411" t="s">
        <v>122</v>
      </c>
      <c r="D2411" t="s">
        <v>8756</v>
      </c>
      <c r="E2411">
        <v>25200000</v>
      </c>
    </row>
    <row r="2412" spans="1:5" ht="15" customHeight="1" x14ac:dyDescent="0.3">
      <c r="A2412" t="s">
        <v>9138</v>
      </c>
      <c r="B2412" t="s">
        <v>2498</v>
      </c>
      <c r="C2412" t="s">
        <v>188</v>
      </c>
      <c r="D2412" t="s">
        <v>8757</v>
      </c>
      <c r="E2412">
        <v>6860000</v>
      </c>
    </row>
    <row r="2413" spans="1:5" ht="15" customHeight="1" x14ac:dyDescent="0.3">
      <c r="A2413" t="s">
        <v>9139</v>
      </c>
      <c r="B2413" t="s">
        <v>167</v>
      </c>
      <c r="C2413" t="s">
        <v>3192</v>
      </c>
      <c r="D2413" t="s">
        <v>8600</v>
      </c>
      <c r="E2413">
        <v>7820000</v>
      </c>
    </row>
    <row r="2414" spans="1:5" ht="15" customHeight="1" x14ac:dyDescent="0.3">
      <c r="A2414" t="s">
        <v>9140</v>
      </c>
      <c r="B2414" t="s">
        <v>306</v>
      </c>
      <c r="C2414" t="s">
        <v>3771</v>
      </c>
      <c r="D2414" t="s">
        <v>8758</v>
      </c>
      <c r="E2414">
        <v>19700000</v>
      </c>
    </row>
    <row r="2415" spans="1:5" ht="15" customHeight="1" x14ac:dyDescent="0.3">
      <c r="A2415" t="s">
        <v>9141</v>
      </c>
      <c r="B2415" t="s">
        <v>86</v>
      </c>
      <c r="C2415" t="s">
        <v>2507</v>
      </c>
      <c r="D2415" t="s">
        <v>8759</v>
      </c>
      <c r="E2415">
        <v>30300000</v>
      </c>
    </row>
    <row r="2416" spans="1:5" ht="15" customHeight="1" x14ac:dyDescent="0.3">
      <c r="A2416" t="s">
        <v>9142</v>
      </c>
      <c r="B2416" t="s">
        <v>2526</v>
      </c>
      <c r="C2416" t="s">
        <v>2527</v>
      </c>
      <c r="D2416" t="s">
        <v>8602</v>
      </c>
      <c r="E2416">
        <v>6850000</v>
      </c>
    </row>
    <row r="2417" spans="1:5" ht="15" customHeight="1" x14ac:dyDescent="0.3">
      <c r="A2417" t="s">
        <v>9143</v>
      </c>
      <c r="B2417" t="s">
        <v>86</v>
      </c>
      <c r="C2417" t="s">
        <v>2507</v>
      </c>
      <c r="D2417" t="s">
        <v>8760</v>
      </c>
      <c r="E2417">
        <v>37000000</v>
      </c>
    </row>
    <row r="2418" spans="1:5" ht="15" customHeight="1" x14ac:dyDescent="0.3">
      <c r="A2418" t="s">
        <v>9144</v>
      </c>
      <c r="B2418" t="s">
        <v>2816</v>
      </c>
      <c r="C2418" t="s">
        <v>2817</v>
      </c>
      <c r="D2418" t="s">
        <v>8761</v>
      </c>
      <c r="E2418">
        <v>12100000</v>
      </c>
    </row>
    <row r="2419" spans="1:5" ht="15" customHeight="1" x14ac:dyDescent="0.3">
      <c r="A2419" t="s">
        <v>9145</v>
      </c>
      <c r="B2419" t="s">
        <v>2498</v>
      </c>
      <c r="C2419" t="s">
        <v>188</v>
      </c>
      <c r="D2419" t="s">
        <v>8762</v>
      </c>
      <c r="E2419">
        <v>10400000</v>
      </c>
    </row>
    <row r="2420" spans="1:5" ht="15" customHeight="1" x14ac:dyDescent="0.3">
      <c r="A2420" t="s">
        <v>9123</v>
      </c>
      <c r="B2420" t="s">
        <v>86</v>
      </c>
      <c r="C2420" t="s">
        <v>2507</v>
      </c>
      <c r="D2420" t="s">
        <v>124</v>
      </c>
      <c r="E2420">
        <v>34300000</v>
      </c>
    </row>
    <row r="2421" spans="1:5" ht="15" customHeight="1" x14ac:dyDescent="0.3">
      <c r="A2421" t="s">
        <v>9146</v>
      </c>
      <c r="B2421" t="s">
        <v>300</v>
      </c>
      <c r="C2421" t="s">
        <v>2908</v>
      </c>
      <c r="D2421" t="s">
        <v>8763</v>
      </c>
      <c r="E2421">
        <v>10400000</v>
      </c>
    </row>
    <row r="2422" spans="1:5" ht="15" customHeight="1" x14ac:dyDescent="0.3">
      <c r="A2422" t="s">
        <v>9147</v>
      </c>
      <c r="B2422" t="s">
        <v>220</v>
      </c>
      <c r="C2422" t="s">
        <v>2716</v>
      </c>
      <c r="D2422" t="s">
        <v>8764</v>
      </c>
      <c r="E2422">
        <v>18100000</v>
      </c>
    </row>
    <row r="2423" spans="1:5" ht="15" customHeight="1" x14ac:dyDescent="0.3">
      <c r="A2423" t="s">
        <v>9148</v>
      </c>
      <c r="B2423" t="s">
        <v>2498</v>
      </c>
      <c r="C2423" t="s">
        <v>199</v>
      </c>
      <c r="D2423" t="s">
        <v>2677</v>
      </c>
      <c r="E2423">
        <v>20700000</v>
      </c>
    </row>
    <row r="2424" spans="1:5" ht="15" customHeight="1" x14ac:dyDescent="0.3">
      <c r="A2424" t="s">
        <v>9200</v>
      </c>
      <c r="B2424" t="s">
        <v>167</v>
      </c>
      <c r="C2424" t="s">
        <v>168</v>
      </c>
      <c r="D2424" t="s">
        <v>169</v>
      </c>
      <c r="E2424">
        <v>11300000</v>
      </c>
    </row>
    <row r="2425" spans="1:5" ht="15" customHeight="1" x14ac:dyDescent="0.3">
      <c r="A2425" t="s">
        <v>9201</v>
      </c>
      <c r="B2425" t="s">
        <v>86</v>
      </c>
      <c r="C2425" t="s">
        <v>2793</v>
      </c>
      <c r="D2425" t="s">
        <v>139</v>
      </c>
      <c r="E2425">
        <v>18400000</v>
      </c>
    </row>
    <row r="2426" spans="1:5" ht="15" customHeight="1" x14ac:dyDescent="0.3">
      <c r="A2426" t="s">
        <v>9202</v>
      </c>
      <c r="B2426" t="s">
        <v>241</v>
      </c>
      <c r="C2426" t="s">
        <v>2487</v>
      </c>
      <c r="D2426" t="s">
        <v>261</v>
      </c>
      <c r="E2426">
        <v>16800000</v>
      </c>
    </row>
    <row r="2427" spans="1:5" ht="15" customHeight="1" x14ac:dyDescent="0.3">
      <c r="A2427" t="s">
        <v>9203</v>
      </c>
      <c r="B2427" t="s">
        <v>241</v>
      </c>
      <c r="C2427" t="s">
        <v>269</v>
      </c>
      <c r="D2427" t="s">
        <v>275</v>
      </c>
      <c r="E2427">
        <v>19300000</v>
      </c>
    </row>
    <row r="2428" spans="1:5" ht="15" customHeight="1" x14ac:dyDescent="0.3">
      <c r="A2428" t="s">
        <v>9204</v>
      </c>
      <c r="B2428" t="s">
        <v>214</v>
      </c>
      <c r="C2428" t="s">
        <v>215</v>
      </c>
      <c r="D2428" t="s">
        <v>219</v>
      </c>
      <c r="E2428">
        <v>27200000</v>
      </c>
    </row>
    <row r="2429" spans="1:5" ht="15" customHeight="1" x14ac:dyDescent="0.3">
      <c r="A2429" t="s">
        <v>9205</v>
      </c>
      <c r="B2429" t="s">
        <v>28</v>
      </c>
      <c r="C2429" t="s">
        <v>42</v>
      </c>
      <c r="D2429" t="s">
        <v>44</v>
      </c>
      <c r="E2429">
        <v>11500000</v>
      </c>
    </row>
    <row r="2430" spans="1:5" ht="15" customHeight="1" x14ac:dyDescent="0.3">
      <c r="A2430" t="s">
        <v>9206</v>
      </c>
      <c r="B2430" t="s">
        <v>311</v>
      </c>
      <c r="C2430" t="s">
        <v>3865</v>
      </c>
      <c r="D2430" t="s">
        <v>323</v>
      </c>
      <c r="E2430">
        <v>13700000</v>
      </c>
    </row>
    <row r="2431" spans="1:5" ht="15" customHeight="1" x14ac:dyDescent="0.3">
      <c r="A2431" t="s">
        <v>9207</v>
      </c>
      <c r="B2431" t="s">
        <v>241</v>
      </c>
      <c r="C2431" t="s">
        <v>2487</v>
      </c>
      <c r="D2431" t="s">
        <v>257</v>
      </c>
      <c r="E2431">
        <v>14400000</v>
      </c>
    </row>
    <row r="2432" spans="1:5" ht="15" customHeight="1" x14ac:dyDescent="0.3">
      <c r="A2432" t="s">
        <v>9208</v>
      </c>
      <c r="B2432" t="s">
        <v>2493</v>
      </c>
      <c r="C2432" t="s">
        <v>83</v>
      </c>
      <c r="D2432" t="s">
        <v>85</v>
      </c>
      <c r="E2432">
        <v>13500000</v>
      </c>
    </row>
    <row r="2433" spans="1:5" ht="15" customHeight="1" x14ac:dyDescent="0.3">
      <c r="A2433" t="s">
        <v>9209</v>
      </c>
      <c r="B2433" t="s">
        <v>142</v>
      </c>
      <c r="C2433" t="s">
        <v>145</v>
      </c>
      <c r="D2433" t="s">
        <v>146</v>
      </c>
      <c r="E2433">
        <v>17100000</v>
      </c>
    </row>
    <row r="2434" spans="1:5" ht="15" customHeight="1" x14ac:dyDescent="0.3">
      <c r="A2434" t="s">
        <v>9210</v>
      </c>
      <c r="B2434" t="s">
        <v>300</v>
      </c>
      <c r="C2434" t="s">
        <v>2908</v>
      </c>
      <c r="D2434" t="s">
        <v>3916</v>
      </c>
      <c r="E2434">
        <v>12300000</v>
      </c>
    </row>
    <row r="2435" spans="1:5" ht="15" customHeight="1" x14ac:dyDescent="0.3">
      <c r="A2435" t="s">
        <v>9211</v>
      </c>
      <c r="B2435" t="s">
        <v>241</v>
      </c>
      <c r="C2435" t="s">
        <v>2584</v>
      </c>
      <c r="D2435" t="s">
        <v>327</v>
      </c>
      <c r="E2435">
        <v>14600000</v>
      </c>
    </row>
    <row r="2436" spans="1:5" ht="15" customHeight="1" x14ac:dyDescent="0.3">
      <c r="A2436" t="s">
        <v>9212</v>
      </c>
      <c r="B2436" t="s">
        <v>2493</v>
      </c>
      <c r="C2436" t="s">
        <v>7387</v>
      </c>
      <c r="D2436" t="s">
        <v>3031</v>
      </c>
      <c r="E2436">
        <v>30800000</v>
      </c>
    </row>
    <row r="2437" spans="1:5" ht="15" customHeight="1" x14ac:dyDescent="0.3">
      <c r="A2437" t="s">
        <v>9213</v>
      </c>
      <c r="B2437" t="s">
        <v>2498</v>
      </c>
      <c r="C2437" t="s">
        <v>2663</v>
      </c>
      <c r="D2437" t="s">
        <v>3886</v>
      </c>
      <c r="E2437">
        <v>12300000</v>
      </c>
    </row>
    <row r="2438" spans="1:5" ht="15" customHeight="1" x14ac:dyDescent="0.3">
      <c r="A2438" t="s">
        <v>9214</v>
      </c>
      <c r="B2438" t="s">
        <v>2533</v>
      </c>
      <c r="C2438" t="s">
        <v>2599</v>
      </c>
      <c r="D2438" t="s">
        <v>3925</v>
      </c>
      <c r="E2438">
        <v>10400000</v>
      </c>
    </row>
    <row r="2439" spans="1:5" ht="15" customHeight="1" x14ac:dyDescent="0.3">
      <c r="A2439" t="s">
        <v>9215</v>
      </c>
      <c r="B2439" t="s">
        <v>147</v>
      </c>
      <c r="C2439" t="s">
        <v>153</v>
      </c>
      <c r="D2439" t="s">
        <v>5526</v>
      </c>
      <c r="E2439">
        <v>11500000</v>
      </c>
    </row>
    <row r="2440" spans="1:5" ht="15" customHeight="1" x14ac:dyDescent="0.3">
      <c r="A2440" t="s">
        <v>9216</v>
      </c>
      <c r="B2440" t="s">
        <v>2545</v>
      </c>
      <c r="C2440" t="s">
        <v>2856</v>
      </c>
      <c r="D2440" t="s">
        <v>5555</v>
      </c>
      <c r="E2440">
        <v>21800000</v>
      </c>
    </row>
    <row r="2441" spans="1:5" ht="15" customHeight="1" x14ac:dyDescent="0.3">
      <c r="A2441" t="s">
        <v>9217</v>
      </c>
      <c r="B2441" t="s">
        <v>86</v>
      </c>
      <c r="C2441" t="s">
        <v>98</v>
      </c>
      <c r="D2441" t="s">
        <v>3827</v>
      </c>
      <c r="E2441">
        <v>11000000</v>
      </c>
    </row>
    <row r="2442" spans="1:5" ht="15" customHeight="1" x14ac:dyDescent="0.3">
      <c r="A2442" t="s">
        <v>9218</v>
      </c>
      <c r="B2442" t="s">
        <v>28</v>
      </c>
      <c r="C2442" t="s">
        <v>31</v>
      </c>
      <c r="D2442" t="s">
        <v>5669</v>
      </c>
      <c r="E2442">
        <v>8900000</v>
      </c>
    </row>
    <row r="2443" spans="1:5" ht="15" customHeight="1" x14ac:dyDescent="0.3">
      <c r="A2443" t="s">
        <v>9219</v>
      </c>
      <c r="B2443" t="s">
        <v>278</v>
      </c>
      <c r="C2443" t="s">
        <v>285</v>
      </c>
      <c r="D2443" t="s">
        <v>287</v>
      </c>
      <c r="E2443">
        <v>26800000</v>
      </c>
    </row>
    <row r="2444" spans="1:5" ht="15" customHeight="1" x14ac:dyDescent="0.3">
      <c r="A2444" t="s">
        <v>9220</v>
      </c>
      <c r="B2444" t="s">
        <v>180</v>
      </c>
      <c r="C2444" t="s">
        <v>3419</v>
      </c>
      <c r="D2444" t="s">
        <v>3420</v>
      </c>
      <c r="E2444">
        <v>9800000</v>
      </c>
    </row>
    <row r="2445" spans="1:5" ht="15" customHeight="1" x14ac:dyDescent="0.3">
      <c r="A2445" t="s">
        <v>9221</v>
      </c>
      <c r="B2445" t="s">
        <v>28</v>
      </c>
      <c r="C2445" t="s">
        <v>2496</v>
      </c>
      <c r="D2445" t="s">
        <v>5672</v>
      </c>
      <c r="E2445">
        <v>8300000</v>
      </c>
    </row>
    <row r="2446" spans="1:5" ht="15" customHeight="1" x14ac:dyDescent="0.3">
      <c r="A2446" t="s">
        <v>9222</v>
      </c>
      <c r="B2446" t="s">
        <v>220</v>
      </c>
      <c r="C2446" t="s">
        <v>2891</v>
      </c>
      <c r="D2446" t="s">
        <v>5576</v>
      </c>
      <c r="E2446">
        <v>34300000</v>
      </c>
    </row>
    <row r="2447" spans="1:5" ht="15" customHeight="1" x14ac:dyDescent="0.3">
      <c r="A2447" t="s">
        <v>9223</v>
      </c>
      <c r="B2447" t="s">
        <v>68</v>
      </c>
      <c r="C2447">
        <v>600</v>
      </c>
      <c r="D2447" t="s">
        <v>5675</v>
      </c>
      <c r="E2447">
        <v>19900000</v>
      </c>
    </row>
    <row r="2448" spans="1:5" ht="15" customHeight="1" x14ac:dyDescent="0.3">
      <c r="A2448" t="s">
        <v>9224</v>
      </c>
      <c r="B2448" t="s">
        <v>220</v>
      </c>
      <c r="C2448" t="s">
        <v>3356</v>
      </c>
      <c r="D2448" t="s">
        <v>3357</v>
      </c>
      <c r="E2448">
        <v>20100000</v>
      </c>
    </row>
    <row r="2449" spans="1:5" ht="15" customHeight="1" x14ac:dyDescent="0.3">
      <c r="A2449" t="s">
        <v>9225</v>
      </c>
      <c r="B2449" t="s">
        <v>68</v>
      </c>
      <c r="C2449">
        <v>500</v>
      </c>
      <c r="D2449" t="s">
        <v>325</v>
      </c>
      <c r="E2449">
        <v>11000000</v>
      </c>
    </row>
    <row r="2450" spans="1:5" ht="15" customHeight="1" x14ac:dyDescent="0.3">
      <c r="A2450" t="s">
        <v>9226</v>
      </c>
      <c r="B2450" t="s">
        <v>317</v>
      </c>
      <c r="C2450" t="s">
        <v>318</v>
      </c>
      <c r="D2450" t="s">
        <v>320</v>
      </c>
      <c r="E2450">
        <v>10700000</v>
      </c>
    </row>
    <row r="2451" spans="1:5" ht="15" customHeight="1" x14ac:dyDescent="0.3">
      <c r="A2451" t="s">
        <v>9227</v>
      </c>
      <c r="B2451" t="s">
        <v>68</v>
      </c>
      <c r="C2451">
        <v>560</v>
      </c>
      <c r="D2451" t="s">
        <v>72</v>
      </c>
      <c r="E2451">
        <v>8900000</v>
      </c>
    </row>
    <row r="2452" spans="1:5" ht="15" customHeight="1" x14ac:dyDescent="0.3">
      <c r="A2452" t="s">
        <v>9228</v>
      </c>
      <c r="B2452" t="s">
        <v>147</v>
      </c>
      <c r="C2452" t="s">
        <v>153</v>
      </c>
      <c r="D2452" t="s">
        <v>155</v>
      </c>
      <c r="E2452">
        <v>12600000</v>
      </c>
    </row>
    <row r="2453" spans="1:5" ht="15" customHeight="1" x14ac:dyDescent="0.3">
      <c r="A2453" t="s">
        <v>9229</v>
      </c>
      <c r="B2453" t="s">
        <v>2498</v>
      </c>
      <c r="C2453" t="s">
        <v>199</v>
      </c>
      <c r="D2453" t="s">
        <v>201</v>
      </c>
      <c r="E2453">
        <v>19800000</v>
      </c>
    </row>
    <row r="2454" spans="1:5" ht="15" customHeight="1" x14ac:dyDescent="0.3">
      <c r="A2454" t="s">
        <v>9230</v>
      </c>
      <c r="B2454" t="s">
        <v>311</v>
      </c>
      <c r="C2454" t="s">
        <v>8857</v>
      </c>
      <c r="D2454" t="s">
        <v>316</v>
      </c>
      <c r="E2454">
        <v>12200000</v>
      </c>
    </row>
    <row r="2455" spans="1:5" ht="15" customHeight="1" x14ac:dyDescent="0.3">
      <c r="A2455" t="s">
        <v>9231</v>
      </c>
      <c r="B2455" t="s">
        <v>2494</v>
      </c>
      <c r="C2455" t="s">
        <v>2531</v>
      </c>
      <c r="D2455" t="s">
        <v>7704</v>
      </c>
      <c r="E2455">
        <v>9500000</v>
      </c>
    </row>
    <row r="2456" spans="1:5" ht="15" customHeight="1" x14ac:dyDescent="0.3">
      <c r="A2456" t="s">
        <v>9232</v>
      </c>
      <c r="B2456" t="s">
        <v>86</v>
      </c>
      <c r="C2456" t="s">
        <v>2476</v>
      </c>
      <c r="D2456" t="s">
        <v>5673</v>
      </c>
      <c r="E2456">
        <v>57000000</v>
      </c>
    </row>
    <row r="2457" spans="1:5" ht="15" customHeight="1" x14ac:dyDescent="0.3">
      <c r="A2457" t="s">
        <v>9233</v>
      </c>
      <c r="B2457" t="s">
        <v>207</v>
      </c>
      <c r="C2457" t="s">
        <v>2806</v>
      </c>
      <c r="D2457" t="s">
        <v>210</v>
      </c>
      <c r="E2457">
        <v>19700000</v>
      </c>
    </row>
    <row r="2458" spans="1:5" ht="15" customHeight="1" x14ac:dyDescent="0.3">
      <c r="A2458" t="s">
        <v>9234</v>
      </c>
      <c r="B2458" t="s">
        <v>306</v>
      </c>
      <c r="C2458" t="s">
        <v>3722</v>
      </c>
      <c r="D2458" t="s">
        <v>3752</v>
      </c>
      <c r="E2458">
        <v>22800000</v>
      </c>
    </row>
    <row r="2459" spans="1:5" ht="15" customHeight="1" x14ac:dyDescent="0.3">
      <c r="A2459" t="s">
        <v>9235</v>
      </c>
      <c r="B2459" t="s">
        <v>220</v>
      </c>
      <c r="C2459" t="s">
        <v>2492</v>
      </c>
      <c r="D2459" t="s">
        <v>7649</v>
      </c>
      <c r="E2459">
        <v>16900000</v>
      </c>
    </row>
    <row r="2460" spans="1:5" ht="15" customHeight="1" x14ac:dyDescent="0.3">
      <c r="A2460" t="s">
        <v>9236</v>
      </c>
      <c r="B2460" t="s">
        <v>156</v>
      </c>
      <c r="C2460" t="s">
        <v>2868</v>
      </c>
      <c r="D2460" t="s">
        <v>157</v>
      </c>
      <c r="E2460">
        <v>16900000</v>
      </c>
    </row>
    <row r="2461" spans="1:5" ht="15" customHeight="1" x14ac:dyDescent="0.3">
      <c r="A2461" t="s">
        <v>9237</v>
      </c>
      <c r="B2461" t="s">
        <v>241</v>
      </c>
      <c r="C2461" t="s">
        <v>2593</v>
      </c>
      <c r="D2461" t="s">
        <v>277</v>
      </c>
      <c r="E2461">
        <v>15900000</v>
      </c>
    </row>
    <row r="2462" spans="1:5" ht="15" customHeight="1" x14ac:dyDescent="0.3">
      <c r="A2462" t="s">
        <v>9238</v>
      </c>
      <c r="B2462" t="s">
        <v>28</v>
      </c>
      <c r="C2462" t="s">
        <v>29</v>
      </c>
      <c r="D2462" t="s">
        <v>30</v>
      </c>
      <c r="E2462">
        <v>6220000</v>
      </c>
    </row>
    <row r="2463" spans="1:5" ht="15" customHeight="1" x14ac:dyDescent="0.3">
      <c r="A2463" t="s">
        <v>9239</v>
      </c>
      <c r="B2463" t="s">
        <v>28</v>
      </c>
      <c r="C2463" t="s">
        <v>35</v>
      </c>
      <c r="D2463" t="s">
        <v>37</v>
      </c>
      <c r="E2463">
        <v>12100000</v>
      </c>
    </row>
    <row r="2464" spans="1:5" ht="15" customHeight="1" x14ac:dyDescent="0.3">
      <c r="A2464" t="s">
        <v>9240</v>
      </c>
      <c r="B2464" t="s">
        <v>173</v>
      </c>
      <c r="C2464">
        <v>7</v>
      </c>
      <c r="D2464" t="s">
        <v>175</v>
      </c>
      <c r="E2464">
        <v>17500000</v>
      </c>
    </row>
    <row r="2465" spans="1:5" ht="15" customHeight="1" x14ac:dyDescent="0.3">
      <c r="A2465" t="s">
        <v>9241</v>
      </c>
      <c r="B2465" t="s">
        <v>156</v>
      </c>
      <c r="C2465" t="s">
        <v>3096</v>
      </c>
      <c r="D2465" t="s">
        <v>164</v>
      </c>
      <c r="E2465">
        <v>20500000</v>
      </c>
    </row>
    <row r="2466" spans="1:5" ht="15" customHeight="1" x14ac:dyDescent="0.3">
      <c r="A2466" t="s">
        <v>9242</v>
      </c>
      <c r="B2466" t="s">
        <v>156</v>
      </c>
      <c r="C2466" t="s">
        <v>3072</v>
      </c>
      <c r="D2466" t="s">
        <v>158</v>
      </c>
      <c r="E2466">
        <v>8400000</v>
      </c>
    </row>
    <row r="2467" spans="1:5" ht="15" customHeight="1" x14ac:dyDescent="0.3">
      <c r="A2467" t="s">
        <v>9243</v>
      </c>
      <c r="B2467" t="s">
        <v>220</v>
      </c>
      <c r="C2467" t="s">
        <v>221</v>
      </c>
      <c r="D2467" t="s">
        <v>222</v>
      </c>
      <c r="E2467">
        <v>7560000</v>
      </c>
    </row>
    <row r="2468" spans="1:5" ht="15" customHeight="1" x14ac:dyDescent="0.3">
      <c r="A2468" t="s">
        <v>9244</v>
      </c>
      <c r="B2468" t="s">
        <v>241</v>
      </c>
      <c r="C2468">
        <v>5008</v>
      </c>
      <c r="D2468" t="s">
        <v>263</v>
      </c>
      <c r="E2468">
        <v>16600000</v>
      </c>
    </row>
    <row r="2469" spans="1:5" ht="15" customHeight="1" x14ac:dyDescent="0.3">
      <c r="A2469" t="s">
        <v>9245</v>
      </c>
      <c r="B2469" t="s">
        <v>68</v>
      </c>
      <c r="C2469" t="s">
        <v>3249</v>
      </c>
      <c r="D2469" t="s">
        <v>81</v>
      </c>
      <c r="E2469">
        <v>16500000</v>
      </c>
    </row>
    <row r="2470" spans="1:5" ht="15" customHeight="1" x14ac:dyDescent="0.3">
      <c r="A2470" t="s">
        <v>9246</v>
      </c>
      <c r="B2470" t="s">
        <v>156</v>
      </c>
      <c r="C2470" t="s">
        <v>2707</v>
      </c>
      <c r="D2470" t="s">
        <v>370</v>
      </c>
      <c r="E2470">
        <v>8200000</v>
      </c>
    </row>
    <row r="2471" spans="1:5" ht="15" customHeight="1" x14ac:dyDescent="0.3">
      <c r="A2471" t="s">
        <v>9247</v>
      </c>
      <c r="B2471" t="s">
        <v>86</v>
      </c>
      <c r="C2471" t="s">
        <v>2476</v>
      </c>
      <c r="D2471" t="s">
        <v>121</v>
      </c>
      <c r="E2471">
        <v>37300000</v>
      </c>
    </row>
    <row r="2472" spans="1:5" ht="15" customHeight="1" x14ac:dyDescent="0.3">
      <c r="A2472" t="s">
        <v>9248</v>
      </c>
      <c r="B2472" t="s">
        <v>2608</v>
      </c>
      <c r="C2472" t="s">
        <v>3899</v>
      </c>
      <c r="D2472" t="s">
        <v>3900</v>
      </c>
      <c r="E2472">
        <v>26200000</v>
      </c>
    </row>
    <row r="2473" spans="1:5" ht="15" customHeight="1" x14ac:dyDescent="0.3">
      <c r="A2473" t="s">
        <v>9249</v>
      </c>
      <c r="B2473" t="s">
        <v>45</v>
      </c>
      <c r="C2473" t="s">
        <v>3325</v>
      </c>
      <c r="D2473" t="s">
        <v>56</v>
      </c>
      <c r="E2473">
        <v>30700000</v>
      </c>
    </row>
    <row r="2474" spans="1:5" ht="15" customHeight="1" x14ac:dyDescent="0.3">
      <c r="A2474" t="s">
        <v>9250</v>
      </c>
      <c r="B2474" t="s">
        <v>86</v>
      </c>
      <c r="C2474" t="s">
        <v>122</v>
      </c>
      <c r="D2474" t="s">
        <v>133</v>
      </c>
      <c r="E2474">
        <v>17000000</v>
      </c>
    </row>
    <row r="2475" spans="1:5" ht="15" customHeight="1" x14ac:dyDescent="0.3">
      <c r="A2475" t="s">
        <v>9251</v>
      </c>
      <c r="B2475" t="s">
        <v>18</v>
      </c>
      <c r="C2475" t="s">
        <v>3314</v>
      </c>
      <c r="D2475" t="s">
        <v>22</v>
      </c>
      <c r="E2475">
        <v>37700000</v>
      </c>
    </row>
    <row r="2476" spans="1:5" ht="15" customHeight="1" x14ac:dyDescent="0.3">
      <c r="A2476" t="s">
        <v>9252</v>
      </c>
      <c r="B2476" t="s">
        <v>300</v>
      </c>
      <c r="C2476" t="s">
        <v>301</v>
      </c>
      <c r="D2476" t="s">
        <v>302</v>
      </c>
      <c r="E2476">
        <v>11600000</v>
      </c>
    </row>
    <row r="2477" spans="1:5" ht="15" customHeight="1" x14ac:dyDescent="0.3">
      <c r="A2477" t="s">
        <v>9253</v>
      </c>
      <c r="B2477" t="s">
        <v>14</v>
      </c>
      <c r="C2477" t="s">
        <v>2508</v>
      </c>
      <c r="D2477" t="s">
        <v>7835</v>
      </c>
      <c r="E2477">
        <v>11900000</v>
      </c>
    </row>
    <row r="2478" spans="1:5" ht="15" customHeight="1" x14ac:dyDescent="0.3">
      <c r="A2478" t="s">
        <v>9254</v>
      </c>
      <c r="B2478" t="s">
        <v>241</v>
      </c>
      <c r="C2478">
        <v>5008</v>
      </c>
      <c r="D2478" t="s">
        <v>265</v>
      </c>
      <c r="E2478">
        <v>24000000</v>
      </c>
    </row>
    <row r="2479" spans="1:5" ht="15" customHeight="1" x14ac:dyDescent="0.3">
      <c r="A2479" t="s">
        <v>9255</v>
      </c>
      <c r="B2479" t="s">
        <v>241</v>
      </c>
      <c r="C2479" t="s">
        <v>269</v>
      </c>
      <c r="D2479" t="s">
        <v>273</v>
      </c>
      <c r="E2479">
        <v>21100000</v>
      </c>
    </row>
    <row r="2480" spans="1:5" ht="15" customHeight="1" x14ac:dyDescent="0.3">
      <c r="A2480" t="s">
        <v>9256</v>
      </c>
      <c r="B2480" t="s">
        <v>214</v>
      </c>
      <c r="C2480" t="s">
        <v>2560</v>
      </c>
      <c r="D2480" t="s">
        <v>217</v>
      </c>
      <c r="E2480">
        <v>19000000</v>
      </c>
    </row>
    <row r="2481" spans="1:5" ht="15" customHeight="1" x14ac:dyDescent="0.3">
      <c r="A2481" t="s">
        <v>9257</v>
      </c>
      <c r="B2481" t="s">
        <v>173</v>
      </c>
      <c r="C2481" t="s">
        <v>3413</v>
      </c>
      <c r="D2481" t="s">
        <v>178</v>
      </c>
      <c r="E2481">
        <v>17100000</v>
      </c>
    </row>
    <row r="2482" spans="1:5" ht="15" customHeight="1" x14ac:dyDescent="0.3">
      <c r="A2482" t="s">
        <v>9258</v>
      </c>
      <c r="B2482" t="s">
        <v>173</v>
      </c>
      <c r="C2482">
        <v>7</v>
      </c>
      <c r="D2482" t="s">
        <v>177</v>
      </c>
      <c r="E2482">
        <v>16900000</v>
      </c>
    </row>
    <row r="2483" spans="1:5" ht="15" customHeight="1" x14ac:dyDescent="0.3">
      <c r="A2483" t="s">
        <v>9259</v>
      </c>
      <c r="B2483" t="s">
        <v>68</v>
      </c>
      <c r="C2483">
        <v>560</v>
      </c>
      <c r="D2483" t="s">
        <v>74</v>
      </c>
      <c r="E2483">
        <v>8700000</v>
      </c>
    </row>
    <row r="2484" spans="1:5" ht="15" customHeight="1" x14ac:dyDescent="0.3">
      <c r="A2484" t="s">
        <v>9260</v>
      </c>
      <c r="B2484" t="s">
        <v>2498</v>
      </c>
      <c r="C2484" t="s">
        <v>190</v>
      </c>
      <c r="D2484" t="s">
        <v>192</v>
      </c>
      <c r="E2484">
        <v>24400000</v>
      </c>
    </row>
    <row r="2485" spans="1:5" ht="15" customHeight="1" x14ac:dyDescent="0.3">
      <c r="A2485" t="s">
        <v>9261</v>
      </c>
      <c r="B2485" t="s">
        <v>278</v>
      </c>
      <c r="C2485" t="s">
        <v>2530</v>
      </c>
      <c r="D2485" t="s">
        <v>282</v>
      </c>
      <c r="E2485">
        <v>35000000</v>
      </c>
    </row>
    <row r="2486" spans="1:5" ht="15" customHeight="1" x14ac:dyDescent="0.3">
      <c r="A2486" t="s">
        <v>9262</v>
      </c>
      <c r="B2486" t="s">
        <v>86</v>
      </c>
      <c r="C2486" t="s">
        <v>2507</v>
      </c>
      <c r="D2486" t="s">
        <v>401</v>
      </c>
      <c r="E2486">
        <v>31000000</v>
      </c>
    </row>
    <row r="2487" spans="1:5" ht="15" customHeight="1" x14ac:dyDescent="0.3">
      <c r="A2487" t="s">
        <v>9149</v>
      </c>
      <c r="B2487" t="s">
        <v>214</v>
      </c>
      <c r="C2487" t="s">
        <v>7517</v>
      </c>
      <c r="D2487" t="s">
        <v>8765</v>
      </c>
      <c r="E2487">
        <v>13100000</v>
      </c>
    </row>
    <row r="2488" spans="1:5" ht="15" customHeight="1" x14ac:dyDescent="0.3">
      <c r="A2488" t="s">
        <v>9263</v>
      </c>
      <c r="B2488" t="s">
        <v>86</v>
      </c>
      <c r="C2488" t="s">
        <v>2826</v>
      </c>
      <c r="D2488" t="s">
        <v>101</v>
      </c>
      <c r="E2488">
        <v>17300000</v>
      </c>
    </row>
    <row r="2489" spans="1:5" ht="15" customHeight="1" x14ac:dyDescent="0.3">
      <c r="A2489" t="s">
        <v>9264</v>
      </c>
      <c r="B2489" t="s">
        <v>28</v>
      </c>
      <c r="C2489" t="s">
        <v>38</v>
      </c>
      <c r="D2489" t="s">
        <v>41</v>
      </c>
      <c r="E2489">
        <v>12000000</v>
      </c>
    </row>
    <row r="2490" spans="1:5" ht="15" customHeight="1" x14ac:dyDescent="0.3">
      <c r="A2490" t="s">
        <v>9265</v>
      </c>
      <c r="B2490" t="s">
        <v>278</v>
      </c>
      <c r="C2490" t="s">
        <v>285</v>
      </c>
      <c r="D2490" t="s">
        <v>284</v>
      </c>
      <c r="E2490">
        <v>30700000</v>
      </c>
    </row>
    <row r="2491" spans="1:5" ht="15" customHeight="1" x14ac:dyDescent="0.3">
      <c r="A2491" t="s">
        <v>9266</v>
      </c>
      <c r="B2491" t="s">
        <v>2498</v>
      </c>
      <c r="C2491" t="s">
        <v>2833</v>
      </c>
      <c r="D2491" t="s">
        <v>198</v>
      </c>
      <c r="E2491">
        <v>40500000</v>
      </c>
    </row>
    <row r="2492" spans="1:5" ht="15" customHeight="1" x14ac:dyDescent="0.3">
      <c r="A2492" t="s">
        <v>9267</v>
      </c>
      <c r="B2492" t="s">
        <v>220</v>
      </c>
      <c r="C2492" t="s">
        <v>228</v>
      </c>
      <c r="D2492" t="s">
        <v>230</v>
      </c>
      <c r="E2492">
        <v>10000000</v>
      </c>
    </row>
    <row r="2493" spans="1:5" ht="15" customHeight="1" x14ac:dyDescent="0.3">
      <c r="A2493" t="s">
        <v>9268</v>
      </c>
      <c r="B2493" t="s">
        <v>220</v>
      </c>
      <c r="C2493" t="s">
        <v>2492</v>
      </c>
      <c r="D2493" t="s">
        <v>236</v>
      </c>
      <c r="E2493">
        <v>23900000</v>
      </c>
    </row>
    <row r="2494" spans="1:5" ht="15" customHeight="1" x14ac:dyDescent="0.3">
      <c r="A2494" t="s">
        <v>9269</v>
      </c>
      <c r="B2494" t="s">
        <v>86</v>
      </c>
      <c r="C2494" t="s">
        <v>2826</v>
      </c>
      <c r="D2494" t="s">
        <v>100</v>
      </c>
      <c r="E2494">
        <v>17700000</v>
      </c>
    </row>
    <row r="2495" spans="1:5" ht="15" customHeight="1" x14ac:dyDescent="0.3">
      <c r="A2495" t="s">
        <v>9270</v>
      </c>
      <c r="B2495" t="s">
        <v>147</v>
      </c>
      <c r="C2495" t="s">
        <v>153</v>
      </c>
      <c r="D2495" t="s">
        <v>7700</v>
      </c>
      <c r="E2495">
        <v>13600000</v>
      </c>
    </row>
    <row r="2496" spans="1:5" ht="15" customHeight="1" x14ac:dyDescent="0.3">
      <c r="A2496" t="s">
        <v>9271</v>
      </c>
      <c r="B2496" t="s">
        <v>18</v>
      </c>
      <c r="C2496" t="s">
        <v>2641</v>
      </c>
      <c r="D2496" t="s">
        <v>27</v>
      </c>
      <c r="E2496">
        <v>20700000</v>
      </c>
    </row>
    <row r="2497" spans="1:5" ht="15" customHeight="1" x14ac:dyDescent="0.3">
      <c r="A2497" t="s">
        <v>9272</v>
      </c>
      <c r="B2497" t="s">
        <v>86</v>
      </c>
      <c r="C2497" t="s">
        <v>2507</v>
      </c>
      <c r="D2497" t="s">
        <v>131</v>
      </c>
      <c r="E2497">
        <v>28800000</v>
      </c>
    </row>
    <row r="2498" spans="1:5" ht="15" customHeight="1" x14ac:dyDescent="0.3">
      <c r="A2498" t="s">
        <v>9273</v>
      </c>
      <c r="B2498" t="s">
        <v>241</v>
      </c>
      <c r="C2498">
        <v>3008</v>
      </c>
      <c r="D2498" t="s">
        <v>246</v>
      </c>
      <c r="E2498">
        <v>11500000</v>
      </c>
    </row>
    <row r="2499" spans="1:5" ht="15" customHeight="1" x14ac:dyDescent="0.3">
      <c r="A2499" t="s">
        <v>9274</v>
      </c>
      <c r="B2499" t="s">
        <v>86</v>
      </c>
      <c r="C2499" t="s">
        <v>2507</v>
      </c>
      <c r="D2499" t="s">
        <v>128</v>
      </c>
      <c r="E2499">
        <v>46000000</v>
      </c>
    </row>
    <row r="2500" spans="1:5" ht="15" customHeight="1" x14ac:dyDescent="0.3">
      <c r="A2500" t="s">
        <v>9275</v>
      </c>
      <c r="B2500" t="s">
        <v>241</v>
      </c>
      <c r="C2500" t="s">
        <v>2487</v>
      </c>
      <c r="D2500" t="s">
        <v>259</v>
      </c>
      <c r="E2500">
        <v>17900000</v>
      </c>
    </row>
    <row r="2501" spans="1:5" ht="15" customHeight="1" x14ac:dyDescent="0.3">
      <c r="A2501" t="s">
        <v>9276</v>
      </c>
      <c r="B2501" t="s">
        <v>220</v>
      </c>
      <c r="C2501" t="s">
        <v>223</v>
      </c>
      <c r="D2501" t="s">
        <v>226</v>
      </c>
      <c r="E2501">
        <v>17800000</v>
      </c>
    </row>
    <row r="2502" spans="1:5" ht="15" customHeight="1" x14ac:dyDescent="0.3">
      <c r="A2502" t="s">
        <v>9277</v>
      </c>
      <c r="B2502" t="s">
        <v>291</v>
      </c>
      <c r="C2502" t="s">
        <v>297</v>
      </c>
      <c r="D2502" t="s">
        <v>299</v>
      </c>
      <c r="E2502">
        <v>18800000</v>
      </c>
    </row>
    <row r="2503" spans="1:5" ht="15" customHeight="1" x14ac:dyDescent="0.3">
      <c r="A2503" t="s">
        <v>9150</v>
      </c>
      <c r="B2503" t="s">
        <v>311</v>
      </c>
      <c r="C2503" t="s">
        <v>315</v>
      </c>
      <c r="D2503" t="s">
        <v>8766</v>
      </c>
      <c r="E2503">
        <v>9500000</v>
      </c>
    </row>
    <row r="2504" spans="1:5" ht="15" customHeight="1" x14ac:dyDescent="0.3">
      <c r="A2504" t="s">
        <v>9278</v>
      </c>
      <c r="B2504" t="s">
        <v>278</v>
      </c>
      <c r="C2504">
        <v>1500</v>
      </c>
      <c r="D2504" t="s">
        <v>280</v>
      </c>
      <c r="E2504">
        <v>31600000</v>
      </c>
    </row>
    <row r="2505" spans="1:5" ht="15" customHeight="1" x14ac:dyDescent="0.3">
      <c r="A2505" t="s">
        <v>9279</v>
      </c>
      <c r="B2505" t="s">
        <v>156</v>
      </c>
      <c r="C2505" t="s">
        <v>2539</v>
      </c>
      <c r="D2505" t="s">
        <v>160</v>
      </c>
      <c r="E2505">
        <v>24500000</v>
      </c>
    </row>
    <row r="2506" spans="1:5" ht="15" customHeight="1" x14ac:dyDescent="0.3">
      <c r="A2506" t="s">
        <v>9280</v>
      </c>
      <c r="B2506" t="s">
        <v>45</v>
      </c>
      <c r="C2506" t="s">
        <v>49</v>
      </c>
      <c r="D2506" t="s">
        <v>51</v>
      </c>
      <c r="E2506">
        <v>47400000</v>
      </c>
    </row>
    <row r="2507" spans="1:5" ht="15" customHeight="1" x14ac:dyDescent="0.3">
      <c r="A2507" t="s">
        <v>9281</v>
      </c>
      <c r="B2507" t="s">
        <v>180</v>
      </c>
      <c r="C2507" t="s">
        <v>181</v>
      </c>
      <c r="D2507" t="s">
        <v>182</v>
      </c>
      <c r="E2507">
        <v>23600000</v>
      </c>
    </row>
    <row r="2508" spans="1:5" ht="15" customHeight="1" x14ac:dyDescent="0.3">
      <c r="A2508" t="s">
        <v>9282</v>
      </c>
      <c r="B2508" t="s">
        <v>241</v>
      </c>
      <c r="C2508" t="s">
        <v>2505</v>
      </c>
      <c r="D2508" t="s">
        <v>248</v>
      </c>
      <c r="E2508">
        <v>25100000</v>
      </c>
    </row>
    <row r="2509" spans="1:5" ht="15" customHeight="1" x14ac:dyDescent="0.3">
      <c r="A2509" t="s">
        <v>9283</v>
      </c>
      <c r="B2509" t="s">
        <v>241</v>
      </c>
      <c r="C2509" t="s">
        <v>2501</v>
      </c>
      <c r="D2509" t="s">
        <v>264</v>
      </c>
      <c r="E2509">
        <v>19200000</v>
      </c>
    </row>
    <row r="2510" spans="1:5" ht="15" customHeight="1" x14ac:dyDescent="0.3">
      <c r="A2510" t="s">
        <v>9151</v>
      </c>
      <c r="B2510" t="s">
        <v>86</v>
      </c>
      <c r="C2510" t="s">
        <v>2476</v>
      </c>
      <c r="D2510" t="s">
        <v>3365</v>
      </c>
      <c r="E2510">
        <v>35400000</v>
      </c>
    </row>
    <row r="2511" spans="1:5" ht="15" customHeight="1" x14ac:dyDescent="0.3">
      <c r="A2511" t="s">
        <v>9152</v>
      </c>
      <c r="B2511" t="s">
        <v>86</v>
      </c>
      <c r="C2511" t="s">
        <v>103</v>
      </c>
      <c r="D2511" t="s">
        <v>8767</v>
      </c>
      <c r="E2511">
        <v>32600000</v>
      </c>
    </row>
    <row r="2512" spans="1:5" ht="15" customHeight="1" x14ac:dyDescent="0.3">
      <c r="A2512" t="s">
        <v>9284</v>
      </c>
      <c r="B2512" t="s">
        <v>86</v>
      </c>
      <c r="C2512" t="s">
        <v>2507</v>
      </c>
      <c r="D2512" t="s">
        <v>124</v>
      </c>
      <c r="E2512">
        <v>34800000</v>
      </c>
    </row>
    <row r="2513" spans="1:5" ht="15" customHeight="1" x14ac:dyDescent="0.3">
      <c r="A2513" t="s">
        <v>9285</v>
      </c>
      <c r="B2513" t="s">
        <v>241</v>
      </c>
      <c r="C2513" t="s">
        <v>269</v>
      </c>
      <c r="D2513" t="s">
        <v>274</v>
      </c>
      <c r="E2513">
        <v>22100000</v>
      </c>
    </row>
    <row r="2514" spans="1:5" ht="15" customHeight="1" x14ac:dyDescent="0.3">
      <c r="A2514" t="s">
        <v>9286</v>
      </c>
      <c r="B2514" t="s">
        <v>241</v>
      </c>
      <c r="C2514" t="s">
        <v>2487</v>
      </c>
      <c r="D2514" t="s">
        <v>255</v>
      </c>
      <c r="E2514">
        <v>14000000</v>
      </c>
    </row>
    <row r="2515" spans="1:5" ht="15" customHeight="1" x14ac:dyDescent="0.3">
      <c r="A2515" t="s">
        <v>9153</v>
      </c>
      <c r="B2515" t="s">
        <v>28</v>
      </c>
      <c r="C2515" t="s">
        <v>38</v>
      </c>
      <c r="D2515" t="s">
        <v>8768</v>
      </c>
      <c r="E2515">
        <v>14000000</v>
      </c>
    </row>
    <row r="2516" spans="1:5" ht="15" customHeight="1" x14ac:dyDescent="0.3">
      <c r="A2516" t="s">
        <v>9287</v>
      </c>
      <c r="B2516" t="s">
        <v>156</v>
      </c>
      <c r="C2516" t="s">
        <v>165</v>
      </c>
      <c r="D2516" t="s">
        <v>166</v>
      </c>
      <c r="E2516">
        <v>21300000</v>
      </c>
    </row>
    <row r="2517" spans="1:5" ht="15" customHeight="1" x14ac:dyDescent="0.3">
      <c r="A2517" t="s">
        <v>9288</v>
      </c>
      <c r="B2517" t="s">
        <v>241</v>
      </c>
      <c r="C2517" t="s">
        <v>2501</v>
      </c>
      <c r="D2517" t="s">
        <v>268</v>
      </c>
      <c r="E2517">
        <v>23200000</v>
      </c>
    </row>
    <row r="2518" spans="1:5" ht="15" customHeight="1" x14ac:dyDescent="0.3">
      <c r="A2518" t="s">
        <v>9289</v>
      </c>
      <c r="B2518" t="s">
        <v>207</v>
      </c>
      <c r="C2518" t="s">
        <v>211</v>
      </c>
      <c r="D2518" t="s">
        <v>213</v>
      </c>
      <c r="E2518">
        <v>41000000</v>
      </c>
    </row>
    <row r="2519" spans="1:5" ht="15" customHeight="1" x14ac:dyDescent="0.3">
      <c r="A2519" t="s">
        <v>9154</v>
      </c>
      <c r="B2519" t="s">
        <v>45</v>
      </c>
      <c r="C2519" t="s">
        <v>2884</v>
      </c>
      <c r="D2519" t="s">
        <v>2885</v>
      </c>
      <c r="E2519">
        <v>8800000</v>
      </c>
    </row>
    <row r="2520" spans="1:5" ht="15" customHeight="1" x14ac:dyDescent="0.3">
      <c r="A2520" t="s">
        <v>11846</v>
      </c>
      <c r="B2520" t="s">
        <v>86</v>
      </c>
      <c r="C2520" t="s">
        <v>122</v>
      </c>
      <c r="D2520" t="s">
        <v>3908</v>
      </c>
      <c r="E2520">
        <v>19400000</v>
      </c>
    </row>
    <row r="2521" spans="1:5" ht="15" customHeight="1" x14ac:dyDescent="0.3">
      <c r="A2521" t="s">
        <v>9155</v>
      </c>
      <c r="B2521" t="s">
        <v>2517</v>
      </c>
      <c r="C2521" t="s">
        <v>8856</v>
      </c>
      <c r="D2521" t="s">
        <v>8769</v>
      </c>
      <c r="E2521">
        <v>6580000</v>
      </c>
    </row>
    <row r="2522" spans="1:5" ht="15" customHeight="1" x14ac:dyDescent="0.3">
      <c r="A2522" t="s">
        <v>9290</v>
      </c>
      <c r="B2522" t="s">
        <v>86</v>
      </c>
      <c r="C2522" t="s">
        <v>93</v>
      </c>
      <c r="D2522" t="s">
        <v>95</v>
      </c>
      <c r="E2522">
        <v>26200000</v>
      </c>
    </row>
    <row r="2523" spans="1:5" ht="15" customHeight="1" x14ac:dyDescent="0.3">
      <c r="A2523" t="s">
        <v>9291</v>
      </c>
      <c r="B2523" t="s">
        <v>220</v>
      </c>
      <c r="C2523" t="s">
        <v>223</v>
      </c>
      <c r="D2523" t="s">
        <v>227</v>
      </c>
      <c r="E2523">
        <v>17700000</v>
      </c>
    </row>
    <row r="2524" spans="1:5" ht="15" customHeight="1" x14ac:dyDescent="0.3">
      <c r="A2524" t="s">
        <v>9156</v>
      </c>
      <c r="B2524" t="s">
        <v>311</v>
      </c>
      <c r="C2524" t="s">
        <v>312</v>
      </c>
      <c r="D2524" t="s">
        <v>8770</v>
      </c>
      <c r="E2524">
        <v>31600000</v>
      </c>
    </row>
    <row r="2525" spans="1:5" ht="15" customHeight="1" x14ac:dyDescent="0.3">
      <c r="A2525" t="s">
        <v>9292</v>
      </c>
      <c r="B2525" t="s">
        <v>241</v>
      </c>
      <c r="C2525" t="s">
        <v>2505</v>
      </c>
      <c r="D2525" t="s">
        <v>768</v>
      </c>
      <c r="E2525">
        <v>24600000</v>
      </c>
    </row>
    <row r="2526" spans="1:5" ht="15" customHeight="1" x14ac:dyDescent="0.3">
      <c r="A2526" t="s">
        <v>9293</v>
      </c>
      <c r="B2526" t="s">
        <v>241</v>
      </c>
      <c r="C2526" t="s">
        <v>2485</v>
      </c>
      <c r="D2526" t="s">
        <v>8216</v>
      </c>
      <c r="E2526">
        <v>11600000</v>
      </c>
    </row>
    <row r="2527" spans="1:5" ht="15" customHeight="1" x14ac:dyDescent="0.3">
      <c r="A2527" t="s">
        <v>9294</v>
      </c>
      <c r="B2527" t="s">
        <v>2549</v>
      </c>
      <c r="C2527" t="s">
        <v>2655</v>
      </c>
      <c r="D2527" t="s">
        <v>3715</v>
      </c>
      <c r="E2527">
        <v>18800000</v>
      </c>
    </row>
    <row r="2528" spans="1:5" ht="15" customHeight="1" x14ac:dyDescent="0.3">
      <c r="A2528" t="s">
        <v>9295</v>
      </c>
      <c r="B2528" t="s">
        <v>241</v>
      </c>
      <c r="C2528" t="s">
        <v>3645</v>
      </c>
      <c r="D2528" t="s">
        <v>3646</v>
      </c>
      <c r="E2528">
        <v>24900000</v>
      </c>
    </row>
    <row r="2529" spans="1:5" ht="15" customHeight="1" x14ac:dyDescent="0.3">
      <c r="A2529" t="s">
        <v>9296</v>
      </c>
      <c r="B2529" t="s">
        <v>241</v>
      </c>
      <c r="C2529" t="s">
        <v>2505</v>
      </c>
      <c r="D2529" t="s">
        <v>3622</v>
      </c>
      <c r="E2529">
        <v>24200000</v>
      </c>
    </row>
    <row r="2530" spans="1:5" ht="15" customHeight="1" x14ac:dyDescent="0.3">
      <c r="A2530" t="s">
        <v>9297</v>
      </c>
      <c r="B2530" t="s">
        <v>241</v>
      </c>
      <c r="C2530" t="s">
        <v>269</v>
      </c>
      <c r="D2530" t="s">
        <v>3706</v>
      </c>
      <c r="E2530">
        <v>19400000</v>
      </c>
    </row>
    <row r="2531" spans="1:5" ht="15" customHeight="1" x14ac:dyDescent="0.3">
      <c r="A2531" t="s">
        <v>9298</v>
      </c>
      <c r="B2531" t="s">
        <v>241</v>
      </c>
      <c r="C2531" t="s">
        <v>2505</v>
      </c>
      <c r="D2531" t="s">
        <v>3679</v>
      </c>
      <c r="E2531">
        <v>25100000</v>
      </c>
    </row>
    <row r="2532" spans="1:5" ht="15" customHeight="1" x14ac:dyDescent="0.3">
      <c r="A2532" t="s">
        <v>9299</v>
      </c>
      <c r="B2532" t="s">
        <v>2549</v>
      </c>
      <c r="C2532" t="s">
        <v>3658</v>
      </c>
      <c r="D2532" t="s">
        <v>3659</v>
      </c>
      <c r="E2532">
        <v>15800000</v>
      </c>
    </row>
    <row r="2533" spans="1:5" ht="15" customHeight="1" x14ac:dyDescent="0.3">
      <c r="A2533" t="s">
        <v>9300</v>
      </c>
      <c r="B2533" t="s">
        <v>241</v>
      </c>
      <c r="C2533" t="s">
        <v>2485</v>
      </c>
      <c r="D2533" t="s">
        <v>3035</v>
      </c>
      <c r="E2533">
        <v>13300000</v>
      </c>
    </row>
    <row r="2534" spans="1:5" ht="15" customHeight="1" x14ac:dyDescent="0.3">
      <c r="A2534" t="s">
        <v>9301</v>
      </c>
      <c r="B2534" t="s">
        <v>241</v>
      </c>
      <c r="C2534" t="s">
        <v>2505</v>
      </c>
      <c r="D2534" t="s">
        <v>3050</v>
      </c>
      <c r="E2534">
        <v>24600000</v>
      </c>
    </row>
    <row r="2535" spans="1:5" ht="15" customHeight="1" x14ac:dyDescent="0.3">
      <c r="A2535" t="s">
        <v>9302</v>
      </c>
      <c r="B2535" t="s">
        <v>241</v>
      </c>
      <c r="C2535" t="s">
        <v>3164</v>
      </c>
      <c r="D2535" t="s">
        <v>532</v>
      </c>
      <c r="E2535">
        <v>28600000</v>
      </c>
    </row>
    <row r="2536" spans="1:5" ht="15" customHeight="1" x14ac:dyDescent="0.3">
      <c r="A2536" t="s">
        <v>9303</v>
      </c>
      <c r="B2536" t="s">
        <v>241</v>
      </c>
      <c r="C2536" t="s">
        <v>2584</v>
      </c>
      <c r="D2536" t="s">
        <v>2999</v>
      </c>
      <c r="E2536">
        <v>16100000</v>
      </c>
    </row>
    <row r="2537" spans="1:5" ht="15" customHeight="1" x14ac:dyDescent="0.3">
      <c r="A2537" t="s">
        <v>9157</v>
      </c>
      <c r="B2537" t="s">
        <v>86</v>
      </c>
      <c r="C2537" t="s">
        <v>2793</v>
      </c>
      <c r="D2537" t="s">
        <v>8771</v>
      </c>
      <c r="E2537">
        <v>15300000</v>
      </c>
    </row>
    <row r="2538" spans="1:5" ht="15" customHeight="1" x14ac:dyDescent="0.3">
      <c r="A2538" t="s">
        <v>9304</v>
      </c>
      <c r="B2538" t="s">
        <v>241</v>
      </c>
      <c r="C2538" t="s">
        <v>2584</v>
      </c>
      <c r="D2538" t="s">
        <v>3630</v>
      </c>
      <c r="E2538">
        <v>16500000</v>
      </c>
    </row>
    <row r="2539" spans="1:5" ht="15" customHeight="1" x14ac:dyDescent="0.3">
      <c r="A2539" t="s">
        <v>9305</v>
      </c>
      <c r="B2539" t="s">
        <v>241</v>
      </c>
      <c r="C2539" t="s">
        <v>269</v>
      </c>
      <c r="D2539" t="s">
        <v>506</v>
      </c>
      <c r="E2539">
        <v>21500000</v>
      </c>
    </row>
    <row r="2540" spans="1:5" ht="15" customHeight="1" x14ac:dyDescent="0.3">
      <c r="A2540" t="s">
        <v>9306</v>
      </c>
      <c r="B2540" t="s">
        <v>241</v>
      </c>
      <c r="C2540" t="s">
        <v>269</v>
      </c>
      <c r="D2540" t="s">
        <v>2978</v>
      </c>
      <c r="E2540">
        <v>20400000</v>
      </c>
    </row>
    <row r="2541" spans="1:5" ht="15" customHeight="1" x14ac:dyDescent="0.3">
      <c r="A2541" t="s">
        <v>9307</v>
      </c>
      <c r="B2541" t="s">
        <v>241</v>
      </c>
      <c r="C2541" t="s">
        <v>2584</v>
      </c>
      <c r="D2541" t="s">
        <v>2973</v>
      </c>
      <c r="E2541">
        <v>15400000</v>
      </c>
    </row>
    <row r="2542" spans="1:5" ht="15" customHeight="1" x14ac:dyDescent="0.3">
      <c r="A2542" t="s">
        <v>9158</v>
      </c>
      <c r="B2542" t="s">
        <v>300</v>
      </c>
      <c r="C2542" t="s">
        <v>2930</v>
      </c>
      <c r="D2542" t="s">
        <v>8772</v>
      </c>
      <c r="E2542">
        <v>16800000</v>
      </c>
    </row>
    <row r="2543" spans="1:5" ht="15" customHeight="1" x14ac:dyDescent="0.3">
      <c r="A2543" t="s">
        <v>9159</v>
      </c>
      <c r="B2543" t="s">
        <v>306</v>
      </c>
      <c r="C2543" t="s">
        <v>3722</v>
      </c>
      <c r="D2543" t="s">
        <v>3752</v>
      </c>
      <c r="E2543">
        <v>24700000</v>
      </c>
    </row>
    <row r="2544" spans="1:5" ht="15" customHeight="1" x14ac:dyDescent="0.3">
      <c r="A2544" t="s">
        <v>9308</v>
      </c>
      <c r="B2544" t="s">
        <v>2549</v>
      </c>
      <c r="C2544" t="s">
        <v>3485</v>
      </c>
      <c r="D2544" t="s">
        <v>3739</v>
      </c>
      <c r="E2544">
        <v>12400000</v>
      </c>
    </row>
    <row r="2545" spans="1:5" ht="15" customHeight="1" x14ac:dyDescent="0.3">
      <c r="A2545" t="s">
        <v>9309</v>
      </c>
      <c r="B2545" t="s">
        <v>241</v>
      </c>
      <c r="C2545">
        <v>3008</v>
      </c>
      <c r="D2545" t="s">
        <v>2647</v>
      </c>
      <c r="E2545">
        <v>15500000</v>
      </c>
    </row>
    <row r="2546" spans="1:5" ht="15" customHeight="1" x14ac:dyDescent="0.3">
      <c r="A2546" t="s">
        <v>9310</v>
      </c>
      <c r="B2546" t="s">
        <v>241</v>
      </c>
      <c r="C2546">
        <v>208</v>
      </c>
      <c r="D2546" t="s">
        <v>2649</v>
      </c>
      <c r="E2546">
        <v>14000000</v>
      </c>
    </row>
    <row r="2547" spans="1:5" ht="15" customHeight="1" x14ac:dyDescent="0.3">
      <c r="A2547" t="s">
        <v>9311</v>
      </c>
      <c r="B2547" t="s">
        <v>241</v>
      </c>
      <c r="C2547" t="s">
        <v>269</v>
      </c>
      <c r="D2547" t="s">
        <v>7658</v>
      </c>
      <c r="E2547">
        <v>20000000</v>
      </c>
    </row>
    <row r="2548" spans="1:5" ht="15" customHeight="1" x14ac:dyDescent="0.3">
      <c r="A2548" t="s">
        <v>9312</v>
      </c>
      <c r="B2548" t="s">
        <v>241</v>
      </c>
      <c r="C2548" t="s">
        <v>269</v>
      </c>
      <c r="D2548" t="s">
        <v>2503</v>
      </c>
      <c r="E2548">
        <v>15400000</v>
      </c>
    </row>
    <row r="2549" spans="1:5" ht="15" customHeight="1" x14ac:dyDescent="0.3">
      <c r="A2549" t="s">
        <v>9313</v>
      </c>
      <c r="B2549" t="s">
        <v>241</v>
      </c>
      <c r="C2549" t="s">
        <v>2584</v>
      </c>
      <c r="D2549" t="s">
        <v>3059</v>
      </c>
      <c r="E2549">
        <v>16900000</v>
      </c>
    </row>
    <row r="2550" spans="1:5" ht="15" customHeight="1" x14ac:dyDescent="0.3">
      <c r="A2550" t="s">
        <v>9314</v>
      </c>
      <c r="B2550" t="s">
        <v>241</v>
      </c>
      <c r="C2550" t="s">
        <v>3164</v>
      </c>
      <c r="D2550" t="s">
        <v>3165</v>
      </c>
      <c r="E2550">
        <v>24100000</v>
      </c>
    </row>
    <row r="2551" spans="1:5" ht="15" customHeight="1" x14ac:dyDescent="0.3">
      <c r="A2551" t="s">
        <v>9315</v>
      </c>
      <c r="B2551" t="s">
        <v>241</v>
      </c>
      <c r="C2551" t="s">
        <v>269</v>
      </c>
      <c r="D2551" t="s">
        <v>7971</v>
      </c>
      <c r="E2551">
        <v>21900000</v>
      </c>
    </row>
    <row r="2552" spans="1:5" ht="15" customHeight="1" x14ac:dyDescent="0.3">
      <c r="A2552" t="s">
        <v>9316</v>
      </c>
      <c r="B2552" t="s">
        <v>241</v>
      </c>
      <c r="C2552" t="s">
        <v>269</v>
      </c>
      <c r="D2552" t="s">
        <v>2618</v>
      </c>
      <c r="E2552">
        <v>20500000</v>
      </c>
    </row>
    <row r="2553" spans="1:5" ht="15" customHeight="1" x14ac:dyDescent="0.3">
      <c r="A2553" t="s">
        <v>9317</v>
      </c>
      <c r="B2553" t="s">
        <v>241</v>
      </c>
      <c r="C2553" t="s">
        <v>2485</v>
      </c>
      <c r="D2553" t="s">
        <v>2632</v>
      </c>
      <c r="E2553">
        <v>13600000</v>
      </c>
    </row>
    <row r="2554" spans="1:5" ht="15" customHeight="1" x14ac:dyDescent="0.3">
      <c r="A2554" t="s">
        <v>9318</v>
      </c>
      <c r="B2554" t="s">
        <v>241</v>
      </c>
      <c r="C2554">
        <v>308</v>
      </c>
      <c r="D2554" t="s">
        <v>2637</v>
      </c>
      <c r="E2554">
        <v>17100000</v>
      </c>
    </row>
    <row r="2555" spans="1:5" ht="15" customHeight="1" x14ac:dyDescent="0.3">
      <c r="A2555" t="s">
        <v>9319</v>
      </c>
      <c r="B2555" t="s">
        <v>241</v>
      </c>
      <c r="C2555">
        <v>3008</v>
      </c>
      <c r="D2555" t="s">
        <v>2619</v>
      </c>
      <c r="E2555">
        <v>17500000</v>
      </c>
    </row>
    <row r="2556" spans="1:5" ht="15" customHeight="1" x14ac:dyDescent="0.3">
      <c r="A2556" t="s">
        <v>9320</v>
      </c>
      <c r="B2556" t="s">
        <v>241</v>
      </c>
      <c r="C2556" t="s">
        <v>2621</v>
      </c>
      <c r="D2556" t="s">
        <v>2622</v>
      </c>
      <c r="E2556">
        <v>21000000</v>
      </c>
    </row>
    <row r="2557" spans="1:5" ht="15" customHeight="1" x14ac:dyDescent="0.3">
      <c r="A2557" t="s">
        <v>9321</v>
      </c>
      <c r="B2557" t="s">
        <v>241</v>
      </c>
      <c r="C2557">
        <v>3008</v>
      </c>
      <c r="D2557" t="s">
        <v>2617</v>
      </c>
      <c r="E2557">
        <v>28700000</v>
      </c>
    </row>
    <row r="2558" spans="1:5" ht="15" customHeight="1" x14ac:dyDescent="0.3">
      <c r="A2558" t="s">
        <v>9322</v>
      </c>
      <c r="B2558" t="s">
        <v>241</v>
      </c>
      <c r="C2558" t="s">
        <v>276</v>
      </c>
      <c r="D2558" t="s">
        <v>3183</v>
      </c>
      <c r="E2558">
        <v>13500000</v>
      </c>
    </row>
    <row r="2559" spans="1:5" ht="15" customHeight="1" x14ac:dyDescent="0.3">
      <c r="A2559" t="s">
        <v>9323</v>
      </c>
      <c r="B2559" t="s">
        <v>241</v>
      </c>
      <c r="C2559">
        <v>3008</v>
      </c>
      <c r="D2559" t="s">
        <v>2615</v>
      </c>
      <c r="E2559">
        <v>23400000</v>
      </c>
    </row>
    <row r="2560" spans="1:5" ht="15" customHeight="1" x14ac:dyDescent="0.3">
      <c r="A2560" t="s">
        <v>9324</v>
      </c>
      <c r="B2560" t="s">
        <v>241</v>
      </c>
      <c r="C2560" t="s">
        <v>2584</v>
      </c>
      <c r="D2560" t="s">
        <v>2698</v>
      </c>
      <c r="E2560">
        <v>15400000</v>
      </c>
    </row>
    <row r="2561" spans="1:5" ht="15" customHeight="1" x14ac:dyDescent="0.3">
      <c r="A2561" t="s">
        <v>9325</v>
      </c>
      <c r="B2561" t="s">
        <v>241</v>
      </c>
      <c r="C2561" t="s">
        <v>2487</v>
      </c>
      <c r="D2561" t="s">
        <v>2589</v>
      </c>
      <c r="E2561">
        <v>14400000</v>
      </c>
    </row>
    <row r="2562" spans="1:5" ht="15" customHeight="1" x14ac:dyDescent="0.3">
      <c r="A2562" t="s">
        <v>9326</v>
      </c>
      <c r="B2562" t="s">
        <v>173</v>
      </c>
      <c r="C2562">
        <v>7</v>
      </c>
      <c r="D2562" t="s">
        <v>3173</v>
      </c>
      <c r="E2562">
        <v>24100000</v>
      </c>
    </row>
    <row r="2563" spans="1:5" ht="15" customHeight="1" x14ac:dyDescent="0.3">
      <c r="A2563" t="s">
        <v>9327</v>
      </c>
      <c r="B2563" t="s">
        <v>2992</v>
      </c>
      <c r="C2563" t="s">
        <v>2993</v>
      </c>
      <c r="D2563" t="s">
        <v>364</v>
      </c>
      <c r="E2563">
        <v>15800000</v>
      </c>
    </row>
    <row r="2564" spans="1:5" ht="15" customHeight="1" x14ac:dyDescent="0.3">
      <c r="A2564" t="s">
        <v>9328</v>
      </c>
      <c r="B2564" t="s">
        <v>2498</v>
      </c>
      <c r="C2564" t="s">
        <v>2830</v>
      </c>
      <c r="D2564" t="s">
        <v>3613</v>
      </c>
      <c r="E2564">
        <v>17200000</v>
      </c>
    </row>
    <row r="2565" spans="1:5" ht="15" customHeight="1" x14ac:dyDescent="0.3">
      <c r="A2565" t="s">
        <v>9329</v>
      </c>
      <c r="B2565" t="s">
        <v>2498</v>
      </c>
      <c r="C2565" t="s">
        <v>2833</v>
      </c>
      <c r="D2565" t="s">
        <v>3624</v>
      </c>
      <c r="E2565">
        <v>36700000</v>
      </c>
    </row>
    <row r="2566" spans="1:5" ht="15" customHeight="1" x14ac:dyDescent="0.3">
      <c r="A2566" t="s">
        <v>9330</v>
      </c>
      <c r="B2566" t="s">
        <v>237</v>
      </c>
      <c r="C2566" t="s">
        <v>3170</v>
      </c>
      <c r="D2566" t="s">
        <v>3171</v>
      </c>
      <c r="E2566">
        <v>18600000</v>
      </c>
    </row>
    <row r="2567" spans="1:5" ht="15" customHeight="1" x14ac:dyDescent="0.3">
      <c r="A2567" t="s">
        <v>9331</v>
      </c>
      <c r="B2567" t="s">
        <v>2545</v>
      </c>
      <c r="C2567" t="s">
        <v>2856</v>
      </c>
      <c r="D2567" t="s">
        <v>8036</v>
      </c>
      <c r="E2567">
        <v>22800000</v>
      </c>
    </row>
    <row r="2568" spans="1:5" ht="15" customHeight="1" x14ac:dyDescent="0.3">
      <c r="A2568" t="s">
        <v>9332</v>
      </c>
      <c r="B2568" t="s">
        <v>2498</v>
      </c>
      <c r="C2568" t="s">
        <v>3136</v>
      </c>
      <c r="D2568" t="s">
        <v>3694</v>
      </c>
      <c r="E2568">
        <v>15900000</v>
      </c>
    </row>
    <row r="2569" spans="1:5" ht="15" customHeight="1" x14ac:dyDescent="0.3">
      <c r="A2569" t="s">
        <v>9333</v>
      </c>
      <c r="B2569" t="s">
        <v>173</v>
      </c>
      <c r="C2569">
        <v>7</v>
      </c>
      <c r="D2569" t="s">
        <v>8808</v>
      </c>
      <c r="E2569">
        <v>21800000</v>
      </c>
    </row>
    <row r="2570" spans="1:5" ht="15" customHeight="1" x14ac:dyDescent="0.3">
      <c r="A2570" t="s">
        <v>9334</v>
      </c>
      <c r="B2570" t="s">
        <v>173</v>
      </c>
      <c r="C2570">
        <v>7</v>
      </c>
      <c r="D2570" t="s">
        <v>2640</v>
      </c>
      <c r="E2570">
        <v>17600000</v>
      </c>
    </row>
    <row r="2571" spans="1:5" ht="15" customHeight="1" x14ac:dyDescent="0.3">
      <c r="A2571" t="s">
        <v>9335</v>
      </c>
      <c r="B2571" t="s">
        <v>173</v>
      </c>
      <c r="C2571">
        <v>7</v>
      </c>
      <c r="D2571" t="s">
        <v>3034</v>
      </c>
      <c r="E2571">
        <v>17100000</v>
      </c>
    </row>
    <row r="2572" spans="1:5" ht="15" customHeight="1" x14ac:dyDescent="0.3">
      <c r="A2572" t="s">
        <v>9336</v>
      </c>
      <c r="B2572" t="s">
        <v>237</v>
      </c>
      <c r="C2572" t="s">
        <v>65</v>
      </c>
      <c r="D2572" t="s">
        <v>7812</v>
      </c>
      <c r="E2572">
        <v>14500000</v>
      </c>
    </row>
    <row r="2573" spans="1:5" ht="15" customHeight="1" x14ac:dyDescent="0.3">
      <c r="A2573" t="s">
        <v>9337</v>
      </c>
      <c r="B2573" t="s">
        <v>28</v>
      </c>
      <c r="C2573" t="s">
        <v>35</v>
      </c>
      <c r="D2573" t="s">
        <v>544</v>
      </c>
      <c r="E2573">
        <v>11700000</v>
      </c>
    </row>
    <row r="2574" spans="1:5" ht="15" customHeight="1" x14ac:dyDescent="0.3">
      <c r="A2574" t="s">
        <v>9338</v>
      </c>
      <c r="B2574" t="s">
        <v>86</v>
      </c>
      <c r="C2574" t="s">
        <v>3068</v>
      </c>
      <c r="D2574" t="s">
        <v>666</v>
      </c>
      <c r="E2574">
        <v>39000000</v>
      </c>
    </row>
    <row r="2575" spans="1:5" ht="15" customHeight="1" x14ac:dyDescent="0.3">
      <c r="A2575" t="s">
        <v>9339</v>
      </c>
      <c r="B2575" t="s">
        <v>18</v>
      </c>
      <c r="C2575" t="s">
        <v>2641</v>
      </c>
      <c r="D2575" t="s">
        <v>2642</v>
      </c>
      <c r="E2575">
        <v>20600000</v>
      </c>
    </row>
    <row r="2576" spans="1:5" ht="15" customHeight="1" x14ac:dyDescent="0.3">
      <c r="A2576" t="s">
        <v>9340</v>
      </c>
      <c r="B2576" t="s">
        <v>278</v>
      </c>
      <c r="C2576" t="s">
        <v>285</v>
      </c>
      <c r="D2576" t="s">
        <v>3106</v>
      </c>
      <c r="E2576">
        <v>28300000</v>
      </c>
    </row>
    <row r="2577" spans="1:5" ht="15" customHeight="1" x14ac:dyDescent="0.3">
      <c r="A2577" t="s">
        <v>9341</v>
      </c>
      <c r="B2577" t="s">
        <v>2526</v>
      </c>
      <c r="C2577" t="s">
        <v>3850</v>
      </c>
      <c r="D2577" t="s">
        <v>8500</v>
      </c>
      <c r="E2577">
        <v>13700000</v>
      </c>
    </row>
    <row r="2578" spans="1:5" ht="15" customHeight="1" x14ac:dyDescent="0.3">
      <c r="A2578" t="s">
        <v>9342</v>
      </c>
      <c r="B2578" t="s">
        <v>28</v>
      </c>
      <c r="C2578" t="s">
        <v>2490</v>
      </c>
      <c r="D2578" t="s">
        <v>3138</v>
      </c>
      <c r="E2578">
        <v>15400000</v>
      </c>
    </row>
    <row r="2579" spans="1:5" ht="15" customHeight="1" x14ac:dyDescent="0.3">
      <c r="A2579" t="s">
        <v>9343</v>
      </c>
      <c r="B2579" t="s">
        <v>86</v>
      </c>
      <c r="C2579" t="s">
        <v>3068</v>
      </c>
      <c r="D2579" t="s">
        <v>7997</v>
      </c>
      <c r="E2579">
        <v>39500000</v>
      </c>
    </row>
    <row r="2580" spans="1:5" ht="15" customHeight="1" x14ac:dyDescent="0.3">
      <c r="A2580" t="s">
        <v>9344</v>
      </c>
      <c r="B2580" t="s">
        <v>220</v>
      </c>
      <c r="C2580" t="s">
        <v>223</v>
      </c>
      <c r="D2580" t="s">
        <v>2620</v>
      </c>
      <c r="E2580">
        <v>21000000</v>
      </c>
    </row>
    <row r="2581" spans="1:5" ht="15" customHeight="1" x14ac:dyDescent="0.3">
      <c r="A2581" t="s">
        <v>9345</v>
      </c>
      <c r="B2581" t="s">
        <v>220</v>
      </c>
      <c r="C2581" t="s">
        <v>2492</v>
      </c>
      <c r="D2581" t="s">
        <v>3561</v>
      </c>
      <c r="E2581">
        <v>20200000</v>
      </c>
    </row>
    <row r="2582" spans="1:5" ht="15" customHeight="1" x14ac:dyDescent="0.3">
      <c r="A2582" t="s">
        <v>9160</v>
      </c>
      <c r="B2582" t="s">
        <v>86</v>
      </c>
      <c r="C2582" t="s">
        <v>2556</v>
      </c>
      <c r="D2582" t="s">
        <v>8773</v>
      </c>
      <c r="E2582">
        <v>16700000</v>
      </c>
    </row>
    <row r="2583" spans="1:5" ht="15" customHeight="1" x14ac:dyDescent="0.3">
      <c r="A2583" t="s">
        <v>9161</v>
      </c>
      <c r="B2583" t="s">
        <v>220</v>
      </c>
      <c r="C2583" t="s">
        <v>2682</v>
      </c>
      <c r="D2583" t="s">
        <v>8774</v>
      </c>
      <c r="E2583">
        <v>22600000</v>
      </c>
    </row>
    <row r="2584" spans="1:5" ht="15" customHeight="1" x14ac:dyDescent="0.3">
      <c r="A2584" t="s">
        <v>9162</v>
      </c>
      <c r="B2584" t="s">
        <v>156</v>
      </c>
      <c r="C2584" t="s">
        <v>2707</v>
      </c>
      <c r="D2584" t="s">
        <v>8775</v>
      </c>
      <c r="E2584">
        <v>9700000</v>
      </c>
    </row>
    <row r="2585" spans="1:5" ht="15" customHeight="1" x14ac:dyDescent="0.3">
      <c r="A2585" t="s">
        <v>9163</v>
      </c>
      <c r="B2585" t="s">
        <v>220</v>
      </c>
      <c r="C2585" t="s">
        <v>2577</v>
      </c>
      <c r="D2585" t="s">
        <v>8776</v>
      </c>
      <c r="E2585">
        <v>11200000</v>
      </c>
    </row>
    <row r="2586" spans="1:5" ht="15" customHeight="1" x14ac:dyDescent="0.3">
      <c r="A2586" t="s">
        <v>9164</v>
      </c>
      <c r="B2586" t="s">
        <v>156</v>
      </c>
      <c r="C2586" t="s">
        <v>2912</v>
      </c>
      <c r="D2586" t="s">
        <v>2990</v>
      </c>
      <c r="E2586">
        <v>9300000</v>
      </c>
    </row>
    <row r="2587" spans="1:5" ht="15" customHeight="1" x14ac:dyDescent="0.3">
      <c r="A2587" t="s">
        <v>9165</v>
      </c>
      <c r="B2587" t="s">
        <v>311</v>
      </c>
      <c r="C2587" t="s">
        <v>3599</v>
      </c>
      <c r="D2587" t="s">
        <v>8777</v>
      </c>
      <c r="E2587">
        <v>22500000</v>
      </c>
    </row>
    <row r="2588" spans="1:5" ht="15" customHeight="1" x14ac:dyDescent="0.3">
      <c r="A2588" t="s">
        <v>9166</v>
      </c>
      <c r="B2588" t="s">
        <v>86</v>
      </c>
      <c r="C2588" t="s">
        <v>134</v>
      </c>
      <c r="D2588" t="s">
        <v>8778</v>
      </c>
      <c r="E2588">
        <v>12200000</v>
      </c>
    </row>
    <row r="2589" spans="1:5" ht="15" customHeight="1" x14ac:dyDescent="0.3">
      <c r="A2589" t="s">
        <v>9167</v>
      </c>
      <c r="B2589" t="s">
        <v>220</v>
      </c>
      <c r="C2589" t="s">
        <v>2682</v>
      </c>
      <c r="D2589" t="s">
        <v>8779</v>
      </c>
      <c r="E2589">
        <v>19100000</v>
      </c>
    </row>
    <row r="2590" spans="1:5" ht="15" customHeight="1" x14ac:dyDescent="0.3">
      <c r="A2590" t="s">
        <v>9168</v>
      </c>
      <c r="B2590" t="s">
        <v>220</v>
      </c>
      <c r="C2590" t="s">
        <v>2682</v>
      </c>
      <c r="D2590" t="s">
        <v>8779</v>
      </c>
      <c r="E2590">
        <v>17000000</v>
      </c>
    </row>
    <row r="2591" spans="1:5" ht="15" customHeight="1" x14ac:dyDescent="0.3">
      <c r="A2591" t="s">
        <v>9169</v>
      </c>
      <c r="B2591" t="s">
        <v>2549</v>
      </c>
      <c r="C2591" t="s">
        <v>2655</v>
      </c>
      <c r="D2591" t="s">
        <v>8780</v>
      </c>
      <c r="E2591">
        <v>13700000</v>
      </c>
    </row>
    <row r="2592" spans="1:5" ht="15" customHeight="1" x14ac:dyDescent="0.3">
      <c r="A2592" t="s">
        <v>9170</v>
      </c>
      <c r="B2592" t="s">
        <v>2498</v>
      </c>
      <c r="C2592" t="s">
        <v>2587</v>
      </c>
      <c r="D2592" t="s">
        <v>8781</v>
      </c>
      <c r="E2592">
        <v>16500000</v>
      </c>
    </row>
    <row r="2593" spans="1:5" ht="15" customHeight="1" x14ac:dyDescent="0.3">
      <c r="A2593" t="s">
        <v>9171</v>
      </c>
      <c r="B2593" t="s">
        <v>237</v>
      </c>
      <c r="C2593" t="s">
        <v>65</v>
      </c>
      <c r="D2593" t="s">
        <v>8782</v>
      </c>
      <c r="E2593">
        <v>12100000</v>
      </c>
    </row>
    <row r="2594" spans="1:5" ht="15" customHeight="1" x14ac:dyDescent="0.3">
      <c r="A2594" t="s">
        <v>9172</v>
      </c>
      <c r="B2594" t="s">
        <v>28</v>
      </c>
      <c r="C2594" t="s">
        <v>31</v>
      </c>
      <c r="D2594" t="s">
        <v>8783</v>
      </c>
      <c r="E2594">
        <v>7550000</v>
      </c>
    </row>
    <row r="2595" spans="1:5" ht="15" customHeight="1" x14ac:dyDescent="0.3">
      <c r="A2595" t="s">
        <v>9173</v>
      </c>
      <c r="B2595" t="s">
        <v>306</v>
      </c>
      <c r="C2595" t="s">
        <v>3722</v>
      </c>
      <c r="D2595" t="s">
        <v>8784</v>
      </c>
      <c r="E2595">
        <v>24100000</v>
      </c>
    </row>
    <row r="2596" spans="1:5" ht="15" customHeight="1" x14ac:dyDescent="0.3">
      <c r="A2596" t="s">
        <v>9124</v>
      </c>
      <c r="B2596" t="s">
        <v>278</v>
      </c>
      <c r="C2596" t="s">
        <v>2530</v>
      </c>
      <c r="D2596" t="s">
        <v>1042</v>
      </c>
      <c r="E2596">
        <v>37600000</v>
      </c>
    </row>
    <row r="2597" spans="1:5" ht="15" customHeight="1" x14ac:dyDescent="0.3">
      <c r="A2597" t="s">
        <v>9174</v>
      </c>
      <c r="B2597" t="s">
        <v>241</v>
      </c>
      <c r="C2597" t="s">
        <v>2487</v>
      </c>
      <c r="D2597" t="s">
        <v>8785</v>
      </c>
      <c r="E2597">
        <v>16900000</v>
      </c>
    </row>
    <row r="2598" spans="1:5" ht="15" customHeight="1" x14ac:dyDescent="0.3">
      <c r="A2598" t="s">
        <v>9175</v>
      </c>
      <c r="B2598" t="s">
        <v>68</v>
      </c>
      <c r="C2598" t="s">
        <v>3249</v>
      </c>
      <c r="D2598" t="s">
        <v>8786</v>
      </c>
      <c r="E2598">
        <v>16300000</v>
      </c>
    </row>
    <row r="2599" spans="1:5" ht="15" customHeight="1" x14ac:dyDescent="0.3">
      <c r="A2599" t="s">
        <v>9176</v>
      </c>
      <c r="B2599" t="s">
        <v>241</v>
      </c>
      <c r="C2599">
        <v>3008</v>
      </c>
      <c r="D2599" t="s">
        <v>8787</v>
      </c>
      <c r="E2599">
        <v>12800000</v>
      </c>
    </row>
    <row r="2600" spans="1:5" ht="15" customHeight="1" x14ac:dyDescent="0.3">
      <c r="A2600" t="s">
        <v>9177</v>
      </c>
      <c r="B2600" t="s">
        <v>2498</v>
      </c>
      <c r="C2600" t="s">
        <v>196</v>
      </c>
      <c r="D2600" t="s">
        <v>8788</v>
      </c>
      <c r="E2600">
        <v>17300000</v>
      </c>
    </row>
    <row r="2601" spans="1:5" ht="15" customHeight="1" x14ac:dyDescent="0.3">
      <c r="A2601" t="s">
        <v>9178</v>
      </c>
      <c r="B2601" t="s">
        <v>86</v>
      </c>
      <c r="C2601" t="s">
        <v>3840</v>
      </c>
      <c r="D2601" t="s">
        <v>8789</v>
      </c>
      <c r="E2601">
        <v>25500000</v>
      </c>
    </row>
    <row r="2602" spans="1:5" ht="15" customHeight="1" x14ac:dyDescent="0.3">
      <c r="A2602" t="s">
        <v>9179</v>
      </c>
      <c r="B2602" t="s">
        <v>86</v>
      </c>
      <c r="C2602" t="s">
        <v>122</v>
      </c>
      <c r="D2602" t="s">
        <v>8790</v>
      </c>
      <c r="E2602">
        <v>25100000</v>
      </c>
    </row>
    <row r="2603" spans="1:5" ht="15" customHeight="1" x14ac:dyDescent="0.3">
      <c r="A2603" t="s">
        <v>9180</v>
      </c>
      <c r="B2603" t="s">
        <v>220</v>
      </c>
      <c r="C2603" t="s">
        <v>2576</v>
      </c>
      <c r="D2603" t="s">
        <v>8791</v>
      </c>
      <c r="E2603">
        <v>16500000</v>
      </c>
    </row>
    <row r="2604" spans="1:5" ht="15" customHeight="1" x14ac:dyDescent="0.3">
      <c r="A2604" t="s">
        <v>9181</v>
      </c>
      <c r="B2604" t="s">
        <v>86</v>
      </c>
      <c r="C2604" t="s">
        <v>3840</v>
      </c>
      <c r="D2604" t="s">
        <v>8792</v>
      </c>
      <c r="E2604">
        <v>22100000</v>
      </c>
    </row>
    <row r="2605" spans="1:5" ht="15" customHeight="1" x14ac:dyDescent="0.3">
      <c r="A2605" t="s">
        <v>9182</v>
      </c>
      <c r="B2605" t="s">
        <v>86</v>
      </c>
      <c r="C2605" t="s">
        <v>2507</v>
      </c>
      <c r="D2605" t="s">
        <v>8793</v>
      </c>
      <c r="E2605">
        <v>29100000</v>
      </c>
    </row>
    <row r="2606" spans="1:5" ht="15" customHeight="1" x14ac:dyDescent="0.3">
      <c r="A2606" t="s">
        <v>9183</v>
      </c>
      <c r="B2606" t="s">
        <v>2545</v>
      </c>
      <c r="C2606" t="s">
        <v>2546</v>
      </c>
      <c r="D2606" t="s">
        <v>8794</v>
      </c>
      <c r="E2606">
        <v>16100000</v>
      </c>
    </row>
    <row r="2607" spans="1:5" ht="15" customHeight="1" x14ac:dyDescent="0.3">
      <c r="A2607" t="s">
        <v>9346</v>
      </c>
      <c r="B2607" t="s">
        <v>2549</v>
      </c>
      <c r="C2607" t="s">
        <v>4750</v>
      </c>
      <c r="D2607" t="s">
        <v>7653</v>
      </c>
      <c r="E2607">
        <v>15700000</v>
      </c>
    </row>
    <row r="2608" spans="1:5" ht="15" customHeight="1" x14ac:dyDescent="0.3">
      <c r="A2608" t="s">
        <v>9184</v>
      </c>
      <c r="B2608" t="s">
        <v>86</v>
      </c>
      <c r="C2608" t="s">
        <v>122</v>
      </c>
      <c r="D2608" t="s">
        <v>8795</v>
      </c>
      <c r="E2608">
        <v>25300000</v>
      </c>
    </row>
    <row r="2609" spans="1:5" ht="15" customHeight="1" x14ac:dyDescent="0.3">
      <c r="A2609" t="s">
        <v>9185</v>
      </c>
      <c r="B2609" t="s">
        <v>2498</v>
      </c>
      <c r="C2609" t="s">
        <v>188</v>
      </c>
      <c r="D2609" t="s">
        <v>8796</v>
      </c>
      <c r="E2609">
        <v>8700000</v>
      </c>
    </row>
    <row r="2610" spans="1:5" ht="15" customHeight="1" x14ac:dyDescent="0.3">
      <c r="A2610" t="s">
        <v>9186</v>
      </c>
      <c r="B2610" t="s">
        <v>306</v>
      </c>
      <c r="C2610" t="s">
        <v>2596</v>
      </c>
      <c r="D2610" t="s">
        <v>8797</v>
      </c>
      <c r="E2610">
        <v>11100000</v>
      </c>
    </row>
    <row r="2611" spans="1:5" ht="15" customHeight="1" x14ac:dyDescent="0.3">
      <c r="A2611" t="s">
        <v>9187</v>
      </c>
      <c r="B2611" t="s">
        <v>291</v>
      </c>
      <c r="C2611" t="s">
        <v>295</v>
      </c>
      <c r="D2611" t="s">
        <v>8798</v>
      </c>
      <c r="E2611">
        <v>17500000</v>
      </c>
    </row>
    <row r="2612" spans="1:5" ht="15" customHeight="1" x14ac:dyDescent="0.3">
      <c r="A2612" t="s">
        <v>9188</v>
      </c>
      <c r="B2612" t="s">
        <v>241</v>
      </c>
      <c r="C2612" t="s">
        <v>2484</v>
      </c>
      <c r="D2612" t="s">
        <v>3266</v>
      </c>
      <c r="E2612">
        <v>12600000</v>
      </c>
    </row>
    <row r="2613" spans="1:5" ht="15" customHeight="1" x14ac:dyDescent="0.3">
      <c r="A2613" t="s">
        <v>9189</v>
      </c>
      <c r="B2613" t="s">
        <v>2498</v>
      </c>
      <c r="C2613" t="s">
        <v>199</v>
      </c>
      <c r="D2613" t="s">
        <v>8799</v>
      </c>
      <c r="E2613">
        <v>27600000</v>
      </c>
    </row>
    <row r="2614" spans="1:5" ht="15" customHeight="1" x14ac:dyDescent="0.3">
      <c r="A2614" t="s">
        <v>9190</v>
      </c>
      <c r="B2614" t="s">
        <v>2498</v>
      </c>
      <c r="C2614" t="s">
        <v>199</v>
      </c>
      <c r="D2614" t="s">
        <v>8800</v>
      </c>
      <c r="E2614">
        <v>19900000</v>
      </c>
    </row>
    <row r="2615" spans="1:5" ht="15" customHeight="1" x14ac:dyDescent="0.3">
      <c r="A2615" t="s">
        <v>9191</v>
      </c>
      <c r="B2615" t="s">
        <v>68</v>
      </c>
      <c r="C2615">
        <v>560</v>
      </c>
      <c r="D2615" t="s">
        <v>8801</v>
      </c>
      <c r="E2615">
        <v>8900000</v>
      </c>
    </row>
    <row r="2616" spans="1:5" ht="15" customHeight="1" x14ac:dyDescent="0.3">
      <c r="A2616" t="s">
        <v>9192</v>
      </c>
      <c r="B2616" t="s">
        <v>28</v>
      </c>
      <c r="C2616" t="s">
        <v>2575</v>
      </c>
      <c r="D2616" t="s">
        <v>689</v>
      </c>
      <c r="E2616">
        <v>9400000</v>
      </c>
    </row>
    <row r="2617" spans="1:5" ht="15" customHeight="1" x14ac:dyDescent="0.3">
      <c r="A2617" t="s">
        <v>9193</v>
      </c>
      <c r="B2617" t="s">
        <v>2549</v>
      </c>
      <c r="C2617" t="s">
        <v>2655</v>
      </c>
      <c r="D2617" t="s">
        <v>8802</v>
      </c>
      <c r="E2617">
        <v>14100000</v>
      </c>
    </row>
    <row r="2618" spans="1:5" ht="15" customHeight="1" x14ac:dyDescent="0.3">
      <c r="A2618" t="s">
        <v>9194</v>
      </c>
      <c r="B2618" t="s">
        <v>68</v>
      </c>
      <c r="C2618">
        <v>580</v>
      </c>
      <c r="D2618" t="s">
        <v>8803</v>
      </c>
      <c r="E2618">
        <v>11900000</v>
      </c>
    </row>
    <row r="2619" spans="1:5" ht="15" customHeight="1" x14ac:dyDescent="0.3">
      <c r="A2619" t="s">
        <v>9195</v>
      </c>
      <c r="B2619" t="s">
        <v>2521</v>
      </c>
      <c r="C2619" t="s">
        <v>2522</v>
      </c>
      <c r="D2619" t="s">
        <v>8804</v>
      </c>
      <c r="E2619">
        <v>15800000</v>
      </c>
    </row>
    <row r="2620" spans="1:5" ht="15" customHeight="1" x14ac:dyDescent="0.3">
      <c r="A2620" t="s">
        <v>9196</v>
      </c>
      <c r="B2620" t="s">
        <v>291</v>
      </c>
      <c r="C2620" t="s">
        <v>3080</v>
      </c>
      <c r="D2620" t="s">
        <v>8805</v>
      </c>
      <c r="E2620">
        <v>22600000</v>
      </c>
    </row>
    <row r="2621" spans="1:5" ht="15" customHeight="1" x14ac:dyDescent="0.3">
      <c r="A2621" t="s">
        <v>9197</v>
      </c>
      <c r="B2621" t="s">
        <v>291</v>
      </c>
      <c r="C2621" t="s">
        <v>3080</v>
      </c>
      <c r="D2621" t="s">
        <v>8805</v>
      </c>
      <c r="E2621">
        <v>27700000</v>
      </c>
    </row>
    <row r="2622" spans="1:5" ht="15" customHeight="1" x14ac:dyDescent="0.3">
      <c r="A2622" t="s">
        <v>9198</v>
      </c>
      <c r="B2622" t="s">
        <v>241</v>
      </c>
      <c r="C2622" t="s">
        <v>2484</v>
      </c>
      <c r="D2622" t="s">
        <v>8806</v>
      </c>
      <c r="E2622">
        <v>12200000</v>
      </c>
    </row>
    <row r="2623" spans="1:5" ht="15" customHeight="1" x14ac:dyDescent="0.3">
      <c r="A2623" t="s">
        <v>9199</v>
      </c>
      <c r="B2623" t="s">
        <v>156</v>
      </c>
      <c r="C2623" t="s">
        <v>2707</v>
      </c>
      <c r="D2623" t="s">
        <v>8807</v>
      </c>
      <c r="E2623">
        <v>9300000</v>
      </c>
    </row>
    <row r="2624" spans="1:5" ht="15" customHeight="1" x14ac:dyDescent="0.3">
      <c r="A2624" t="s">
        <v>9352</v>
      </c>
      <c r="B2624" t="s">
        <v>204</v>
      </c>
      <c r="C2624" t="s">
        <v>2544</v>
      </c>
      <c r="D2624" t="s">
        <v>206</v>
      </c>
      <c r="E2624">
        <v>6860000</v>
      </c>
    </row>
    <row r="2625" spans="1:5" ht="15" customHeight="1" x14ac:dyDescent="0.3">
      <c r="A2625" t="s">
        <v>9403</v>
      </c>
      <c r="B2625" t="s">
        <v>237</v>
      </c>
      <c r="C2625" t="s">
        <v>65</v>
      </c>
      <c r="D2625" t="s">
        <v>239</v>
      </c>
      <c r="E2625">
        <v>12600000</v>
      </c>
    </row>
    <row r="2626" spans="1:5" ht="15" customHeight="1" x14ac:dyDescent="0.3">
      <c r="A2626" t="s">
        <v>9353</v>
      </c>
      <c r="B2626" t="s">
        <v>214</v>
      </c>
      <c r="C2626" t="s">
        <v>3787</v>
      </c>
      <c r="D2626" t="s">
        <v>8813</v>
      </c>
      <c r="E2626">
        <v>12900000</v>
      </c>
    </row>
    <row r="2627" spans="1:5" ht="15" customHeight="1" x14ac:dyDescent="0.3">
      <c r="A2627" t="s">
        <v>9404</v>
      </c>
      <c r="B2627" t="s">
        <v>180</v>
      </c>
      <c r="C2627" t="s">
        <v>183</v>
      </c>
      <c r="D2627" t="s">
        <v>185</v>
      </c>
      <c r="E2627">
        <v>10300000</v>
      </c>
    </row>
    <row r="2628" spans="1:5" ht="15" customHeight="1" x14ac:dyDescent="0.3">
      <c r="A2628" t="s">
        <v>9405</v>
      </c>
      <c r="B2628" t="s">
        <v>86</v>
      </c>
      <c r="C2628" t="s">
        <v>2556</v>
      </c>
      <c r="D2628" t="s">
        <v>97</v>
      </c>
      <c r="E2628">
        <v>17200000</v>
      </c>
    </row>
    <row r="2629" spans="1:5" ht="15" customHeight="1" x14ac:dyDescent="0.3">
      <c r="A2629" t="s">
        <v>9406</v>
      </c>
      <c r="B2629" t="s">
        <v>86</v>
      </c>
      <c r="C2629" t="s">
        <v>134</v>
      </c>
      <c r="D2629" t="s">
        <v>136</v>
      </c>
      <c r="E2629">
        <v>12100000</v>
      </c>
    </row>
    <row r="2630" spans="1:5" ht="15" customHeight="1" x14ac:dyDescent="0.3">
      <c r="A2630" t="s">
        <v>9354</v>
      </c>
      <c r="B2630" t="s">
        <v>86</v>
      </c>
      <c r="C2630" t="s">
        <v>2793</v>
      </c>
      <c r="D2630" t="s">
        <v>8597</v>
      </c>
      <c r="E2630">
        <v>14800000</v>
      </c>
    </row>
    <row r="2631" spans="1:5" ht="15" customHeight="1" x14ac:dyDescent="0.3">
      <c r="A2631" t="s">
        <v>9407</v>
      </c>
      <c r="B2631" t="s">
        <v>86</v>
      </c>
      <c r="C2631" t="s">
        <v>106</v>
      </c>
      <c r="D2631" t="s">
        <v>110</v>
      </c>
      <c r="E2631">
        <v>23000000</v>
      </c>
    </row>
    <row r="2632" spans="1:5" ht="15" customHeight="1" x14ac:dyDescent="0.3">
      <c r="A2632" t="s">
        <v>9355</v>
      </c>
      <c r="B2632" t="s">
        <v>45</v>
      </c>
      <c r="C2632" t="s">
        <v>2822</v>
      </c>
      <c r="D2632" t="s">
        <v>8814</v>
      </c>
      <c r="E2632">
        <v>7180000</v>
      </c>
    </row>
    <row r="2633" spans="1:5" ht="15" customHeight="1" x14ac:dyDescent="0.3">
      <c r="A2633" t="s">
        <v>9408</v>
      </c>
      <c r="B2633" t="s">
        <v>291</v>
      </c>
      <c r="C2633" t="s">
        <v>2537</v>
      </c>
      <c r="D2633" t="s">
        <v>294</v>
      </c>
      <c r="E2633">
        <v>12000000</v>
      </c>
    </row>
    <row r="2634" spans="1:5" ht="15" customHeight="1" x14ac:dyDescent="0.3">
      <c r="A2634" t="s">
        <v>9409</v>
      </c>
      <c r="B2634" t="s">
        <v>28</v>
      </c>
      <c r="C2634" t="s">
        <v>31</v>
      </c>
      <c r="D2634" t="s">
        <v>34</v>
      </c>
      <c r="E2634">
        <v>8200000</v>
      </c>
    </row>
    <row r="2635" spans="1:5" ht="15" customHeight="1" x14ac:dyDescent="0.3">
      <c r="A2635" t="s">
        <v>9356</v>
      </c>
      <c r="B2635" t="s">
        <v>28</v>
      </c>
      <c r="C2635" t="s">
        <v>38</v>
      </c>
      <c r="D2635" t="s">
        <v>8815</v>
      </c>
      <c r="E2635">
        <v>11100000</v>
      </c>
    </row>
    <row r="2636" spans="1:5" ht="15" customHeight="1" x14ac:dyDescent="0.3">
      <c r="A2636" t="s">
        <v>9410</v>
      </c>
      <c r="B2636" t="s">
        <v>68</v>
      </c>
      <c r="C2636" t="s">
        <v>3249</v>
      </c>
      <c r="D2636" t="s">
        <v>81</v>
      </c>
      <c r="E2636">
        <v>15500000</v>
      </c>
    </row>
    <row r="2637" spans="1:5" ht="15" customHeight="1" x14ac:dyDescent="0.3">
      <c r="A2637" t="s">
        <v>9411</v>
      </c>
      <c r="B2637" t="s">
        <v>86</v>
      </c>
      <c r="C2637" t="s">
        <v>134</v>
      </c>
      <c r="D2637" t="s">
        <v>137</v>
      </c>
      <c r="E2637">
        <v>11900000</v>
      </c>
    </row>
    <row r="2638" spans="1:5" ht="15" customHeight="1" x14ac:dyDescent="0.3">
      <c r="A2638" t="s">
        <v>9357</v>
      </c>
      <c r="B2638" t="s">
        <v>237</v>
      </c>
      <c r="C2638" t="s">
        <v>65</v>
      </c>
      <c r="D2638" t="s">
        <v>8816</v>
      </c>
      <c r="E2638">
        <v>12500000</v>
      </c>
    </row>
    <row r="2639" spans="1:5" ht="15" customHeight="1" x14ac:dyDescent="0.3">
      <c r="A2639" t="s">
        <v>9412</v>
      </c>
      <c r="B2639" t="s">
        <v>2498</v>
      </c>
      <c r="C2639" t="s">
        <v>199</v>
      </c>
      <c r="D2639" t="s">
        <v>8096</v>
      </c>
      <c r="E2639">
        <v>8700000</v>
      </c>
    </row>
    <row r="2640" spans="1:5" ht="15" customHeight="1" x14ac:dyDescent="0.3">
      <c r="A2640" t="s">
        <v>9413</v>
      </c>
      <c r="B2640" t="s">
        <v>45</v>
      </c>
      <c r="C2640" t="s">
        <v>2480</v>
      </c>
      <c r="D2640" t="s">
        <v>59</v>
      </c>
      <c r="E2640">
        <v>10800000</v>
      </c>
    </row>
    <row r="2641" spans="1:5" ht="15" customHeight="1" x14ac:dyDescent="0.3">
      <c r="A2641" t="s">
        <v>9414</v>
      </c>
      <c r="B2641" t="s">
        <v>28</v>
      </c>
      <c r="C2641" t="s">
        <v>38</v>
      </c>
      <c r="D2641" t="s">
        <v>41</v>
      </c>
      <c r="E2641">
        <v>11800000</v>
      </c>
    </row>
    <row r="2642" spans="1:5" ht="15" customHeight="1" x14ac:dyDescent="0.3">
      <c r="A2642" t="s">
        <v>9415</v>
      </c>
      <c r="B2642" t="s">
        <v>220</v>
      </c>
      <c r="C2642" t="s">
        <v>231</v>
      </c>
      <c r="D2642" t="s">
        <v>233</v>
      </c>
      <c r="E2642">
        <v>9800000</v>
      </c>
    </row>
    <row r="2643" spans="1:5" ht="15" customHeight="1" x14ac:dyDescent="0.3">
      <c r="A2643" t="s">
        <v>9416</v>
      </c>
      <c r="B2643" t="s">
        <v>86</v>
      </c>
      <c r="C2643" t="s">
        <v>93</v>
      </c>
      <c r="D2643" t="s">
        <v>95</v>
      </c>
      <c r="E2643">
        <v>25400000</v>
      </c>
    </row>
    <row r="2644" spans="1:5" ht="15" customHeight="1" x14ac:dyDescent="0.3">
      <c r="A2644" t="s">
        <v>9417</v>
      </c>
      <c r="B2644" t="s">
        <v>173</v>
      </c>
      <c r="C2644">
        <v>7</v>
      </c>
      <c r="D2644" t="s">
        <v>179</v>
      </c>
      <c r="E2644">
        <v>17700000</v>
      </c>
    </row>
    <row r="2645" spans="1:5" ht="15" customHeight="1" x14ac:dyDescent="0.3">
      <c r="A2645" t="s">
        <v>9418</v>
      </c>
      <c r="B2645" t="s">
        <v>45</v>
      </c>
      <c r="C2645" t="s">
        <v>2581</v>
      </c>
      <c r="D2645" t="s">
        <v>48</v>
      </c>
      <c r="E2645">
        <v>8900000</v>
      </c>
    </row>
    <row r="2646" spans="1:5" ht="15" customHeight="1" x14ac:dyDescent="0.3">
      <c r="A2646" t="s">
        <v>9358</v>
      </c>
      <c r="B2646" t="s">
        <v>2498</v>
      </c>
      <c r="C2646" t="s">
        <v>188</v>
      </c>
      <c r="D2646" t="s">
        <v>3013</v>
      </c>
      <c r="E2646">
        <v>9700000</v>
      </c>
    </row>
    <row r="2647" spans="1:5" ht="15" customHeight="1" x14ac:dyDescent="0.3">
      <c r="A2647" t="s">
        <v>9419</v>
      </c>
      <c r="B2647" t="s">
        <v>45</v>
      </c>
      <c r="C2647" t="s">
        <v>49</v>
      </c>
      <c r="D2647" t="s">
        <v>51</v>
      </c>
      <c r="E2647">
        <v>46700000</v>
      </c>
    </row>
    <row r="2648" spans="1:5" ht="15" customHeight="1" x14ac:dyDescent="0.3">
      <c r="A2648" t="s">
        <v>9420</v>
      </c>
      <c r="B2648" t="s">
        <v>241</v>
      </c>
      <c r="C2648" t="s">
        <v>2487</v>
      </c>
      <c r="D2648" t="s">
        <v>255</v>
      </c>
      <c r="E2648">
        <v>13800000</v>
      </c>
    </row>
    <row r="2649" spans="1:5" ht="15" customHeight="1" x14ac:dyDescent="0.3">
      <c r="A2649" t="s">
        <v>9421</v>
      </c>
      <c r="B2649" t="s">
        <v>60</v>
      </c>
      <c r="C2649" t="s">
        <v>2559</v>
      </c>
      <c r="D2649" t="s">
        <v>64</v>
      </c>
      <c r="E2649">
        <v>8800000</v>
      </c>
    </row>
    <row r="2650" spans="1:5" ht="15" customHeight="1" x14ac:dyDescent="0.3">
      <c r="A2650" t="s">
        <v>9422</v>
      </c>
      <c r="B2650" t="s">
        <v>86</v>
      </c>
      <c r="C2650" t="s">
        <v>2793</v>
      </c>
      <c r="D2650" t="s">
        <v>409</v>
      </c>
      <c r="E2650">
        <v>18100000</v>
      </c>
    </row>
    <row r="2651" spans="1:5" ht="15" customHeight="1" x14ac:dyDescent="0.3">
      <c r="A2651" t="s">
        <v>9423</v>
      </c>
      <c r="B2651" t="s">
        <v>241</v>
      </c>
      <c r="C2651" t="s">
        <v>2501</v>
      </c>
      <c r="D2651" t="s">
        <v>268</v>
      </c>
      <c r="E2651">
        <v>23000000</v>
      </c>
    </row>
    <row r="2652" spans="1:5" ht="15" customHeight="1" x14ac:dyDescent="0.3">
      <c r="A2652" t="s">
        <v>9424</v>
      </c>
      <c r="B2652" t="s">
        <v>220</v>
      </c>
      <c r="C2652" t="s">
        <v>223</v>
      </c>
      <c r="D2652" t="s">
        <v>226</v>
      </c>
      <c r="E2652">
        <v>17200000</v>
      </c>
    </row>
    <row r="2653" spans="1:5" ht="15" customHeight="1" x14ac:dyDescent="0.3">
      <c r="A2653" t="s">
        <v>9425</v>
      </c>
      <c r="B2653" t="s">
        <v>156</v>
      </c>
      <c r="C2653" t="s">
        <v>2539</v>
      </c>
      <c r="D2653" t="s">
        <v>162</v>
      </c>
      <c r="E2653">
        <v>31600000</v>
      </c>
    </row>
    <row r="2654" spans="1:5" ht="15" customHeight="1" x14ac:dyDescent="0.3">
      <c r="A2654" t="s">
        <v>9426</v>
      </c>
      <c r="B2654" t="s">
        <v>45</v>
      </c>
      <c r="C2654" t="s">
        <v>3325</v>
      </c>
      <c r="D2654" t="s">
        <v>56</v>
      </c>
      <c r="E2654">
        <v>30300000</v>
      </c>
    </row>
    <row r="2655" spans="1:5" ht="15" customHeight="1" x14ac:dyDescent="0.3">
      <c r="A2655" t="s">
        <v>9427</v>
      </c>
      <c r="B2655" t="s">
        <v>60</v>
      </c>
      <c r="C2655" t="s">
        <v>2520</v>
      </c>
      <c r="D2655" t="s">
        <v>67</v>
      </c>
      <c r="E2655">
        <v>12500000</v>
      </c>
    </row>
    <row r="2656" spans="1:5" ht="15" customHeight="1" x14ac:dyDescent="0.3">
      <c r="A2656" t="s">
        <v>9428</v>
      </c>
      <c r="B2656" t="s">
        <v>86</v>
      </c>
      <c r="C2656" t="s">
        <v>2504</v>
      </c>
      <c r="D2656" t="s">
        <v>115</v>
      </c>
      <c r="E2656">
        <v>42700000</v>
      </c>
    </row>
    <row r="2657" spans="1:5" ht="15" customHeight="1" x14ac:dyDescent="0.3">
      <c r="A2657" t="s">
        <v>9429</v>
      </c>
      <c r="B2657" t="s">
        <v>241</v>
      </c>
      <c r="C2657" t="s">
        <v>2501</v>
      </c>
      <c r="D2657" t="s">
        <v>264</v>
      </c>
      <c r="E2657">
        <v>21900000</v>
      </c>
    </row>
    <row r="2658" spans="1:5" ht="15" customHeight="1" x14ac:dyDescent="0.3">
      <c r="A2658" t="s">
        <v>9430</v>
      </c>
      <c r="B2658" t="s">
        <v>241</v>
      </c>
      <c r="C2658">
        <v>3008</v>
      </c>
      <c r="D2658" t="s">
        <v>249</v>
      </c>
      <c r="E2658">
        <v>10900000</v>
      </c>
    </row>
    <row r="2659" spans="1:5" ht="15" customHeight="1" x14ac:dyDescent="0.3">
      <c r="A2659" t="s">
        <v>9359</v>
      </c>
      <c r="B2659" t="s">
        <v>241</v>
      </c>
      <c r="C2659">
        <v>3008</v>
      </c>
      <c r="D2659" t="s">
        <v>8817</v>
      </c>
      <c r="E2659">
        <v>23300000</v>
      </c>
    </row>
    <row r="2660" spans="1:5" ht="15" customHeight="1" x14ac:dyDescent="0.3">
      <c r="A2660" t="s">
        <v>9431</v>
      </c>
      <c r="B2660" t="s">
        <v>220</v>
      </c>
      <c r="C2660" t="s">
        <v>223</v>
      </c>
      <c r="D2660" t="s">
        <v>227</v>
      </c>
      <c r="E2660">
        <v>17700000</v>
      </c>
    </row>
    <row r="2661" spans="1:5" ht="15" customHeight="1" x14ac:dyDescent="0.3">
      <c r="A2661" t="s">
        <v>9432</v>
      </c>
      <c r="B2661" t="s">
        <v>241</v>
      </c>
      <c r="C2661" t="s">
        <v>2505</v>
      </c>
      <c r="D2661" t="s">
        <v>248</v>
      </c>
      <c r="E2661">
        <v>25000000</v>
      </c>
    </row>
    <row r="2662" spans="1:5" ht="15" customHeight="1" x14ac:dyDescent="0.3">
      <c r="A2662" t="s">
        <v>9433</v>
      </c>
      <c r="B2662" t="s">
        <v>291</v>
      </c>
      <c r="C2662" t="s">
        <v>295</v>
      </c>
      <c r="D2662" t="s">
        <v>296</v>
      </c>
      <c r="E2662">
        <v>6410000</v>
      </c>
    </row>
    <row r="2663" spans="1:5" ht="15" customHeight="1" x14ac:dyDescent="0.3">
      <c r="A2663" t="s">
        <v>9434</v>
      </c>
      <c r="B2663" t="s">
        <v>167</v>
      </c>
      <c r="C2663" t="s">
        <v>2535</v>
      </c>
      <c r="D2663" t="s">
        <v>172</v>
      </c>
      <c r="E2663">
        <v>15100000</v>
      </c>
    </row>
    <row r="2664" spans="1:5" ht="15" customHeight="1" x14ac:dyDescent="0.3">
      <c r="A2664" t="s">
        <v>9435</v>
      </c>
      <c r="B2664" t="s">
        <v>86</v>
      </c>
      <c r="C2664" t="s">
        <v>2507</v>
      </c>
      <c r="D2664" t="s">
        <v>124</v>
      </c>
      <c r="E2664">
        <v>34200000</v>
      </c>
    </row>
    <row r="2665" spans="1:5" ht="15" customHeight="1" x14ac:dyDescent="0.3">
      <c r="A2665" t="s">
        <v>9436</v>
      </c>
      <c r="B2665" t="s">
        <v>86</v>
      </c>
      <c r="C2665" t="s">
        <v>2507</v>
      </c>
      <c r="D2665" t="s">
        <v>131</v>
      </c>
      <c r="E2665">
        <v>26400000</v>
      </c>
    </row>
    <row r="2666" spans="1:5" ht="15" customHeight="1" x14ac:dyDescent="0.3">
      <c r="A2666" t="s">
        <v>9437</v>
      </c>
      <c r="B2666" t="s">
        <v>2498</v>
      </c>
      <c r="C2666" t="s">
        <v>3136</v>
      </c>
      <c r="D2666" t="s">
        <v>3694</v>
      </c>
      <c r="E2666">
        <v>15700000</v>
      </c>
    </row>
    <row r="2667" spans="1:5" ht="15" customHeight="1" x14ac:dyDescent="0.3">
      <c r="A2667" t="s">
        <v>9360</v>
      </c>
      <c r="B2667" t="s">
        <v>86</v>
      </c>
      <c r="C2667" t="s">
        <v>2507</v>
      </c>
      <c r="D2667" t="s">
        <v>8818</v>
      </c>
      <c r="E2667">
        <v>45700000</v>
      </c>
    </row>
    <row r="2668" spans="1:5" ht="15" customHeight="1" x14ac:dyDescent="0.3">
      <c r="A2668" t="s">
        <v>9361</v>
      </c>
      <c r="B2668" t="s">
        <v>173</v>
      </c>
      <c r="C2668">
        <v>7</v>
      </c>
      <c r="D2668" t="s">
        <v>8819</v>
      </c>
      <c r="E2668">
        <v>17100000</v>
      </c>
    </row>
    <row r="2669" spans="1:5" ht="15" customHeight="1" x14ac:dyDescent="0.3">
      <c r="A2669" t="s">
        <v>9438</v>
      </c>
      <c r="B2669" t="s">
        <v>86</v>
      </c>
      <c r="C2669" t="s">
        <v>2507</v>
      </c>
      <c r="D2669" t="s">
        <v>402</v>
      </c>
      <c r="E2669">
        <v>30500000</v>
      </c>
    </row>
    <row r="2670" spans="1:5" ht="15" customHeight="1" x14ac:dyDescent="0.3">
      <c r="A2670" t="s">
        <v>9439</v>
      </c>
      <c r="B2670" t="s">
        <v>241</v>
      </c>
      <c r="C2670" t="s">
        <v>2505</v>
      </c>
      <c r="D2670" t="s">
        <v>3622</v>
      </c>
      <c r="E2670">
        <v>24000000</v>
      </c>
    </row>
    <row r="2671" spans="1:5" ht="15" customHeight="1" x14ac:dyDescent="0.3">
      <c r="A2671" t="s">
        <v>9440</v>
      </c>
      <c r="B2671" t="s">
        <v>241</v>
      </c>
      <c r="C2671" t="s">
        <v>2505</v>
      </c>
      <c r="D2671" t="s">
        <v>3050</v>
      </c>
      <c r="E2671">
        <v>24500000</v>
      </c>
    </row>
    <row r="2672" spans="1:5" ht="15" customHeight="1" x14ac:dyDescent="0.3">
      <c r="A2672" t="s">
        <v>9441</v>
      </c>
      <c r="B2672" t="s">
        <v>86</v>
      </c>
      <c r="C2672" t="s">
        <v>2507</v>
      </c>
      <c r="D2672" t="s">
        <v>533</v>
      </c>
      <c r="E2672">
        <v>31900000</v>
      </c>
    </row>
    <row r="2673" spans="1:5" ht="15" customHeight="1" x14ac:dyDescent="0.3">
      <c r="A2673" t="s">
        <v>9442</v>
      </c>
      <c r="B2673" t="s">
        <v>86</v>
      </c>
      <c r="C2673" t="s">
        <v>2507</v>
      </c>
      <c r="D2673" t="s">
        <v>397</v>
      </c>
      <c r="E2673">
        <v>32600000</v>
      </c>
    </row>
    <row r="2674" spans="1:5" ht="15" customHeight="1" x14ac:dyDescent="0.3">
      <c r="A2674" t="s">
        <v>9443</v>
      </c>
      <c r="B2674" t="s">
        <v>241</v>
      </c>
      <c r="C2674" t="s">
        <v>2485</v>
      </c>
      <c r="D2674" t="s">
        <v>2632</v>
      </c>
      <c r="E2674">
        <v>13800000</v>
      </c>
    </row>
    <row r="2675" spans="1:5" ht="15" customHeight="1" x14ac:dyDescent="0.3">
      <c r="A2675" t="s">
        <v>9444</v>
      </c>
      <c r="B2675" t="s">
        <v>86</v>
      </c>
      <c r="C2675" t="s">
        <v>2507</v>
      </c>
      <c r="D2675" t="s">
        <v>7995</v>
      </c>
      <c r="E2675">
        <v>40700000</v>
      </c>
    </row>
    <row r="2676" spans="1:5" ht="15" customHeight="1" x14ac:dyDescent="0.3">
      <c r="A2676" t="s">
        <v>9445</v>
      </c>
      <c r="B2676" t="s">
        <v>2545</v>
      </c>
      <c r="C2676" t="s">
        <v>2856</v>
      </c>
      <c r="D2676" t="s">
        <v>8036</v>
      </c>
      <c r="E2676">
        <v>22500000</v>
      </c>
    </row>
    <row r="2677" spans="1:5" ht="15" customHeight="1" x14ac:dyDescent="0.3">
      <c r="A2677" t="s">
        <v>9446</v>
      </c>
      <c r="B2677" t="s">
        <v>86</v>
      </c>
      <c r="C2677" t="s">
        <v>2507</v>
      </c>
      <c r="D2677" t="s">
        <v>569</v>
      </c>
      <c r="E2677">
        <v>25200000</v>
      </c>
    </row>
    <row r="2678" spans="1:5" ht="15" customHeight="1" x14ac:dyDescent="0.3">
      <c r="A2678" t="s">
        <v>9447</v>
      </c>
      <c r="B2678" t="s">
        <v>2545</v>
      </c>
      <c r="C2678" t="s">
        <v>2546</v>
      </c>
      <c r="D2678" t="s">
        <v>8346</v>
      </c>
      <c r="E2678">
        <v>15500000</v>
      </c>
    </row>
    <row r="2679" spans="1:5" ht="15" customHeight="1" x14ac:dyDescent="0.3">
      <c r="A2679" t="s">
        <v>9402</v>
      </c>
      <c r="B2679" t="s">
        <v>86</v>
      </c>
      <c r="C2679" t="s">
        <v>2507</v>
      </c>
      <c r="D2679" t="s">
        <v>8818</v>
      </c>
      <c r="E2679">
        <v>45700000</v>
      </c>
    </row>
    <row r="2680" spans="1:5" ht="15" customHeight="1" x14ac:dyDescent="0.3">
      <c r="A2680" t="s">
        <v>9448</v>
      </c>
      <c r="B2680" t="s">
        <v>241</v>
      </c>
      <c r="C2680">
        <v>308</v>
      </c>
      <c r="D2680" t="s">
        <v>2637</v>
      </c>
      <c r="E2680">
        <v>16400000</v>
      </c>
    </row>
    <row r="2681" spans="1:5" ht="15" customHeight="1" x14ac:dyDescent="0.3">
      <c r="A2681" t="s">
        <v>9449</v>
      </c>
      <c r="B2681" t="s">
        <v>2498</v>
      </c>
      <c r="C2681" t="s">
        <v>2830</v>
      </c>
      <c r="D2681" t="s">
        <v>3613</v>
      </c>
      <c r="E2681">
        <v>18500000</v>
      </c>
    </row>
    <row r="2682" spans="1:5" ht="15" customHeight="1" x14ac:dyDescent="0.3">
      <c r="A2682" t="s">
        <v>9450</v>
      </c>
      <c r="B2682" t="s">
        <v>2549</v>
      </c>
      <c r="C2682" t="s">
        <v>3658</v>
      </c>
      <c r="D2682" t="s">
        <v>3659</v>
      </c>
      <c r="E2682">
        <v>15600000</v>
      </c>
    </row>
    <row r="2683" spans="1:5" ht="15" customHeight="1" x14ac:dyDescent="0.3">
      <c r="A2683" t="s">
        <v>9451</v>
      </c>
      <c r="B2683" t="s">
        <v>220</v>
      </c>
      <c r="C2683" t="s">
        <v>223</v>
      </c>
      <c r="D2683" t="s">
        <v>2620</v>
      </c>
      <c r="E2683">
        <v>19800000</v>
      </c>
    </row>
    <row r="2684" spans="1:5" ht="15" customHeight="1" x14ac:dyDescent="0.3">
      <c r="A2684" t="s">
        <v>9452</v>
      </c>
      <c r="B2684" t="s">
        <v>241</v>
      </c>
      <c r="C2684" t="s">
        <v>269</v>
      </c>
      <c r="D2684" t="s">
        <v>3706</v>
      </c>
      <c r="E2684">
        <v>19200000</v>
      </c>
    </row>
    <row r="2685" spans="1:5" ht="15" customHeight="1" x14ac:dyDescent="0.3">
      <c r="A2685" t="s">
        <v>9453</v>
      </c>
      <c r="B2685" t="s">
        <v>2498</v>
      </c>
      <c r="C2685" t="s">
        <v>2833</v>
      </c>
      <c r="D2685" t="s">
        <v>3624</v>
      </c>
      <c r="E2685">
        <v>36100000</v>
      </c>
    </row>
    <row r="2686" spans="1:5" ht="15" customHeight="1" x14ac:dyDescent="0.3">
      <c r="A2686" t="s">
        <v>9454</v>
      </c>
      <c r="B2686" t="s">
        <v>86</v>
      </c>
      <c r="C2686" t="s">
        <v>2476</v>
      </c>
      <c r="D2686" t="s">
        <v>1021</v>
      </c>
      <c r="E2686">
        <v>48300000</v>
      </c>
    </row>
    <row r="2687" spans="1:5" ht="15" customHeight="1" x14ac:dyDescent="0.3">
      <c r="A2687" t="s">
        <v>9455</v>
      </c>
      <c r="B2687" t="s">
        <v>241</v>
      </c>
      <c r="C2687">
        <v>3008</v>
      </c>
      <c r="D2687" t="s">
        <v>2619</v>
      </c>
      <c r="E2687">
        <v>17300000</v>
      </c>
    </row>
    <row r="2688" spans="1:5" ht="15" customHeight="1" x14ac:dyDescent="0.3">
      <c r="A2688" t="s">
        <v>9456</v>
      </c>
      <c r="B2688" t="s">
        <v>241</v>
      </c>
      <c r="C2688" t="s">
        <v>2505</v>
      </c>
      <c r="D2688" t="s">
        <v>3679</v>
      </c>
      <c r="E2688">
        <v>24900000</v>
      </c>
    </row>
    <row r="2689" spans="1:5" ht="15" customHeight="1" x14ac:dyDescent="0.3">
      <c r="A2689" t="s">
        <v>9457</v>
      </c>
      <c r="B2689" t="s">
        <v>241</v>
      </c>
      <c r="C2689">
        <v>2008</v>
      </c>
      <c r="D2689" t="s">
        <v>2973</v>
      </c>
      <c r="E2689">
        <v>15300000</v>
      </c>
    </row>
    <row r="2690" spans="1:5" ht="15" customHeight="1" x14ac:dyDescent="0.3">
      <c r="A2690" t="s">
        <v>9458</v>
      </c>
      <c r="B2690" t="s">
        <v>241</v>
      </c>
      <c r="C2690" t="s">
        <v>269</v>
      </c>
      <c r="D2690" t="s">
        <v>2618</v>
      </c>
      <c r="E2690">
        <v>18900000</v>
      </c>
    </row>
    <row r="2691" spans="1:5" ht="15" customHeight="1" x14ac:dyDescent="0.3">
      <c r="A2691" t="s">
        <v>9459</v>
      </c>
      <c r="B2691" t="s">
        <v>241</v>
      </c>
      <c r="C2691" t="s">
        <v>2485</v>
      </c>
      <c r="D2691" t="s">
        <v>8216</v>
      </c>
      <c r="E2691">
        <v>11400000</v>
      </c>
    </row>
    <row r="2692" spans="1:5" ht="15" customHeight="1" x14ac:dyDescent="0.3">
      <c r="A2692" t="s">
        <v>9460</v>
      </c>
      <c r="B2692" t="s">
        <v>241</v>
      </c>
      <c r="C2692" t="s">
        <v>2485</v>
      </c>
      <c r="D2692" t="s">
        <v>8216</v>
      </c>
      <c r="E2692">
        <v>11400000</v>
      </c>
    </row>
    <row r="2693" spans="1:5" ht="15" customHeight="1" x14ac:dyDescent="0.3">
      <c r="A2693" t="s">
        <v>9362</v>
      </c>
      <c r="B2693" t="s">
        <v>300</v>
      </c>
      <c r="C2693" t="s">
        <v>3211</v>
      </c>
      <c r="D2693" t="s">
        <v>8820</v>
      </c>
      <c r="E2693">
        <v>6170000</v>
      </c>
    </row>
    <row r="2694" spans="1:5" ht="15" customHeight="1" x14ac:dyDescent="0.3">
      <c r="A2694" t="s">
        <v>9461</v>
      </c>
      <c r="B2694" t="s">
        <v>241</v>
      </c>
      <c r="C2694" t="s">
        <v>2584</v>
      </c>
      <c r="D2694" t="s">
        <v>2698</v>
      </c>
      <c r="E2694">
        <v>15200000</v>
      </c>
    </row>
    <row r="2695" spans="1:5" ht="15" customHeight="1" x14ac:dyDescent="0.3">
      <c r="A2695" t="s">
        <v>9462</v>
      </c>
      <c r="B2695" t="s">
        <v>86</v>
      </c>
      <c r="C2695" t="s">
        <v>3068</v>
      </c>
      <c r="D2695" t="s">
        <v>666</v>
      </c>
      <c r="E2695">
        <v>38600000</v>
      </c>
    </row>
    <row r="2696" spans="1:5" ht="15" customHeight="1" x14ac:dyDescent="0.3">
      <c r="A2696" t="s">
        <v>9463</v>
      </c>
      <c r="B2696" t="s">
        <v>241</v>
      </c>
      <c r="C2696" t="s">
        <v>269</v>
      </c>
      <c r="D2696" t="s">
        <v>7971</v>
      </c>
      <c r="E2696">
        <v>21300000</v>
      </c>
    </row>
    <row r="2697" spans="1:5" ht="15" customHeight="1" x14ac:dyDescent="0.3">
      <c r="A2697" t="s">
        <v>9363</v>
      </c>
      <c r="B2697" t="s">
        <v>241</v>
      </c>
      <c r="C2697">
        <v>3008</v>
      </c>
      <c r="D2697" t="s">
        <v>3648</v>
      </c>
      <c r="E2697">
        <v>18500000</v>
      </c>
    </row>
    <row r="2698" spans="1:5" ht="15" customHeight="1" x14ac:dyDescent="0.3">
      <c r="A2698" t="s">
        <v>9464</v>
      </c>
      <c r="B2698" t="s">
        <v>241</v>
      </c>
      <c r="C2698" t="s">
        <v>2621</v>
      </c>
      <c r="D2698" t="s">
        <v>2622</v>
      </c>
      <c r="E2698">
        <v>20700000</v>
      </c>
    </row>
    <row r="2699" spans="1:5" ht="15" customHeight="1" x14ac:dyDescent="0.3">
      <c r="A2699" t="s">
        <v>9465</v>
      </c>
      <c r="B2699" t="s">
        <v>241</v>
      </c>
      <c r="C2699">
        <v>3008</v>
      </c>
      <c r="D2699" t="s">
        <v>2617</v>
      </c>
      <c r="E2699">
        <v>28300000</v>
      </c>
    </row>
    <row r="2700" spans="1:5" ht="15" customHeight="1" x14ac:dyDescent="0.3">
      <c r="A2700" t="s">
        <v>9466</v>
      </c>
      <c r="B2700" t="s">
        <v>241</v>
      </c>
      <c r="C2700" t="s">
        <v>2487</v>
      </c>
      <c r="D2700" t="s">
        <v>2589</v>
      </c>
      <c r="E2700">
        <v>14200000</v>
      </c>
    </row>
    <row r="2701" spans="1:5" ht="15" customHeight="1" x14ac:dyDescent="0.3">
      <c r="A2701" t="s">
        <v>9467</v>
      </c>
      <c r="B2701" t="s">
        <v>220</v>
      </c>
      <c r="C2701" t="s">
        <v>2682</v>
      </c>
      <c r="D2701" t="s">
        <v>3561</v>
      </c>
      <c r="E2701">
        <v>18600000</v>
      </c>
    </row>
    <row r="2702" spans="1:5" ht="15" customHeight="1" x14ac:dyDescent="0.3">
      <c r="A2702" t="s">
        <v>9468</v>
      </c>
      <c r="B2702" t="s">
        <v>241</v>
      </c>
      <c r="C2702" t="s">
        <v>276</v>
      </c>
      <c r="D2702" t="s">
        <v>3183</v>
      </c>
      <c r="E2702">
        <v>13300000</v>
      </c>
    </row>
    <row r="2703" spans="1:5" ht="15" customHeight="1" x14ac:dyDescent="0.3">
      <c r="A2703" t="s">
        <v>9469</v>
      </c>
      <c r="B2703" t="s">
        <v>86</v>
      </c>
      <c r="C2703" t="s">
        <v>2476</v>
      </c>
      <c r="D2703" t="s">
        <v>8299</v>
      </c>
      <c r="E2703">
        <v>56000000</v>
      </c>
    </row>
    <row r="2704" spans="1:5" ht="15" customHeight="1" x14ac:dyDescent="0.3">
      <c r="A2704" t="s">
        <v>9470</v>
      </c>
      <c r="B2704" t="s">
        <v>28</v>
      </c>
      <c r="C2704" t="s">
        <v>2490</v>
      </c>
      <c r="D2704" t="s">
        <v>3138</v>
      </c>
      <c r="E2704">
        <v>14700000</v>
      </c>
    </row>
    <row r="2705" spans="1:5" ht="15" customHeight="1" x14ac:dyDescent="0.3">
      <c r="A2705" t="s">
        <v>9471</v>
      </c>
      <c r="B2705" t="s">
        <v>2950</v>
      </c>
      <c r="C2705" t="s">
        <v>2951</v>
      </c>
      <c r="D2705" t="s">
        <v>8504</v>
      </c>
      <c r="E2705">
        <v>10700000</v>
      </c>
    </row>
    <row r="2706" spans="1:5" ht="15" customHeight="1" x14ac:dyDescent="0.3">
      <c r="A2706" t="s">
        <v>9472</v>
      </c>
      <c r="B2706" t="s">
        <v>18</v>
      </c>
      <c r="C2706" t="s">
        <v>2641</v>
      </c>
      <c r="D2706" t="s">
        <v>2642</v>
      </c>
      <c r="E2706">
        <v>21200000</v>
      </c>
    </row>
    <row r="2707" spans="1:5" ht="15" customHeight="1" x14ac:dyDescent="0.3">
      <c r="A2707" t="s">
        <v>9473</v>
      </c>
      <c r="B2707" t="s">
        <v>237</v>
      </c>
      <c r="C2707" t="s">
        <v>65</v>
      </c>
      <c r="D2707" t="s">
        <v>7812</v>
      </c>
      <c r="E2707">
        <v>14300000</v>
      </c>
    </row>
    <row r="2708" spans="1:5" ht="15" customHeight="1" x14ac:dyDescent="0.3">
      <c r="A2708" t="s">
        <v>9474</v>
      </c>
      <c r="B2708" t="s">
        <v>173</v>
      </c>
      <c r="C2708">
        <v>7</v>
      </c>
      <c r="D2708" t="s">
        <v>3173</v>
      </c>
      <c r="E2708">
        <v>23100000</v>
      </c>
    </row>
    <row r="2709" spans="1:5" ht="15" customHeight="1" x14ac:dyDescent="0.3">
      <c r="A2709" t="s">
        <v>9364</v>
      </c>
      <c r="B2709" t="s">
        <v>180</v>
      </c>
      <c r="C2709" t="s">
        <v>183</v>
      </c>
      <c r="D2709" t="s">
        <v>1383</v>
      </c>
      <c r="E2709">
        <v>21200000</v>
      </c>
    </row>
    <row r="2710" spans="1:5" ht="15" customHeight="1" x14ac:dyDescent="0.3">
      <c r="A2710" t="s">
        <v>9475</v>
      </c>
      <c r="B2710" t="s">
        <v>278</v>
      </c>
      <c r="C2710" t="s">
        <v>285</v>
      </c>
      <c r="D2710" t="s">
        <v>3106</v>
      </c>
      <c r="E2710">
        <v>28000000</v>
      </c>
    </row>
    <row r="2711" spans="1:5" ht="15" customHeight="1" x14ac:dyDescent="0.3">
      <c r="A2711" t="s">
        <v>9476</v>
      </c>
      <c r="B2711" t="s">
        <v>173</v>
      </c>
      <c r="C2711">
        <v>7</v>
      </c>
      <c r="D2711" t="s">
        <v>3034</v>
      </c>
      <c r="E2711">
        <v>17000000</v>
      </c>
    </row>
    <row r="2712" spans="1:5" ht="15" customHeight="1" x14ac:dyDescent="0.3">
      <c r="A2712" t="s">
        <v>9477</v>
      </c>
      <c r="B2712" t="s">
        <v>291</v>
      </c>
      <c r="C2712" t="s">
        <v>2537</v>
      </c>
      <c r="D2712" t="s">
        <v>8570</v>
      </c>
      <c r="E2712">
        <v>17900000</v>
      </c>
    </row>
    <row r="2713" spans="1:5" ht="15" customHeight="1" x14ac:dyDescent="0.3">
      <c r="A2713" t="s">
        <v>9478</v>
      </c>
      <c r="B2713" t="s">
        <v>173</v>
      </c>
      <c r="C2713">
        <v>7</v>
      </c>
      <c r="D2713" t="s">
        <v>2640</v>
      </c>
      <c r="E2713">
        <v>17700000</v>
      </c>
    </row>
    <row r="2714" spans="1:5" ht="15" customHeight="1" x14ac:dyDescent="0.3">
      <c r="A2714" t="s">
        <v>9479</v>
      </c>
      <c r="B2714" t="s">
        <v>2526</v>
      </c>
      <c r="C2714" t="s">
        <v>3850</v>
      </c>
      <c r="D2714" t="s">
        <v>8500</v>
      </c>
      <c r="E2714">
        <v>13700000</v>
      </c>
    </row>
    <row r="2715" spans="1:5" ht="15" customHeight="1" x14ac:dyDescent="0.3">
      <c r="A2715" t="s">
        <v>9480</v>
      </c>
      <c r="B2715" t="s">
        <v>2533</v>
      </c>
      <c r="C2715">
        <v>3</v>
      </c>
      <c r="D2715" t="s">
        <v>8554</v>
      </c>
      <c r="E2715">
        <v>7460000</v>
      </c>
    </row>
    <row r="2716" spans="1:5" ht="15" customHeight="1" x14ac:dyDescent="0.3">
      <c r="A2716" t="s">
        <v>9481</v>
      </c>
      <c r="B2716" t="s">
        <v>241</v>
      </c>
      <c r="C2716">
        <v>3008</v>
      </c>
      <c r="D2716" t="s">
        <v>2647</v>
      </c>
      <c r="E2716">
        <v>15000000</v>
      </c>
    </row>
    <row r="2717" spans="1:5" ht="15" customHeight="1" x14ac:dyDescent="0.3">
      <c r="A2717" t="s">
        <v>9482</v>
      </c>
      <c r="B2717" t="s">
        <v>241</v>
      </c>
      <c r="C2717" t="s">
        <v>269</v>
      </c>
      <c r="D2717" t="s">
        <v>8486</v>
      </c>
      <c r="E2717">
        <v>15900000</v>
      </c>
    </row>
    <row r="2718" spans="1:5" ht="15" customHeight="1" x14ac:dyDescent="0.3">
      <c r="A2718" t="s">
        <v>9483</v>
      </c>
      <c r="B2718" t="s">
        <v>241</v>
      </c>
      <c r="C2718" t="s">
        <v>269</v>
      </c>
      <c r="D2718" t="s">
        <v>629</v>
      </c>
      <c r="E2718">
        <v>25000000</v>
      </c>
    </row>
    <row r="2719" spans="1:5" ht="15" customHeight="1" x14ac:dyDescent="0.3">
      <c r="A2719" t="s">
        <v>9484</v>
      </c>
      <c r="B2719" t="s">
        <v>241</v>
      </c>
      <c r="C2719" t="s">
        <v>3645</v>
      </c>
      <c r="D2719" t="s">
        <v>3646</v>
      </c>
      <c r="E2719">
        <v>25100000</v>
      </c>
    </row>
    <row r="2720" spans="1:5" ht="15" customHeight="1" x14ac:dyDescent="0.3">
      <c r="A2720" t="s">
        <v>9485</v>
      </c>
      <c r="B2720" t="s">
        <v>241</v>
      </c>
      <c r="C2720" t="s">
        <v>3164</v>
      </c>
      <c r="D2720" t="s">
        <v>532</v>
      </c>
      <c r="E2720">
        <v>28200000</v>
      </c>
    </row>
    <row r="2721" spans="1:5" ht="15" customHeight="1" x14ac:dyDescent="0.3">
      <c r="A2721" t="s">
        <v>9486</v>
      </c>
      <c r="B2721" t="s">
        <v>241</v>
      </c>
      <c r="C2721" t="s">
        <v>269</v>
      </c>
      <c r="D2721" t="s">
        <v>506</v>
      </c>
      <c r="E2721">
        <v>21400000</v>
      </c>
    </row>
    <row r="2722" spans="1:5" ht="15" customHeight="1" x14ac:dyDescent="0.3">
      <c r="A2722" t="s">
        <v>9487</v>
      </c>
      <c r="B2722" t="s">
        <v>241</v>
      </c>
      <c r="C2722" t="s">
        <v>2584</v>
      </c>
      <c r="D2722" t="s">
        <v>3630</v>
      </c>
      <c r="E2722">
        <v>15400000</v>
      </c>
    </row>
    <row r="2723" spans="1:5" ht="15" customHeight="1" x14ac:dyDescent="0.3">
      <c r="A2723" t="s">
        <v>9488</v>
      </c>
      <c r="B2723" t="s">
        <v>241</v>
      </c>
      <c r="C2723" t="s">
        <v>269</v>
      </c>
      <c r="D2723" t="s">
        <v>2503</v>
      </c>
      <c r="E2723">
        <v>15900000</v>
      </c>
    </row>
    <row r="2724" spans="1:5" ht="15" customHeight="1" x14ac:dyDescent="0.3">
      <c r="A2724" t="s">
        <v>9489</v>
      </c>
      <c r="B2724" t="s">
        <v>241</v>
      </c>
      <c r="C2724">
        <v>208</v>
      </c>
      <c r="D2724" t="s">
        <v>2649</v>
      </c>
      <c r="E2724">
        <v>13700000</v>
      </c>
    </row>
    <row r="2725" spans="1:5" ht="15" customHeight="1" x14ac:dyDescent="0.3">
      <c r="A2725" t="s">
        <v>9490</v>
      </c>
      <c r="B2725" t="s">
        <v>2549</v>
      </c>
      <c r="C2725" t="s">
        <v>2655</v>
      </c>
      <c r="D2725" t="s">
        <v>3715</v>
      </c>
      <c r="E2725">
        <v>18100000</v>
      </c>
    </row>
    <row r="2726" spans="1:5" ht="15" customHeight="1" x14ac:dyDescent="0.3">
      <c r="A2726" t="s">
        <v>9491</v>
      </c>
      <c r="B2726" t="s">
        <v>241</v>
      </c>
      <c r="C2726">
        <v>2008</v>
      </c>
      <c r="D2726" t="s">
        <v>3059</v>
      </c>
      <c r="E2726">
        <v>16500000</v>
      </c>
    </row>
    <row r="2727" spans="1:5" ht="15" customHeight="1" x14ac:dyDescent="0.3">
      <c r="A2727" t="s">
        <v>9492</v>
      </c>
      <c r="B2727" t="s">
        <v>241</v>
      </c>
      <c r="C2727" t="s">
        <v>269</v>
      </c>
      <c r="D2727" t="s">
        <v>2978</v>
      </c>
      <c r="E2727">
        <v>20300000</v>
      </c>
    </row>
    <row r="2728" spans="1:5" ht="15" customHeight="1" x14ac:dyDescent="0.3">
      <c r="A2728" t="s">
        <v>9347</v>
      </c>
      <c r="B2728" t="s">
        <v>2498</v>
      </c>
      <c r="C2728" t="s">
        <v>2499</v>
      </c>
      <c r="D2728" t="s">
        <v>8809</v>
      </c>
      <c r="E2728">
        <v>9700000</v>
      </c>
    </row>
    <row r="2729" spans="1:5" ht="15" customHeight="1" x14ac:dyDescent="0.3">
      <c r="A2729" t="s">
        <v>9348</v>
      </c>
      <c r="B2729" t="s">
        <v>2498</v>
      </c>
      <c r="C2729" t="s">
        <v>2499</v>
      </c>
      <c r="D2729" t="s">
        <v>8809</v>
      </c>
      <c r="E2729">
        <v>9300000</v>
      </c>
    </row>
    <row r="2730" spans="1:5" ht="15" customHeight="1" x14ac:dyDescent="0.3">
      <c r="A2730" t="s">
        <v>9365</v>
      </c>
      <c r="B2730" t="s">
        <v>300</v>
      </c>
      <c r="C2730" t="s">
        <v>303</v>
      </c>
      <c r="D2730" t="s">
        <v>8821</v>
      </c>
      <c r="E2730">
        <v>18200000</v>
      </c>
    </row>
    <row r="2731" spans="1:5" ht="15" customHeight="1" x14ac:dyDescent="0.3">
      <c r="A2731" t="s">
        <v>9366</v>
      </c>
      <c r="B2731" t="s">
        <v>214</v>
      </c>
      <c r="C2731" t="s">
        <v>2675</v>
      </c>
      <c r="D2731" t="s">
        <v>8822</v>
      </c>
      <c r="E2731">
        <v>15900000</v>
      </c>
    </row>
    <row r="2732" spans="1:5" ht="15" customHeight="1" x14ac:dyDescent="0.3">
      <c r="A2732" t="s">
        <v>9367</v>
      </c>
      <c r="B2732" t="s">
        <v>86</v>
      </c>
      <c r="C2732" t="s">
        <v>3068</v>
      </c>
      <c r="D2732" t="s">
        <v>8599</v>
      </c>
      <c r="E2732">
        <v>37500000</v>
      </c>
    </row>
    <row r="2733" spans="1:5" ht="15" customHeight="1" x14ac:dyDescent="0.3">
      <c r="A2733" t="s">
        <v>9368</v>
      </c>
      <c r="B2733" t="s">
        <v>28</v>
      </c>
      <c r="C2733" t="s">
        <v>31</v>
      </c>
      <c r="D2733" t="s">
        <v>8823</v>
      </c>
      <c r="E2733">
        <v>8100000</v>
      </c>
    </row>
    <row r="2734" spans="1:5" ht="15" customHeight="1" x14ac:dyDescent="0.3">
      <c r="A2734" t="s">
        <v>9369</v>
      </c>
      <c r="B2734" t="s">
        <v>220</v>
      </c>
      <c r="C2734" t="s">
        <v>2762</v>
      </c>
      <c r="D2734" t="s">
        <v>8824</v>
      </c>
      <c r="E2734">
        <v>13000000</v>
      </c>
    </row>
    <row r="2735" spans="1:5" ht="15" customHeight="1" x14ac:dyDescent="0.3">
      <c r="A2735" t="s">
        <v>9370</v>
      </c>
      <c r="B2735" t="s">
        <v>2494</v>
      </c>
      <c r="C2735" t="s">
        <v>7921</v>
      </c>
      <c r="D2735" t="s">
        <v>2477</v>
      </c>
      <c r="E2735">
        <v>20300000</v>
      </c>
    </row>
    <row r="2736" spans="1:5" ht="15" customHeight="1" x14ac:dyDescent="0.3">
      <c r="A2736" t="s">
        <v>9371</v>
      </c>
      <c r="B2736" t="s">
        <v>156</v>
      </c>
      <c r="C2736" t="s">
        <v>2912</v>
      </c>
      <c r="D2736" t="s">
        <v>8825</v>
      </c>
      <c r="E2736">
        <v>12200000</v>
      </c>
    </row>
    <row r="2737" spans="1:5" ht="15" customHeight="1" x14ac:dyDescent="0.3">
      <c r="A2737" t="s">
        <v>9372</v>
      </c>
      <c r="B2737" t="s">
        <v>2665</v>
      </c>
      <c r="C2737" t="s">
        <v>3981</v>
      </c>
      <c r="D2737" t="s">
        <v>8826</v>
      </c>
      <c r="E2737">
        <v>41400000</v>
      </c>
    </row>
    <row r="2738" spans="1:5" ht="15" customHeight="1" x14ac:dyDescent="0.3">
      <c r="A2738" t="s">
        <v>9373</v>
      </c>
      <c r="B2738" t="s">
        <v>2533</v>
      </c>
      <c r="C2738" t="s">
        <v>2582</v>
      </c>
      <c r="D2738" t="s">
        <v>8827</v>
      </c>
      <c r="E2738">
        <v>7030000</v>
      </c>
    </row>
    <row r="2739" spans="1:5" ht="15" customHeight="1" x14ac:dyDescent="0.3">
      <c r="A2739" t="s">
        <v>9374</v>
      </c>
      <c r="B2739" t="s">
        <v>2665</v>
      </c>
      <c r="C2739" t="s">
        <v>3441</v>
      </c>
      <c r="D2739" t="s">
        <v>8828</v>
      </c>
      <c r="E2739">
        <v>24200000</v>
      </c>
    </row>
    <row r="2740" spans="1:5" ht="15" customHeight="1" x14ac:dyDescent="0.3">
      <c r="A2740" t="s">
        <v>9375</v>
      </c>
      <c r="B2740" t="s">
        <v>28</v>
      </c>
      <c r="C2740" t="s">
        <v>2490</v>
      </c>
      <c r="D2740" t="s">
        <v>8829</v>
      </c>
      <c r="E2740">
        <v>14000000</v>
      </c>
    </row>
    <row r="2741" spans="1:5" ht="15" customHeight="1" x14ac:dyDescent="0.3">
      <c r="A2741" t="s">
        <v>9376</v>
      </c>
      <c r="B2741" t="s">
        <v>241</v>
      </c>
      <c r="C2741" t="s">
        <v>2513</v>
      </c>
      <c r="D2741" t="s">
        <v>8830</v>
      </c>
      <c r="E2741">
        <v>19700000</v>
      </c>
    </row>
    <row r="2742" spans="1:5" ht="15" customHeight="1" x14ac:dyDescent="0.3">
      <c r="A2742" t="s">
        <v>9377</v>
      </c>
      <c r="B2742" t="s">
        <v>180</v>
      </c>
      <c r="C2742" t="s">
        <v>3419</v>
      </c>
      <c r="D2742" t="s">
        <v>3921</v>
      </c>
      <c r="E2742">
        <v>10500000</v>
      </c>
    </row>
    <row r="2743" spans="1:5" ht="15" customHeight="1" x14ac:dyDescent="0.3">
      <c r="A2743" t="s">
        <v>9378</v>
      </c>
      <c r="B2743" t="s">
        <v>2498</v>
      </c>
      <c r="C2743" t="s">
        <v>2664</v>
      </c>
      <c r="D2743" t="s">
        <v>8831</v>
      </c>
      <c r="E2743">
        <v>13400000</v>
      </c>
    </row>
    <row r="2744" spans="1:5" ht="15" customHeight="1" x14ac:dyDescent="0.3">
      <c r="A2744" t="s">
        <v>9379</v>
      </c>
      <c r="B2744" t="s">
        <v>2498</v>
      </c>
      <c r="C2744" t="s">
        <v>2663</v>
      </c>
      <c r="D2744" t="s">
        <v>8832</v>
      </c>
      <c r="E2744">
        <v>11500000</v>
      </c>
    </row>
    <row r="2745" spans="1:5" ht="15" customHeight="1" x14ac:dyDescent="0.3">
      <c r="A2745" t="s">
        <v>9380</v>
      </c>
      <c r="B2745" t="s">
        <v>220</v>
      </c>
      <c r="C2745" t="s">
        <v>2729</v>
      </c>
      <c r="D2745" t="s">
        <v>8833</v>
      </c>
      <c r="E2745">
        <v>12600000</v>
      </c>
    </row>
    <row r="2746" spans="1:5" ht="15" customHeight="1" x14ac:dyDescent="0.3">
      <c r="A2746" t="s">
        <v>9381</v>
      </c>
      <c r="B2746" t="s">
        <v>220</v>
      </c>
      <c r="C2746" t="s">
        <v>2492</v>
      </c>
      <c r="D2746" t="s">
        <v>8834</v>
      </c>
      <c r="E2746">
        <v>16100000</v>
      </c>
    </row>
    <row r="2747" spans="1:5" ht="15" customHeight="1" x14ac:dyDescent="0.3">
      <c r="A2747" t="s">
        <v>9382</v>
      </c>
      <c r="B2747" t="s">
        <v>241</v>
      </c>
      <c r="C2747" t="s">
        <v>2484</v>
      </c>
      <c r="D2747" t="s">
        <v>8835</v>
      </c>
      <c r="E2747">
        <v>15400000</v>
      </c>
    </row>
    <row r="2748" spans="1:5" ht="15" customHeight="1" x14ac:dyDescent="0.3">
      <c r="A2748" t="s">
        <v>9383</v>
      </c>
      <c r="B2748" t="s">
        <v>241</v>
      </c>
      <c r="C2748" t="s">
        <v>2484</v>
      </c>
      <c r="D2748" t="s">
        <v>8836</v>
      </c>
      <c r="E2748">
        <v>12200000</v>
      </c>
    </row>
    <row r="2749" spans="1:5" ht="15" customHeight="1" x14ac:dyDescent="0.3">
      <c r="A2749" t="s">
        <v>9384</v>
      </c>
      <c r="B2749" t="s">
        <v>207</v>
      </c>
      <c r="C2749" t="s">
        <v>2603</v>
      </c>
      <c r="D2749" t="s">
        <v>8837</v>
      </c>
      <c r="E2749">
        <v>17300000</v>
      </c>
    </row>
    <row r="2750" spans="1:5" ht="15" customHeight="1" x14ac:dyDescent="0.3">
      <c r="A2750" t="s">
        <v>9385</v>
      </c>
      <c r="B2750" t="s">
        <v>241</v>
      </c>
      <c r="C2750">
        <v>5008</v>
      </c>
      <c r="D2750" t="s">
        <v>1386</v>
      </c>
      <c r="E2750">
        <v>16000000</v>
      </c>
    </row>
    <row r="2751" spans="1:5" ht="15" customHeight="1" x14ac:dyDescent="0.3">
      <c r="A2751" t="s">
        <v>9386</v>
      </c>
      <c r="B2751" t="s">
        <v>241</v>
      </c>
      <c r="C2751">
        <v>5008</v>
      </c>
      <c r="D2751" t="s">
        <v>1386</v>
      </c>
      <c r="E2751">
        <v>16000000</v>
      </c>
    </row>
    <row r="2752" spans="1:5" ht="15" customHeight="1" x14ac:dyDescent="0.3">
      <c r="A2752" t="s">
        <v>9387</v>
      </c>
      <c r="B2752" t="s">
        <v>68</v>
      </c>
      <c r="C2752">
        <v>500</v>
      </c>
      <c r="D2752" t="s">
        <v>8838</v>
      </c>
      <c r="E2752">
        <v>10900000</v>
      </c>
    </row>
    <row r="2753" spans="1:5" ht="15" customHeight="1" x14ac:dyDescent="0.3">
      <c r="A2753" t="s">
        <v>9388</v>
      </c>
      <c r="B2753" t="s">
        <v>147</v>
      </c>
      <c r="C2753" t="s">
        <v>148</v>
      </c>
      <c r="D2753" t="s">
        <v>8839</v>
      </c>
      <c r="E2753">
        <v>8200000</v>
      </c>
    </row>
    <row r="2754" spans="1:5" ht="15" customHeight="1" x14ac:dyDescent="0.3">
      <c r="A2754" t="s">
        <v>9389</v>
      </c>
      <c r="B2754" t="s">
        <v>311</v>
      </c>
      <c r="C2754" t="s">
        <v>8858</v>
      </c>
      <c r="D2754" t="s">
        <v>8840</v>
      </c>
      <c r="E2754">
        <v>12600000</v>
      </c>
    </row>
    <row r="2755" spans="1:5" ht="15" customHeight="1" x14ac:dyDescent="0.3">
      <c r="A2755" t="s">
        <v>9390</v>
      </c>
      <c r="B2755" t="s">
        <v>2494</v>
      </c>
      <c r="C2755" t="s">
        <v>2959</v>
      </c>
      <c r="D2755" t="s">
        <v>8841</v>
      </c>
      <c r="E2755">
        <v>11100000</v>
      </c>
    </row>
    <row r="2756" spans="1:5" ht="15" customHeight="1" x14ac:dyDescent="0.3">
      <c r="A2756" t="s">
        <v>9391</v>
      </c>
      <c r="B2756" t="s">
        <v>241</v>
      </c>
      <c r="C2756" t="s">
        <v>2484</v>
      </c>
      <c r="D2756" t="s">
        <v>1677</v>
      </c>
      <c r="E2756">
        <v>12200000</v>
      </c>
    </row>
    <row r="2757" spans="1:5" ht="15" customHeight="1" x14ac:dyDescent="0.3">
      <c r="A2757" t="s">
        <v>9392</v>
      </c>
      <c r="B2757" t="s">
        <v>278</v>
      </c>
      <c r="C2757">
        <v>1000</v>
      </c>
      <c r="D2757" t="s">
        <v>8842</v>
      </c>
      <c r="E2757">
        <v>15500000</v>
      </c>
    </row>
    <row r="2758" spans="1:5" ht="15" customHeight="1" x14ac:dyDescent="0.3">
      <c r="A2758" t="s">
        <v>9393</v>
      </c>
      <c r="B2758" t="s">
        <v>2533</v>
      </c>
      <c r="C2758" t="s">
        <v>2571</v>
      </c>
      <c r="D2758" t="s">
        <v>8843</v>
      </c>
      <c r="E2758">
        <v>8400000</v>
      </c>
    </row>
    <row r="2759" spans="1:5" ht="15" customHeight="1" x14ac:dyDescent="0.3">
      <c r="A2759" t="s">
        <v>9394</v>
      </c>
      <c r="B2759" t="s">
        <v>220</v>
      </c>
      <c r="C2759" t="s">
        <v>223</v>
      </c>
      <c r="D2759" t="s">
        <v>8844</v>
      </c>
      <c r="E2759">
        <v>16300000</v>
      </c>
    </row>
    <row r="2760" spans="1:5" ht="15" customHeight="1" x14ac:dyDescent="0.3">
      <c r="A2760" t="s">
        <v>9395</v>
      </c>
      <c r="B2760" t="s">
        <v>60</v>
      </c>
      <c r="C2760" t="s">
        <v>2520</v>
      </c>
      <c r="D2760" t="s">
        <v>8845</v>
      </c>
      <c r="E2760">
        <v>14800000</v>
      </c>
    </row>
    <row r="2761" spans="1:5" ht="15" customHeight="1" x14ac:dyDescent="0.3">
      <c r="A2761" t="s">
        <v>9396</v>
      </c>
      <c r="B2761" t="s">
        <v>167</v>
      </c>
      <c r="C2761" t="s">
        <v>3192</v>
      </c>
      <c r="D2761" t="s">
        <v>8846</v>
      </c>
      <c r="E2761">
        <v>8800000</v>
      </c>
    </row>
    <row r="2762" spans="1:5" ht="15" customHeight="1" x14ac:dyDescent="0.3">
      <c r="A2762" t="s">
        <v>9397</v>
      </c>
      <c r="B2762" t="s">
        <v>60</v>
      </c>
      <c r="C2762" t="s">
        <v>8859</v>
      </c>
      <c r="D2762" t="s">
        <v>8847</v>
      </c>
      <c r="E2762">
        <v>7900000</v>
      </c>
    </row>
    <row r="2763" spans="1:5" ht="15" customHeight="1" x14ac:dyDescent="0.3">
      <c r="A2763" t="s">
        <v>9398</v>
      </c>
      <c r="B2763" t="s">
        <v>3308</v>
      </c>
      <c r="C2763" t="s">
        <v>3309</v>
      </c>
      <c r="D2763" t="s">
        <v>8848</v>
      </c>
      <c r="E2763">
        <v>17300000</v>
      </c>
    </row>
    <row r="2764" spans="1:5" ht="15" customHeight="1" x14ac:dyDescent="0.3">
      <c r="A2764" t="s">
        <v>9399</v>
      </c>
      <c r="B2764" t="s">
        <v>86</v>
      </c>
      <c r="C2764" t="s">
        <v>122</v>
      </c>
      <c r="D2764" t="s">
        <v>8849</v>
      </c>
      <c r="E2764">
        <v>17700000</v>
      </c>
    </row>
    <row r="2765" spans="1:5" ht="15" customHeight="1" x14ac:dyDescent="0.3">
      <c r="A2765" t="s">
        <v>9400</v>
      </c>
      <c r="B2765" t="s">
        <v>28</v>
      </c>
      <c r="C2765" t="s">
        <v>4019</v>
      </c>
      <c r="D2765" t="s">
        <v>2477</v>
      </c>
      <c r="E2765">
        <v>4900000</v>
      </c>
    </row>
    <row r="2766" spans="1:5" ht="15" customHeight="1" x14ac:dyDescent="0.3">
      <c r="A2766" t="s">
        <v>9349</v>
      </c>
      <c r="B2766" t="s">
        <v>86</v>
      </c>
      <c r="C2766" t="s">
        <v>3223</v>
      </c>
      <c r="D2766" t="s">
        <v>8810</v>
      </c>
      <c r="E2766">
        <v>23600000</v>
      </c>
    </row>
    <row r="2767" spans="1:5" ht="15" customHeight="1" x14ac:dyDescent="0.3">
      <c r="A2767" t="s">
        <v>9350</v>
      </c>
      <c r="B2767" t="s">
        <v>2498</v>
      </c>
      <c r="C2767" t="s">
        <v>2664</v>
      </c>
      <c r="D2767" t="s">
        <v>8811</v>
      </c>
      <c r="E2767">
        <v>13100000</v>
      </c>
    </row>
    <row r="2768" spans="1:5" ht="15" customHeight="1" x14ac:dyDescent="0.3">
      <c r="A2768" t="s">
        <v>9493</v>
      </c>
      <c r="B2768" t="s">
        <v>220</v>
      </c>
      <c r="C2768" t="s">
        <v>223</v>
      </c>
      <c r="D2768" t="s">
        <v>8851</v>
      </c>
      <c r="E2768">
        <v>22000000</v>
      </c>
    </row>
    <row r="2769" spans="1:5" ht="15" customHeight="1" x14ac:dyDescent="0.3">
      <c r="A2769" t="s">
        <v>9494</v>
      </c>
      <c r="B2769" t="s">
        <v>241</v>
      </c>
      <c r="C2769" t="s">
        <v>2584</v>
      </c>
      <c r="D2769" t="s">
        <v>8852</v>
      </c>
      <c r="E2769">
        <v>17400000</v>
      </c>
    </row>
    <row r="2770" spans="1:5" ht="15" customHeight="1" x14ac:dyDescent="0.3">
      <c r="A2770" t="s">
        <v>9351</v>
      </c>
      <c r="B2770" t="s">
        <v>2498</v>
      </c>
      <c r="C2770" t="s">
        <v>2587</v>
      </c>
      <c r="D2770" t="s">
        <v>8812</v>
      </c>
      <c r="E2770">
        <v>17100000</v>
      </c>
    </row>
    <row r="2771" spans="1:5" ht="15" customHeight="1" x14ac:dyDescent="0.3">
      <c r="A2771" t="s">
        <v>9495</v>
      </c>
      <c r="B2771" t="s">
        <v>86</v>
      </c>
      <c r="C2771" t="s">
        <v>134</v>
      </c>
      <c r="D2771" t="s">
        <v>8853</v>
      </c>
      <c r="E2771">
        <v>15300000</v>
      </c>
    </row>
    <row r="2772" spans="1:5" ht="15" customHeight="1" x14ac:dyDescent="0.3">
      <c r="A2772" t="s">
        <v>9496</v>
      </c>
      <c r="B2772" t="s">
        <v>156</v>
      </c>
      <c r="C2772" t="s">
        <v>8860</v>
      </c>
      <c r="D2772" t="s">
        <v>8854</v>
      </c>
      <c r="E2772">
        <v>12600000</v>
      </c>
    </row>
    <row r="2773" spans="1:5" ht="15" customHeight="1" x14ac:dyDescent="0.3">
      <c r="A2773" t="s">
        <v>9401</v>
      </c>
      <c r="B2773" t="s">
        <v>2545</v>
      </c>
      <c r="C2773" t="s">
        <v>3606</v>
      </c>
      <c r="D2773" t="s">
        <v>8850</v>
      </c>
      <c r="E2773">
        <v>13300000</v>
      </c>
    </row>
    <row r="2774" spans="1:5" ht="15" customHeight="1" x14ac:dyDescent="0.3">
      <c r="A2774" t="s">
        <v>9582</v>
      </c>
      <c r="B2774" t="s">
        <v>214</v>
      </c>
      <c r="C2774" t="s">
        <v>2675</v>
      </c>
      <c r="D2774" t="s">
        <v>9583</v>
      </c>
      <c r="E2774">
        <v>17300000</v>
      </c>
    </row>
    <row r="2775" spans="1:5" ht="15" customHeight="1" x14ac:dyDescent="0.3">
      <c r="A2775" t="s">
        <v>9584</v>
      </c>
      <c r="B2775" t="s">
        <v>237</v>
      </c>
      <c r="C2775" t="s">
        <v>65</v>
      </c>
      <c r="D2775" t="s">
        <v>9585</v>
      </c>
      <c r="E2775">
        <v>12300000</v>
      </c>
    </row>
    <row r="2776" spans="1:5" ht="15" customHeight="1" x14ac:dyDescent="0.3">
      <c r="A2776" t="s">
        <v>9586</v>
      </c>
      <c r="B2776" t="s">
        <v>86</v>
      </c>
      <c r="C2776" t="s">
        <v>90</v>
      </c>
      <c r="D2776" t="s">
        <v>9587</v>
      </c>
      <c r="E2776">
        <v>8200000</v>
      </c>
    </row>
    <row r="2777" spans="1:5" ht="15" customHeight="1" x14ac:dyDescent="0.3">
      <c r="A2777" t="s">
        <v>9588</v>
      </c>
      <c r="B2777" t="s">
        <v>86</v>
      </c>
      <c r="C2777" t="s">
        <v>2793</v>
      </c>
      <c r="D2777" t="s">
        <v>9589</v>
      </c>
      <c r="E2777">
        <v>18100000</v>
      </c>
    </row>
    <row r="2778" spans="1:5" ht="15" customHeight="1" x14ac:dyDescent="0.3">
      <c r="A2778" t="s">
        <v>9590</v>
      </c>
      <c r="B2778" t="s">
        <v>306</v>
      </c>
      <c r="C2778" t="s">
        <v>2862</v>
      </c>
      <c r="D2778" t="s">
        <v>9591</v>
      </c>
      <c r="E2778">
        <v>19500000</v>
      </c>
    </row>
    <row r="2779" spans="1:5" ht="15" customHeight="1" x14ac:dyDescent="0.3">
      <c r="A2779" t="s">
        <v>9592</v>
      </c>
      <c r="B2779" t="s">
        <v>86</v>
      </c>
      <c r="C2779" t="s">
        <v>134</v>
      </c>
      <c r="D2779" t="s">
        <v>9593</v>
      </c>
      <c r="E2779">
        <v>12900000</v>
      </c>
    </row>
    <row r="2780" spans="1:5" ht="15" customHeight="1" x14ac:dyDescent="0.3">
      <c r="A2780" t="s">
        <v>9594</v>
      </c>
      <c r="B2780" t="s">
        <v>220</v>
      </c>
      <c r="C2780" t="s">
        <v>2576</v>
      </c>
      <c r="D2780" t="s">
        <v>9595</v>
      </c>
      <c r="E2780">
        <v>17900000</v>
      </c>
    </row>
    <row r="2781" spans="1:5" ht="15" customHeight="1" x14ac:dyDescent="0.3">
      <c r="A2781" t="s">
        <v>9596</v>
      </c>
      <c r="B2781" t="s">
        <v>220</v>
      </c>
      <c r="C2781" t="s">
        <v>2569</v>
      </c>
      <c r="D2781" t="s">
        <v>1985</v>
      </c>
      <c r="E2781">
        <v>10600000</v>
      </c>
    </row>
    <row r="2782" spans="1:5" ht="15" customHeight="1" x14ac:dyDescent="0.3">
      <c r="A2782" t="s">
        <v>9597</v>
      </c>
      <c r="B2782" t="s">
        <v>241</v>
      </c>
      <c r="C2782" t="s">
        <v>9598</v>
      </c>
      <c r="D2782" t="s">
        <v>9599</v>
      </c>
      <c r="E2782">
        <v>26300000</v>
      </c>
    </row>
    <row r="2783" spans="1:5" ht="15" customHeight="1" x14ac:dyDescent="0.3">
      <c r="A2783" t="s">
        <v>9600</v>
      </c>
      <c r="B2783" t="s">
        <v>2545</v>
      </c>
      <c r="C2783" t="s">
        <v>2651</v>
      </c>
      <c r="D2783" t="s">
        <v>9601</v>
      </c>
      <c r="E2783">
        <v>9000000</v>
      </c>
    </row>
    <row r="2784" spans="1:5" ht="15" customHeight="1" x14ac:dyDescent="0.3">
      <c r="A2784" t="s">
        <v>9602</v>
      </c>
      <c r="B2784" t="s">
        <v>86</v>
      </c>
      <c r="C2784" t="s">
        <v>2793</v>
      </c>
      <c r="D2784" t="s">
        <v>9603</v>
      </c>
      <c r="E2784">
        <v>15200000</v>
      </c>
    </row>
    <row r="2785" spans="1:5" ht="15" customHeight="1" x14ac:dyDescent="0.3">
      <c r="A2785" t="s">
        <v>9604</v>
      </c>
      <c r="B2785" t="s">
        <v>156</v>
      </c>
      <c r="C2785" t="s">
        <v>2658</v>
      </c>
      <c r="D2785" t="s">
        <v>2659</v>
      </c>
      <c r="E2785">
        <v>16000000</v>
      </c>
    </row>
    <row r="2786" spans="1:5" ht="15" customHeight="1" x14ac:dyDescent="0.3">
      <c r="A2786" t="s">
        <v>9605</v>
      </c>
      <c r="B2786" t="s">
        <v>237</v>
      </c>
      <c r="C2786" t="s">
        <v>65</v>
      </c>
      <c r="D2786" t="s">
        <v>9606</v>
      </c>
      <c r="E2786">
        <v>13800000</v>
      </c>
    </row>
    <row r="2787" spans="1:5" ht="15" customHeight="1" x14ac:dyDescent="0.3">
      <c r="A2787" t="s">
        <v>9607</v>
      </c>
      <c r="B2787" t="s">
        <v>204</v>
      </c>
      <c r="C2787" t="s">
        <v>9608</v>
      </c>
      <c r="D2787" t="s">
        <v>9609</v>
      </c>
      <c r="E2787">
        <v>13600000</v>
      </c>
    </row>
    <row r="2788" spans="1:5" ht="15" customHeight="1" x14ac:dyDescent="0.3">
      <c r="A2788" t="s">
        <v>9610</v>
      </c>
      <c r="B2788" t="s">
        <v>86</v>
      </c>
      <c r="C2788" t="s">
        <v>2507</v>
      </c>
      <c r="D2788" t="s">
        <v>9611</v>
      </c>
      <c r="E2788">
        <v>23800000</v>
      </c>
    </row>
    <row r="2789" spans="1:5" ht="15" customHeight="1" x14ac:dyDescent="0.3">
      <c r="A2789" t="s">
        <v>9612</v>
      </c>
      <c r="B2789" t="s">
        <v>237</v>
      </c>
      <c r="C2789" t="s">
        <v>65</v>
      </c>
      <c r="D2789" t="s">
        <v>9613</v>
      </c>
      <c r="E2789">
        <v>13800000</v>
      </c>
    </row>
    <row r="2790" spans="1:5" ht="15" customHeight="1" x14ac:dyDescent="0.3">
      <c r="A2790" t="s">
        <v>9614</v>
      </c>
      <c r="B2790" t="s">
        <v>2494</v>
      </c>
      <c r="C2790" t="s">
        <v>2959</v>
      </c>
      <c r="D2790" t="s">
        <v>9615</v>
      </c>
      <c r="E2790">
        <v>12300000</v>
      </c>
    </row>
    <row r="2791" spans="1:5" ht="15" customHeight="1" x14ac:dyDescent="0.3">
      <c r="A2791" t="s">
        <v>9616</v>
      </c>
      <c r="B2791" t="s">
        <v>86</v>
      </c>
      <c r="C2791" t="s">
        <v>134</v>
      </c>
      <c r="D2791" t="s">
        <v>9617</v>
      </c>
      <c r="E2791">
        <v>11000000</v>
      </c>
    </row>
    <row r="2792" spans="1:5" ht="15" customHeight="1" x14ac:dyDescent="0.3">
      <c r="A2792" t="s">
        <v>9618</v>
      </c>
      <c r="B2792" t="s">
        <v>241</v>
      </c>
      <c r="C2792" t="s">
        <v>2485</v>
      </c>
      <c r="D2792" t="s">
        <v>9619</v>
      </c>
      <c r="E2792">
        <v>12600000</v>
      </c>
    </row>
    <row r="2793" spans="1:5" ht="15" customHeight="1" x14ac:dyDescent="0.3">
      <c r="A2793" t="s">
        <v>9620</v>
      </c>
      <c r="B2793" t="s">
        <v>86</v>
      </c>
      <c r="C2793" t="s">
        <v>2793</v>
      </c>
      <c r="D2793" t="s">
        <v>9621</v>
      </c>
      <c r="E2793">
        <v>15800000</v>
      </c>
    </row>
    <row r="2794" spans="1:5" ht="15" customHeight="1" x14ac:dyDescent="0.3">
      <c r="A2794" t="s">
        <v>9622</v>
      </c>
      <c r="B2794" t="s">
        <v>28</v>
      </c>
      <c r="C2794" t="s">
        <v>38</v>
      </c>
      <c r="D2794" t="s">
        <v>1540</v>
      </c>
      <c r="E2794">
        <v>12600000</v>
      </c>
    </row>
    <row r="2795" spans="1:5" ht="15" customHeight="1" x14ac:dyDescent="0.3">
      <c r="A2795" t="s">
        <v>9623</v>
      </c>
      <c r="B2795" t="s">
        <v>2498</v>
      </c>
      <c r="C2795" t="s">
        <v>2833</v>
      </c>
      <c r="D2795" t="s">
        <v>9624</v>
      </c>
      <c r="E2795">
        <v>33500000</v>
      </c>
    </row>
    <row r="2796" spans="1:5" ht="15" customHeight="1" x14ac:dyDescent="0.3">
      <c r="A2796" t="s">
        <v>9625</v>
      </c>
      <c r="B2796" t="s">
        <v>14</v>
      </c>
      <c r="C2796" t="s">
        <v>9626</v>
      </c>
      <c r="D2796" t="s">
        <v>2477</v>
      </c>
      <c r="E2796">
        <v>12300000</v>
      </c>
    </row>
    <row r="2797" spans="1:5" ht="15" customHeight="1" x14ac:dyDescent="0.3">
      <c r="A2797" t="s">
        <v>9627</v>
      </c>
      <c r="B2797" t="s">
        <v>2498</v>
      </c>
      <c r="C2797" t="s">
        <v>2499</v>
      </c>
      <c r="D2797" t="s">
        <v>9628</v>
      </c>
      <c r="E2797">
        <v>9300000</v>
      </c>
    </row>
    <row r="2798" spans="1:5" ht="15" customHeight="1" x14ac:dyDescent="0.3">
      <c r="A2798" t="s">
        <v>9629</v>
      </c>
      <c r="B2798" t="s">
        <v>2498</v>
      </c>
      <c r="C2798" t="s">
        <v>2663</v>
      </c>
      <c r="D2798" t="s">
        <v>9630</v>
      </c>
      <c r="E2798">
        <v>7730000</v>
      </c>
    </row>
    <row r="2799" spans="1:5" ht="15" customHeight="1" x14ac:dyDescent="0.3">
      <c r="A2799" t="s">
        <v>9631</v>
      </c>
      <c r="B2799" t="s">
        <v>9632</v>
      </c>
      <c r="C2799" t="s">
        <v>9633</v>
      </c>
      <c r="D2799" t="s">
        <v>9634</v>
      </c>
      <c r="E2799">
        <v>6770000</v>
      </c>
    </row>
    <row r="2800" spans="1:5" ht="15" customHeight="1" x14ac:dyDescent="0.3">
      <c r="A2800" t="s">
        <v>9635</v>
      </c>
      <c r="B2800" t="s">
        <v>9632</v>
      </c>
      <c r="C2800" t="s">
        <v>9633</v>
      </c>
      <c r="D2800" t="s">
        <v>9634</v>
      </c>
      <c r="E2800">
        <v>7910000</v>
      </c>
    </row>
    <row r="2801" spans="1:5" ht="15" customHeight="1" x14ac:dyDescent="0.3">
      <c r="A2801" t="s">
        <v>9636</v>
      </c>
      <c r="B2801" t="s">
        <v>9637</v>
      </c>
      <c r="C2801" t="s">
        <v>9638</v>
      </c>
      <c r="D2801" t="s">
        <v>9639</v>
      </c>
      <c r="E2801">
        <v>14600000</v>
      </c>
    </row>
    <row r="2802" spans="1:5" ht="15" customHeight="1" x14ac:dyDescent="0.3">
      <c r="A2802" t="s">
        <v>9640</v>
      </c>
      <c r="B2802" t="s">
        <v>86</v>
      </c>
      <c r="C2802" t="s">
        <v>134</v>
      </c>
      <c r="D2802" t="s">
        <v>9641</v>
      </c>
      <c r="E2802">
        <v>11800000</v>
      </c>
    </row>
    <row r="2803" spans="1:5" ht="15" customHeight="1" x14ac:dyDescent="0.3">
      <c r="A2803" t="s">
        <v>9642</v>
      </c>
      <c r="B2803" t="s">
        <v>241</v>
      </c>
      <c r="C2803" t="s">
        <v>2487</v>
      </c>
      <c r="D2803" t="s">
        <v>9643</v>
      </c>
      <c r="E2803">
        <v>16400000</v>
      </c>
    </row>
    <row r="2804" spans="1:5" ht="15" customHeight="1" x14ac:dyDescent="0.3">
      <c r="A2804" t="s">
        <v>9644</v>
      </c>
      <c r="B2804" t="s">
        <v>306</v>
      </c>
      <c r="C2804" t="s">
        <v>2862</v>
      </c>
      <c r="D2804" t="s">
        <v>9645</v>
      </c>
      <c r="E2804">
        <v>28100000</v>
      </c>
    </row>
    <row r="2805" spans="1:5" ht="15" customHeight="1" x14ac:dyDescent="0.3">
      <c r="A2805" t="s">
        <v>9646</v>
      </c>
      <c r="B2805" t="s">
        <v>2498</v>
      </c>
      <c r="C2805" t="s">
        <v>188</v>
      </c>
      <c r="D2805" t="s">
        <v>9647</v>
      </c>
      <c r="E2805">
        <v>9900000</v>
      </c>
    </row>
    <row r="2806" spans="1:5" ht="15" customHeight="1" x14ac:dyDescent="0.3">
      <c r="A2806" t="s">
        <v>9648</v>
      </c>
      <c r="B2806" t="s">
        <v>2498</v>
      </c>
      <c r="C2806" t="s">
        <v>2499</v>
      </c>
      <c r="D2806" t="s">
        <v>9649</v>
      </c>
      <c r="E2806">
        <v>10500000</v>
      </c>
    </row>
    <row r="2807" spans="1:5" ht="15" customHeight="1" x14ac:dyDescent="0.3">
      <c r="A2807" t="s">
        <v>9650</v>
      </c>
      <c r="B2807" t="s">
        <v>28</v>
      </c>
      <c r="C2807" t="s">
        <v>38</v>
      </c>
      <c r="D2807" t="s">
        <v>9651</v>
      </c>
      <c r="E2807">
        <v>12400000</v>
      </c>
    </row>
    <row r="2808" spans="1:5" ht="15" customHeight="1" x14ac:dyDescent="0.3">
      <c r="A2808" t="s">
        <v>9652</v>
      </c>
      <c r="B2808" t="s">
        <v>2494</v>
      </c>
      <c r="C2808" t="s">
        <v>3477</v>
      </c>
      <c r="D2808" t="s">
        <v>9653</v>
      </c>
      <c r="E2808">
        <v>7310000</v>
      </c>
    </row>
    <row r="2809" spans="1:5" ht="15" customHeight="1" x14ac:dyDescent="0.3">
      <c r="A2809" t="s">
        <v>9654</v>
      </c>
      <c r="B2809" t="s">
        <v>14</v>
      </c>
      <c r="C2809" t="s">
        <v>2508</v>
      </c>
      <c r="D2809" t="s">
        <v>3551</v>
      </c>
      <c r="E2809">
        <v>8600000</v>
      </c>
    </row>
    <row r="2810" spans="1:5" ht="15" customHeight="1" x14ac:dyDescent="0.3">
      <c r="A2810" t="s">
        <v>9655</v>
      </c>
      <c r="B2810" t="s">
        <v>156</v>
      </c>
      <c r="C2810" t="s">
        <v>3072</v>
      </c>
      <c r="D2810" t="s">
        <v>9656</v>
      </c>
      <c r="E2810">
        <v>8800000</v>
      </c>
    </row>
    <row r="2811" spans="1:5" ht="15" customHeight="1" x14ac:dyDescent="0.3">
      <c r="A2811" t="s">
        <v>9657</v>
      </c>
      <c r="B2811" t="s">
        <v>86</v>
      </c>
      <c r="C2811" t="s">
        <v>3523</v>
      </c>
      <c r="D2811" t="s">
        <v>3524</v>
      </c>
      <c r="E2811">
        <v>7500000</v>
      </c>
    </row>
    <row r="2812" spans="1:5" ht="15" customHeight="1" x14ac:dyDescent="0.3">
      <c r="A2812" t="s">
        <v>9658</v>
      </c>
      <c r="B2812" t="s">
        <v>86</v>
      </c>
      <c r="C2812" t="s">
        <v>2793</v>
      </c>
      <c r="D2812" t="s">
        <v>9659</v>
      </c>
      <c r="E2812">
        <v>16000000</v>
      </c>
    </row>
    <row r="2813" spans="1:5" ht="15" customHeight="1" x14ac:dyDescent="0.3">
      <c r="A2813" t="s">
        <v>9660</v>
      </c>
      <c r="B2813" t="s">
        <v>45</v>
      </c>
      <c r="C2813" t="s">
        <v>46</v>
      </c>
      <c r="D2813" t="s">
        <v>9661</v>
      </c>
      <c r="E2813">
        <v>11400000</v>
      </c>
    </row>
    <row r="2814" spans="1:5" ht="15" customHeight="1" x14ac:dyDescent="0.3">
      <c r="A2814" t="s">
        <v>9662</v>
      </c>
      <c r="B2814" t="s">
        <v>86</v>
      </c>
      <c r="C2814" t="s">
        <v>134</v>
      </c>
      <c r="D2814" t="s">
        <v>9663</v>
      </c>
      <c r="E2814">
        <v>16400000</v>
      </c>
    </row>
    <row r="2815" spans="1:5" ht="15" customHeight="1" x14ac:dyDescent="0.3">
      <c r="A2815" t="s">
        <v>9664</v>
      </c>
      <c r="B2815" t="s">
        <v>86</v>
      </c>
      <c r="C2815" t="s">
        <v>134</v>
      </c>
      <c r="D2815" t="s">
        <v>9665</v>
      </c>
      <c r="E2815">
        <v>12300000</v>
      </c>
    </row>
    <row r="2816" spans="1:5" ht="15" customHeight="1" x14ac:dyDescent="0.3">
      <c r="A2816" t="s">
        <v>9666</v>
      </c>
      <c r="B2816" t="s">
        <v>2545</v>
      </c>
      <c r="C2816" t="s">
        <v>2546</v>
      </c>
      <c r="D2816" t="s">
        <v>9667</v>
      </c>
      <c r="E2816">
        <v>12500000</v>
      </c>
    </row>
    <row r="2817" spans="1:6" ht="15" customHeight="1" x14ac:dyDescent="0.3">
      <c r="A2817" t="s">
        <v>9668</v>
      </c>
      <c r="B2817" t="s">
        <v>214</v>
      </c>
      <c r="C2817" t="s">
        <v>9669</v>
      </c>
      <c r="D2817" t="s">
        <v>9670</v>
      </c>
      <c r="E2817">
        <v>17100000</v>
      </c>
    </row>
    <row r="2818" spans="1:6" ht="15" customHeight="1" x14ac:dyDescent="0.3">
      <c r="A2818" t="s">
        <v>9671</v>
      </c>
      <c r="B2818" t="s">
        <v>4152</v>
      </c>
      <c r="C2818" t="s">
        <v>9672</v>
      </c>
      <c r="D2818" t="s">
        <v>8603</v>
      </c>
      <c r="E2818">
        <v>17700000</v>
      </c>
    </row>
    <row r="2819" spans="1:6" ht="15" customHeight="1" x14ac:dyDescent="0.3">
      <c r="A2819" t="s">
        <v>9673</v>
      </c>
      <c r="B2819" t="s">
        <v>167</v>
      </c>
      <c r="C2819" t="s">
        <v>2535</v>
      </c>
      <c r="D2819" t="s">
        <v>9674</v>
      </c>
      <c r="E2819">
        <v>18700000</v>
      </c>
    </row>
    <row r="2820" spans="1:6" ht="15" customHeight="1" x14ac:dyDescent="0.3">
      <c r="A2820" t="s">
        <v>9675</v>
      </c>
      <c r="B2820" t="s">
        <v>167</v>
      </c>
      <c r="C2820" t="s">
        <v>2644</v>
      </c>
      <c r="D2820" t="s">
        <v>9676</v>
      </c>
      <c r="E2820">
        <v>15400000</v>
      </c>
    </row>
    <row r="2821" spans="1:6" ht="15" customHeight="1" x14ac:dyDescent="0.3">
      <c r="A2821" t="s">
        <v>9677</v>
      </c>
      <c r="B2821" t="s">
        <v>167</v>
      </c>
      <c r="C2821" t="s">
        <v>168</v>
      </c>
      <c r="D2821" t="s">
        <v>9678</v>
      </c>
      <c r="E2821">
        <v>9400000</v>
      </c>
    </row>
    <row r="2822" spans="1:6" ht="15" customHeight="1" x14ac:dyDescent="0.3">
      <c r="A2822" t="s">
        <v>9679</v>
      </c>
      <c r="B2822" t="s">
        <v>2549</v>
      </c>
      <c r="C2822" t="s">
        <v>3041</v>
      </c>
      <c r="D2822" t="s">
        <v>9680</v>
      </c>
      <c r="E2822">
        <v>9400000</v>
      </c>
    </row>
    <row r="2823" spans="1:6" ht="15" customHeight="1" x14ac:dyDescent="0.3">
      <c r="A2823" t="s">
        <v>9681</v>
      </c>
      <c r="B2823" t="s">
        <v>2498</v>
      </c>
      <c r="C2823" t="s">
        <v>2499</v>
      </c>
      <c r="D2823" t="s">
        <v>9682</v>
      </c>
      <c r="E2823">
        <v>9900000</v>
      </c>
    </row>
    <row r="2824" spans="1:6" ht="15" customHeight="1" x14ac:dyDescent="0.3">
      <c r="A2824" t="s">
        <v>9683</v>
      </c>
      <c r="B2824" t="s">
        <v>288</v>
      </c>
      <c r="C2824" t="s">
        <v>3911</v>
      </c>
      <c r="D2824" t="s">
        <v>9684</v>
      </c>
      <c r="E2824">
        <v>6380000</v>
      </c>
    </row>
    <row r="2825" spans="1:6" ht="15" customHeight="1" x14ac:dyDescent="0.3">
      <c r="A2825" t="s">
        <v>9685</v>
      </c>
      <c r="B2825" t="s">
        <v>86</v>
      </c>
      <c r="C2825" t="s">
        <v>90</v>
      </c>
      <c r="D2825" t="s">
        <v>9686</v>
      </c>
      <c r="E2825">
        <v>9500000</v>
      </c>
    </row>
    <row r="2826" spans="1:6" ht="15" customHeight="1" x14ac:dyDescent="0.3">
      <c r="A2826" t="s">
        <v>9687</v>
      </c>
      <c r="B2826" t="s">
        <v>86</v>
      </c>
      <c r="C2826" t="s">
        <v>106</v>
      </c>
      <c r="D2826" t="s">
        <v>1138</v>
      </c>
      <c r="E2826">
        <v>34900000</v>
      </c>
    </row>
    <row r="2827" spans="1:6" ht="15" customHeight="1" x14ac:dyDescent="0.3">
      <c r="A2827" t="s">
        <v>9688</v>
      </c>
      <c r="B2827" t="s">
        <v>86</v>
      </c>
      <c r="C2827" t="s">
        <v>2507</v>
      </c>
      <c r="D2827" t="s">
        <v>9689</v>
      </c>
      <c r="E2827">
        <v>33100000</v>
      </c>
    </row>
    <row r="2828" spans="1:6" ht="15" customHeight="1" x14ac:dyDescent="0.3">
      <c r="A2828" t="s">
        <v>9690</v>
      </c>
      <c r="B2828" t="s">
        <v>156</v>
      </c>
      <c r="C2828" t="s">
        <v>2479</v>
      </c>
      <c r="D2828" t="s">
        <v>9691</v>
      </c>
      <c r="E2828">
        <v>10300000</v>
      </c>
      <c r="F2828" t="s">
        <v>10286</v>
      </c>
    </row>
    <row r="2829" spans="1:6" ht="15" customHeight="1" x14ac:dyDescent="0.3">
      <c r="A2829" t="s">
        <v>9692</v>
      </c>
      <c r="B2829" t="s">
        <v>306</v>
      </c>
      <c r="C2829" t="s">
        <v>2981</v>
      </c>
      <c r="D2829" t="s">
        <v>9693</v>
      </c>
      <c r="E2829">
        <v>48900000</v>
      </c>
    </row>
    <row r="2830" spans="1:6" ht="15" customHeight="1" x14ac:dyDescent="0.3">
      <c r="A2830" t="s">
        <v>9694</v>
      </c>
      <c r="B2830" t="s">
        <v>291</v>
      </c>
      <c r="C2830" t="s">
        <v>3161</v>
      </c>
      <c r="D2830" t="s">
        <v>9695</v>
      </c>
      <c r="E2830">
        <v>22900000</v>
      </c>
    </row>
    <row r="2831" spans="1:6" ht="15" customHeight="1" x14ac:dyDescent="0.3">
      <c r="A2831" t="s">
        <v>9696</v>
      </c>
      <c r="B2831" t="s">
        <v>60</v>
      </c>
      <c r="C2831" t="s">
        <v>9697</v>
      </c>
      <c r="D2831" t="s">
        <v>9698</v>
      </c>
      <c r="E2831">
        <v>17300000</v>
      </c>
    </row>
    <row r="2832" spans="1:6" ht="15" customHeight="1" x14ac:dyDescent="0.3">
      <c r="A2832" t="s">
        <v>9699</v>
      </c>
      <c r="B2832" t="s">
        <v>86</v>
      </c>
      <c r="C2832" t="s">
        <v>134</v>
      </c>
      <c r="D2832" t="s">
        <v>9700</v>
      </c>
      <c r="E2832">
        <v>12700000</v>
      </c>
    </row>
    <row r="2833" spans="1:5" ht="15" customHeight="1" x14ac:dyDescent="0.3">
      <c r="A2833" t="s">
        <v>9701</v>
      </c>
      <c r="B2833" t="s">
        <v>241</v>
      </c>
      <c r="C2833">
        <v>5008</v>
      </c>
      <c r="D2833" t="s">
        <v>9702</v>
      </c>
      <c r="E2833">
        <v>17000000</v>
      </c>
    </row>
    <row r="2834" spans="1:5" ht="15" customHeight="1" x14ac:dyDescent="0.3">
      <c r="A2834" t="s">
        <v>9703</v>
      </c>
      <c r="B2834" t="s">
        <v>311</v>
      </c>
      <c r="C2834" t="s">
        <v>3865</v>
      </c>
      <c r="D2834" t="s">
        <v>1111</v>
      </c>
      <c r="E2834">
        <v>11600000</v>
      </c>
    </row>
    <row r="2835" spans="1:5" ht="15" customHeight="1" x14ac:dyDescent="0.3">
      <c r="A2835" t="s">
        <v>9704</v>
      </c>
      <c r="B2835" t="s">
        <v>2533</v>
      </c>
      <c r="C2835" t="s">
        <v>2534</v>
      </c>
      <c r="D2835" t="s">
        <v>9705</v>
      </c>
      <c r="E2835">
        <v>12100000</v>
      </c>
    </row>
    <row r="2836" spans="1:5" ht="15" customHeight="1" x14ac:dyDescent="0.3">
      <c r="A2836" t="s">
        <v>9706</v>
      </c>
      <c r="B2836" t="s">
        <v>60</v>
      </c>
      <c r="C2836" t="s">
        <v>3017</v>
      </c>
      <c r="D2836" t="s">
        <v>9707</v>
      </c>
      <c r="E2836">
        <v>12000000</v>
      </c>
    </row>
    <row r="2837" spans="1:5" ht="15" customHeight="1" x14ac:dyDescent="0.3">
      <c r="A2837" t="s">
        <v>9708</v>
      </c>
      <c r="B2837" t="s">
        <v>28</v>
      </c>
      <c r="C2837" t="s">
        <v>42</v>
      </c>
      <c r="D2837" t="s">
        <v>9709</v>
      </c>
      <c r="E2837">
        <v>11600000</v>
      </c>
    </row>
    <row r="2838" spans="1:5" ht="15" customHeight="1" x14ac:dyDescent="0.3">
      <c r="A2838" t="s">
        <v>9710</v>
      </c>
      <c r="B2838" t="s">
        <v>86</v>
      </c>
      <c r="C2838" t="s">
        <v>122</v>
      </c>
      <c r="D2838" t="s">
        <v>9711</v>
      </c>
      <c r="E2838">
        <v>22200000</v>
      </c>
    </row>
    <row r="2839" spans="1:5" ht="15" customHeight="1" x14ac:dyDescent="0.3">
      <c r="A2839" t="s">
        <v>9712</v>
      </c>
      <c r="B2839" t="s">
        <v>2498</v>
      </c>
      <c r="C2839" t="s">
        <v>199</v>
      </c>
      <c r="D2839" t="s">
        <v>9713</v>
      </c>
      <c r="E2839">
        <v>11700000</v>
      </c>
    </row>
    <row r="2840" spans="1:5" ht="15" customHeight="1" x14ac:dyDescent="0.3">
      <c r="A2840" t="s">
        <v>9714</v>
      </c>
      <c r="B2840" t="s">
        <v>4288</v>
      </c>
      <c r="C2840" t="s">
        <v>7787</v>
      </c>
      <c r="D2840" t="s">
        <v>7788</v>
      </c>
      <c r="E2840">
        <v>26300000</v>
      </c>
    </row>
    <row r="2841" spans="1:5" ht="15" customHeight="1" x14ac:dyDescent="0.3">
      <c r="A2841" t="s">
        <v>9715</v>
      </c>
      <c r="B2841" t="s">
        <v>241</v>
      </c>
      <c r="C2841">
        <v>3008</v>
      </c>
      <c r="D2841" t="s">
        <v>1176</v>
      </c>
      <c r="E2841">
        <v>18000000</v>
      </c>
    </row>
    <row r="2842" spans="1:5" ht="15" customHeight="1" x14ac:dyDescent="0.3">
      <c r="A2842" t="s">
        <v>9716</v>
      </c>
      <c r="B2842" t="s">
        <v>241</v>
      </c>
      <c r="C2842">
        <v>3008</v>
      </c>
      <c r="D2842" t="s">
        <v>9717</v>
      </c>
      <c r="E2842">
        <v>13100000</v>
      </c>
    </row>
    <row r="2843" spans="1:5" ht="15" customHeight="1" x14ac:dyDescent="0.3">
      <c r="A2843" t="s">
        <v>9718</v>
      </c>
      <c r="B2843" t="s">
        <v>86</v>
      </c>
      <c r="C2843" t="s">
        <v>106</v>
      </c>
      <c r="D2843" t="s">
        <v>1005</v>
      </c>
      <c r="E2843">
        <v>33000000</v>
      </c>
    </row>
    <row r="2844" spans="1:5" ht="15" customHeight="1" x14ac:dyDescent="0.3">
      <c r="A2844" t="s">
        <v>9719</v>
      </c>
      <c r="B2844" t="s">
        <v>311</v>
      </c>
      <c r="C2844" t="s">
        <v>2692</v>
      </c>
      <c r="D2844" t="s">
        <v>9720</v>
      </c>
      <c r="E2844">
        <v>7390000</v>
      </c>
    </row>
    <row r="2845" spans="1:5" ht="15" customHeight="1" x14ac:dyDescent="0.3">
      <c r="A2845" t="s">
        <v>9721</v>
      </c>
      <c r="B2845" t="s">
        <v>167</v>
      </c>
      <c r="C2845" t="s">
        <v>2529</v>
      </c>
      <c r="D2845" t="s">
        <v>9722</v>
      </c>
      <c r="E2845">
        <v>7640000</v>
      </c>
    </row>
    <row r="2846" spans="1:5" ht="15" customHeight="1" x14ac:dyDescent="0.3">
      <c r="A2846" t="s">
        <v>9723</v>
      </c>
      <c r="B2846" t="s">
        <v>156</v>
      </c>
      <c r="C2846" t="s">
        <v>3072</v>
      </c>
      <c r="D2846" t="s">
        <v>9724</v>
      </c>
      <c r="E2846">
        <v>8400000</v>
      </c>
    </row>
    <row r="2847" spans="1:5" ht="15" customHeight="1" x14ac:dyDescent="0.3">
      <c r="A2847" t="s">
        <v>9725</v>
      </c>
      <c r="B2847" t="s">
        <v>2498</v>
      </c>
      <c r="C2847" t="s">
        <v>188</v>
      </c>
      <c r="D2847" t="s">
        <v>9726</v>
      </c>
      <c r="E2847">
        <v>8900000</v>
      </c>
    </row>
    <row r="2848" spans="1:5" ht="15" customHeight="1" x14ac:dyDescent="0.3">
      <c r="A2848" t="s">
        <v>9727</v>
      </c>
      <c r="B2848" t="s">
        <v>300</v>
      </c>
      <c r="C2848" t="s">
        <v>9728</v>
      </c>
      <c r="D2848" t="s">
        <v>9729</v>
      </c>
      <c r="E2848">
        <v>9900000</v>
      </c>
    </row>
    <row r="2849" spans="1:5" ht="15" customHeight="1" x14ac:dyDescent="0.3">
      <c r="A2849" t="s">
        <v>9730</v>
      </c>
      <c r="B2849" t="s">
        <v>220</v>
      </c>
      <c r="C2849" t="s">
        <v>231</v>
      </c>
      <c r="D2849" t="s">
        <v>9731</v>
      </c>
      <c r="E2849">
        <v>11700000</v>
      </c>
    </row>
    <row r="2850" spans="1:5" ht="15" customHeight="1" x14ac:dyDescent="0.3">
      <c r="A2850" t="s">
        <v>9732</v>
      </c>
      <c r="B2850" t="s">
        <v>2549</v>
      </c>
      <c r="C2850" t="s">
        <v>2550</v>
      </c>
      <c r="D2850" t="s">
        <v>9733</v>
      </c>
      <c r="E2850">
        <v>17800000</v>
      </c>
    </row>
    <row r="2851" spans="1:5" ht="15" customHeight="1" x14ac:dyDescent="0.3">
      <c r="A2851" t="s">
        <v>9734</v>
      </c>
      <c r="B2851" t="s">
        <v>86</v>
      </c>
      <c r="C2851" t="s">
        <v>2476</v>
      </c>
      <c r="D2851" t="s">
        <v>9735</v>
      </c>
      <c r="E2851">
        <v>28500000</v>
      </c>
    </row>
    <row r="2852" spans="1:5" ht="15" customHeight="1" x14ac:dyDescent="0.3">
      <c r="A2852" t="s">
        <v>9736</v>
      </c>
      <c r="B2852" t="s">
        <v>2498</v>
      </c>
      <c r="C2852" t="s">
        <v>188</v>
      </c>
      <c r="D2852" t="s">
        <v>9737</v>
      </c>
      <c r="E2852">
        <v>8100000</v>
      </c>
    </row>
    <row r="2853" spans="1:5" ht="15" customHeight="1" x14ac:dyDescent="0.3">
      <c r="A2853" t="s">
        <v>9738</v>
      </c>
      <c r="B2853" t="s">
        <v>156</v>
      </c>
      <c r="C2853" t="s">
        <v>3096</v>
      </c>
      <c r="D2853" t="s">
        <v>2477</v>
      </c>
      <c r="E2853">
        <v>12600000</v>
      </c>
    </row>
    <row r="2854" spans="1:5" ht="15" customHeight="1" x14ac:dyDescent="0.3">
      <c r="A2854" t="s">
        <v>9739</v>
      </c>
      <c r="B2854" t="s">
        <v>167</v>
      </c>
      <c r="C2854" t="s">
        <v>3358</v>
      </c>
      <c r="D2854" t="s">
        <v>2477</v>
      </c>
      <c r="E2854">
        <v>5400000</v>
      </c>
    </row>
    <row r="2855" spans="1:5" ht="15" customHeight="1" x14ac:dyDescent="0.3">
      <c r="A2855" t="s">
        <v>9740</v>
      </c>
      <c r="B2855" t="s">
        <v>214</v>
      </c>
      <c r="C2855" t="s">
        <v>2560</v>
      </c>
      <c r="D2855" t="s">
        <v>9741</v>
      </c>
      <c r="E2855">
        <v>22400000</v>
      </c>
    </row>
    <row r="2856" spans="1:5" ht="15" customHeight="1" x14ac:dyDescent="0.3">
      <c r="A2856" t="s">
        <v>9742</v>
      </c>
      <c r="B2856" t="s">
        <v>241</v>
      </c>
      <c r="C2856" t="s">
        <v>2484</v>
      </c>
      <c r="D2856" t="s">
        <v>918</v>
      </c>
      <c r="E2856">
        <v>11300000</v>
      </c>
    </row>
    <row r="2857" spans="1:5" ht="15" customHeight="1" x14ac:dyDescent="0.3">
      <c r="A2857" t="s">
        <v>9743</v>
      </c>
      <c r="B2857" t="s">
        <v>9744</v>
      </c>
      <c r="C2857" t="s">
        <v>9745</v>
      </c>
      <c r="D2857" t="s">
        <v>9746</v>
      </c>
      <c r="E2857">
        <v>18200000</v>
      </c>
    </row>
    <row r="2858" spans="1:5" ht="15" customHeight="1" x14ac:dyDescent="0.3">
      <c r="A2858" t="s">
        <v>9747</v>
      </c>
      <c r="B2858" t="s">
        <v>45</v>
      </c>
      <c r="C2858" t="s">
        <v>2764</v>
      </c>
      <c r="D2858" t="s">
        <v>9748</v>
      </c>
      <c r="E2858">
        <v>10500000</v>
      </c>
    </row>
    <row r="2859" spans="1:5" ht="15" customHeight="1" x14ac:dyDescent="0.3">
      <c r="A2859" t="s">
        <v>9749</v>
      </c>
      <c r="B2859" t="s">
        <v>241</v>
      </c>
      <c r="C2859" t="s">
        <v>2478</v>
      </c>
      <c r="D2859" t="s">
        <v>9750</v>
      </c>
      <c r="E2859">
        <v>15800000</v>
      </c>
    </row>
    <row r="2860" spans="1:5" ht="15" customHeight="1" x14ac:dyDescent="0.3">
      <c r="A2860" t="s">
        <v>9751</v>
      </c>
      <c r="B2860" t="s">
        <v>28</v>
      </c>
      <c r="C2860" t="s">
        <v>2575</v>
      </c>
      <c r="D2860" t="s">
        <v>9752</v>
      </c>
      <c r="E2860">
        <v>7440000</v>
      </c>
    </row>
    <row r="2861" spans="1:5" ht="15" customHeight="1" x14ac:dyDescent="0.3">
      <c r="A2861" t="s">
        <v>9753</v>
      </c>
      <c r="B2861" t="s">
        <v>2494</v>
      </c>
      <c r="C2861" t="s">
        <v>2987</v>
      </c>
      <c r="D2861" t="s">
        <v>9754</v>
      </c>
      <c r="E2861">
        <v>7290000</v>
      </c>
    </row>
    <row r="2862" spans="1:5" ht="15" customHeight="1" x14ac:dyDescent="0.3">
      <c r="A2862" t="s">
        <v>9755</v>
      </c>
      <c r="B2862" t="s">
        <v>2498</v>
      </c>
      <c r="C2862" t="s">
        <v>193</v>
      </c>
      <c r="D2862" t="s">
        <v>9756</v>
      </c>
      <c r="E2862">
        <v>12700000</v>
      </c>
    </row>
    <row r="2863" spans="1:5" ht="15" customHeight="1" x14ac:dyDescent="0.3">
      <c r="A2863" t="s">
        <v>9757</v>
      </c>
      <c r="B2863" t="s">
        <v>68</v>
      </c>
      <c r="C2863">
        <v>560</v>
      </c>
      <c r="D2863" t="s">
        <v>9758</v>
      </c>
      <c r="E2863">
        <v>9300000</v>
      </c>
    </row>
    <row r="2864" spans="1:5" ht="15" customHeight="1" x14ac:dyDescent="0.3">
      <c r="A2864" t="s">
        <v>9759</v>
      </c>
      <c r="B2864" t="s">
        <v>311</v>
      </c>
      <c r="C2864" t="s">
        <v>3378</v>
      </c>
      <c r="D2864" t="s">
        <v>9760</v>
      </c>
      <c r="E2864">
        <v>21600000</v>
      </c>
    </row>
    <row r="2865" spans="1:5" ht="15" customHeight="1" x14ac:dyDescent="0.3">
      <c r="A2865" t="s">
        <v>9761</v>
      </c>
      <c r="B2865" t="s">
        <v>167</v>
      </c>
      <c r="C2865" t="s">
        <v>3192</v>
      </c>
      <c r="D2865" t="s">
        <v>9762</v>
      </c>
      <c r="E2865">
        <v>8600000</v>
      </c>
    </row>
    <row r="2866" spans="1:5" ht="15" customHeight="1" x14ac:dyDescent="0.3">
      <c r="A2866" t="s">
        <v>9763</v>
      </c>
      <c r="B2866" t="s">
        <v>2498</v>
      </c>
      <c r="C2866" t="s">
        <v>199</v>
      </c>
      <c r="D2866" t="s">
        <v>9764</v>
      </c>
      <c r="E2866">
        <v>23000000</v>
      </c>
    </row>
    <row r="2867" spans="1:5" ht="15" customHeight="1" x14ac:dyDescent="0.3">
      <c r="A2867" t="s">
        <v>11847</v>
      </c>
      <c r="B2867" t="s">
        <v>86</v>
      </c>
      <c r="C2867" t="s">
        <v>2793</v>
      </c>
      <c r="D2867" t="s">
        <v>409</v>
      </c>
      <c r="E2867">
        <v>18000000</v>
      </c>
    </row>
    <row r="2868" spans="1:5" ht="15" customHeight="1" x14ac:dyDescent="0.3">
      <c r="A2868" t="s">
        <v>10298</v>
      </c>
      <c r="B2868" t="s">
        <v>214</v>
      </c>
      <c r="C2868" t="s">
        <v>215</v>
      </c>
      <c r="D2868" t="s">
        <v>9766</v>
      </c>
      <c r="E2868">
        <v>16800000</v>
      </c>
    </row>
    <row r="2869" spans="1:5" ht="15" customHeight="1" x14ac:dyDescent="0.3">
      <c r="A2869" t="s">
        <v>10299</v>
      </c>
      <c r="B2869" t="s">
        <v>2549</v>
      </c>
      <c r="C2869" t="s">
        <v>2550</v>
      </c>
      <c r="D2869" t="s">
        <v>9733</v>
      </c>
      <c r="E2869">
        <v>18400000</v>
      </c>
    </row>
    <row r="2870" spans="1:5" ht="15" customHeight="1" x14ac:dyDescent="0.3">
      <c r="A2870" t="s">
        <v>9765</v>
      </c>
      <c r="B2870" t="s">
        <v>214</v>
      </c>
      <c r="C2870" t="s">
        <v>215</v>
      </c>
      <c r="D2870" t="s">
        <v>9766</v>
      </c>
      <c r="E2870">
        <v>16500000</v>
      </c>
    </row>
    <row r="2871" spans="1:5" ht="15" customHeight="1" x14ac:dyDescent="0.3">
      <c r="A2871" t="s">
        <v>9767</v>
      </c>
      <c r="B2871" t="s">
        <v>241</v>
      </c>
      <c r="C2871" t="s">
        <v>2501</v>
      </c>
      <c r="D2871" t="s">
        <v>9768</v>
      </c>
      <c r="E2871">
        <v>23100000</v>
      </c>
    </row>
    <row r="2872" spans="1:5" ht="15" customHeight="1" x14ac:dyDescent="0.3">
      <c r="A2872" t="s">
        <v>9769</v>
      </c>
      <c r="B2872" t="s">
        <v>28</v>
      </c>
      <c r="C2872" t="s">
        <v>2575</v>
      </c>
      <c r="D2872" t="s">
        <v>3627</v>
      </c>
      <c r="E2872">
        <v>8100000</v>
      </c>
    </row>
    <row r="2873" spans="1:5" ht="15" customHeight="1" x14ac:dyDescent="0.3">
      <c r="A2873" t="s">
        <v>9770</v>
      </c>
      <c r="B2873" t="s">
        <v>207</v>
      </c>
      <c r="C2873" t="s">
        <v>2843</v>
      </c>
      <c r="D2873" t="s">
        <v>9771</v>
      </c>
      <c r="E2873">
        <v>21000000</v>
      </c>
    </row>
    <row r="2874" spans="1:5" ht="15" customHeight="1" x14ac:dyDescent="0.3">
      <c r="A2874" t="s">
        <v>10300</v>
      </c>
      <c r="B2874" t="s">
        <v>2545</v>
      </c>
      <c r="C2874" t="s">
        <v>3606</v>
      </c>
      <c r="D2874" t="s">
        <v>8850</v>
      </c>
      <c r="E2874">
        <v>13200000</v>
      </c>
    </row>
    <row r="2875" spans="1:5" ht="15" customHeight="1" x14ac:dyDescent="0.3">
      <c r="A2875" t="s">
        <v>10301</v>
      </c>
      <c r="B2875" t="s">
        <v>2498</v>
      </c>
      <c r="C2875" t="s">
        <v>2499</v>
      </c>
      <c r="D2875" t="s">
        <v>10010</v>
      </c>
      <c r="E2875">
        <v>9400000</v>
      </c>
    </row>
    <row r="2876" spans="1:5" ht="15" customHeight="1" x14ac:dyDescent="0.3">
      <c r="A2876" t="s">
        <v>10302</v>
      </c>
      <c r="B2876" t="s">
        <v>86</v>
      </c>
      <c r="C2876" t="s">
        <v>106</v>
      </c>
      <c r="D2876" t="s">
        <v>9825</v>
      </c>
      <c r="E2876">
        <v>43000000</v>
      </c>
    </row>
    <row r="2877" spans="1:5" ht="15" customHeight="1" x14ac:dyDescent="0.3">
      <c r="A2877" t="s">
        <v>9824</v>
      </c>
      <c r="B2877" t="s">
        <v>86</v>
      </c>
      <c r="C2877" t="s">
        <v>106</v>
      </c>
      <c r="D2877" t="s">
        <v>9825</v>
      </c>
      <c r="E2877">
        <v>43000000</v>
      </c>
    </row>
    <row r="2878" spans="1:5" ht="15" customHeight="1" x14ac:dyDescent="0.3">
      <c r="A2878" t="s">
        <v>10303</v>
      </c>
      <c r="B2878" t="s">
        <v>2494</v>
      </c>
      <c r="C2878" t="s">
        <v>2779</v>
      </c>
      <c r="D2878" t="s">
        <v>9829</v>
      </c>
      <c r="E2878">
        <v>14500000</v>
      </c>
    </row>
    <row r="2879" spans="1:5" ht="15" customHeight="1" x14ac:dyDescent="0.3">
      <c r="A2879" t="s">
        <v>10304</v>
      </c>
      <c r="B2879" t="s">
        <v>86</v>
      </c>
      <c r="C2879" t="s">
        <v>2793</v>
      </c>
      <c r="D2879" t="s">
        <v>9827</v>
      </c>
      <c r="E2879">
        <v>17300000</v>
      </c>
    </row>
    <row r="2880" spans="1:5" ht="15" customHeight="1" x14ac:dyDescent="0.3">
      <c r="A2880" t="s">
        <v>9826</v>
      </c>
      <c r="B2880" t="s">
        <v>86</v>
      </c>
      <c r="C2880" t="s">
        <v>2793</v>
      </c>
      <c r="D2880" t="s">
        <v>9827</v>
      </c>
      <c r="E2880">
        <v>17300000</v>
      </c>
    </row>
    <row r="2881" spans="1:5" ht="15" customHeight="1" x14ac:dyDescent="0.3">
      <c r="A2881" t="s">
        <v>9828</v>
      </c>
      <c r="B2881" t="s">
        <v>2494</v>
      </c>
      <c r="C2881" t="s">
        <v>2779</v>
      </c>
      <c r="D2881" t="s">
        <v>9829</v>
      </c>
      <c r="E2881">
        <v>14500000</v>
      </c>
    </row>
    <row r="2882" spans="1:5" ht="15" customHeight="1" x14ac:dyDescent="0.3">
      <c r="A2882" t="s">
        <v>10305</v>
      </c>
      <c r="B2882" t="s">
        <v>86</v>
      </c>
      <c r="C2882" t="s">
        <v>90</v>
      </c>
      <c r="D2882" t="s">
        <v>9907</v>
      </c>
      <c r="E2882">
        <v>7100000</v>
      </c>
    </row>
    <row r="2883" spans="1:5" ht="15" customHeight="1" x14ac:dyDescent="0.3">
      <c r="A2883" t="s">
        <v>10306</v>
      </c>
      <c r="B2883" t="s">
        <v>86</v>
      </c>
      <c r="C2883" t="s">
        <v>134</v>
      </c>
      <c r="D2883" t="s">
        <v>10307</v>
      </c>
      <c r="E2883">
        <v>13000000</v>
      </c>
    </row>
    <row r="2884" spans="1:5" ht="15" customHeight="1" x14ac:dyDescent="0.3">
      <c r="A2884" t="s">
        <v>10308</v>
      </c>
      <c r="B2884" t="s">
        <v>220</v>
      </c>
      <c r="C2884" t="s">
        <v>2492</v>
      </c>
      <c r="D2884" t="s">
        <v>9831</v>
      </c>
      <c r="E2884">
        <v>27700000</v>
      </c>
    </row>
    <row r="2885" spans="1:5" ht="15" customHeight="1" x14ac:dyDescent="0.3">
      <c r="A2885" t="s">
        <v>9830</v>
      </c>
      <c r="B2885" t="s">
        <v>220</v>
      </c>
      <c r="C2885" t="s">
        <v>2492</v>
      </c>
      <c r="D2885" t="s">
        <v>9831</v>
      </c>
      <c r="E2885">
        <v>27700000</v>
      </c>
    </row>
    <row r="2886" spans="1:5" ht="15" customHeight="1" x14ac:dyDescent="0.3">
      <c r="A2886" t="s">
        <v>10309</v>
      </c>
      <c r="B2886" t="s">
        <v>86</v>
      </c>
      <c r="C2886" t="s">
        <v>93</v>
      </c>
      <c r="D2886" t="s">
        <v>10310</v>
      </c>
      <c r="E2886">
        <v>20900000</v>
      </c>
    </row>
    <row r="2887" spans="1:5" ht="15" customHeight="1" x14ac:dyDescent="0.3">
      <c r="A2887" t="s">
        <v>10311</v>
      </c>
      <c r="B2887" t="s">
        <v>86</v>
      </c>
      <c r="C2887" t="s">
        <v>2793</v>
      </c>
      <c r="D2887" t="s">
        <v>9833</v>
      </c>
      <c r="E2887">
        <v>14500000</v>
      </c>
    </row>
    <row r="2888" spans="1:5" ht="15" customHeight="1" x14ac:dyDescent="0.3">
      <c r="A2888" t="s">
        <v>10312</v>
      </c>
      <c r="B2888" t="s">
        <v>204</v>
      </c>
      <c r="C2888" t="s">
        <v>2901</v>
      </c>
      <c r="D2888" t="s">
        <v>9835</v>
      </c>
      <c r="E2888">
        <v>11400000</v>
      </c>
    </row>
    <row r="2889" spans="1:5" ht="15" customHeight="1" x14ac:dyDescent="0.3">
      <c r="A2889" t="s">
        <v>9832</v>
      </c>
      <c r="B2889" t="s">
        <v>86</v>
      </c>
      <c r="C2889" t="s">
        <v>134</v>
      </c>
      <c r="D2889" t="s">
        <v>9833</v>
      </c>
      <c r="E2889">
        <v>14700000</v>
      </c>
    </row>
    <row r="2890" spans="1:5" ht="15" customHeight="1" x14ac:dyDescent="0.3">
      <c r="A2890" t="s">
        <v>10313</v>
      </c>
      <c r="B2890" t="s">
        <v>45</v>
      </c>
      <c r="C2890" t="s">
        <v>4087</v>
      </c>
      <c r="D2890" t="s">
        <v>9899</v>
      </c>
      <c r="E2890">
        <v>3970000</v>
      </c>
    </row>
    <row r="2891" spans="1:5" ht="15" customHeight="1" x14ac:dyDescent="0.3">
      <c r="A2891" t="s">
        <v>9834</v>
      </c>
      <c r="B2891" t="s">
        <v>204</v>
      </c>
      <c r="C2891" t="s">
        <v>2901</v>
      </c>
      <c r="D2891" t="s">
        <v>9835</v>
      </c>
      <c r="E2891">
        <v>11400000</v>
      </c>
    </row>
    <row r="2892" spans="1:5" ht="15" customHeight="1" x14ac:dyDescent="0.3">
      <c r="A2892" t="s">
        <v>9836</v>
      </c>
      <c r="B2892" t="s">
        <v>167</v>
      </c>
      <c r="C2892" t="s">
        <v>2529</v>
      </c>
      <c r="D2892" t="s">
        <v>9837</v>
      </c>
      <c r="E2892">
        <v>9600000</v>
      </c>
    </row>
    <row r="2893" spans="1:5" ht="15" customHeight="1" x14ac:dyDescent="0.3">
      <c r="A2893" t="s">
        <v>9838</v>
      </c>
      <c r="B2893" t="s">
        <v>311</v>
      </c>
      <c r="C2893" t="s">
        <v>3865</v>
      </c>
      <c r="D2893" t="s">
        <v>9839</v>
      </c>
      <c r="E2893">
        <v>14700000</v>
      </c>
    </row>
    <row r="2894" spans="1:5" ht="15" customHeight="1" x14ac:dyDescent="0.3">
      <c r="A2894" t="s">
        <v>10314</v>
      </c>
      <c r="B2894" t="s">
        <v>2549</v>
      </c>
      <c r="C2894" t="s">
        <v>2655</v>
      </c>
      <c r="D2894" t="s">
        <v>9986</v>
      </c>
      <c r="E2894">
        <v>14700000</v>
      </c>
    </row>
    <row r="2895" spans="1:5" ht="15" customHeight="1" x14ac:dyDescent="0.3">
      <c r="A2895" t="s">
        <v>10315</v>
      </c>
      <c r="B2895" t="s">
        <v>156</v>
      </c>
      <c r="C2895" t="s">
        <v>3096</v>
      </c>
      <c r="D2895" t="s">
        <v>9916</v>
      </c>
      <c r="E2895">
        <v>14500000</v>
      </c>
    </row>
    <row r="2896" spans="1:5" ht="15" customHeight="1" x14ac:dyDescent="0.3">
      <c r="A2896" t="s">
        <v>10316</v>
      </c>
      <c r="B2896" t="s">
        <v>86</v>
      </c>
      <c r="C2896" t="s">
        <v>111</v>
      </c>
      <c r="D2896" t="s">
        <v>9843</v>
      </c>
      <c r="E2896">
        <v>19500000</v>
      </c>
    </row>
    <row r="2897" spans="1:5" ht="15" customHeight="1" x14ac:dyDescent="0.3">
      <c r="A2897" t="s">
        <v>9840</v>
      </c>
      <c r="B2897" t="s">
        <v>86</v>
      </c>
      <c r="C2897" t="s">
        <v>134</v>
      </c>
      <c r="D2897" t="s">
        <v>9841</v>
      </c>
      <c r="E2897">
        <v>18900000</v>
      </c>
    </row>
    <row r="2898" spans="1:5" ht="15" customHeight="1" x14ac:dyDescent="0.3">
      <c r="A2898" t="s">
        <v>10317</v>
      </c>
      <c r="B2898" t="s">
        <v>14</v>
      </c>
      <c r="C2898" t="s">
        <v>15</v>
      </c>
      <c r="D2898" t="s">
        <v>9860</v>
      </c>
      <c r="E2898">
        <v>8200000</v>
      </c>
    </row>
    <row r="2899" spans="1:5" ht="15" customHeight="1" x14ac:dyDescent="0.3">
      <c r="A2899" t="s">
        <v>10318</v>
      </c>
      <c r="B2899" t="s">
        <v>86</v>
      </c>
      <c r="C2899" t="s">
        <v>2476</v>
      </c>
      <c r="D2899" t="s">
        <v>2212</v>
      </c>
      <c r="E2899">
        <v>20400000</v>
      </c>
    </row>
    <row r="2900" spans="1:5" ht="15" customHeight="1" x14ac:dyDescent="0.3">
      <c r="A2900" t="s">
        <v>10319</v>
      </c>
      <c r="B2900" t="s">
        <v>220</v>
      </c>
      <c r="C2900" t="s">
        <v>3099</v>
      </c>
      <c r="D2900" t="s">
        <v>9911</v>
      </c>
      <c r="E2900">
        <v>12100000</v>
      </c>
    </row>
    <row r="2901" spans="1:5" ht="15" customHeight="1" x14ac:dyDescent="0.3">
      <c r="A2901" t="s">
        <v>9842</v>
      </c>
      <c r="B2901" t="s">
        <v>86</v>
      </c>
      <c r="C2901" t="s">
        <v>111</v>
      </c>
      <c r="D2901" t="s">
        <v>9843</v>
      </c>
      <c r="E2901">
        <v>19500000</v>
      </c>
    </row>
    <row r="2902" spans="1:5" ht="15" customHeight="1" x14ac:dyDescent="0.3">
      <c r="A2902" t="s">
        <v>10320</v>
      </c>
      <c r="B2902" t="s">
        <v>2533</v>
      </c>
      <c r="C2902" t="s">
        <v>2582</v>
      </c>
      <c r="D2902" t="s">
        <v>9929</v>
      </c>
      <c r="E2902">
        <v>7210000</v>
      </c>
    </row>
    <row r="2903" spans="1:5" ht="15" customHeight="1" x14ac:dyDescent="0.3">
      <c r="A2903" t="s">
        <v>10321</v>
      </c>
      <c r="B2903" t="s">
        <v>167</v>
      </c>
      <c r="C2903" t="s">
        <v>3192</v>
      </c>
      <c r="D2903" t="s">
        <v>3819</v>
      </c>
      <c r="E2903">
        <v>7830000</v>
      </c>
    </row>
    <row r="2904" spans="1:5" ht="15" customHeight="1" x14ac:dyDescent="0.3">
      <c r="A2904" t="s">
        <v>10322</v>
      </c>
      <c r="B2904" t="s">
        <v>288</v>
      </c>
      <c r="C2904" t="s">
        <v>10323</v>
      </c>
      <c r="D2904" t="s">
        <v>9901</v>
      </c>
      <c r="E2904">
        <v>5640000</v>
      </c>
    </row>
    <row r="2905" spans="1:5" ht="15" customHeight="1" x14ac:dyDescent="0.3">
      <c r="A2905" t="s">
        <v>10324</v>
      </c>
      <c r="B2905" t="s">
        <v>207</v>
      </c>
      <c r="C2905" t="s">
        <v>3929</v>
      </c>
      <c r="D2905" t="s">
        <v>10325</v>
      </c>
      <c r="E2905">
        <v>11900000</v>
      </c>
    </row>
    <row r="2906" spans="1:5" ht="15" customHeight="1" x14ac:dyDescent="0.3">
      <c r="A2906" t="s">
        <v>9844</v>
      </c>
      <c r="B2906" t="s">
        <v>300</v>
      </c>
      <c r="C2906" t="s">
        <v>3132</v>
      </c>
      <c r="D2906" t="s">
        <v>9845</v>
      </c>
      <c r="E2906">
        <v>7090000</v>
      </c>
    </row>
    <row r="2907" spans="1:5" ht="15" customHeight="1" x14ac:dyDescent="0.3">
      <c r="A2907" t="s">
        <v>10326</v>
      </c>
      <c r="B2907" t="s">
        <v>2950</v>
      </c>
      <c r="C2907" t="s">
        <v>2966</v>
      </c>
      <c r="D2907" t="s">
        <v>9961</v>
      </c>
      <c r="E2907">
        <v>8600000</v>
      </c>
    </row>
    <row r="2908" spans="1:5" ht="15" customHeight="1" x14ac:dyDescent="0.3">
      <c r="A2908" t="s">
        <v>9846</v>
      </c>
      <c r="B2908" t="s">
        <v>4288</v>
      </c>
      <c r="C2908" t="s">
        <v>4290</v>
      </c>
      <c r="D2908" t="s">
        <v>9847</v>
      </c>
      <c r="E2908">
        <v>14800000</v>
      </c>
    </row>
    <row r="2909" spans="1:5" ht="15" customHeight="1" x14ac:dyDescent="0.3">
      <c r="A2909" t="s">
        <v>10327</v>
      </c>
      <c r="B2909" t="s">
        <v>241</v>
      </c>
      <c r="C2909" t="s">
        <v>2501</v>
      </c>
      <c r="D2909" t="s">
        <v>9768</v>
      </c>
      <c r="E2909">
        <v>22700000</v>
      </c>
    </row>
    <row r="2910" spans="1:5" ht="15" customHeight="1" x14ac:dyDescent="0.3">
      <c r="A2910" t="s">
        <v>10328</v>
      </c>
      <c r="B2910" t="s">
        <v>241</v>
      </c>
      <c r="C2910" t="s">
        <v>2485</v>
      </c>
      <c r="D2910" t="s">
        <v>2510</v>
      </c>
      <c r="E2910">
        <v>11700000</v>
      </c>
    </row>
    <row r="2911" spans="1:5" ht="15" customHeight="1" x14ac:dyDescent="0.3">
      <c r="A2911" t="s">
        <v>10329</v>
      </c>
      <c r="B2911" t="s">
        <v>241</v>
      </c>
      <c r="C2911">
        <v>3008</v>
      </c>
      <c r="D2911" t="s">
        <v>3179</v>
      </c>
      <c r="E2911">
        <v>14800000</v>
      </c>
    </row>
    <row r="2912" spans="1:5" ht="15" customHeight="1" x14ac:dyDescent="0.3">
      <c r="A2912" t="s">
        <v>10330</v>
      </c>
      <c r="B2912" t="s">
        <v>28</v>
      </c>
      <c r="C2912" t="s">
        <v>2575</v>
      </c>
      <c r="D2912" t="s">
        <v>8745</v>
      </c>
      <c r="E2912">
        <v>9000000</v>
      </c>
    </row>
    <row r="2913" spans="1:5" ht="15" customHeight="1" x14ac:dyDescent="0.3">
      <c r="A2913" t="s">
        <v>10331</v>
      </c>
      <c r="B2913" t="s">
        <v>220</v>
      </c>
      <c r="C2913" t="s">
        <v>2729</v>
      </c>
      <c r="D2913" t="s">
        <v>9851</v>
      </c>
      <c r="E2913">
        <v>12400000</v>
      </c>
    </row>
    <row r="2914" spans="1:5" ht="15" customHeight="1" x14ac:dyDescent="0.3">
      <c r="A2914" t="s">
        <v>10332</v>
      </c>
      <c r="B2914" t="s">
        <v>220</v>
      </c>
      <c r="C2914" t="s">
        <v>2729</v>
      </c>
      <c r="D2914" t="s">
        <v>9851</v>
      </c>
      <c r="E2914">
        <v>11600000</v>
      </c>
    </row>
    <row r="2915" spans="1:5" ht="15" customHeight="1" x14ac:dyDescent="0.3">
      <c r="A2915" t="s">
        <v>9848</v>
      </c>
      <c r="B2915" t="s">
        <v>167</v>
      </c>
      <c r="C2915" t="s">
        <v>170</v>
      </c>
      <c r="D2915" t="s">
        <v>9849</v>
      </c>
      <c r="E2915">
        <v>10900000</v>
      </c>
    </row>
    <row r="2916" spans="1:5" ht="15" customHeight="1" x14ac:dyDescent="0.3">
      <c r="A2916" t="s">
        <v>9850</v>
      </c>
      <c r="B2916" t="s">
        <v>220</v>
      </c>
      <c r="C2916" t="s">
        <v>2729</v>
      </c>
      <c r="D2916" t="s">
        <v>9851</v>
      </c>
      <c r="E2916">
        <v>10400000</v>
      </c>
    </row>
    <row r="2917" spans="1:5" ht="15" customHeight="1" x14ac:dyDescent="0.3">
      <c r="A2917" t="s">
        <v>9852</v>
      </c>
      <c r="B2917" t="s">
        <v>278</v>
      </c>
      <c r="C2917">
        <v>1000</v>
      </c>
      <c r="D2917" t="s">
        <v>8842</v>
      </c>
      <c r="E2917">
        <v>15700000</v>
      </c>
    </row>
    <row r="2918" spans="1:5" ht="15" customHeight="1" x14ac:dyDescent="0.3">
      <c r="A2918" t="s">
        <v>10333</v>
      </c>
      <c r="B2918" t="s">
        <v>2498</v>
      </c>
      <c r="C2918" t="s">
        <v>10334</v>
      </c>
      <c r="D2918" t="s">
        <v>9896</v>
      </c>
      <c r="E2918">
        <v>4870000</v>
      </c>
    </row>
    <row r="2919" spans="1:5" ht="15" customHeight="1" x14ac:dyDescent="0.3">
      <c r="A2919" t="s">
        <v>9853</v>
      </c>
      <c r="B2919" t="s">
        <v>241</v>
      </c>
      <c r="C2919">
        <v>3008</v>
      </c>
      <c r="D2919" t="s">
        <v>2615</v>
      </c>
      <c r="E2919">
        <v>22800000</v>
      </c>
    </row>
    <row r="2920" spans="1:5" ht="15" customHeight="1" x14ac:dyDescent="0.3">
      <c r="A2920" t="s">
        <v>9854</v>
      </c>
      <c r="B2920" t="s">
        <v>86</v>
      </c>
      <c r="C2920" t="s">
        <v>3068</v>
      </c>
      <c r="D2920" t="s">
        <v>8599</v>
      </c>
      <c r="E2920">
        <v>37800000</v>
      </c>
    </row>
    <row r="2921" spans="1:5" ht="15" customHeight="1" x14ac:dyDescent="0.3">
      <c r="A2921" t="s">
        <v>9855</v>
      </c>
      <c r="B2921" t="s">
        <v>86</v>
      </c>
      <c r="C2921" t="s">
        <v>134</v>
      </c>
      <c r="D2921" t="s">
        <v>8597</v>
      </c>
      <c r="E2921">
        <v>14500000</v>
      </c>
    </row>
    <row r="2922" spans="1:5" ht="15" customHeight="1" x14ac:dyDescent="0.3">
      <c r="A2922" t="s">
        <v>9856</v>
      </c>
      <c r="B2922" t="s">
        <v>241</v>
      </c>
      <c r="C2922">
        <v>5008</v>
      </c>
      <c r="D2922" t="s">
        <v>1386</v>
      </c>
      <c r="E2922">
        <v>16400000</v>
      </c>
    </row>
    <row r="2923" spans="1:5" ht="15" customHeight="1" x14ac:dyDescent="0.3">
      <c r="A2923" t="s">
        <v>9857</v>
      </c>
      <c r="B2923" t="s">
        <v>300</v>
      </c>
      <c r="C2923" t="s">
        <v>303</v>
      </c>
      <c r="D2923" t="s">
        <v>8821</v>
      </c>
      <c r="E2923">
        <v>18000000</v>
      </c>
    </row>
    <row r="2924" spans="1:5" ht="15" customHeight="1" x14ac:dyDescent="0.3">
      <c r="A2924" t="s">
        <v>9858</v>
      </c>
      <c r="B2924" t="s">
        <v>237</v>
      </c>
      <c r="C2924" t="s">
        <v>65</v>
      </c>
      <c r="D2924" t="s">
        <v>8816</v>
      </c>
      <c r="E2924">
        <v>12100000</v>
      </c>
    </row>
    <row r="2925" spans="1:5" ht="15" customHeight="1" x14ac:dyDescent="0.3">
      <c r="A2925" t="s">
        <v>10335</v>
      </c>
      <c r="B2925" t="s">
        <v>2498</v>
      </c>
      <c r="C2925" t="s">
        <v>3290</v>
      </c>
      <c r="D2925" t="s">
        <v>9980</v>
      </c>
      <c r="E2925">
        <v>8800000</v>
      </c>
    </row>
    <row r="2926" spans="1:5" ht="15" customHeight="1" x14ac:dyDescent="0.3">
      <c r="A2926" t="s">
        <v>9859</v>
      </c>
      <c r="B2926" t="s">
        <v>14</v>
      </c>
      <c r="C2926" t="s">
        <v>15</v>
      </c>
      <c r="D2926" t="s">
        <v>9860</v>
      </c>
      <c r="E2926">
        <v>8200000</v>
      </c>
    </row>
    <row r="2927" spans="1:5" ht="15" customHeight="1" x14ac:dyDescent="0.3">
      <c r="A2927" t="s">
        <v>10336</v>
      </c>
      <c r="B2927" t="s">
        <v>2498</v>
      </c>
      <c r="C2927" t="s">
        <v>2664</v>
      </c>
      <c r="D2927" t="s">
        <v>9862</v>
      </c>
      <c r="E2927">
        <v>12900000</v>
      </c>
    </row>
    <row r="2928" spans="1:5" ht="15" customHeight="1" x14ac:dyDescent="0.3">
      <c r="A2928" t="s">
        <v>10337</v>
      </c>
      <c r="B2928" t="s">
        <v>2498</v>
      </c>
      <c r="C2928" t="s">
        <v>199</v>
      </c>
      <c r="D2928" t="s">
        <v>9864</v>
      </c>
      <c r="E2928">
        <v>11300000</v>
      </c>
    </row>
    <row r="2929" spans="1:5" ht="15" customHeight="1" x14ac:dyDescent="0.3">
      <c r="A2929" t="s">
        <v>9861</v>
      </c>
      <c r="B2929" t="s">
        <v>2498</v>
      </c>
      <c r="C2929" t="s">
        <v>2664</v>
      </c>
      <c r="D2929" t="s">
        <v>9862</v>
      </c>
      <c r="E2929">
        <v>12900000</v>
      </c>
    </row>
    <row r="2930" spans="1:5" ht="15" customHeight="1" x14ac:dyDescent="0.3">
      <c r="A2930" t="s">
        <v>10338</v>
      </c>
      <c r="B2930" t="s">
        <v>2665</v>
      </c>
      <c r="C2930" t="s">
        <v>10339</v>
      </c>
      <c r="D2930" t="s">
        <v>9900</v>
      </c>
      <c r="E2930">
        <v>12800000</v>
      </c>
    </row>
    <row r="2931" spans="1:5" ht="15" customHeight="1" x14ac:dyDescent="0.3">
      <c r="A2931" t="s">
        <v>10340</v>
      </c>
      <c r="B2931" t="s">
        <v>2950</v>
      </c>
      <c r="C2931" t="s">
        <v>2966</v>
      </c>
      <c r="D2931" t="s">
        <v>9957</v>
      </c>
      <c r="E2931">
        <v>9300000</v>
      </c>
    </row>
    <row r="2932" spans="1:5" ht="15" customHeight="1" x14ac:dyDescent="0.3">
      <c r="A2932" t="s">
        <v>10341</v>
      </c>
      <c r="B2932" t="s">
        <v>86</v>
      </c>
      <c r="C2932" t="s">
        <v>2976</v>
      </c>
      <c r="D2932" t="s">
        <v>7469</v>
      </c>
      <c r="E2932">
        <v>13100000</v>
      </c>
    </row>
    <row r="2933" spans="1:5" ht="15" customHeight="1" x14ac:dyDescent="0.3">
      <c r="A2933" t="s">
        <v>10342</v>
      </c>
      <c r="B2933" t="s">
        <v>311</v>
      </c>
      <c r="C2933" t="s">
        <v>3378</v>
      </c>
      <c r="D2933" t="s">
        <v>9760</v>
      </c>
      <c r="E2933">
        <v>21900000</v>
      </c>
    </row>
    <row r="2934" spans="1:5" ht="15" customHeight="1" x14ac:dyDescent="0.3">
      <c r="A2934" t="s">
        <v>10343</v>
      </c>
      <c r="B2934" t="s">
        <v>2533</v>
      </c>
      <c r="C2934" t="s">
        <v>2571</v>
      </c>
      <c r="D2934" t="s">
        <v>3102</v>
      </c>
      <c r="E2934">
        <v>8700000</v>
      </c>
    </row>
    <row r="2935" spans="1:5" ht="15" customHeight="1" x14ac:dyDescent="0.3">
      <c r="A2935" t="s">
        <v>10344</v>
      </c>
      <c r="B2935" t="s">
        <v>291</v>
      </c>
      <c r="C2935" t="s">
        <v>2537</v>
      </c>
      <c r="D2935" t="s">
        <v>9867</v>
      </c>
      <c r="E2935">
        <v>16000000</v>
      </c>
    </row>
    <row r="2936" spans="1:5" ht="15" customHeight="1" x14ac:dyDescent="0.3">
      <c r="A2936" t="s">
        <v>9863</v>
      </c>
      <c r="B2936" t="s">
        <v>2498</v>
      </c>
      <c r="C2936" t="s">
        <v>199</v>
      </c>
      <c r="D2936" t="s">
        <v>9864</v>
      </c>
      <c r="E2936">
        <v>11300000</v>
      </c>
    </row>
    <row r="2937" spans="1:5" ht="15" customHeight="1" x14ac:dyDescent="0.3">
      <c r="A2937" t="s">
        <v>9865</v>
      </c>
      <c r="B2937" t="s">
        <v>2533</v>
      </c>
      <c r="C2937" t="s">
        <v>2571</v>
      </c>
      <c r="D2937" t="s">
        <v>3102</v>
      </c>
      <c r="E2937">
        <v>8700000</v>
      </c>
    </row>
    <row r="2938" spans="1:5" ht="15" customHeight="1" x14ac:dyDescent="0.3">
      <c r="A2938" t="s">
        <v>10345</v>
      </c>
      <c r="B2938" t="s">
        <v>241</v>
      </c>
      <c r="C2938">
        <v>3008</v>
      </c>
      <c r="D2938" t="s">
        <v>9926</v>
      </c>
      <c r="E2938">
        <v>13800000</v>
      </c>
    </row>
    <row r="2939" spans="1:5" ht="15" customHeight="1" x14ac:dyDescent="0.3">
      <c r="A2939" t="s">
        <v>10346</v>
      </c>
      <c r="B2939" t="s">
        <v>2955</v>
      </c>
      <c r="C2939" t="s">
        <v>8856</v>
      </c>
      <c r="D2939" t="s">
        <v>9876</v>
      </c>
      <c r="E2939">
        <v>7210000</v>
      </c>
    </row>
    <row r="2940" spans="1:5" ht="15" customHeight="1" x14ac:dyDescent="0.3">
      <c r="A2940" t="s">
        <v>9866</v>
      </c>
      <c r="B2940" t="s">
        <v>291</v>
      </c>
      <c r="C2940" t="s">
        <v>2537</v>
      </c>
      <c r="D2940" t="s">
        <v>9867</v>
      </c>
      <c r="E2940">
        <v>16000000</v>
      </c>
    </row>
    <row r="2941" spans="1:5" ht="15" customHeight="1" x14ac:dyDescent="0.3">
      <c r="A2941" t="s">
        <v>10347</v>
      </c>
      <c r="B2941" t="s">
        <v>241</v>
      </c>
      <c r="C2941" t="s">
        <v>2630</v>
      </c>
      <c r="D2941" t="s">
        <v>2743</v>
      </c>
      <c r="E2941">
        <v>17100000</v>
      </c>
    </row>
    <row r="2942" spans="1:5" ht="15" customHeight="1" x14ac:dyDescent="0.3">
      <c r="A2942" t="s">
        <v>10348</v>
      </c>
      <c r="B2942" t="s">
        <v>2498</v>
      </c>
      <c r="C2942" t="s">
        <v>2499</v>
      </c>
      <c r="D2942" t="s">
        <v>9870</v>
      </c>
      <c r="E2942">
        <v>10400000</v>
      </c>
    </row>
    <row r="2943" spans="1:5" ht="15" customHeight="1" x14ac:dyDescent="0.3">
      <c r="A2943" t="s">
        <v>9868</v>
      </c>
      <c r="B2943" t="s">
        <v>241</v>
      </c>
      <c r="C2943" t="s">
        <v>2630</v>
      </c>
      <c r="D2943" t="s">
        <v>2743</v>
      </c>
      <c r="E2943">
        <v>17100000</v>
      </c>
    </row>
    <row r="2944" spans="1:5" ht="15" customHeight="1" x14ac:dyDescent="0.3">
      <c r="A2944" t="s">
        <v>9869</v>
      </c>
      <c r="B2944" t="s">
        <v>2498</v>
      </c>
      <c r="C2944" t="s">
        <v>2499</v>
      </c>
      <c r="D2944" t="s">
        <v>9870</v>
      </c>
      <c r="E2944">
        <v>10400000</v>
      </c>
    </row>
    <row r="2945" spans="1:5" ht="15" customHeight="1" x14ac:dyDescent="0.3">
      <c r="A2945" t="s">
        <v>10349</v>
      </c>
      <c r="B2945" t="s">
        <v>214</v>
      </c>
      <c r="C2945" t="s">
        <v>2675</v>
      </c>
      <c r="D2945" t="s">
        <v>9969</v>
      </c>
      <c r="E2945">
        <v>16400000</v>
      </c>
    </row>
    <row r="2946" spans="1:5" ht="15" customHeight="1" x14ac:dyDescent="0.3">
      <c r="A2946" t="s">
        <v>10350</v>
      </c>
      <c r="B2946" t="s">
        <v>156</v>
      </c>
      <c r="C2946" t="s">
        <v>3072</v>
      </c>
      <c r="D2946" t="s">
        <v>9724</v>
      </c>
      <c r="E2946">
        <v>8300000</v>
      </c>
    </row>
    <row r="2947" spans="1:5" ht="15" customHeight="1" x14ac:dyDescent="0.3">
      <c r="A2947" t="s">
        <v>10351</v>
      </c>
      <c r="B2947" t="s">
        <v>237</v>
      </c>
      <c r="C2947" t="s">
        <v>65</v>
      </c>
      <c r="D2947" t="s">
        <v>10007</v>
      </c>
      <c r="E2947">
        <v>12100000</v>
      </c>
    </row>
    <row r="2948" spans="1:5" ht="15" customHeight="1" x14ac:dyDescent="0.3">
      <c r="A2948" t="s">
        <v>10352</v>
      </c>
      <c r="B2948" t="s">
        <v>2494</v>
      </c>
      <c r="C2948" t="s">
        <v>2987</v>
      </c>
      <c r="D2948" t="s">
        <v>9999</v>
      </c>
      <c r="E2948">
        <v>8100000</v>
      </c>
    </row>
    <row r="2949" spans="1:5" ht="15" customHeight="1" x14ac:dyDescent="0.3">
      <c r="A2949" t="s">
        <v>10353</v>
      </c>
      <c r="B2949" t="s">
        <v>28</v>
      </c>
      <c r="C2949" t="s">
        <v>31</v>
      </c>
      <c r="D2949" t="s">
        <v>9959</v>
      </c>
      <c r="E2949">
        <v>7820000</v>
      </c>
    </row>
    <row r="2950" spans="1:5" ht="15" customHeight="1" x14ac:dyDescent="0.3">
      <c r="A2950" t="s">
        <v>10354</v>
      </c>
      <c r="B2950" t="s">
        <v>86</v>
      </c>
      <c r="C2950" t="s">
        <v>2793</v>
      </c>
      <c r="D2950" t="s">
        <v>9984</v>
      </c>
      <c r="E2950">
        <v>16200000</v>
      </c>
    </row>
    <row r="2951" spans="1:5" ht="15" customHeight="1" x14ac:dyDescent="0.3">
      <c r="A2951" t="s">
        <v>10355</v>
      </c>
      <c r="B2951" t="s">
        <v>68</v>
      </c>
      <c r="C2951" t="s">
        <v>2568</v>
      </c>
      <c r="D2951" t="s">
        <v>9872</v>
      </c>
      <c r="E2951">
        <v>6140000</v>
      </c>
    </row>
    <row r="2952" spans="1:5" ht="15" customHeight="1" x14ac:dyDescent="0.3">
      <c r="A2952" t="s">
        <v>10356</v>
      </c>
      <c r="B2952" t="s">
        <v>2498</v>
      </c>
      <c r="C2952" t="s">
        <v>2499</v>
      </c>
      <c r="D2952" t="s">
        <v>9953</v>
      </c>
      <c r="E2952">
        <v>7740000</v>
      </c>
    </row>
    <row r="2953" spans="1:5" ht="15" customHeight="1" x14ac:dyDescent="0.3">
      <c r="A2953" t="s">
        <v>9871</v>
      </c>
      <c r="B2953" t="s">
        <v>68</v>
      </c>
      <c r="C2953" t="s">
        <v>2568</v>
      </c>
      <c r="D2953" t="s">
        <v>9872</v>
      </c>
      <c r="E2953">
        <v>6140000</v>
      </c>
    </row>
    <row r="2954" spans="1:5" ht="15" customHeight="1" x14ac:dyDescent="0.3">
      <c r="A2954" t="s">
        <v>10357</v>
      </c>
      <c r="B2954" t="s">
        <v>2498</v>
      </c>
      <c r="C2954" t="s">
        <v>2523</v>
      </c>
      <c r="D2954" t="s">
        <v>9874</v>
      </c>
      <c r="E2954">
        <v>9900000</v>
      </c>
    </row>
    <row r="2955" spans="1:5" ht="15" customHeight="1" x14ac:dyDescent="0.3">
      <c r="A2955" t="s">
        <v>9873</v>
      </c>
      <c r="B2955" t="s">
        <v>2498</v>
      </c>
      <c r="C2955" t="s">
        <v>2523</v>
      </c>
      <c r="D2955" t="s">
        <v>9874</v>
      </c>
      <c r="E2955">
        <v>9900000</v>
      </c>
    </row>
    <row r="2956" spans="1:5" ht="15" customHeight="1" x14ac:dyDescent="0.3">
      <c r="A2956" t="s">
        <v>10358</v>
      </c>
      <c r="B2956" t="s">
        <v>45</v>
      </c>
      <c r="C2956" t="s">
        <v>46</v>
      </c>
      <c r="D2956" t="s">
        <v>9920</v>
      </c>
      <c r="E2956">
        <v>10600000</v>
      </c>
    </row>
    <row r="2957" spans="1:5" ht="15" customHeight="1" x14ac:dyDescent="0.3">
      <c r="A2957" t="s">
        <v>9875</v>
      </c>
      <c r="B2957" t="s">
        <v>2955</v>
      </c>
      <c r="C2957" t="s">
        <v>8856</v>
      </c>
      <c r="D2957" t="s">
        <v>9876</v>
      </c>
      <c r="E2957">
        <v>7210000</v>
      </c>
    </row>
    <row r="2958" spans="1:5" ht="15" customHeight="1" x14ac:dyDescent="0.3">
      <c r="A2958" t="s">
        <v>10359</v>
      </c>
      <c r="B2958" t="s">
        <v>180</v>
      </c>
      <c r="C2958" t="s">
        <v>4451</v>
      </c>
      <c r="D2958" t="s">
        <v>9898</v>
      </c>
      <c r="E2958">
        <v>19000000</v>
      </c>
    </row>
    <row r="2959" spans="1:5" ht="15" customHeight="1" x14ac:dyDescent="0.3">
      <c r="A2959" t="s">
        <v>10360</v>
      </c>
      <c r="B2959" t="s">
        <v>2533</v>
      </c>
      <c r="C2959" t="s">
        <v>2571</v>
      </c>
      <c r="D2959" t="s">
        <v>3102</v>
      </c>
      <c r="E2959">
        <v>8700000</v>
      </c>
    </row>
    <row r="2960" spans="1:5" ht="15" customHeight="1" x14ac:dyDescent="0.3">
      <c r="A2960" t="s">
        <v>9877</v>
      </c>
      <c r="B2960" t="s">
        <v>45</v>
      </c>
      <c r="C2960" t="s">
        <v>2822</v>
      </c>
      <c r="D2960" t="s">
        <v>9878</v>
      </c>
      <c r="E2960">
        <v>6430000</v>
      </c>
    </row>
    <row r="2961" spans="1:5" ht="15" customHeight="1" x14ac:dyDescent="0.3">
      <c r="A2961" t="s">
        <v>10361</v>
      </c>
      <c r="B2961" t="s">
        <v>68</v>
      </c>
      <c r="C2961">
        <v>580</v>
      </c>
      <c r="D2961" t="s">
        <v>9965</v>
      </c>
      <c r="E2961">
        <v>9000000</v>
      </c>
    </row>
    <row r="2962" spans="1:5" ht="15" customHeight="1" x14ac:dyDescent="0.3">
      <c r="A2962" t="s">
        <v>10362</v>
      </c>
      <c r="B2962" t="s">
        <v>241</v>
      </c>
      <c r="C2962" t="s">
        <v>2505</v>
      </c>
      <c r="D2962" t="s">
        <v>3759</v>
      </c>
      <c r="E2962">
        <v>25800000</v>
      </c>
    </row>
    <row r="2963" spans="1:5" ht="15" customHeight="1" x14ac:dyDescent="0.3">
      <c r="A2963" t="s">
        <v>10363</v>
      </c>
      <c r="B2963" t="s">
        <v>306</v>
      </c>
      <c r="C2963" t="s">
        <v>2862</v>
      </c>
      <c r="D2963" t="s">
        <v>9933</v>
      </c>
      <c r="E2963">
        <v>19300000</v>
      </c>
    </row>
    <row r="2964" spans="1:5" ht="15" customHeight="1" x14ac:dyDescent="0.3">
      <c r="A2964" t="s">
        <v>10364</v>
      </c>
      <c r="B2964" t="s">
        <v>220</v>
      </c>
      <c r="C2964" t="s">
        <v>3099</v>
      </c>
      <c r="D2964" t="s">
        <v>9913</v>
      </c>
      <c r="E2964">
        <v>12000000</v>
      </c>
    </row>
    <row r="2965" spans="1:5" ht="15" customHeight="1" x14ac:dyDescent="0.3">
      <c r="A2965" t="s">
        <v>10365</v>
      </c>
      <c r="B2965" t="s">
        <v>300</v>
      </c>
      <c r="C2965" t="s">
        <v>2908</v>
      </c>
      <c r="D2965" t="s">
        <v>9935</v>
      </c>
      <c r="E2965">
        <v>9200000</v>
      </c>
    </row>
    <row r="2966" spans="1:5" ht="15" customHeight="1" x14ac:dyDescent="0.3">
      <c r="A2966" t="s">
        <v>10102</v>
      </c>
      <c r="B2966" t="s">
        <v>241</v>
      </c>
      <c r="C2966" t="s">
        <v>2505</v>
      </c>
      <c r="D2966" t="s">
        <v>3759</v>
      </c>
      <c r="E2966">
        <v>25800000</v>
      </c>
    </row>
    <row r="2967" spans="1:5" ht="15" customHeight="1" x14ac:dyDescent="0.3">
      <c r="A2967" t="s">
        <v>10366</v>
      </c>
      <c r="B2967" t="s">
        <v>237</v>
      </c>
      <c r="C2967" t="s">
        <v>65</v>
      </c>
      <c r="D2967" t="s">
        <v>9991</v>
      </c>
      <c r="E2967">
        <v>13300000</v>
      </c>
    </row>
    <row r="2968" spans="1:5" ht="15" customHeight="1" x14ac:dyDescent="0.3">
      <c r="A2968" t="s">
        <v>10103</v>
      </c>
      <c r="B2968" t="s">
        <v>306</v>
      </c>
      <c r="C2968" t="s">
        <v>3517</v>
      </c>
      <c r="D2968" t="s">
        <v>9933</v>
      </c>
      <c r="E2968">
        <v>19400000</v>
      </c>
    </row>
    <row r="2969" spans="1:5" ht="15" customHeight="1" x14ac:dyDescent="0.3">
      <c r="A2969" t="s">
        <v>10367</v>
      </c>
      <c r="B2969" t="s">
        <v>220</v>
      </c>
      <c r="C2969" t="s">
        <v>3099</v>
      </c>
      <c r="D2969" t="s">
        <v>9909</v>
      </c>
      <c r="E2969">
        <v>11200000</v>
      </c>
    </row>
    <row r="2970" spans="1:5" ht="15" customHeight="1" x14ac:dyDescent="0.3">
      <c r="A2970" t="s">
        <v>10368</v>
      </c>
      <c r="B2970" t="s">
        <v>220</v>
      </c>
      <c r="C2970" t="s">
        <v>223</v>
      </c>
      <c r="D2970" t="s">
        <v>9931</v>
      </c>
      <c r="E2970">
        <v>12100000</v>
      </c>
    </row>
    <row r="2971" spans="1:5" ht="15" customHeight="1" x14ac:dyDescent="0.3">
      <c r="A2971" t="s">
        <v>10104</v>
      </c>
      <c r="B2971" t="s">
        <v>2498</v>
      </c>
      <c r="C2971" t="s">
        <v>3136</v>
      </c>
      <c r="D2971" t="s">
        <v>10105</v>
      </c>
      <c r="E2971">
        <v>19300000</v>
      </c>
    </row>
    <row r="2972" spans="1:5" ht="15" customHeight="1" x14ac:dyDescent="0.3">
      <c r="A2972" t="s">
        <v>10106</v>
      </c>
      <c r="B2972" t="s">
        <v>2498</v>
      </c>
      <c r="C2972" t="s">
        <v>3136</v>
      </c>
      <c r="D2972" t="s">
        <v>10105</v>
      </c>
      <c r="E2972">
        <v>18800000</v>
      </c>
    </row>
    <row r="2973" spans="1:5" ht="15" customHeight="1" x14ac:dyDescent="0.3">
      <c r="A2973" t="s">
        <v>10369</v>
      </c>
      <c r="B2973" t="s">
        <v>45</v>
      </c>
      <c r="C2973" t="s">
        <v>2822</v>
      </c>
      <c r="D2973" t="s">
        <v>9964</v>
      </c>
      <c r="E2973">
        <v>7910000</v>
      </c>
    </row>
    <row r="2974" spans="1:5" ht="15" customHeight="1" x14ac:dyDescent="0.3">
      <c r="A2974" t="s">
        <v>10107</v>
      </c>
      <c r="B2974" t="s">
        <v>86</v>
      </c>
      <c r="C2974" t="s">
        <v>2507</v>
      </c>
      <c r="D2974" t="s">
        <v>332</v>
      </c>
      <c r="E2974">
        <v>24800000</v>
      </c>
    </row>
    <row r="2975" spans="1:5" ht="15" customHeight="1" x14ac:dyDescent="0.3">
      <c r="A2975" t="s">
        <v>10370</v>
      </c>
      <c r="B2975" t="s">
        <v>291</v>
      </c>
      <c r="C2975" t="s">
        <v>3080</v>
      </c>
      <c r="D2975" t="s">
        <v>9951</v>
      </c>
      <c r="E2975">
        <v>16200000</v>
      </c>
    </row>
    <row r="2976" spans="1:5" ht="15" customHeight="1" x14ac:dyDescent="0.3">
      <c r="A2976" t="s">
        <v>10371</v>
      </c>
      <c r="B2976" t="s">
        <v>241</v>
      </c>
      <c r="C2976">
        <v>5008</v>
      </c>
      <c r="D2976" t="s">
        <v>9702</v>
      </c>
      <c r="E2976">
        <v>17100000</v>
      </c>
    </row>
    <row r="2977" spans="1:5" ht="15" customHeight="1" x14ac:dyDescent="0.3">
      <c r="A2977" t="s">
        <v>10372</v>
      </c>
      <c r="B2977" t="s">
        <v>18</v>
      </c>
      <c r="C2977" t="s">
        <v>3314</v>
      </c>
      <c r="D2977" t="s">
        <v>9985</v>
      </c>
      <c r="E2977">
        <v>37100000</v>
      </c>
    </row>
    <row r="2978" spans="1:5" ht="15" customHeight="1" x14ac:dyDescent="0.3">
      <c r="A2978" t="s">
        <v>10373</v>
      </c>
      <c r="B2978" t="s">
        <v>173</v>
      </c>
      <c r="C2978">
        <v>7</v>
      </c>
      <c r="D2978" t="s">
        <v>10003</v>
      </c>
      <c r="E2978">
        <v>17500000</v>
      </c>
    </row>
    <row r="2979" spans="1:5" ht="15" customHeight="1" x14ac:dyDescent="0.3">
      <c r="A2979" t="s">
        <v>10374</v>
      </c>
      <c r="B2979" t="s">
        <v>86</v>
      </c>
      <c r="C2979" t="s">
        <v>90</v>
      </c>
      <c r="D2979" t="s">
        <v>9918</v>
      </c>
      <c r="E2979">
        <v>9300000</v>
      </c>
    </row>
    <row r="2980" spans="1:5" ht="15" customHeight="1" x14ac:dyDescent="0.3">
      <c r="A2980" t="s">
        <v>10375</v>
      </c>
      <c r="B2980" t="s">
        <v>214</v>
      </c>
      <c r="C2980" t="s">
        <v>2627</v>
      </c>
      <c r="D2980" t="s">
        <v>10002</v>
      </c>
      <c r="E2980">
        <v>35600000</v>
      </c>
    </row>
    <row r="2981" spans="1:5" ht="15" customHeight="1" x14ac:dyDescent="0.3">
      <c r="A2981" t="s">
        <v>10376</v>
      </c>
      <c r="B2981" t="s">
        <v>241</v>
      </c>
      <c r="C2981">
        <v>3008</v>
      </c>
      <c r="D2981" t="s">
        <v>9921</v>
      </c>
      <c r="E2981">
        <v>13800000</v>
      </c>
    </row>
    <row r="2982" spans="1:5" ht="15" customHeight="1" x14ac:dyDescent="0.3">
      <c r="A2982" t="s">
        <v>10377</v>
      </c>
      <c r="B2982" t="s">
        <v>306</v>
      </c>
      <c r="C2982" t="s">
        <v>2862</v>
      </c>
      <c r="D2982" t="s">
        <v>9922</v>
      </c>
      <c r="E2982">
        <v>17900000</v>
      </c>
    </row>
    <row r="2983" spans="1:5" ht="15" customHeight="1" x14ac:dyDescent="0.3">
      <c r="A2983" t="s">
        <v>10378</v>
      </c>
      <c r="B2983" t="s">
        <v>86</v>
      </c>
      <c r="C2983" t="s">
        <v>2476</v>
      </c>
      <c r="D2983" t="s">
        <v>9905</v>
      </c>
      <c r="E2983">
        <v>20300000</v>
      </c>
    </row>
    <row r="2984" spans="1:5" ht="15" customHeight="1" x14ac:dyDescent="0.3">
      <c r="A2984" t="s">
        <v>10379</v>
      </c>
      <c r="B2984" t="s">
        <v>28</v>
      </c>
      <c r="C2984" t="s">
        <v>2575</v>
      </c>
      <c r="D2984" t="s">
        <v>9946</v>
      </c>
      <c r="E2984">
        <v>7650000</v>
      </c>
    </row>
    <row r="2985" spans="1:5" ht="15" customHeight="1" x14ac:dyDescent="0.3">
      <c r="A2985" t="s">
        <v>10380</v>
      </c>
      <c r="B2985" t="s">
        <v>306</v>
      </c>
      <c r="C2985" t="s">
        <v>7913</v>
      </c>
      <c r="D2985" t="s">
        <v>9974</v>
      </c>
      <c r="E2985">
        <v>12100000</v>
      </c>
    </row>
    <row r="2986" spans="1:5" ht="15" customHeight="1" x14ac:dyDescent="0.3">
      <c r="A2986" t="s">
        <v>10381</v>
      </c>
      <c r="B2986" t="s">
        <v>180</v>
      </c>
      <c r="C2986" t="s">
        <v>183</v>
      </c>
      <c r="D2986" t="s">
        <v>9908</v>
      </c>
      <c r="E2986">
        <v>15500000</v>
      </c>
    </row>
    <row r="2987" spans="1:5" ht="15" customHeight="1" x14ac:dyDescent="0.3">
      <c r="A2987" t="s">
        <v>10382</v>
      </c>
      <c r="B2987" t="s">
        <v>214</v>
      </c>
      <c r="C2987" t="s">
        <v>2627</v>
      </c>
      <c r="D2987" t="s">
        <v>10002</v>
      </c>
      <c r="E2987">
        <v>35600000</v>
      </c>
    </row>
    <row r="2988" spans="1:5" ht="15" customHeight="1" x14ac:dyDescent="0.3">
      <c r="A2988" t="s">
        <v>10383</v>
      </c>
      <c r="B2988" t="s">
        <v>45</v>
      </c>
      <c r="C2988" t="s">
        <v>2822</v>
      </c>
      <c r="D2988" t="s">
        <v>9878</v>
      </c>
      <c r="E2988">
        <v>6670000</v>
      </c>
    </row>
    <row r="2989" spans="1:5" ht="15" customHeight="1" x14ac:dyDescent="0.3">
      <c r="A2989" t="s">
        <v>10384</v>
      </c>
      <c r="B2989" t="s">
        <v>214</v>
      </c>
      <c r="C2989" t="s">
        <v>215</v>
      </c>
      <c r="D2989" t="s">
        <v>9958</v>
      </c>
      <c r="E2989">
        <v>13700000</v>
      </c>
    </row>
    <row r="2990" spans="1:5" ht="15" customHeight="1" x14ac:dyDescent="0.3">
      <c r="A2990" t="s">
        <v>10385</v>
      </c>
      <c r="B2990" t="s">
        <v>2665</v>
      </c>
      <c r="C2990" t="s">
        <v>10386</v>
      </c>
      <c r="D2990" t="s">
        <v>9897</v>
      </c>
      <c r="E2990">
        <v>6830000</v>
      </c>
    </row>
    <row r="2991" spans="1:5" ht="15" customHeight="1" x14ac:dyDescent="0.3">
      <c r="A2991" t="s">
        <v>10108</v>
      </c>
      <c r="B2991" t="s">
        <v>28</v>
      </c>
      <c r="C2991" t="s">
        <v>35</v>
      </c>
      <c r="D2991" t="s">
        <v>10109</v>
      </c>
      <c r="E2991">
        <v>11100000</v>
      </c>
    </row>
    <row r="2992" spans="1:5" ht="15" customHeight="1" x14ac:dyDescent="0.3">
      <c r="A2992" t="s">
        <v>10387</v>
      </c>
      <c r="B2992" t="s">
        <v>28</v>
      </c>
      <c r="C2992" t="s">
        <v>2575</v>
      </c>
      <c r="D2992" t="s">
        <v>525</v>
      </c>
      <c r="E2992">
        <v>8600000</v>
      </c>
    </row>
    <row r="2993" spans="1:5" ht="15" customHeight="1" x14ac:dyDescent="0.3">
      <c r="A2993" t="s">
        <v>10388</v>
      </c>
      <c r="B2993" t="s">
        <v>2521</v>
      </c>
      <c r="C2993" t="s">
        <v>2522</v>
      </c>
      <c r="D2993" t="s">
        <v>9997</v>
      </c>
      <c r="E2993">
        <v>20200000</v>
      </c>
    </row>
    <row r="2994" spans="1:5" ht="15" customHeight="1" x14ac:dyDescent="0.3">
      <c r="A2994" t="s">
        <v>10389</v>
      </c>
      <c r="B2994" t="s">
        <v>2498</v>
      </c>
      <c r="C2994" t="s">
        <v>2499</v>
      </c>
      <c r="D2994" t="s">
        <v>9953</v>
      </c>
      <c r="E2994">
        <v>7740000</v>
      </c>
    </row>
    <row r="2995" spans="1:5" ht="15" customHeight="1" x14ac:dyDescent="0.3">
      <c r="A2995" t="s">
        <v>10390</v>
      </c>
      <c r="B2995" t="s">
        <v>167</v>
      </c>
      <c r="C2995" t="s">
        <v>2609</v>
      </c>
      <c r="D2995" t="s">
        <v>9904</v>
      </c>
      <c r="E2995">
        <v>5860000</v>
      </c>
    </row>
    <row r="2996" spans="1:5" ht="15" customHeight="1" x14ac:dyDescent="0.3">
      <c r="A2996" t="s">
        <v>10391</v>
      </c>
      <c r="B2996" t="s">
        <v>241</v>
      </c>
      <c r="C2996" t="s">
        <v>2501</v>
      </c>
      <c r="D2996" t="s">
        <v>8010</v>
      </c>
      <c r="E2996">
        <v>24900000</v>
      </c>
    </row>
    <row r="2997" spans="1:5" ht="15" customHeight="1" x14ac:dyDescent="0.3">
      <c r="A2997" t="s">
        <v>10392</v>
      </c>
      <c r="B2997" t="s">
        <v>45</v>
      </c>
      <c r="C2997" t="s">
        <v>49</v>
      </c>
      <c r="D2997" t="s">
        <v>9975</v>
      </c>
      <c r="E2997">
        <v>46700000</v>
      </c>
    </row>
    <row r="2998" spans="1:5" ht="15" customHeight="1" x14ac:dyDescent="0.3">
      <c r="A2998" t="s">
        <v>10393</v>
      </c>
      <c r="B2998" t="s">
        <v>241</v>
      </c>
      <c r="C2998" t="s">
        <v>2501</v>
      </c>
      <c r="D2998" t="s">
        <v>8010</v>
      </c>
      <c r="E2998">
        <v>23900000</v>
      </c>
    </row>
    <row r="2999" spans="1:5" ht="15" customHeight="1" x14ac:dyDescent="0.3">
      <c r="A2999" t="s">
        <v>10394</v>
      </c>
      <c r="B2999" t="s">
        <v>2498</v>
      </c>
      <c r="C2999" t="s">
        <v>199</v>
      </c>
      <c r="D2999" t="s">
        <v>9962</v>
      </c>
      <c r="E2999">
        <v>21400000</v>
      </c>
    </row>
    <row r="3000" spans="1:5" ht="15" customHeight="1" x14ac:dyDescent="0.3">
      <c r="A3000" t="s">
        <v>10395</v>
      </c>
      <c r="B3000" t="s">
        <v>2498</v>
      </c>
      <c r="C3000" t="s">
        <v>2920</v>
      </c>
      <c r="D3000" t="s">
        <v>9978</v>
      </c>
      <c r="E3000">
        <v>17400000</v>
      </c>
    </row>
    <row r="3001" spans="1:5" ht="15" customHeight="1" x14ac:dyDescent="0.3">
      <c r="A3001" t="s">
        <v>10396</v>
      </c>
      <c r="B3001" t="s">
        <v>2498</v>
      </c>
      <c r="C3001" t="s">
        <v>2920</v>
      </c>
      <c r="D3001" t="s">
        <v>9978</v>
      </c>
      <c r="E3001">
        <v>17400000</v>
      </c>
    </row>
    <row r="3002" spans="1:5" ht="15" customHeight="1" x14ac:dyDescent="0.3">
      <c r="A3002" t="s">
        <v>10397</v>
      </c>
      <c r="B3002" t="s">
        <v>291</v>
      </c>
      <c r="C3002" t="s">
        <v>3161</v>
      </c>
      <c r="D3002" t="s">
        <v>9695</v>
      </c>
      <c r="E3002">
        <v>24500000</v>
      </c>
    </row>
    <row r="3003" spans="1:5" ht="15" customHeight="1" x14ac:dyDescent="0.3">
      <c r="A3003" t="s">
        <v>10398</v>
      </c>
      <c r="B3003" t="s">
        <v>86</v>
      </c>
      <c r="C3003" t="s">
        <v>2476</v>
      </c>
      <c r="D3003" t="s">
        <v>3527</v>
      </c>
      <c r="E3003">
        <v>36600000</v>
      </c>
    </row>
    <row r="3004" spans="1:5" ht="15" customHeight="1" x14ac:dyDescent="0.3">
      <c r="A3004" t="s">
        <v>10399</v>
      </c>
      <c r="B3004" t="s">
        <v>60</v>
      </c>
      <c r="C3004" t="s">
        <v>8859</v>
      </c>
      <c r="D3004" t="s">
        <v>9989</v>
      </c>
      <c r="E3004">
        <v>7770000</v>
      </c>
    </row>
    <row r="3005" spans="1:5" ht="15" customHeight="1" x14ac:dyDescent="0.3">
      <c r="A3005" t="s">
        <v>10110</v>
      </c>
      <c r="B3005" t="s">
        <v>86</v>
      </c>
      <c r="C3005" t="s">
        <v>2476</v>
      </c>
      <c r="D3005" t="s">
        <v>3527</v>
      </c>
      <c r="E3005">
        <v>36600000</v>
      </c>
    </row>
    <row r="3006" spans="1:5" ht="15" customHeight="1" x14ac:dyDescent="0.3">
      <c r="A3006" t="s">
        <v>10400</v>
      </c>
      <c r="B3006" t="s">
        <v>300</v>
      </c>
      <c r="C3006" t="s">
        <v>303</v>
      </c>
      <c r="D3006" t="s">
        <v>10005</v>
      </c>
      <c r="E3006">
        <v>21000000</v>
      </c>
    </row>
    <row r="3007" spans="1:5" ht="15" customHeight="1" x14ac:dyDescent="0.3">
      <c r="A3007" t="s">
        <v>10401</v>
      </c>
      <c r="B3007" t="s">
        <v>45</v>
      </c>
      <c r="C3007" t="s">
        <v>10402</v>
      </c>
      <c r="D3007" t="s">
        <v>9915</v>
      </c>
      <c r="E3007">
        <v>11300000</v>
      </c>
    </row>
    <row r="3008" spans="1:5" ht="15" customHeight="1" x14ac:dyDescent="0.3">
      <c r="A3008" t="s">
        <v>10403</v>
      </c>
      <c r="B3008" t="s">
        <v>60</v>
      </c>
      <c r="C3008" t="s">
        <v>3200</v>
      </c>
      <c r="D3008" t="s">
        <v>9924</v>
      </c>
      <c r="E3008">
        <v>8700000</v>
      </c>
    </row>
    <row r="3009" spans="1:5" ht="15" customHeight="1" x14ac:dyDescent="0.3">
      <c r="A3009" t="s">
        <v>10404</v>
      </c>
      <c r="B3009" t="s">
        <v>86</v>
      </c>
      <c r="C3009" t="s">
        <v>2476</v>
      </c>
      <c r="D3009" t="s">
        <v>9905</v>
      </c>
      <c r="E3009">
        <v>20400000</v>
      </c>
    </row>
    <row r="3010" spans="1:5" ht="15" customHeight="1" x14ac:dyDescent="0.3">
      <c r="A3010" t="s">
        <v>10405</v>
      </c>
      <c r="B3010" t="s">
        <v>2498</v>
      </c>
      <c r="C3010" t="s">
        <v>199</v>
      </c>
      <c r="D3010" t="s">
        <v>9996</v>
      </c>
      <c r="E3010">
        <v>25200000</v>
      </c>
    </row>
    <row r="3011" spans="1:5" ht="15" customHeight="1" x14ac:dyDescent="0.3">
      <c r="A3011" t="s">
        <v>10406</v>
      </c>
      <c r="B3011" t="s">
        <v>291</v>
      </c>
      <c r="C3011" t="s">
        <v>10407</v>
      </c>
      <c r="D3011" t="s">
        <v>9912</v>
      </c>
      <c r="E3011">
        <v>15200000</v>
      </c>
    </row>
    <row r="3012" spans="1:5" ht="15" customHeight="1" x14ac:dyDescent="0.3">
      <c r="A3012" t="s">
        <v>10408</v>
      </c>
      <c r="B3012" t="s">
        <v>241</v>
      </c>
      <c r="C3012">
        <v>5008</v>
      </c>
      <c r="D3012" t="s">
        <v>9927</v>
      </c>
      <c r="E3012">
        <v>15900000</v>
      </c>
    </row>
    <row r="3013" spans="1:5" ht="15" customHeight="1" x14ac:dyDescent="0.3">
      <c r="A3013" t="s">
        <v>10111</v>
      </c>
      <c r="B3013" t="s">
        <v>311</v>
      </c>
      <c r="C3013" t="s">
        <v>10112</v>
      </c>
      <c r="D3013" t="s">
        <v>10113</v>
      </c>
      <c r="E3013">
        <v>10100000</v>
      </c>
    </row>
    <row r="3014" spans="1:5" ht="15" customHeight="1" x14ac:dyDescent="0.3">
      <c r="A3014" t="s">
        <v>10114</v>
      </c>
      <c r="B3014" t="s">
        <v>4852</v>
      </c>
      <c r="C3014" t="s">
        <v>10115</v>
      </c>
      <c r="D3014" t="s">
        <v>10116</v>
      </c>
      <c r="E3014">
        <v>44500000</v>
      </c>
    </row>
    <row r="3015" spans="1:5" ht="15" customHeight="1" x14ac:dyDescent="0.3">
      <c r="A3015" t="s">
        <v>10409</v>
      </c>
      <c r="B3015" t="s">
        <v>28</v>
      </c>
      <c r="C3015" t="s">
        <v>38</v>
      </c>
      <c r="D3015" t="s">
        <v>9972</v>
      </c>
      <c r="E3015">
        <v>12000000</v>
      </c>
    </row>
    <row r="3016" spans="1:5" ht="15" customHeight="1" x14ac:dyDescent="0.3">
      <c r="A3016" t="s">
        <v>10410</v>
      </c>
      <c r="B3016" t="s">
        <v>300</v>
      </c>
      <c r="C3016" t="s">
        <v>3132</v>
      </c>
      <c r="D3016" t="s">
        <v>9936</v>
      </c>
      <c r="E3016">
        <v>10200000</v>
      </c>
    </row>
    <row r="3017" spans="1:5" ht="15" customHeight="1" x14ac:dyDescent="0.3">
      <c r="A3017" t="s">
        <v>10411</v>
      </c>
      <c r="B3017" t="s">
        <v>2533</v>
      </c>
      <c r="C3017" t="s">
        <v>2571</v>
      </c>
      <c r="D3017" t="s">
        <v>10412</v>
      </c>
      <c r="E3017">
        <v>7430000</v>
      </c>
    </row>
    <row r="3018" spans="1:5" ht="15" customHeight="1" x14ac:dyDescent="0.3">
      <c r="A3018" t="s">
        <v>10413</v>
      </c>
      <c r="B3018" t="s">
        <v>2494</v>
      </c>
      <c r="C3018" t="s">
        <v>3477</v>
      </c>
      <c r="D3018" t="s">
        <v>10004</v>
      </c>
      <c r="E3018">
        <v>7300000</v>
      </c>
    </row>
    <row r="3019" spans="1:5" ht="15" customHeight="1" x14ac:dyDescent="0.3">
      <c r="A3019" t="s">
        <v>10414</v>
      </c>
      <c r="B3019" t="s">
        <v>28</v>
      </c>
      <c r="C3019" t="s">
        <v>10254</v>
      </c>
      <c r="D3019" t="s">
        <v>10009</v>
      </c>
      <c r="E3019">
        <v>25900000</v>
      </c>
    </row>
    <row r="3020" spans="1:5" ht="15" customHeight="1" x14ac:dyDescent="0.3">
      <c r="A3020" t="s">
        <v>10415</v>
      </c>
      <c r="B3020" t="s">
        <v>86</v>
      </c>
      <c r="C3020" t="s">
        <v>2507</v>
      </c>
      <c r="D3020" t="s">
        <v>1051</v>
      </c>
      <c r="E3020">
        <v>34400000</v>
      </c>
    </row>
    <row r="3021" spans="1:5" ht="15" customHeight="1" x14ac:dyDescent="0.3">
      <c r="A3021" t="s">
        <v>10117</v>
      </c>
      <c r="B3021" t="s">
        <v>241</v>
      </c>
      <c r="C3021" t="s">
        <v>2487</v>
      </c>
      <c r="D3021" t="s">
        <v>7706</v>
      </c>
      <c r="E3021">
        <v>20200000</v>
      </c>
    </row>
    <row r="3022" spans="1:5" ht="15" customHeight="1" x14ac:dyDescent="0.3">
      <c r="A3022" t="s">
        <v>10416</v>
      </c>
      <c r="B3022" t="s">
        <v>2533</v>
      </c>
      <c r="C3022" t="s">
        <v>2571</v>
      </c>
      <c r="D3022" t="s">
        <v>9993</v>
      </c>
      <c r="E3022">
        <v>8900000</v>
      </c>
    </row>
    <row r="3023" spans="1:5" ht="15" customHeight="1" x14ac:dyDescent="0.3">
      <c r="A3023" t="s">
        <v>10417</v>
      </c>
      <c r="B3023" t="s">
        <v>300</v>
      </c>
      <c r="C3023" t="s">
        <v>3699</v>
      </c>
      <c r="D3023" t="s">
        <v>338</v>
      </c>
      <c r="E3023">
        <v>14000000</v>
      </c>
    </row>
    <row r="3024" spans="1:5" ht="15" customHeight="1" x14ac:dyDescent="0.3">
      <c r="A3024" t="s">
        <v>10418</v>
      </c>
      <c r="B3024" t="s">
        <v>28</v>
      </c>
      <c r="C3024" t="s">
        <v>31</v>
      </c>
      <c r="D3024" t="s">
        <v>9934</v>
      </c>
      <c r="E3024">
        <v>8200000</v>
      </c>
    </row>
    <row r="3025" spans="1:5" ht="15" customHeight="1" x14ac:dyDescent="0.3">
      <c r="A3025" t="s">
        <v>10118</v>
      </c>
      <c r="B3025" t="s">
        <v>241</v>
      </c>
      <c r="C3025" t="s">
        <v>269</v>
      </c>
      <c r="D3025" t="s">
        <v>2978</v>
      </c>
      <c r="E3025">
        <v>20100000</v>
      </c>
    </row>
    <row r="3026" spans="1:5" ht="15" customHeight="1" x14ac:dyDescent="0.3">
      <c r="A3026" t="s">
        <v>10419</v>
      </c>
      <c r="B3026" t="s">
        <v>28</v>
      </c>
      <c r="C3026" t="s">
        <v>31</v>
      </c>
      <c r="D3026" t="s">
        <v>9934</v>
      </c>
      <c r="E3026">
        <v>8200000</v>
      </c>
    </row>
    <row r="3027" spans="1:5" ht="15" customHeight="1" x14ac:dyDescent="0.3">
      <c r="A3027" t="s">
        <v>10420</v>
      </c>
      <c r="B3027" t="s">
        <v>2955</v>
      </c>
      <c r="C3027" t="s">
        <v>8856</v>
      </c>
      <c r="D3027" t="s">
        <v>9979</v>
      </c>
      <c r="E3027">
        <v>6790000</v>
      </c>
    </row>
    <row r="3028" spans="1:5" ht="15" customHeight="1" x14ac:dyDescent="0.3">
      <c r="A3028" t="s">
        <v>10421</v>
      </c>
      <c r="B3028" t="s">
        <v>241</v>
      </c>
      <c r="C3028" t="s">
        <v>2487</v>
      </c>
      <c r="D3028" t="s">
        <v>9954</v>
      </c>
      <c r="E3028">
        <v>16300000</v>
      </c>
    </row>
    <row r="3029" spans="1:5" ht="15" customHeight="1" x14ac:dyDescent="0.3">
      <c r="A3029" t="s">
        <v>10422</v>
      </c>
      <c r="B3029" t="s">
        <v>220</v>
      </c>
      <c r="C3029" t="s">
        <v>2576</v>
      </c>
      <c r="D3029" t="s">
        <v>9595</v>
      </c>
      <c r="E3029">
        <v>17700000</v>
      </c>
    </row>
    <row r="3030" spans="1:5" ht="15" customHeight="1" x14ac:dyDescent="0.3">
      <c r="A3030" t="s">
        <v>10423</v>
      </c>
      <c r="B3030" t="s">
        <v>45</v>
      </c>
      <c r="C3030" t="s">
        <v>46</v>
      </c>
      <c r="D3030" t="s">
        <v>9976</v>
      </c>
      <c r="E3030">
        <v>14700000</v>
      </c>
    </row>
    <row r="3031" spans="1:5" ht="15" customHeight="1" x14ac:dyDescent="0.3">
      <c r="A3031" t="s">
        <v>10424</v>
      </c>
      <c r="B3031" t="s">
        <v>68</v>
      </c>
      <c r="C3031" t="s">
        <v>2568</v>
      </c>
      <c r="D3031" t="s">
        <v>9981</v>
      </c>
      <c r="E3031">
        <v>6560000</v>
      </c>
    </row>
    <row r="3032" spans="1:5" ht="15" customHeight="1" x14ac:dyDescent="0.3">
      <c r="A3032" t="s">
        <v>10425</v>
      </c>
      <c r="B3032" t="s">
        <v>2533</v>
      </c>
      <c r="C3032" t="s">
        <v>2582</v>
      </c>
      <c r="D3032" t="s">
        <v>9947</v>
      </c>
      <c r="E3032">
        <v>7510000</v>
      </c>
    </row>
    <row r="3033" spans="1:5" ht="15" customHeight="1" x14ac:dyDescent="0.3">
      <c r="A3033" t="s">
        <v>10426</v>
      </c>
      <c r="B3033" t="s">
        <v>2545</v>
      </c>
      <c r="C3033" t="s">
        <v>2856</v>
      </c>
      <c r="D3033" t="s">
        <v>9928</v>
      </c>
      <c r="E3033">
        <v>15600000</v>
      </c>
    </row>
    <row r="3034" spans="1:5" ht="15" customHeight="1" x14ac:dyDescent="0.3">
      <c r="A3034" t="s">
        <v>10427</v>
      </c>
      <c r="B3034" t="s">
        <v>2498</v>
      </c>
      <c r="C3034" t="s">
        <v>3136</v>
      </c>
      <c r="D3034" t="s">
        <v>7500</v>
      </c>
      <c r="E3034">
        <v>17200000</v>
      </c>
    </row>
    <row r="3035" spans="1:5" ht="15" customHeight="1" x14ac:dyDescent="0.3">
      <c r="A3035" t="s">
        <v>10119</v>
      </c>
      <c r="B3035" t="s">
        <v>2545</v>
      </c>
      <c r="C3035" t="s">
        <v>2856</v>
      </c>
      <c r="D3035" t="s">
        <v>2857</v>
      </c>
      <c r="E3035">
        <v>15800000</v>
      </c>
    </row>
    <row r="3036" spans="1:5" ht="15" customHeight="1" x14ac:dyDescent="0.3">
      <c r="A3036" t="s">
        <v>10428</v>
      </c>
      <c r="B3036" t="s">
        <v>167</v>
      </c>
      <c r="C3036" t="s">
        <v>170</v>
      </c>
      <c r="D3036" t="s">
        <v>9949</v>
      </c>
      <c r="E3036">
        <v>11400000</v>
      </c>
    </row>
    <row r="3037" spans="1:5" ht="15" customHeight="1" x14ac:dyDescent="0.3">
      <c r="A3037" t="s">
        <v>10429</v>
      </c>
      <c r="B3037" t="s">
        <v>2533</v>
      </c>
      <c r="C3037" t="s">
        <v>2571</v>
      </c>
      <c r="D3037" t="s">
        <v>9992</v>
      </c>
      <c r="E3037">
        <v>9500000</v>
      </c>
    </row>
    <row r="3038" spans="1:5" ht="15" customHeight="1" x14ac:dyDescent="0.3">
      <c r="A3038" t="s">
        <v>10430</v>
      </c>
      <c r="B3038" t="s">
        <v>60</v>
      </c>
      <c r="C3038" t="s">
        <v>8859</v>
      </c>
      <c r="D3038" t="s">
        <v>9995</v>
      </c>
      <c r="E3038">
        <v>8200000</v>
      </c>
    </row>
    <row r="3039" spans="1:5" ht="15" customHeight="1" x14ac:dyDescent="0.3">
      <c r="A3039" t="s">
        <v>10431</v>
      </c>
      <c r="B3039" t="s">
        <v>167</v>
      </c>
      <c r="C3039" t="s">
        <v>170</v>
      </c>
      <c r="D3039" t="s">
        <v>9949</v>
      </c>
      <c r="E3039">
        <v>11400000</v>
      </c>
    </row>
    <row r="3040" spans="1:5" ht="15" customHeight="1" x14ac:dyDescent="0.3">
      <c r="A3040" t="s">
        <v>10120</v>
      </c>
      <c r="B3040" t="s">
        <v>18</v>
      </c>
      <c r="C3040" t="s">
        <v>9890</v>
      </c>
      <c r="D3040" t="s">
        <v>9894</v>
      </c>
      <c r="E3040">
        <v>19700000</v>
      </c>
    </row>
    <row r="3041" spans="1:5" ht="15" customHeight="1" x14ac:dyDescent="0.3">
      <c r="A3041" t="s">
        <v>10432</v>
      </c>
      <c r="B3041" t="s">
        <v>86</v>
      </c>
      <c r="C3041" t="s">
        <v>90</v>
      </c>
      <c r="D3041" t="s">
        <v>9907</v>
      </c>
      <c r="E3041">
        <v>7640000</v>
      </c>
    </row>
    <row r="3042" spans="1:5" ht="15" customHeight="1" x14ac:dyDescent="0.3">
      <c r="A3042" t="s">
        <v>10433</v>
      </c>
      <c r="B3042" t="s">
        <v>45</v>
      </c>
      <c r="C3042" t="s">
        <v>2764</v>
      </c>
      <c r="D3042" t="s">
        <v>9967</v>
      </c>
      <c r="E3042">
        <v>9900000</v>
      </c>
    </row>
    <row r="3043" spans="1:5" ht="15" customHeight="1" x14ac:dyDescent="0.3">
      <c r="A3043" t="s">
        <v>10434</v>
      </c>
      <c r="B3043" t="s">
        <v>86</v>
      </c>
      <c r="C3043" t="s">
        <v>2793</v>
      </c>
      <c r="D3043" t="s">
        <v>10000</v>
      </c>
      <c r="E3043">
        <v>17600000</v>
      </c>
    </row>
    <row r="3044" spans="1:5" ht="15" customHeight="1" x14ac:dyDescent="0.3">
      <c r="A3044" t="s">
        <v>10435</v>
      </c>
      <c r="B3044" t="s">
        <v>45</v>
      </c>
      <c r="C3044" t="s">
        <v>49</v>
      </c>
      <c r="D3044" t="s">
        <v>9952</v>
      </c>
      <c r="E3044">
        <v>31900000</v>
      </c>
    </row>
    <row r="3045" spans="1:5" ht="15" customHeight="1" x14ac:dyDescent="0.3">
      <c r="A3045" t="s">
        <v>10436</v>
      </c>
      <c r="B3045" t="s">
        <v>60</v>
      </c>
      <c r="C3045" t="s">
        <v>2520</v>
      </c>
      <c r="D3045" t="s">
        <v>2384</v>
      </c>
      <c r="E3045">
        <v>13900000</v>
      </c>
    </row>
    <row r="3046" spans="1:5" ht="15" customHeight="1" x14ac:dyDescent="0.3">
      <c r="A3046" t="s">
        <v>10437</v>
      </c>
      <c r="B3046" t="s">
        <v>241</v>
      </c>
      <c r="C3046" t="s">
        <v>2484</v>
      </c>
      <c r="D3046" t="s">
        <v>10438</v>
      </c>
      <c r="E3046">
        <v>13200000</v>
      </c>
    </row>
    <row r="3047" spans="1:5" ht="15" customHeight="1" x14ac:dyDescent="0.3">
      <c r="A3047" t="s">
        <v>10439</v>
      </c>
      <c r="B3047" t="s">
        <v>2498</v>
      </c>
      <c r="C3047" t="s">
        <v>2523</v>
      </c>
      <c r="D3047" t="s">
        <v>10440</v>
      </c>
      <c r="E3047">
        <v>8100000</v>
      </c>
    </row>
    <row r="3048" spans="1:5" ht="15" customHeight="1" x14ac:dyDescent="0.3">
      <c r="A3048" t="s">
        <v>10441</v>
      </c>
      <c r="B3048" t="s">
        <v>300</v>
      </c>
      <c r="C3048" t="s">
        <v>3211</v>
      </c>
      <c r="D3048" t="s">
        <v>9919</v>
      </c>
      <c r="E3048">
        <v>5750000</v>
      </c>
    </row>
    <row r="3049" spans="1:5" ht="15" customHeight="1" x14ac:dyDescent="0.3">
      <c r="A3049" t="s">
        <v>10442</v>
      </c>
      <c r="B3049" t="s">
        <v>220</v>
      </c>
      <c r="C3049" t="s">
        <v>2569</v>
      </c>
      <c r="D3049" t="s">
        <v>2353</v>
      </c>
      <c r="E3049">
        <v>9000000</v>
      </c>
    </row>
    <row r="3050" spans="1:5" ht="15" customHeight="1" x14ac:dyDescent="0.3">
      <c r="A3050" t="s">
        <v>10443</v>
      </c>
      <c r="B3050" t="s">
        <v>86</v>
      </c>
      <c r="C3050" t="s">
        <v>122</v>
      </c>
      <c r="D3050" t="s">
        <v>9925</v>
      </c>
      <c r="E3050">
        <v>22500000</v>
      </c>
    </row>
    <row r="3051" spans="1:5" ht="15" customHeight="1" x14ac:dyDescent="0.3">
      <c r="A3051" t="s">
        <v>10444</v>
      </c>
      <c r="B3051" t="s">
        <v>2533</v>
      </c>
      <c r="C3051" t="s">
        <v>10445</v>
      </c>
      <c r="D3051" t="s">
        <v>9998</v>
      </c>
      <c r="E3051">
        <v>13600000</v>
      </c>
    </row>
    <row r="3052" spans="1:5" ht="15" customHeight="1" x14ac:dyDescent="0.3">
      <c r="A3052" t="s">
        <v>10446</v>
      </c>
      <c r="B3052" t="s">
        <v>214</v>
      </c>
      <c r="C3052" t="s">
        <v>2560</v>
      </c>
      <c r="D3052" t="s">
        <v>9977</v>
      </c>
      <c r="E3052">
        <v>20400000</v>
      </c>
    </row>
    <row r="3053" spans="1:5" ht="15" customHeight="1" x14ac:dyDescent="0.3">
      <c r="A3053" t="s">
        <v>10447</v>
      </c>
      <c r="B3053" t="s">
        <v>156</v>
      </c>
      <c r="C3053" t="s">
        <v>2707</v>
      </c>
      <c r="D3053" t="s">
        <v>9917</v>
      </c>
      <c r="E3053">
        <v>6410000</v>
      </c>
    </row>
    <row r="3054" spans="1:5" ht="15" customHeight="1" x14ac:dyDescent="0.3">
      <c r="A3054" t="s">
        <v>10448</v>
      </c>
      <c r="B3054" t="s">
        <v>86</v>
      </c>
      <c r="C3054" t="s">
        <v>122</v>
      </c>
      <c r="D3054" t="s">
        <v>9941</v>
      </c>
      <c r="E3054">
        <v>16800000</v>
      </c>
    </row>
    <row r="3055" spans="1:5" ht="15" customHeight="1" x14ac:dyDescent="0.3">
      <c r="A3055" t="s">
        <v>10449</v>
      </c>
      <c r="B3055" t="s">
        <v>214</v>
      </c>
      <c r="C3055" t="s">
        <v>3494</v>
      </c>
      <c r="D3055" t="s">
        <v>7841</v>
      </c>
      <c r="E3055">
        <v>11300000</v>
      </c>
    </row>
    <row r="3056" spans="1:5" ht="15" customHeight="1" x14ac:dyDescent="0.3">
      <c r="A3056" t="s">
        <v>10450</v>
      </c>
      <c r="B3056" t="s">
        <v>45</v>
      </c>
      <c r="C3056" t="s">
        <v>46</v>
      </c>
      <c r="D3056" t="s">
        <v>9956</v>
      </c>
      <c r="E3056">
        <v>12600000</v>
      </c>
    </row>
    <row r="3057" spans="1:5" ht="15" customHeight="1" x14ac:dyDescent="0.3">
      <c r="A3057" t="s">
        <v>10451</v>
      </c>
      <c r="B3057" t="s">
        <v>156</v>
      </c>
      <c r="C3057" t="s">
        <v>2868</v>
      </c>
      <c r="D3057" t="s">
        <v>9987</v>
      </c>
      <c r="E3057">
        <v>12000000</v>
      </c>
    </row>
    <row r="3058" spans="1:5" ht="15" customHeight="1" x14ac:dyDescent="0.3">
      <c r="A3058" t="s">
        <v>10452</v>
      </c>
      <c r="B3058" t="s">
        <v>86</v>
      </c>
      <c r="C3058" t="s">
        <v>2507</v>
      </c>
      <c r="D3058" t="s">
        <v>9994</v>
      </c>
      <c r="E3058">
        <v>26100000</v>
      </c>
    </row>
    <row r="3059" spans="1:5" ht="15" customHeight="1" x14ac:dyDescent="0.3">
      <c r="A3059" t="s">
        <v>10453</v>
      </c>
      <c r="B3059" t="s">
        <v>311</v>
      </c>
      <c r="C3059" t="s">
        <v>3599</v>
      </c>
      <c r="D3059" t="s">
        <v>9990</v>
      </c>
      <c r="E3059">
        <v>17000000</v>
      </c>
    </row>
    <row r="3060" spans="1:5" ht="15" customHeight="1" x14ac:dyDescent="0.3">
      <c r="A3060" t="s">
        <v>10454</v>
      </c>
      <c r="B3060" t="s">
        <v>2533</v>
      </c>
      <c r="C3060" t="s">
        <v>2599</v>
      </c>
      <c r="D3060" t="s">
        <v>9937</v>
      </c>
      <c r="E3060">
        <v>8800000</v>
      </c>
    </row>
    <row r="3061" spans="1:5" ht="15" customHeight="1" x14ac:dyDescent="0.3">
      <c r="A3061" t="s">
        <v>10455</v>
      </c>
      <c r="B3061" t="s">
        <v>2498</v>
      </c>
      <c r="C3061" t="s">
        <v>2749</v>
      </c>
      <c r="D3061" t="s">
        <v>9902</v>
      </c>
      <c r="E3061">
        <v>7470000</v>
      </c>
    </row>
    <row r="3062" spans="1:5" ht="15" customHeight="1" x14ac:dyDescent="0.3">
      <c r="A3062" t="s">
        <v>10456</v>
      </c>
      <c r="B3062" t="s">
        <v>241</v>
      </c>
      <c r="C3062">
        <v>5008</v>
      </c>
      <c r="D3062" t="s">
        <v>9938</v>
      </c>
      <c r="E3062">
        <v>15400000</v>
      </c>
    </row>
    <row r="3063" spans="1:5" ht="15" customHeight="1" x14ac:dyDescent="0.3">
      <c r="A3063" t="s">
        <v>10457</v>
      </c>
      <c r="B3063" t="s">
        <v>2533</v>
      </c>
      <c r="C3063" t="s">
        <v>2599</v>
      </c>
      <c r="D3063" t="s">
        <v>9937</v>
      </c>
      <c r="E3063">
        <v>8800000</v>
      </c>
    </row>
    <row r="3064" spans="1:5" ht="15" customHeight="1" x14ac:dyDescent="0.3">
      <c r="A3064" t="s">
        <v>10458</v>
      </c>
      <c r="B3064" t="s">
        <v>180</v>
      </c>
      <c r="C3064" t="s">
        <v>4451</v>
      </c>
      <c r="D3064" t="s">
        <v>9943</v>
      </c>
      <c r="E3064">
        <v>32300000</v>
      </c>
    </row>
    <row r="3065" spans="1:5" ht="15" customHeight="1" x14ac:dyDescent="0.3">
      <c r="A3065" t="s">
        <v>10459</v>
      </c>
      <c r="B3065" t="s">
        <v>2665</v>
      </c>
      <c r="C3065" t="s">
        <v>10460</v>
      </c>
      <c r="D3065" t="s">
        <v>10008</v>
      </c>
      <c r="E3065">
        <v>55000000</v>
      </c>
    </row>
    <row r="3066" spans="1:5" ht="15" customHeight="1" x14ac:dyDescent="0.3">
      <c r="A3066" t="s">
        <v>10461</v>
      </c>
      <c r="B3066" t="s">
        <v>220</v>
      </c>
      <c r="C3066" t="s">
        <v>2729</v>
      </c>
      <c r="D3066" t="s">
        <v>9948</v>
      </c>
      <c r="E3066">
        <v>9500000</v>
      </c>
    </row>
    <row r="3067" spans="1:5" ht="15" customHeight="1" x14ac:dyDescent="0.3">
      <c r="A3067" t="s">
        <v>10462</v>
      </c>
      <c r="B3067" t="s">
        <v>86</v>
      </c>
      <c r="C3067" t="s">
        <v>106</v>
      </c>
      <c r="D3067" t="s">
        <v>9903</v>
      </c>
      <c r="E3067">
        <v>14400000</v>
      </c>
    </row>
    <row r="3068" spans="1:5" ht="15" customHeight="1" x14ac:dyDescent="0.3">
      <c r="A3068" t="s">
        <v>10463</v>
      </c>
      <c r="B3068" t="s">
        <v>2545</v>
      </c>
      <c r="C3068" t="s">
        <v>2856</v>
      </c>
      <c r="D3068" t="s">
        <v>9910</v>
      </c>
      <c r="E3068">
        <v>15800000</v>
      </c>
    </row>
    <row r="3069" spans="1:5" ht="15" customHeight="1" x14ac:dyDescent="0.3">
      <c r="A3069" t="s">
        <v>10464</v>
      </c>
      <c r="B3069" t="s">
        <v>220</v>
      </c>
      <c r="C3069" t="s">
        <v>2576</v>
      </c>
      <c r="D3069" t="s">
        <v>9968</v>
      </c>
      <c r="E3069">
        <v>15900000</v>
      </c>
    </row>
    <row r="3070" spans="1:5" ht="15" customHeight="1" x14ac:dyDescent="0.3">
      <c r="A3070" t="s">
        <v>10465</v>
      </c>
      <c r="B3070" t="s">
        <v>220</v>
      </c>
      <c r="C3070" t="s">
        <v>2716</v>
      </c>
      <c r="D3070" t="s">
        <v>1104</v>
      </c>
      <c r="E3070">
        <v>13500000</v>
      </c>
    </row>
    <row r="3071" spans="1:5" ht="15" customHeight="1" x14ac:dyDescent="0.3">
      <c r="A3071" t="s">
        <v>10466</v>
      </c>
      <c r="B3071" t="s">
        <v>28</v>
      </c>
      <c r="C3071" t="s">
        <v>2496</v>
      </c>
      <c r="D3071" t="s">
        <v>3289</v>
      </c>
      <c r="E3071">
        <v>7230000</v>
      </c>
    </row>
    <row r="3072" spans="1:5" ht="15" customHeight="1" x14ac:dyDescent="0.3">
      <c r="A3072" t="s">
        <v>10121</v>
      </c>
      <c r="B3072" t="s">
        <v>28</v>
      </c>
      <c r="C3072" t="s">
        <v>2496</v>
      </c>
      <c r="D3072" t="s">
        <v>3289</v>
      </c>
      <c r="E3072">
        <v>7230000</v>
      </c>
    </row>
    <row r="3073" spans="1:5" ht="15" customHeight="1" x14ac:dyDescent="0.3">
      <c r="A3073" t="s">
        <v>10467</v>
      </c>
      <c r="B3073" t="s">
        <v>156</v>
      </c>
      <c r="C3073" t="s">
        <v>2479</v>
      </c>
      <c r="D3073" t="s">
        <v>9930</v>
      </c>
      <c r="E3073">
        <v>9000000</v>
      </c>
    </row>
    <row r="3074" spans="1:5" ht="15" customHeight="1" x14ac:dyDescent="0.3">
      <c r="A3074" t="s">
        <v>10468</v>
      </c>
      <c r="B3074" t="s">
        <v>86</v>
      </c>
      <c r="C3074" t="s">
        <v>2859</v>
      </c>
      <c r="D3074" t="s">
        <v>9932</v>
      </c>
      <c r="E3074">
        <v>18000000</v>
      </c>
    </row>
    <row r="3075" spans="1:5" ht="15" customHeight="1" x14ac:dyDescent="0.3">
      <c r="A3075" t="s">
        <v>10469</v>
      </c>
      <c r="B3075" t="s">
        <v>86</v>
      </c>
      <c r="C3075" t="s">
        <v>2859</v>
      </c>
      <c r="D3075" t="s">
        <v>9932</v>
      </c>
      <c r="E3075">
        <v>18000000</v>
      </c>
    </row>
    <row r="3076" spans="1:5" ht="15" customHeight="1" x14ac:dyDescent="0.3">
      <c r="A3076" t="s">
        <v>10470</v>
      </c>
      <c r="B3076" t="s">
        <v>86</v>
      </c>
      <c r="C3076" t="s">
        <v>2859</v>
      </c>
      <c r="D3076" t="s">
        <v>9932</v>
      </c>
      <c r="E3076">
        <v>18000000</v>
      </c>
    </row>
    <row r="3077" spans="1:5" ht="15" customHeight="1" x14ac:dyDescent="0.3">
      <c r="A3077" t="s">
        <v>10471</v>
      </c>
      <c r="B3077" t="s">
        <v>60</v>
      </c>
      <c r="C3077" t="s">
        <v>3326</v>
      </c>
      <c r="D3077" t="s">
        <v>9970</v>
      </c>
      <c r="E3077">
        <v>15000000</v>
      </c>
    </row>
    <row r="3078" spans="1:5" ht="15" customHeight="1" x14ac:dyDescent="0.3">
      <c r="A3078" t="s">
        <v>10472</v>
      </c>
      <c r="B3078" t="s">
        <v>28</v>
      </c>
      <c r="C3078" t="s">
        <v>2496</v>
      </c>
      <c r="D3078" t="s">
        <v>9950</v>
      </c>
      <c r="E3078">
        <v>7490000</v>
      </c>
    </row>
    <row r="3079" spans="1:5" ht="15" customHeight="1" x14ac:dyDescent="0.3">
      <c r="A3079" t="s">
        <v>10122</v>
      </c>
      <c r="B3079" t="s">
        <v>2498</v>
      </c>
      <c r="C3079" t="s">
        <v>2830</v>
      </c>
      <c r="D3079" t="s">
        <v>7374</v>
      </c>
      <c r="E3079">
        <v>14600000</v>
      </c>
    </row>
    <row r="3080" spans="1:5" ht="15" customHeight="1" x14ac:dyDescent="0.3">
      <c r="A3080" t="s">
        <v>10473</v>
      </c>
      <c r="B3080" t="s">
        <v>167</v>
      </c>
      <c r="C3080" t="s">
        <v>3192</v>
      </c>
      <c r="D3080" t="s">
        <v>3819</v>
      </c>
      <c r="E3080">
        <v>7870000</v>
      </c>
    </row>
    <row r="3081" spans="1:5" ht="15" customHeight="1" x14ac:dyDescent="0.3">
      <c r="A3081" t="s">
        <v>10474</v>
      </c>
      <c r="B3081" t="s">
        <v>28</v>
      </c>
      <c r="C3081" t="s">
        <v>2575</v>
      </c>
      <c r="D3081" t="s">
        <v>9945</v>
      </c>
      <c r="E3081">
        <v>7780000</v>
      </c>
    </row>
    <row r="3082" spans="1:5" ht="15" customHeight="1" x14ac:dyDescent="0.3">
      <c r="A3082" t="s">
        <v>10475</v>
      </c>
      <c r="B3082" t="s">
        <v>2608</v>
      </c>
      <c r="C3082" t="s">
        <v>3951</v>
      </c>
      <c r="D3082" t="s">
        <v>1762</v>
      </c>
      <c r="E3082">
        <v>22400000</v>
      </c>
    </row>
    <row r="3083" spans="1:5" ht="15" customHeight="1" x14ac:dyDescent="0.3">
      <c r="A3083" t="s">
        <v>10476</v>
      </c>
      <c r="B3083" t="s">
        <v>306</v>
      </c>
      <c r="C3083" t="s">
        <v>3636</v>
      </c>
      <c r="D3083" t="s">
        <v>9944</v>
      </c>
      <c r="E3083">
        <v>14500000</v>
      </c>
    </row>
    <row r="3084" spans="1:5" ht="15" customHeight="1" x14ac:dyDescent="0.3">
      <c r="A3084" t="s">
        <v>10477</v>
      </c>
      <c r="B3084" t="s">
        <v>2498</v>
      </c>
      <c r="C3084" t="s">
        <v>2499</v>
      </c>
      <c r="D3084" t="s">
        <v>10478</v>
      </c>
      <c r="E3084">
        <v>9200000</v>
      </c>
    </row>
    <row r="3085" spans="1:5" ht="15" customHeight="1" x14ac:dyDescent="0.3">
      <c r="A3085" t="s">
        <v>10479</v>
      </c>
      <c r="B3085" t="s">
        <v>60</v>
      </c>
      <c r="C3085" t="s">
        <v>2854</v>
      </c>
      <c r="D3085" t="s">
        <v>7891</v>
      </c>
      <c r="E3085">
        <v>13800000</v>
      </c>
    </row>
    <row r="3086" spans="1:5" ht="15" customHeight="1" x14ac:dyDescent="0.3">
      <c r="A3086" t="s">
        <v>10480</v>
      </c>
      <c r="B3086" t="s">
        <v>241</v>
      </c>
      <c r="C3086" t="s">
        <v>9598</v>
      </c>
      <c r="D3086" t="s">
        <v>10006</v>
      </c>
      <c r="E3086">
        <v>28800000</v>
      </c>
    </row>
    <row r="3087" spans="1:5" ht="15" customHeight="1" x14ac:dyDescent="0.3">
      <c r="A3087" t="s">
        <v>10481</v>
      </c>
      <c r="B3087" t="s">
        <v>2549</v>
      </c>
      <c r="C3087" t="s">
        <v>10482</v>
      </c>
      <c r="D3087" t="s">
        <v>9939</v>
      </c>
      <c r="E3087">
        <v>11800000</v>
      </c>
    </row>
    <row r="3088" spans="1:5" ht="15" customHeight="1" x14ac:dyDescent="0.3">
      <c r="A3088" t="s">
        <v>10483</v>
      </c>
      <c r="B3088" t="s">
        <v>167</v>
      </c>
      <c r="C3088" t="s">
        <v>3192</v>
      </c>
      <c r="D3088" t="s">
        <v>9963</v>
      </c>
      <c r="E3088">
        <v>8600000</v>
      </c>
    </row>
    <row r="3089" spans="1:5" ht="15" customHeight="1" x14ac:dyDescent="0.3">
      <c r="A3089" t="s">
        <v>10484</v>
      </c>
      <c r="B3089" t="s">
        <v>241</v>
      </c>
      <c r="C3089" t="s">
        <v>2487</v>
      </c>
      <c r="D3089" t="s">
        <v>10485</v>
      </c>
      <c r="E3089">
        <v>12500000</v>
      </c>
    </row>
    <row r="3090" spans="1:5" ht="15" customHeight="1" x14ac:dyDescent="0.3">
      <c r="A3090" t="s">
        <v>10123</v>
      </c>
      <c r="B3090" t="s">
        <v>2549</v>
      </c>
      <c r="C3090" t="s">
        <v>2550</v>
      </c>
      <c r="D3090" t="s">
        <v>2477</v>
      </c>
      <c r="E3090">
        <v>23600000</v>
      </c>
    </row>
    <row r="3091" spans="1:5" ht="15" customHeight="1" x14ac:dyDescent="0.3">
      <c r="A3091" t="s">
        <v>10486</v>
      </c>
      <c r="B3091" t="s">
        <v>241</v>
      </c>
      <c r="C3091" t="s">
        <v>2505</v>
      </c>
      <c r="D3091" t="s">
        <v>416</v>
      </c>
      <c r="E3091">
        <v>23300000</v>
      </c>
    </row>
    <row r="3092" spans="1:5" ht="15" customHeight="1" x14ac:dyDescent="0.3">
      <c r="A3092" t="s">
        <v>10487</v>
      </c>
      <c r="B3092" t="s">
        <v>300</v>
      </c>
      <c r="C3092" t="s">
        <v>9728</v>
      </c>
      <c r="D3092" t="s">
        <v>9729</v>
      </c>
      <c r="E3092">
        <v>9900000</v>
      </c>
    </row>
    <row r="3093" spans="1:5" ht="15" customHeight="1" x14ac:dyDescent="0.3">
      <c r="A3093" t="s">
        <v>10488</v>
      </c>
      <c r="B3093" t="s">
        <v>207</v>
      </c>
      <c r="C3093" t="s">
        <v>2582</v>
      </c>
      <c r="D3093" t="s">
        <v>9906</v>
      </c>
      <c r="E3093">
        <v>10600000</v>
      </c>
    </row>
    <row r="3094" spans="1:5" ht="15" customHeight="1" x14ac:dyDescent="0.3">
      <c r="A3094" t="s">
        <v>10489</v>
      </c>
      <c r="B3094" t="s">
        <v>300</v>
      </c>
      <c r="C3094" t="s">
        <v>2541</v>
      </c>
      <c r="D3094" t="s">
        <v>9983</v>
      </c>
      <c r="E3094">
        <v>11400000</v>
      </c>
    </row>
    <row r="3095" spans="1:5" ht="15" customHeight="1" x14ac:dyDescent="0.3">
      <c r="A3095" t="s">
        <v>10490</v>
      </c>
      <c r="B3095" t="s">
        <v>2545</v>
      </c>
      <c r="C3095" t="s">
        <v>2546</v>
      </c>
      <c r="D3095" t="s">
        <v>9923</v>
      </c>
      <c r="E3095">
        <v>18100000</v>
      </c>
    </row>
    <row r="3096" spans="1:5" ht="15" customHeight="1" x14ac:dyDescent="0.3">
      <c r="A3096" t="s">
        <v>10491</v>
      </c>
      <c r="B3096" t="s">
        <v>2533</v>
      </c>
      <c r="C3096" t="s">
        <v>2582</v>
      </c>
      <c r="D3096" t="s">
        <v>9947</v>
      </c>
      <c r="E3096">
        <v>7690000</v>
      </c>
    </row>
    <row r="3097" spans="1:5" ht="15" customHeight="1" x14ac:dyDescent="0.3">
      <c r="A3097" t="s">
        <v>10492</v>
      </c>
      <c r="B3097" t="s">
        <v>306</v>
      </c>
      <c r="C3097" t="s">
        <v>2981</v>
      </c>
      <c r="D3097" t="s">
        <v>9982</v>
      </c>
      <c r="E3097">
        <v>36200000</v>
      </c>
    </row>
    <row r="3098" spans="1:5" ht="15" customHeight="1" x14ac:dyDescent="0.3">
      <c r="A3098" t="s">
        <v>10493</v>
      </c>
      <c r="B3098" t="s">
        <v>68</v>
      </c>
      <c r="C3098">
        <v>580</v>
      </c>
      <c r="D3098" t="s">
        <v>9914</v>
      </c>
      <c r="E3098">
        <v>7390000</v>
      </c>
    </row>
    <row r="3099" spans="1:5" ht="15" customHeight="1" x14ac:dyDescent="0.3">
      <c r="A3099" t="s">
        <v>10494</v>
      </c>
      <c r="B3099" t="s">
        <v>28</v>
      </c>
      <c r="C3099" t="s">
        <v>35</v>
      </c>
      <c r="D3099" t="s">
        <v>10001</v>
      </c>
      <c r="E3099">
        <v>11100000</v>
      </c>
    </row>
    <row r="3100" spans="1:5" ht="15" customHeight="1" x14ac:dyDescent="0.3">
      <c r="A3100" t="s">
        <v>10495</v>
      </c>
      <c r="B3100" t="s">
        <v>306</v>
      </c>
      <c r="C3100" t="s">
        <v>2862</v>
      </c>
      <c r="D3100" t="s">
        <v>9940</v>
      </c>
      <c r="E3100">
        <v>17200000</v>
      </c>
    </row>
    <row r="3101" spans="1:5" ht="15" customHeight="1" x14ac:dyDescent="0.3">
      <c r="A3101" t="s">
        <v>10496</v>
      </c>
      <c r="B3101" t="s">
        <v>220</v>
      </c>
      <c r="C3101" t="s">
        <v>223</v>
      </c>
      <c r="D3101" t="s">
        <v>9942</v>
      </c>
      <c r="E3101">
        <v>14600000</v>
      </c>
    </row>
    <row r="3102" spans="1:5" ht="15" customHeight="1" x14ac:dyDescent="0.3">
      <c r="A3102" t="s">
        <v>10497</v>
      </c>
      <c r="B3102" t="s">
        <v>60</v>
      </c>
      <c r="C3102" t="s">
        <v>2854</v>
      </c>
      <c r="D3102" t="s">
        <v>9973</v>
      </c>
      <c r="E3102">
        <v>13500000</v>
      </c>
    </row>
    <row r="3103" spans="1:5" ht="15" customHeight="1" x14ac:dyDescent="0.3">
      <c r="A3103" t="s">
        <v>10498</v>
      </c>
      <c r="B3103" t="s">
        <v>28</v>
      </c>
      <c r="C3103" t="s">
        <v>2575</v>
      </c>
      <c r="D3103" t="s">
        <v>9955</v>
      </c>
      <c r="E3103">
        <v>7760000</v>
      </c>
    </row>
    <row r="3104" spans="1:5" ht="15" customHeight="1" x14ac:dyDescent="0.3">
      <c r="A3104" t="s">
        <v>10499</v>
      </c>
      <c r="B3104" t="s">
        <v>2494</v>
      </c>
      <c r="C3104" t="s">
        <v>3111</v>
      </c>
      <c r="D3104" t="s">
        <v>9988</v>
      </c>
      <c r="E3104">
        <v>12900000</v>
      </c>
    </row>
    <row r="3105" spans="1:5" ht="15" customHeight="1" x14ac:dyDescent="0.3">
      <c r="A3105" t="s">
        <v>10500</v>
      </c>
      <c r="B3105" t="s">
        <v>2533</v>
      </c>
      <c r="C3105" t="s">
        <v>2582</v>
      </c>
      <c r="D3105" t="s">
        <v>9971</v>
      </c>
      <c r="E3105">
        <v>8700000</v>
      </c>
    </row>
    <row r="3106" spans="1:5" ht="15" customHeight="1" x14ac:dyDescent="0.3">
      <c r="A3106" t="s">
        <v>10501</v>
      </c>
      <c r="B3106" t="s">
        <v>45</v>
      </c>
      <c r="C3106" t="s">
        <v>2764</v>
      </c>
      <c r="D3106" t="s">
        <v>9966</v>
      </c>
      <c r="E3106">
        <v>11000000</v>
      </c>
    </row>
    <row r="3107" spans="1:5" ht="15" customHeight="1" x14ac:dyDescent="0.3">
      <c r="A3107" t="s">
        <v>10502</v>
      </c>
      <c r="B3107" t="s">
        <v>167</v>
      </c>
      <c r="C3107" t="s">
        <v>2644</v>
      </c>
      <c r="D3107" t="s">
        <v>9960</v>
      </c>
      <c r="E3107">
        <v>22700000</v>
      </c>
    </row>
    <row r="3108" spans="1:5" ht="15" customHeight="1" x14ac:dyDescent="0.3">
      <c r="A3108" t="s">
        <v>10503</v>
      </c>
      <c r="B3108" t="s">
        <v>147</v>
      </c>
      <c r="C3108" t="s">
        <v>153</v>
      </c>
      <c r="D3108" t="s">
        <v>7415</v>
      </c>
      <c r="E3108">
        <v>10000000</v>
      </c>
    </row>
    <row r="3109" spans="1:5" ht="15" customHeight="1" x14ac:dyDescent="0.3">
      <c r="A3109" t="s">
        <v>10504</v>
      </c>
      <c r="B3109" t="s">
        <v>28</v>
      </c>
      <c r="C3109" t="s">
        <v>2496</v>
      </c>
      <c r="D3109" t="s">
        <v>10505</v>
      </c>
      <c r="E3109">
        <v>7330000</v>
      </c>
    </row>
    <row r="3110" spans="1:5" ht="15" customHeight="1" x14ac:dyDescent="0.3">
      <c r="A3110" t="s">
        <v>10506</v>
      </c>
      <c r="B3110" t="s">
        <v>306</v>
      </c>
      <c r="C3110" t="s">
        <v>2862</v>
      </c>
      <c r="D3110" t="s">
        <v>10507</v>
      </c>
      <c r="E3110">
        <v>17000000</v>
      </c>
    </row>
    <row r="3111" spans="1:5" ht="15" customHeight="1" x14ac:dyDescent="0.3">
      <c r="A3111" t="s">
        <v>10508</v>
      </c>
      <c r="B3111" t="s">
        <v>45</v>
      </c>
      <c r="C3111" t="s">
        <v>2822</v>
      </c>
      <c r="D3111" t="s">
        <v>9878</v>
      </c>
      <c r="E3111">
        <v>6620000</v>
      </c>
    </row>
    <row r="3112" spans="1:5" ht="15" customHeight="1" x14ac:dyDescent="0.3">
      <c r="A3112" t="s">
        <v>10509</v>
      </c>
      <c r="B3112" t="s">
        <v>86</v>
      </c>
      <c r="C3112" t="s">
        <v>2507</v>
      </c>
      <c r="D3112" t="s">
        <v>2887</v>
      </c>
      <c r="E3112">
        <v>26700000</v>
      </c>
    </row>
    <row r="3113" spans="1:5" ht="15" customHeight="1" x14ac:dyDescent="0.3">
      <c r="A3113" t="s">
        <v>10510</v>
      </c>
      <c r="B3113" t="s">
        <v>2545</v>
      </c>
      <c r="C3113" t="s">
        <v>10511</v>
      </c>
      <c r="D3113" t="s">
        <v>10512</v>
      </c>
      <c r="E3113">
        <v>10700000</v>
      </c>
    </row>
    <row r="3114" spans="1:5" ht="15" customHeight="1" x14ac:dyDescent="0.3">
      <c r="A3114" t="s">
        <v>10513</v>
      </c>
      <c r="B3114" t="s">
        <v>220</v>
      </c>
      <c r="C3114" t="s">
        <v>3099</v>
      </c>
      <c r="D3114" t="s">
        <v>10514</v>
      </c>
      <c r="E3114">
        <v>7760000</v>
      </c>
    </row>
    <row r="3115" spans="1:5" ht="15" customHeight="1" x14ac:dyDescent="0.3">
      <c r="A3115" t="s">
        <v>10515</v>
      </c>
      <c r="B3115" t="s">
        <v>220</v>
      </c>
      <c r="C3115" t="s">
        <v>223</v>
      </c>
      <c r="D3115" t="s">
        <v>10516</v>
      </c>
      <c r="E3115">
        <v>22500000</v>
      </c>
    </row>
    <row r="3116" spans="1:5" ht="15" customHeight="1" x14ac:dyDescent="0.3">
      <c r="A3116" t="s">
        <v>10517</v>
      </c>
      <c r="B3116" t="s">
        <v>220</v>
      </c>
      <c r="C3116" t="s">
        <v>2762</v>
      </c>
      <c r="D3116" t="s">
        <v>10518</v>
      </c>
      <c r="E3116">
        <v>13200000</v>
      </c>
    </row>
    <row r="3117" spans="1:5" ht="15" customHeight="1" x14ac:dyDescent="0.3">
      <c r="A3117" t="s">
        <v>10519</v>
      </c>
      <c r="B3117" t="s">
        <v>2545</v>
      </c>
      <c r="C3117" t="s">
        <v>2651</v>
      </c>
      <c r="D3117" t="s">
        <v>10520</v>
      </c>
      <c r="E3117">
        <v>28700000</v>
      </c>
    </row>
    <row r="3118" spans="1:5" ht="15" customHeight="1" x14ac:dyDescent="0.3">
      <c r="A3118" t="s">
        <v>10521</v>
      </c>
      <c r="B3118" t="s">
        <v>220</v>
      </c>
      <c r="C3118" t="s">
        <v>223</v>
      </c>
      <c r="D3118" t="s">
        <v>10516</v>
      </c>
      <c r="E3118">
        <v>22500000</v>
      </c>
    </row>
    <row r="3119" spans="1:5" ht="15" customHeight="1" x14ac:dyDescent="0.3">
      <c r="A3119" t="s">
        <v>10522</v>
      </c>
      <c r="B3119" t="s">
        <v>2493</v>
      </c>
      <c r="C3119" t="s">
        <v>2574</v>
      </c>
      <c r="D3119" t="s">
        <v>10523</v>
      </c>
      <c r="E3119">
        <v>17900000</v>
      </c>
    </row>
    <row r="3120" spans="1:5" ht="15" customHeight="1" x14ac:dyDescent="0.3">
      <c r="A3120" t="s">
        <v>10524</v>
      </c>
      <c r="B3120" t="s">
        <v>220</v>
      </c>
      <c r="C3120" t="s">
        <v>2762</v>
      </c>
      <c r="D3120" t="s">
        <v>10525</v>
      </c>
      <c r="E3120">
        <v>13000000</v>
      </c>
    </row>
    <row r="3121" spans="1:5" ht="15" customHeight="1" x14ac:dyDescent="0.3">
      <c r="A3121" t="s">
        <v>10526</v>
      </c>
      <c r="B3121" t="s">
        <v>86</v>
      </c>
      <c r="C3121" t="s">
        <v>2476</v>
      </c>
      <c r="D3121" t="s">
        <v>2376</v>
      </c>
      <c r="E3121">
        <v>36300000</v>
      </c>
    </row>
    <row r="3122" spans="1:5" ht="15" customHeight="1" x14ac:dyDescent="0.3">
      <c r="A3122" t="s">
        <v>10527</v>
      </c>
      <c r="B3122" t="s">
        <v>2545</v>
      </c>
      <c r="C3122" t="s">
        <v>2546</v>
      </c>
      <c r="D3122" t="s">
        <v>7742</v>
      </c>
      <c r="E3122">
        <v>18700000</v>
      </c>
    </row>
    <row r="3123" spans="1:5" ht="15" customHeight="1" x14ac:dyDescent="0.3">
      <c r="A3123" t="s">
        <v>10528</v>
      </c>
      <c r="B3123" t="s">
        <v>2498</v>
      </c>
      <c r="C3123" t="s">
        <v>3206</v>
      </c>
      <c r="D3123" t="s">
        <v>10529</v>
      </c>
      <c r="E3123">
        <v>9500000</v>
      </c>
    </row>
    <row r="3124" spans="1:5" ht="15" customHeight="1" x14ac:dyDescent="0.3">
      <c r="A3124" t="s">
        <v>10530</v>
      </c>
      <c r="B3124" t="s">
        <v>278</v>
      </c>
      <c r="C3124">
        <v>1000</v>
      </c>
      <c r="D3124" t="s">
        <v>10531</v>
      </c>
      <c r="E3124">
        <v>19300000</v>
      </c>
    </row>
    <row r="3125" spans="1:5" ht="15" customHeight="1" x14ac:dyDescent="0.3">
      <c r="A3125" t="s">
        <v>10124</v>
      </c>
      <c r="B3125" t="s">
        <v>2545</v>
      </c>
      <c r="C3125" t="s">
        <v>3606</v>
      </c>
      <c r="D3125" t="s">
        <v>10125</v>
      </c>
      <c r="E3125">
        <v>13600000</v>
      </c>
    </row>
    <row r="3126" spans="1:5" ht="15" customHeight="1" x14ac:dyDescent="0.3">
      <c r="A3126" t="s">
        <v>10532</v>
      </c>
      <c r="B3126" t="s">
        <v>86</v>
      </c>
      <c r="C3126" t="s">
        <v>134</v>
      </c>
      <c r="D3126" t="s">
        <v>10533</v>
      </c>
      <c r="E3126">
        <v>11300000</v>
      </c>
    </row>
    <row r="3127" spans="1:5" ht="15" customHeight="1" x14ac:dyDescent="0.3">
      <c r="A3127" t="s">
        <v>10534</v>
      </c>
      <c r="B3127" t="s">
        <v>86</v>
      </c>
      <c r="C3127" t="s">
        <v>2507</v>
      </c>
      <c r="D3127" t="s">
        <v>8760</v>
      </c>
      <c r="E3127">
        <v>37200000</v>
      </c>
    </row>
    <row r="3128" spans="1:5" ht="15" customHeight="1" x14ac:dyDescent="0.3">
      <c r="A3128" t="s">
        <v>10535</v>
      </c>
      <c r="B3128" t="s">
        <v>2549</v>
      </c>
      <c r="C3128" t="s">
        <v>7601</v>
      </c>
      <c r="D3128" t="s">
        <v>10536</v>
      </c>
      <c r="E3128">
        <v>9600000</v>
      </c>
    </row>
    <row r="3129" spans="1:5" ht="15" customHeight="1" x14ac:dyDescent="0.3">
      <c r="A3129" t="s">
        <v>10537</v>
      </c>
      <c r="B3129" t="s">
        <v>214</v>
      </c>
      <c r="C3129" t="s">
        <v>3360</v>
      </c>
      <c r="D3129" t="s">
        <v>10538</v>
      </c>
      <c r="E3129">
        <v>13100000</v>
      </c>
    </row>
    <row r="3130" spans="1:5" ht="15" customHeight="1" x14ac:dyDescent="0.3">
      <c r="A3130" t="s">
        <v>10539</v>
      </c>
      <c r="B3130" t="s">
        <v>45</v>
      </c>
      <c r="C3130" t="s">
        <v>46</v>
      </c>
      <c r="D3130" t="s">
        <v>10540</v>
      </c>
      <c r="E3130">
        <v>12900000</v>
      </c>
    </row>
    <row r="3131" spans="1:5" ht="15" customHeight="1" x14ac:dyDescent="0.3">
      <c r="A3131" t="s">
        <v>10541</v>
      </c>
      <c r="B3131" t="s">
        <v>28</v>
      </c>
      <c r="C3131" t="s">
        <v>42</v>
      </c>
      <c r="D3131" t="s">
        <v>10542</v>
      </c>
      <c r="E3131">
        <v>13100000</v>
      </c>
    </row>
    <row r="3132" spans="1:5" ht="15" customHeight="1" x14ac:dyDescent="0.3">
      <c r="A3132" t="s">
        <v>10543</v>
      </c>
      <c r="B3132" t="s">
        <v>220</v>
      </c>
      <c r="C3132" t="s">
        <v>2492</v>
      </c>
      <c r="D3132" t="s">
        <v>10544</v>
      </c>
      <c r="E3132">
        <v>15300000</v>
      </c>
    </row>
    <row r="3133" spans="1:5" ht="15" customHeight="1" x14ac:dyDescent="0.3">
      <c r="A3133" t="s">
        <v>10545</v>
      </c>
      <c r="B3133" t="s">
        <v>156</v>
      </c>
      <c r="C3133" t="s">
        <v>3334</v>
      </c>
      <c r="D3133" t="s">
        <v>10049</v>
      </c>
      <c r="E3133">
        <v>13800000</v>
      </c>
    </row>
    <row r="3134" spans="1:5" ht="15" customHeight="1" x14ac:dyDescent="0.3">
      <c r="A3134" t="s">
        <v>10546</v>
      </c>
      <c r="B3134" t="s">
        <v>45</v>
      </c>
      <c r="C3134" t="s">
        <v>49</v>
      </c>
      <c r="D3134" t="s">
        <v>3846</v>
      </c>
      <c r="E3134">
        <v>44700000</v>
      </c>
    </row>
    <row r="3135" spans="1:5" ht="15" customHeight="1" x14ac:dyDescent="0.3">
      <c r="A3135" t="s">
        <v>10547</v>
      </c>
      <c r="B3135" t="s">
        <v>220</v>
      </c>
      <c r="C3135" t="s">
        <v>223</v>
      </c>
      <c r="D3135" t="s">
        <v>9942</v>
      </c>
      <c r="E3135">
        <v>14600000</v>
      </c>
    </row>
    <row r="3136" spans="1:5" ht="15" customHeight="1" x14ac:dyDescent="0.3">
      <c r="A3136" t="s">
        <v>10548</v>
      </c>
      <c r="B3136" t="s">
        <v>86</v>
      </c>
      <c r="C3136" t="s">
        <v>122</v>
      </c>
      <c r="D3136" t="s">
        <v>10549</v>
      </c>
      <c r="E3136">
        <v>13500000</v>
      </c>
    </row>
    <row r="3137" spans="1:5" ht="15" customHeight="1" x14ac:dyDescent="0.3">
      <c r="A3137" t="s">
        <v>10550</v>
      </c>
      <c r="B3137" t="s">
        <v>288</v>
      </c>
      <c r="C3137" t="s">
        <v>3463</v>
      </c>
      <c r="D3137" t="s">
        <v>3464</v>
      </c>
      <c r="E3137">
        <v>9500000</v>
      </c>
    </row>
    <row r="3138" spans="1:5" ht="15" customHeight="1" x14ac:dyDescent="0.3">
      <c r="A3138" t="s">
        <v>10551</v>
      </c>
      <c r="B3138" t="s">
        <v>86</v>
      </c>
      <c r="C3138" t="s">
        <v>134</v>
      </c>
      <c r="D3138" t="s">
        <v>9665</v>
      </c>
      <c r="E3138">
        <v>12100000</v>
      </c>
    </row>
    <row r="3139" spans="1:5" ht="15" customHeight="1" x14ac:dyDescent="0.3">
      <c r="A3139" t="s">
        <v>10552</v>
      </c>
      <c r="B3139" t="s">
        <v>2494</v>
      </c>
      <c r="C3139" t="s">
        <v>2531</v>
      </c>
      <c r="D3139" t="s">
        <v>10553</v>
      </c>
      <c r="E3139">
        <v>8400000</v>
      </c>
    </row>
    <row r="3140" spans="1:5" ht="15" customHeight="1" x14ac:dyDescent="0.3">
      <c r="A3140" t="s">
        <v>10554</v>
      </c>
      <c r="B3140" t="s">
        <v>28</v>
      </c>
      <c r="C3140" t="s">
        <v>2575</v>
      </c>
      <c r="D3140" t="s">
        <v>2748</v>
      </c>
      <c r="E3140">
        <v>8600000</v>
      </c>
    </row>
    <row r="3141" spans="1:5" ht="15" customHeight="1" x14ac:dyDescent="0.3">
      <c r="A3141" t="s">
        <v>10126</v>
      </c>
      <c r="B3141" t="s">
        <v>220</v>
      </c>
      <c r="C3141" t="s">
        <v>2492</v>
      </c>
      <c r="D3141" t="s">
        <v>7985</v>
      </c>
      <c r="E3141">
        <v>21100000</v>
      </c>
    </row>
    <row r="3142" spans="1:5" ht="15" customHeight="1" x14ac:dyDescent="0.3">
      <c r="A3142" t="s">
        <v>10555</v>
      </c>
      <c r="B3142" t="s">
        <v>214</v>
      </c>
      <c r="C3142" t="s">
        <v>2675</v>
      </c>
      <c r="D3142" t="s">
        <v>9583</v>
      </c>
      <c r="E3142">
        <v>17400000</v>
      </c>
    </row>
    <row r="3143" spans="1:5" ht="15" customHeight="1" x14ac:dyDescent="0.3">
      <c r="A3143" t="s">
        <v>10556</v>
      </c>
      <c r="B3143" t="s">
        <v>2498</v>
      </c>
      <c r="C3143" t="s">
        <v>3136</v>
      </c>
      <c r="D3143" t="s">
        <v>10557</v>
      </c>
      <c r="E3143">
        <v>15000000</v>
      </c>
    </row>
    <row r="3144" spans="1:5" ht="15" customHeight="1" x14ac:dyDescent="0.3">
      <c r="A3144" t="s">
        <v>10558</v>
      </c>
      <c r="B3144" t="s">
        <v>86</v>
      </c>
      <c r="C3144" t="s">
        <v>134</v>
      </c>
      <c r="D3144" t="s">
        <v>10533</v>
      </c>
      <c r="E3144">
        <v>11300000</v>
      </c>
    </row>
    <row r="3145" spans="1:5" ht="15" customHeight="1" x14ac:dyDescent="0.3">
      <c r="A3145" t="s">
        <v>10559</v>
      </c>
      <c r="B3145" t="s">
        <v>2494</v>
      </c>
      <c r="C3145" t="s">
        <v>2987</v>
      </c>
      <c r="D3145" t="s">
        <v>10560</v>
      </c>
      <c r="E3145">
        <v>8300000</v>
      </c>
    </row>
    <row r="3146" spans="1:5" ht="15" customHeight="1" x14ac:dyDescent="0.3">
      <c r="A3146" t="s">
        <v>10561</v>
      </c>
      <c r="B3146" t="s">
        <v>241</v>
      </c>
      <c r="C3146">
        <v>3008</v>
      </c>
      <c r="D3146" t="s">
        <v>10562</v>
      </c>
      <c r="E3146">
        <v>18200000</v>
      </c>
    </row>
    <row r="3147" spans="1:5" ht="15" customHeight="1" x14ac:dyDescent="0.3">
      <c r="A3147" t="s">
        <v>10563</v>
      </c>
      <c r="B3147" t="s">
        <v>306</v>
      </c>
      <c r="C3147" t="s">
        <v>2564</v>
      </c>
      <c r="D3147" t="s">
        <v>10564</v>
      </c>
      <c r="E3147">
        <v>9000000</v>
      </c>
    </row>
    <row r="3148" spans="1:5" ht="15" customHeight="1" x14ac:dyDescent="0.3">
      <c r="A3148" t="s">
        <v>10565</v>
      </c>
      <c r="B3148" t="s">
        <v>220</v>
      </c>
      <c r="C3148" t="s">
        <v>2682</v>
      </c>
      <c r="D3148" t="s">
        <v>2124</v>
      </c>
      <c r="E3148">
        <v>12300000</v>
      </c>
    </row>
    <row r="3149" spans="1:5" ht="15" customHeight="1" x14ac:dyDescent="0.3">
      <c r="A3149" t="s">
        <v>10566</v>
      </c>
      <c r="B3149" t="s">
        <v>220</v>
      </c>
      <c r="C3149" t="s">
        <v>3099</v>
      </c>
      <c r="D3149" t="s">
        <v>9911</v>
      </c>
      <c r="E3149">
        <v>12100000</v>
      </c>
    </row>
    <row r="3150" spans="1:5" ht="15" customHeight="1" x14ac:dyDescent="0.3">
      <c r="A3150" t="s">
        <v>10567</v>
      </c>
      <c r="B3150" t="s">
        <v>2498</v>
      </c>
      <c r="C3150" t="s">
        <v>199</v>
      </c>
      <c r="D3150" t="s">
        <v>714</v>
      </c>
      <c r="E3150">
        <v>22000000</v>
      </c>
    </row>
    <row r="3151" spans="1:5" ht="15" customHeight="1" x14ac:dyDescent="0.3">
      <c r="A3151" t="s">
        <v>10568</v>
      </c>
      <c r="B3151" t="s">
        <v>291</v>
      </c>
      <c r="C3151" t="s">
        <v>2537</v>
      </c>
      <c r="D3151" t="s">
        <v>9867</v>
      </c>
      <c r="E3151">
        <v>15900000</v>
      </c>
    </row>
    <row r="3152" spans="1:5" ht="15" customHeight="1" x14ac:dyDescent="0.3">
      <c r="A3152" t="s">
        <v>10569</v>
      </c>
      <c r="B3152" t="s">
        <v>14</v>
      </c>
      <c r="C3152" t="s">
        <v>15</v>
      </c>
      <c r="D3152" t="s">
        <v>10570</v>
      </c>
      <c r="E3152">
        <v>8300000</v>
      </c>
    </row>
    <row r="3153" spans="1:5" ht="15" customHeight="1" x14ac:dyDescent="0.3">
      <c r="A3153" t="s">
        <v>10571</v>
      </c>
      <c r="B3153" t="s">
        <v>2545</v>
      </c>
      <c r="C3153" t="s">
        <v>2808</v>
      </c>
      <c r="D3153" t="s">
        <v>2809</v>
      </c>
      <c r="E3153">
        <v>16900000</v>
      </c>
    </row>
    <row r="3154" spans="1:5" ht="15" customHeight="1" x14ac:dyDescent="0.3">
      <c r="A3154" t="s">
        <v>10572</v>
      </c>
      <c r="B3154" t="s">
        <v>2498</v>
      </c>
      <c r="C3154" t="s">
        <v>2587</v>
      </c>
      <c r="D3154" t="s">
        <v>10573</v>
      </c>
      <c r="E3154">
        <v>18600000</v>
      </c>
    </row>
    <row r="3155" spans="1:5" ht="15" customHeight="1" x14ac:dyDescent="0.3">
      <c r="A3155" t="s">
        <v>10574</v>
      </c>
      <c r="B3155" t="s">
        <v>45</v>
      </c>
      <c r="C3155" t="s">
        <v>2764</v>
      </c>
      <c r="D3155" t="s">
        <v>9966</v>
      </c>
      <c r="E3155">
        <v>11000000</v>
      </c>
    </row>
    <row r="3156" spans="1:5" ht="15" customHeight="1" x14ac:dyDescent="0.3">
      <c r="A3156" t="s">
        <v>10575</v>
      </c>
      <c r="B3156" t="s">
        <v>288</v>
      </c>
      <c r="C3156" t="s">
        <v>3911</v>
      </c>
      <c r="D3156" t="s">
        <v>9684</v>
      </c>
      <c r="E3156">
        <v>6430000</v>
      </c>
    </row>
    <row r="3157" spans="1:5" ht="15" customHeight="1" x14ac:dyDescent="0.3">
      <c r="A3157" t="s">
        <v>10576</v>
      </c>
      <c r="B3157" t="s">
        <v>2498</v>
      </c>
      <c r="C3157" t="s">
        <v>2663</v>
      </c>
      <c r="D3157" t="s">
        <v>10577</v>
      </c>
      <c r="E3157">
        <v>10900000</v>
      </c>
    </row>
    <row r="3158" spans="1:5" ht="15" customHeight="1" x14ac:dyDescent="0.3">
      <c r="A3158" t="s">
        <v>10578</v>
      </c>
      <c r="B3158" t="s">
        <v>2498</v>
      </c>
      <c r="C3158" t="s">
        <v>199</v>
      </c>
      <c r="D3158" t="s">
        <v>10579</v>
      </c>
      <c r="E3158">
        <v>20100000</v>
      </c>
    </row>
    <row r="3159" spans="1:5" ht="15" customHeight="1" x14ac:dyDescent="0.3">
      <c r="A3159" t="s">
        <v>10580</v>
      </c>
      <c r="B3159" t="s">
        <v>2533</v>
      </c>
      <c r="C3159" t="s">
        <v>2582</v>
      </c>
      <c r="D3159" t="s">
        <v>10581</v>
      </c>
      <c r="E3159">
        <v>7500000</v>
      </c>
    </row>
    <row r="3160" spans="1:5" ht="15" customHeight="1" x14ac:dyDescent="0.3">
      <c r="A3160" t="s">
        <v>10582</v>
      </c>
      <c r="B3160" t="s">
        <v>291</v>
      </c>
      <c r="C3160" t="s">
        <v>292</v>
      </c>
      <c r="D3160" t="s">
        <v>10583</v>
      </c>
      <c r="E3160">
        <v>9500000</v>
      </c>
    </row>
    <row r="3161" spans="1:5" ht="15" customHeight="1" x14ac:dyDescent="0.3">
      <c r="A3161" t="s">
        <v>10127</v>
      </c>
      <c r="B3161" t="s">
        <v>288</v>
      </c>
      <c r="C3161" t="s">
        <v>10128</v>
      </c>
      <c r="D3161" t="s">
        <v>2477</v>
      </c>
      <c r="E3161">
        <v>10700000</v>
      </c>
    </row>
    <row r="3162" spans="1:5" ht="15" customHeight="1" x14ac:dyDescent="0.3">
      <c r="A3162" t="s">
        <v>10584</v>
      </c>
      <c r="B3162" t="s">
        <v>2549</v>
      </c>
      <c r="C3162" t="s">
        <v>7601</v>
      </c>
      <c r="D3162" t="s">
        <v>10536</v>
      </c>
      <c r="E3162">
        <v>9600000</v>
      </c>
    </row>
    <row r="3163" spans="1:5" ht="15" customHeight="1" x14ac:dyDescent="0.3">
      <c r="A3163" t="s">
        <v>10585</v>
      </c>
      <c r="B3163" t="s">
        <v>241</v>
      </c>
      <c r="C3163">
        <v>308</v>
      </c>
      <c r="D3163" t="s">
        <v>10586</v>
      </c>
      <c r="E3163">
        <v>7940000</v>
      </c>
    </row>
    <row r="3164" spans="1:5" ht="15" customHeight="1" x14ac:dyDescent="0.3">
      <c r="A3164" t="s">
        <v>10587</v>
      </c>
      <c r="B3164" t="s">
        <v>45</v>
      </c>
      <c r="C3164" t="s">
        <v>46</v>
      </c>
      <c r="D3164" t="s">
        <v>10588</v>
      </c>
      <c r="E3164">
        <v>12300000</v>
      </c>
    </row>
    <row r="3165" spans="1:5" ht="15" customHeight="1" x14ac:dyDescent="0.3">
      <c r="A3165" t="s">
        <v>10129</v>
      </c>
      <c r="B3165" t="s">
        <v>2545</v>
      </c>
      <c r="C3165" t="s">
        <v>2651</v>
      </c>
      <c r="D3165" t="s">
        <v>2477</v>
      </c>
      <c r="E3165">
        <v>33100000</v>
      </c>
    </row>
    <row r="3166" spans="1:5" ht="15" customHeight="1" x14ac:dyDescent="0.3">
      <c r="A3166" t="s">
        <v>10589</v>
      </c>
      <c r="B3166" t="s">
        <v>142</v>
      </c>
      <c r="C3166" t="s">
        <v>145</v>
      </c>
      <c r="D3166" t="s">
        <v>10590</v>
      </c>
      <c r="E3166">
        <v>16900000</v>
      </c>
    </row>
    <row r="3167" spans="1:5" ht="15" customHeight="1" x14ac:dyDescent="0.3">
      <c r="A3167" t="s">
        <v>10591</v>
      </c>
      <c r="B3167" t="s">
        <v>86</v>
      </c>
      <c r="C3167" t="s">
        <v>122</v>
      </c>
      <c r="D3167" t="s">
        <v>10592</v>
      </c>
      <c r="E3167">
        <v>24400000</v>
      </c>
    </row>
    <row r="3168" spans="1:5" ht="15" customHeight="1" x14ac:dyDescent="0.3">
      <c r="A3168" t="s">
        <v>10130</v>
      </c>
      <c r="B3168" t="s">
        <v>180</v>
      </c>
      <c r="C3168" t="s">
        <v>2673</v>
      </c>
      <c r="D3168" t="s">
        <v>2477</v>
      </c>
      <c r="E3168">
        <v>13600000</v>
      </c>
    </row>
    <row r="3169" spans="1:5" ht="15" customHeight="1" x14ac:dyDescent="0.3">
      <c r="A3169" t="s">
        <v>10131</v>
      </c>
      <c r="B3169" t="s">
        <v>180</v>
      </c>
      <c r="C3169" t="s">
        <v>181</v>
      </c>
      <c r="D3169" t="s">
        <v>10132</v>
      </c>
      <c r="E3169">
        <v>29800000</v>
      </c>
    </row>
    <row r="3170" spans="1:5" ht="15" customHeight="1" x14ac:dyDescent="0.3">
      <c r="A3170" t="s">
        <v>10593</v>
      </c>
      <c r="B3170" t="s">
        <v>167</v>
      </c>
      <c r="C3170" t="s">
        <v>10198</v>
      </c>
      <c r="D3170" t="s">
        <v>10594</v>
      </c>
      <c r="E3170">
        <v>12000000</v>
      </c>
    </row>
    <row r="3171" spans="1:5" ht="15" customHeight="1" x14ac:dyDescent="0.3">
      <c r="A3171" t="s">
        <v>10595</v>
      </c>
      <c r="B3171" t="s">
        <v>2533</v>
      </c>
      <c r="C3171">
        <v>3</v>
      </c>
      <c r="D3171" t="s">
        <v>3761</v>
      </c>
      <c r="E3171">
        <v>6720000</v>
      </c>
    </row>
    <row r="3172" spans="1:5" ht="15" customHeight="1" x14ac:dyDescent="0.3">
      <c r="A3172" t="s">
        <v>10596</v>
      </c>
      <c r="B3172" t="s">
        <v>45</v>
      </c>
      <c r="C3172" t="s">
        <v>2764</v>
      </c>
      <c r="D3172" t="s">
        <v>10597</v>
      </c>
      <c r="E3172">
        <v>9600000</v>
      </c>
    </row>
    <row r="3173" spans="1:5" ht="15" customHeight="1" x14ac:dyDescent="0.3">
      <c r="A3173" t="s">
        <v>10598</v>
      </c>
      <c r="B3173" t="s">
        <v>241</v>
      </c>
      <c r="C3173">
        <v>3008</v>
      </c>
      <c r="D3173" t="s">
        <v>256</v>
      </c>
      <c r="E3173">
        <v>14200000</v>
      </c>
    </row>
    <row r="3174" spans="1:5" ht="15" customHeight="1" x14ac:dyDescent="0.3">
      <c r="A3174" t="s">
        <v>10133</v>
      </c>
      <c r="B3174" t="s">
        <v>86</v>
      </c>
      <c r="C3174" t="s">
        <v>2793</v>
      </c>
      <c r="D3174" t="s">
        <v>343</v>
      </c>
      <c r="E3174">
        <v>16400000</v>
      </c>
    </row>
    <row r="3175" spans="1:5" ht="15" customHeight="1" x14ac:dyDescent="0.3">
      <c r="A3175" t="s">
        <v>10599</v>
      </c>
      <c r="B3175" t="s">
        <v>241</v>
      </c>
      <c r="C3175" t="s">
        <v>2501</v>
      </c>
      <c r="D3175" t="s">
        <v>619</v>
      </c>
      <c r="E3175">
        <v>20700000</v>
      </c>
    </row>
    <row r="3176" spans="1:5" ht="15" customHeight="1" x14ac:dyDescent="0.3">
      <c r="A3176" t="s">
        <v>10600</v>
      </c>
      <c r="B3176" t="s">
        <v>278</v>
      </c>
      <c r="C3176" t="s">
        <v>10601</v>
      </c>
      <c r="D3176" t="s">
        <v>10602</v>
      </c>
      <c r="E3176">
        <v>5690000</v>
      </c>
    </row>
    <row r="3177" spans="1:5" ht="15" customHeight="1" x14ac:dyDescent="0.3">
      <c r="A3177" t="s">
        <v>10603</v>
      </c>
      <c r="B3177" t="s">
        <v>207</v>
      </c>
      <c r="C3177" t="s">
        <v>3176</v>
      </c>
      <c r="D3177" t="s">
        <v>10604</v>
      </c>
      <c r="E3177">
        <v>19500000</v>
      </c>
    </row>
    <row r="3178" spans="1:5" ht="15" customHeight="1" x14ac:dyDescent="0.3">
      <c r="A3178" t="s">
        <v>10605</v>
      </c>
      <c r="B3178" t="s">
        <v>237</v>
      </c>
      <c r="C3178" t="s">
        <v>65</v>
      </c>
      <c r="D3178" t="s">
        <v>10237</v>
      </c>
      <c r="E3178">
        <v>15300000</v>
      </c>
    </row>
    <row r="3179" spans="1:5" ht="15" customHeight="1" x14ac:dyDescent="0.3">
      <c r="A3179" t="s">
        <v>10606</v>
      </c>
      <c r="B3179" t="s">
        <v>28</v>
      </c>
      <c r="C3179" t="s">
        <v>2547</v>
      </c>
      <c r="D3179" t="s">
        <v>10607</v>
      </c>
      <c r="E3179">
        <v>10700000</v>
      </c>
    </row>
    <row r="3180" spans="1:5" ht="15" customHeight="1" x14ac:dyDescent="0.3">
      <c r="A3180" t="s">
        <v>10608</v>
      </c>
      <c r="B3180" t="s">
        <v>2498</v>
      </c>
      <c r="C3180" t="s">
        <v>2663</v>
      </c>
      <c r="D3180" t="s">
        <v>10609</v>
      </c>
      <c r="E3180">
        <v>7720000</v>
      </c>
    </row>
    <row r="3181" spans="1:5" ht="15" customHeight="1" x14ac:dyDescent="0.3">
      <c r="A3181" t="s">
        <v>10610</v>
      </c>
      <c r="B3181" t="s">
        <v>288</v>
      </c>
      <c r="C3181" t="s">
        <v>3463</v>
      </c>
      <c r="D3181" t="s">
        <v>10611</v>
      </c>
      <c r="E3181">
        <v>8500000</v>
      </c>
    </row>
    <row r="3182" spans="1:5" ht="15" customHeight="1" x14ac:dyDescent="0.3">
      <c r="A3182" t="s">
        <v>10612</v>
      </c>
      <c r="B3182" t="s">
        <v>220</v>
      </c>
      <c r="C3182" t="s">
        <v>223</v>
      </c>
      <c r="D3182" t="s">
        <v>10613</v>
      </c>
      <c r="E3182">
        <v>14400000</v>
      </c>
    </row>
    <row r="3183" spans="1:5" ht="15" customHeight="1" x14ac:dyDescent="0.3">
      <c r="A3183" t="s">
        <v>10614</v>
      </c>
      <c r="B3183" t="s">
        <v>156</v>
      </c>
      <c r="C3183" t="s">
        <v>2912</v>
      </c>
      <c r="D3183" t="s">
        <v>10615</v>
      </c>
      <c r="E3183">
        <v>11800000</v>
      </c>
    </row>
    <row r="3184" spans="1:5" ht="15" customHeight="1" x14ac:dyDescent="0.3">
      <c r="A3184" t="s">
        <v>10616</v>
      </c>
      <c r="B3184" t="s">
        <v>2545</v>
      </c>
      <c r="C3184" t="s">
        <v>2856</v>
      </c>
      <c r="D3184" t="s">
        <v>10617</v>
      </c>
      <c r="E3184">
        <v>22500000</v>
      </c>
    </row>
    <row r="3185" spans="1:5" ht="15" customHeight="1" x14ac:dyDescent="0.3">
      <c r="A3185" t="s">
        <v>10618</v>
      </c>
      <c r="B3185" t="s">
        <v>86</v>
      </c>
      <c r="C3185" t="s">
        <v>2882</v>
      </c>
      <c r="D3185" t="s">
        <v>2427</v>
      </c>
      <c r="E3185">
        <v>22400000</v>
      </c>
    </row>
    <row r="3186" spans="1:5" ht="15" customHeight="1" x14ac:dyDescent="0.3">
      <c r="A3186" t="s">
        <v>10619</v>
      </c>
      <c r="B3186" t="s">
        <v>167</v>
      </c>
      <c r="C3186" t="s">
        <v>10198</v>
      </c>
      <c r="D3186" t="s">
        <v>10202</v>
      </c>
      <c r="E3186">
        <v>11100000</v>
      </c>
    </row>
    <row r="3187" spans="1:5" ht="15" customHeight="1" x14ac:dyDescent="0.3">
      <c r="A3187" t="s">
        <v>10620</v>
      </c>
      <c r="B3187" t="s">
        <v>45</v>
      </c>
      <c r="C3187" t="s">
        <v>57</v>
      </c>
      <c r="D3187" t="s">
        <v>3790</v>
      </c>
      <c r="E3187">
        <v>5900000</v>
      </c>
    </row>
    <row r="3188" spans="1:5" ht="15" customHeight="1" x14ac:dyDescent="0.3">
      <c r="A3188" t="s">
        <v>10621</v>
      </c>
      <c r="B3188" t="s">
        <v>220</v>
      </c>
      <c r="C3188" t="s">
        <v>3099</v>
      </c>
      <c r="D3188" t="s">
        <v>10622</v>
      </c>
      <c r="E3188">
        <v>10500000</v>
      </c>
    </row>
    <row r="3189" spans="1:5" ht="15" customHeight="1" x14ac:dyDescent="0.3">
      <c r="A3189" t="s">
        <v>10623</v>
      </c>
      <c r="B3189" t="s">
        <v>86</v>
      </c>
      <c r="C3189" t="s">
        <v>106</v>
      </c>
      <c r="D3189" t="s">
        <v>10624</v>
      </c>
      <c r="E3189">
        <v>19300000</v>
      </c>
    </row>
    <row r="3190" spans="1:5" ht="15" customHeight="1" x14ac:dyDescent="0.3">
      <c r="A3190" t="s">
        <v>10625</v>
      </c>
      <c r="B3190" t="s">
        <v>86</v>
      </c>
      <c r="C3190" t="s">
        <v>122</v>
      </c>
      <c r="D3190" t="s">
        <v>10592</v>
      </c>
      <c r="E3190">
        <v>27100000</v>
      </c>
    </row>
    <row r="3191" spans="1:5" ht="15" customHeight="1" x14ac:dyDescent="0.3">
      <c r="A3191" t="s">
        <v>10626</v>
      </c>
      <c r="B3191" t="s">
        <v>167</v>
      </c>
      <c r="C3191" t="s">
        <v>170</v>
      </c>
      <c r="D3191" t="s">
        <v>10627</v>
      </c>
      <c r="E3191">
        <v>10000000</v>
      </c>
    </row>
    <row r="3192" spans="1:5" ht="15" customHeight="1" x14ac:dyDescent="0.3">
      <c r="A3192" t="s">
        <v>10628</v>
      </c>
      <c r="B3192" t="s">
        <v>68</v>
      </c>
      <c r="C3192" t="s">
        <v>10629</v>
      </c>
      <c r="D3192" t="s">
        <v>10630</v>
      </c>
      <c r="E3192">
        <v>11800000</v>
      </c>
    </row>
    <row r="3193" spans="1:5" ht="15" customHeight="1" x14ac:dyDescent="0.3">
      <c r="A3193" t="s">
        <v>10134</v>
      </c>
      <c r="B3193" t="s">
        <v>2549</v>
      </c>
      <c r="C3193" t="s">
        <v>4750</v>
      </c>
      <c r="D3193" t="s">
        <v>9777</v>
      </c>
      <c r="E3193">
        <v>15800000</v>
      </c>
    </row>
    <row r="3194" spans="1:5" ht="15" customHeight="1" x14ac:dyDescent="0.3">
      <c r="A3194" t="s">
        <v>10631</v>
      </c>
      <c r="B3194" t="s">
        <v>2498</v>
      </c>
      <c r="C3194" t="s">
        <v>188</v>
      </c>
      <c r="D3194" t="s">
        <v>10632</v>
      </c>
      <c r="E3194">
        <v>8300000</v>
      </c>
    </row>
    <row r="3195" spans="1:5" ht="15" customHeight="1" x14ac:dyDescent="0.3">
      <c r="A3195" t="s">
        <v>10633</v>
      </c>
      <c r="B3195" t="s">
        <v>311</v>
      </c>
      <c r="C3195" t="s">
        <v>10112</v>
      </c>
      <c r="D3195" t="s">
        <v>10113</v>
      </c>
      <c r="E3195">
        <v>11600000</v>
      </c>
    </row>
    <row r="3196" spans="1:5" ht="15" customHeight="1" x14ac:dyDescent="0.3">
      <c r="A3196" t="s">
        <v>10634</v>
      </c>
      <c r="B3196" t="s">
        <v>45</v>
      </c>
      <c r="C3196" t="s">
        <v>2896</v>
      </c>
      <c r="D3196" t="s">
        <v>3776</v>
      </c>
      <c r="E3196">
        <v>15000000</v>
      </c>
    </row>
    <row r="3197" spans="1:5" ht="15" customHeight="1" x14ac:dyDescent="0.3">
      <c r="A3197" t="s">
        <v>10635</v>
      </c>
      <c r="B3197" t="s">
        <v>241</v>
      </c>
      <c r="C3197">
        <v>5008</v>
      </c>
      <c r="D3197" t="s">
        <v>9927</v>
      </c>
      <c r="E3197">
        <v>15800000</v>
      </c>
    </row>
    <row r="3198" spans="1:5" ht="15" customHeight="1" x14ac:dyDescent="0.3">
      <c r="A3198" t="s">
        <v>10636</v>
      </c>
      <c r="B3198" t="s">
        <v>241</v>
      </c>
      <c r="C3198">
        <v>3008</v>
      </c>
      <c r="D3198" t="s">
        <v>8817</v>
      </c>
      <c r="E3198">
        <v>22900000</v>
      </c>
    </row>
    <row r="3199" spans="1:5" ht="15" customHeight="1" x14ac:dyDescent="0.3">
      <c r="A3199" t="s">
        <v>10637</v>
      </c>
      <c r="B3199" t="s">
        <v>86</v>
      </c>
      <c r="C3199" t="s">
        <v>2793</v>
      </c>
      <c r="D3199" t="s">
        <v>9589</v>
      </c>
      <c r="E3199">
        <v>18000000</v>
      </c>
    </row>
    <row r="3200" spans="1:5" ht="15" customHeight="1" x14ac:dyDescent="0.3">
      <c r="A3200" t="s">
        <v>10638</v>
      </c>
      <c r="B3200" t="s">
        <v>86</v>
      </c>
      <c r="C3200" t="s">
        <v>2793</v>
      </c>
      <c r="D3200" t="s">
        <v>9589</v>
      </c>
      <c r="E3200">
        <v>18000000</v>
      </c>
    </row>
    <row r="3201" spans="1:5" ht="15" customHeight="1" x14ac:dyDescent="0.3">
      <c r="A3201" t="s">
        <v>10639</v>
      </c>
      <c r="B3201" t="s">
        <v>60</v>
      </c>
      <c r="C3201" t="s">
        <v>8859</v>
      </c>
      <c r="D3201" t="s">
        <v>9989</v>
      </c>
      <c r="E3201">
        <v>8000000</v>
      </c>
    </row>
    <row r="3202" spans="1:5" ht="15" customHeight="1" x14ac:dyDescent="0.3">
      <c r="A3202" t="s">
        <v>10640</v>
      </c>
      <c r="B3202" t="s">
        <v>241</v>
      </c>
      <c r="C3202">
        <v>3008</v>
      </c>
      <c r="D3202" t="s">
        <v>3755</v>
      </c>
      <c r="E3202">
        <v>18100000</v>
      </c>
    </row>
    <row r="3203" spans="1:5" ht="15" customHeight="1" x14ac:dyDescent="0.3">
      <c r="A3203" t="s">
        <v>10641</v>
      </c>
      <c r="B3203" t="s">
        <v>142</v>
      </c>
      <c r="C3203" t="s">
        <v>10642</v>
      </c>
      <c r="D3203" t="s">
        <v>10643</v>
      </c>
      <c r="E3203">
        <v>22000000</v>
      </c>
    </row>
    <row r="3204" spans="1:5" ht="15" customHeight="1" x14ac:dyDescent="0.3">
      <c r="A3204" t="s">
        <v>10644</v>
      </c>
      <c r="B3204" t="s">
        <v>28</v>
      </c>
      <c r="C3204" t="s">
        <v>38</v>
      </c>
      <c r="D3204" t="s">
        <v>10645</v>
      </c>
      <c r="E3204">
        <v>12300000</v>
      </c>
    </row>
    <row r="3205" spans="1:5" ht="15" customHeight="1" x14ac:dyDescent="0.3">
      <c r="A3205" t="s">
        <v>10646</v>
      </c>
      <c r="B3205" t="s">
        <v>45</v>
      </c>
      <c r="C3205" t="s">
        <v>49</v>
      </c>
      <c r="D3205" t="s">
        <v>10647</v>
      </c>
      <c r="E3205">
        <v>16900000</v>
      </c>
    </row>
    <row r="3206" spans="1:5" ht="15" customHeight="1" x14ac:dyDescent="0.3">
      <c r="A3206" t="s">
        <v>10648</v>
      </c>
      <c r="B3206" t="s">
        <v>214</v>
      </c>
      <c r="C3206" t="s">
        <v>2560</v>
      </c>
      <c r="D3206" t="s">
        <v>10649</v>
      </c>
      <c r="E3206">
        <v>10000000</v>
      </c>
    </row>
    <row r="3207" spans="1:5" ht="15" customHeight="1" x14ac:dyDescent="0.3">
      <c r="A3207" t="s">
        <v>10650</v>
      </c>
      <c r="B3207" t="s">
        <v>180</v>
      </c>
      <c r="C3207" t="s">
        <v>2673</v>
      </c>
      <c r="D3207" t="s">
        <v>10651</v>
      </c>
      <c r="E3207">
        <v>13100000</v>
      </c>
    </row>
    <row r="3208" spans="1:5" ht="15" customHeight="1" x14ac:dyDescent="0.3">
      <c r="A3208" t="s">
        <v>10652</v>
      </c>
      <c r="B3208" t="s">
        <v>86</v>
      </c>
      <c r="C3208" t="s">
        <v>106</v>
      </c>
      <c r="D3208" t="s">
        <v>1122</v>
      </c>
      <c r="E3208">
        <v>28800000</v>
      </c>
    </row>
    <row r="3209" spans="1:5" ht="15" customHeight="1" x14ac:dyDescent="0.3">
      <c r="A3209" t="s">
        <v>10653</v>
      </c>
      <c r="B3209" t="s">
        <v>180</v>
      </c>
      <c r="C3209" t="s">
        <v>2673</v>
      </c>
      <c r="D3209" t="s">
        <v>10651</v>
      </c>
      <c r="E3209">
        <v>13100000</v>
      </c>
    </row>
    <row r="3210" spans="1:5" ht="15" customHeight="1" x14ac:dyDescent="0.3">
      <c r="A3210" t="s">
        <v>10654</v>
      </c>
      <c r="B3210" t="s">
        <v>306</v>
      </c>
      <c r="C3210" t="s">
        <v>5055</v>
      </c>
      <c r="D3210" t="s">
        <v>10655</v>
      </c>
      <c r="E3210">
        <v>6400000</v>
      </c>
    </row>
    <row r="3211" spans="1:5" ht="15" customHeight="1" x14ac:dyDescent="0.3">
      <c r="A3211" t="s">
        <v>10656</v>
      </c>
      <c r="B3211" t="s">
        <v>241</v>
      </c>
      <c r="C3211" t="s">
        <v>2484</v>
      </c>
      <c r="D3211" t="s">
        <v>8835</v>
      </c>
      <c r="E3211">
        <v>15000000</v>
      </c>
    </row>
    <row r="3212" spans="1:5" ht="15" customHeight="1" x14ac:dyDescent="0.3">
      <c r="A3212" t="s">
        <v>10657</v>
      </c>
      <c r="B3212" t="s">
        <v>28</v>
      </c>
      <c r="C3212" t="s">
        <v>35</v>
      </c>
      <c r="D3212" t="s">
        <v>10109</v>
      </c>
      <c r="E3212">
        <v>10700000</v>
      </c>
    </row>
    <row r="3213" spans="1:5" ht="15" customHeight="1" x14ac:dyDescent="0.3">
      <c r="A3213" t="s">
        <v>10658</v>
      </c>
      <c r="B3213" t="s">
        <v>60</v>
      </c>
      <c r="C3213" t="s">
        <v>2854</v>
      </c>
      <c r="D3213" t="s">
        <v>10244</v>
      </c>
      <c r="E3213">
        <v>14700000</v>
      </c>
    </row>
    <row r="3214" spans="1:5" ht="15" customHeight="1" x14ac:dyDescent="0.3">
      <c r="A3214" t="s">
        <v>10659</v>
      </c>
      <c r="B3214" t="s">
        <v>220</v>
      </c>
      <c r="C3214" t="s">
        <v>2576</v>
      </c>
      <c r="D3214" t="s">
        <v>10660</v>
      </c>
      <c r="E3214">
        <v>23700000</v>
      </c>
    </row>
    <row r="3215" spans="1:5" ht="15" customHeight="1" x14ac:dyDescent="0.3">
      <c r="A3215" t="s">
        <v>10661</v>
      </c>
      <c r="B3215" t="s">
        <v>2950</v>
      </c>
      <c r="C3215" t="s">
        <v>7441</v>
      </c>
      <c r="D3215" t="s">
        <v>10662</v>
      </c>
      <c r="E3215">
        <v>10200000</v>
      </c>
    </row>
    <row r="3216" spans="1:5" ht="15" customHeight="1" x14ac:dyDescent="0.3">
      <c r="A3216" t="s">
        <v>10663</v>
      </c>
      <c r="B3216" t="s">
        <v>2950</v>
      </c>
      <c r="C3216" t="s">
        <v>2951</v>
      </c>
      <c r="D3216" t="s">
        <v>10664</v>
      </c>
      <c r="E3216">
        <v>9500000</v>
      </c>
    </row>
    <row r="3217" spans="1:5" ht="15" customHeight="1" x14ac:dyDescent="0.3">
      <c r="A3217" t="s">
        <v>10665</v>
      </c>
      <c r="B3217" t="s">
        <v>241</v>
      </c>
      <c r="C3217" t="s">
        <v>269</v>
      </c>
      <c r="D3217" t="s">
        <v>10666</v>
      </c>
      <c r="E3217">
        <v>16400000</v>
      </c>
    </row>
    <row r="3218" spans="1:5" ht="15" customHeight="1" x14ac:dyDescent="0.3">
      <c r="A3218" t="s">
        <v>10667</v>
      </c>
      <c r="B3218" t="s">
        <v>10668</v>
      </c>
      <c r="C3218" t="s">
        <v>10669</v>
      </c>
      <c r="D3218" t="s">
        <v>10670</v>
      </c>
      <c r="E3218">
        <v>26200000</v>
      </c>
    </row>
    <row r="3219" spans="1:5" ht="15" customHeight="1" x14ac:dyDescent="0.3">
      <c r="A3219" t="s">
        <v>10671</v>
      </c>
      <c r="B3219" t="s">
        <v>2549</v>
      </c>
      <c r="C3219" t="s">
        <v>10482</v>
      </c>
      <c r="D3219" t="s">
        <v>2021</v>
      </c>
      <c r="E3219">
        <v>11700000</v>
      </c>
    </row>
    <row r="3220" spans="1:5" ht="15" customHeight="1" x14ac:dyDescent="0.3">
      <c r="A3220" t="s">
        <v>10672</v>
      </c>
      <c r="B3220" t="s">
        <v>45</v>
      </c>
      <c r="C3220" t="s">
        <v>2764</v>
      </c>
      <c r="D3220" t="s">
        <v>10673</v>
      </c>
      <c r="E3220">
        <v>10500000</v>
      </c>
    </row>
    <row r="3221" spans="1:5" ht="15" customHeight="1" x14ac:dyDescent="0.3">
      <c r="A3221" t="s">
        <v>10674</v>
      </c>
      <c r="B3221" t="s">
        <v>241</v>
      </c>
      <c r="C3221" t="s">
        <v>2485</v>
      </c>
      <c r="D3221" t="s">
        <v>10675</v>
      </c>
      <c r="E3221">
        <v>9000000</v>
      </c>
    </row>
    <row r="3222" spans="1:5" ht="15" customHeight="1" x14ac:dyDescent="0.3">
      <c r="A3222" t="s">
        <v>10676</v>
      </c>
      <c r="B3222" t="s">
        <v>86</v>
      </c>
      <c r="C3222" t="s">
        <v>122</v>
      </c>
      <c r="D3222" t="s">
        <v>10677</v>
      </c>
      <c r="E3222">
        <v>18400000</v>
      </c>
    </row>
    <row r="3223" spans="1:5" ht="15" customHeight="1" x14ac:dyDescent="0.3">
      <c r="A3223" t="s">
        <v>10678</v>
      </c>
      <c r="B3223" t="s">
        <v>2498</v>
      </c>
      <c r="C3223" t="s">
        <v>2499</v>
      </c>
      <c r="D3223" t="s">
        <v>10679</v>
      </c>
      <c r="E3223">
        <v>9700000</v>
      </c>
    </row>
    <row r="3224" spans="1:5" ht="15" customHeight="1" x14ac:dyDescent="0.3">
      <c r="A3224" t="s">
        <v>10680</v>
      </c>
      <c r="B3224" t="s">
        <v>2608</v>
      </c>
      <c r="C3224" t="s">
        <v>3951</v>
      </c>
      <c r="D3224" t="s">
        <v>1762</v>
      </c>
      <c r="E3224">
        <v>22000000</v>
      </c>
    </row>
    <row r="3225" spans="1:5" ht="15" customHeight="1" x14ac:dyDescent="0.3">
      <c r="A3225" t="s">
        <v>10681</v>
      </c>
      <c r="B3225" t="s">
        <v>180</v>
      </c>
      <c r="C3225" t="s">
        <v>183</v>
      </c>
      <c r="D3225" t="s">
        <v>10682</v>
      </c>
      <c r="E3225">
        <v>25100000</v>
      </c>
    </row>
    <row r="3226" spans="1:5" ht="15" customHeight="1" x14ac:dyDescent="0.3">
      <c r="A3226" t="s">
        <v>10683</v>
      </c>
      <c r="B3226" t="s">
        <v>220</v>
      </c>
      <c r="C3226" t="s">
        <v>223</v>
      </c>
      <c r="D3226" t="s">
        <v>10172</v>
      </c>
      <c r="E3226">
        <v>20000000</v>
      </c>
    </row>
    <row r="3227" spans="1:5" ht="15" customHeight="1" x14ac:dyDescent="0.3">
      <c r="A3227" t="s">
        <v>10684</v>
      </c>
      <c r="B3227" t="s">
        <v>156</v>
      </c>
      <c r="C3227" t="s">
        <v>2868</v>
      </c>
      <c r="D3227" t="s">
        <v>10685</v>
      </c>
      <c r="E3227">
        <v>12600000</v>
      </c>
    </row>
    <row r="3228" spans="1:5" ht="15" customHeight="1" x14ac:dyDescent="0.3">
      <c r="A3228" t="s">
        <v>10686</v>
      </c>
      <c r="B3228" t="s">
        <v>167</v>
      </c>
      <c r="C3228" t="s">
        <v>170</v>
      </c>
      <c r="D3228" t="s">
        <v>9849</v>
      </c>
      <c r="E3228">
        <v>11100000</v>
      </c>
    </row>
    <row r="3229" spans="1:5" ht="15" customHeight="1" x14ac:dyDescent="0.3">
      <c r="A3229" t="s">
        <v>10687</v>
      </c>
      <c r="B3229" t="s">
        <v>28</v>
      </c>
      <c r="C3229" t="s">
        <v>2496</v>
      </c>
      <c r="D3229" t="s">
        <v>10505</v>
      </c>
      <c r="E3229">
        <v>7370000</v>
      </c>
    </row>
    <row r="3230" spans="1:5" ht="15" customHeight="1" x14ac:dyDescent="0.3">
      <c r="A3230" t="s">
        <v>10688</v>
      </c>
      <c r="B3230" t="s">
        <v>147</v>
      </c>
      <c r="C3230" t="s">
        <v>153</v>
      </c>
      <c r="D3230" t="s">
        <v>10689</v>
      </c>
      <c r="E3230">
        <v>11100000</v>
      </c>
    </row>
    <row r="3231" spans="1:5" ht="15" customHeight="1" x14ac:dyDescent="0.3">
      <c r="A3231" t="s">
        <v>10690</v>
      </c>
      <c r="B3231" t="s">
        <v>3218</v>
      </c>
      <c r="C3231" t="s">
        <v>3219</v>
      </c>
      <c r="D3231" t="s">
        <v>10691</v>
      </c>
      <c r="E3231">
        <v>12500000</v>
      </c>
    </row>
    <row r="3232" spans="1:5" ht="15" customHeight="1" x14ac:dyDescent="0.3">
      <c r="A3232" t="s">
        <v>10692</v>
      </c>
      <c r="B3232" t="s">
        <v>300</v>
      </c>
      <c r="C3232" t="s">
        <v>3132</v>
      </c>
      <c r="D3232" t="s">
        <v>10693</v>
      </c>
      <c r="E3232">
        <v>11300000</v>
      </c>
    </row>
    <row r="3233" spans="1:5" ht="15" customHeight="1" x14ac:dyDescent="0.3">
      <c r="A3233" t="s">
        <v>10694</v>
      </c>
      <c r="B3233" t="s">
        <v>180</v>
      </c>
      <c r="C3233" t="s">
        <v>10695</v>
      </c>
      <c r="D3233" t="s">
        <v>10696</v>
      </c>
      <c r="E3233">
        <v>7570000</v>
      </c>
    </row>
    <row r="3234" spans="1:5" ht="15" customHeight="1" x14ac:dyDescent="0.3">
      <c r="A3234" t="s">
        <v>10697</v>
      </c>
      <c r="B3234" t="s">
        <v>45</v>
      </c>
      <c r="C3234" t="s">
        <v>2874</v>
      </c>
      <c r="D3234" t="s">
        <v>10698</v>
      </c>
      <c r="E3234">
        <v>6650000</v>
      </c>
    </row>
    <row r="3235" spans="1:5" ht="15" customHeight="1" x14ac:dyDescent="0.3">
      <c r="A3235" t="s">
        <v>10699</v>
      </c>
      <c r="B3235" t="s">
        <v>278</v>
      </c>
      <c r="C3235">
        <v>700</v>
      </c>
      <c r="D3235" t="s">
        <v>10700</v>
      </c>
      <c r="E3235">
        <v>14900000</v>
      </c>
    </row>
    <row r="3236" spans="1:5" ht="15" customHeight="1" x14ac:dyDescent="0.3">
      <c r="A3236" t="s">
        <v>10701</v>
      </c>
      <c r="B3236" t="s">
        <v>278</v>
      </c>
      <c r="C3236">
        <v>700</v>
      </c>
      <c r="D3236" t="s">
        <v>10702</v>
      </c>
      <c r="E3236">
        <v>11000000</v>
      </c>
    </row>
    <row r="3237" spans="1:5" ht="15" customHeight="1" x14ac:dyDescent="0.3">
      <c r="A3237" t="s">
        <v>10703</v>
      </c>
      <c r="B3237" t="s">
        <v>278</v>
      </c>
      <c r="C3237">
        <v>700</v>
      </c>
      <c r="D3237" t="s">
        <v>10702</v>
      </c>
      <c r="E3237">
        <v>11000000</v>
      </c>
    </row>
    <row r="3238" spans="1:5" ht="15" customHeight="1" x14ac:dyDescent="0.3">
      <c r="A3238" t="s">
        <v>10704</v>
      </c>
      <c r="B3238" t="s">
        <v>291</v>
      </c>
      <c r="C3238" t="s">
        <v>3161</v>
      </c>
      <c r="D3238" t="s">
        <v>10705</v>
      </c>
      <c r="E3238">
        <v>24600000</v>
      </c>
    </row>
    <row r="3239" spans="1:5" ht="15" customHeight="1" x14ac:dyDescent="0.3">
      <c r="A3239" t="s">
        <v>10706</v>
      </c>
      <c r="B3239" t="s">
        <v>156</v>
      </c>
      <c r="C3239" t="s">
        <v>3072</v>
      </c>
      <c r="D3239" t="s">
        <v>10707</v>
      </c>
      <c r="E3239">
        <v>9800000</v>
      </c>
    </row>
    <row r="3240" spans="1:5" ht="15" customHeight="1" x14ac:dyDescent="0.3">
      <c r="A3240" t="s">
        <v>10708</v>
      </c>
      <c r="B3240" t="s">
        <v>241</v>
      </c>
      <c r="C3240">
        <v>3008</v>
      </c>
      <c r="D3240" t="s">
        <v>10709</v>
      </c>
      <c r="E3240">
        <v>15300000</v>
      </c>
    </row>
    <row r="3241" spans="1:5" ht="15" customHeight="1" x14ac:dyDescent="0.3">
      <c r="A3241" t="s">
        <v>10710</v>
      </c>
      <c r="B3241" t="s">
        <v>28</v>
      </c>
      <c r="C3241" t="s">
        <v>2496</v>
      </c>
      <c r="D3241" t="s">
        <v>10711</v>
      </c>
      <c r="E3241">
        <v>6590000</v>
      </c>
    </row>
    <row r="3242" spans="1:5" ht="15" customHeight="1" x14ac:dyDescent="0.3">
      <c r="A3242" t="s">
        <v>10712</v>
      </c>
      <c r="B3242" t="s">
        <v>167</v>
      </c>
      <c r="C3242" t="s">
        <v>170</v>
      </c>
      <c r="D3242" t="s">
        <v>10713</v>
      </c>
      <c r="E3242">
        <v>11300000</v>
      </c>
    </row>
    <row r="3243" spans="1:5" ht="15" customHeight="1" x14ac:dyDescent="0.3">
      <c r="A3243" t="s">
        <v>10714</v>
      </c>
      <c r="B3243" t="s">
        <v>9744</v>
      </c>
      <c r="C3243" t="s">
        <v>9745</v>
      </c>
      <c r="D3243" t="s">
        <v>9746</v>
      </c>
      <c r="E3243">
        <v>18100000</v>
      </c>
    </row>
    <row r="3244" spans="1:5" ht="15" customHeight="1" x14ac:dyDescent="0.3">
      <c r="A3244" t="s">
        <v>10715</v>
      </c>
      <c r="B3244" t="s">
        <v>241</v>
      </c>
      <c r="C3244">
        <v>3008</v>
      </c>
      <c r="D3244" t="s">
        <v>8817</v>
      </c>
      <c r="E3244">
        <v>23000000</v>
      </c>
    </row>
    <row r="3245" spans="1:5" ht="15" customHeight="1" x14ac:dyDescent="0.3">
      <c r="A3245" t="s">
        <v>10716</v>
      </c>
      <c r="B3245" t="s">
        <v>3218</v>
      </c>
      <c r="C3245" t="s">
        <v>3219</v>
      </c>
      <c r="D3245" t="s">
        <v>10691</v>
      </c>
      <c r="E3245">
        <v>12500000</v>
      </c>
    </row>
    <row r="3246" spans="1:5" ht="15" customHeight="1" x14ac:dyDescent="0.3">
      <c r="A3246" t="s">
        <v>10717</v>
      </c>
      <c r="B3246" t="s">
        <v>68</v>
      </c>
      <c r="C3246">
        <v>560</v>
      </c>
      <c r="D3246" t="s">
        <v>10718</v>
      </c>
      <c r="E3246">
        <v>8100000</v>
      </c>
    </row>
    <row r="3247" spans="1:5" ht="15" customHeight="1" x14ac:dyDescent="0.3">
      <c r="A3247" t="s">
        <v>10719</v>
      </c>
      <c r="B3247" t="s">
        <v>147</v>
      </c>
      <c r="C3247" t="s">
        <v>10720</v>
      </c>
      <c r="D3247" t="s">
        <v>10721</v>
      </c>
      <c r="E3247">
        <v>14300000</v>
      </c>
    </row>
    <row r="3248" spans="1:5" ht="15" customHeight="1" x14ac:dyDescent="0.3">
      <c r="A3248" t="s">
        <v>10722</v>
      </c>
      <c r="B3248" t="s">
        <v>300</v>
      </c>
      <c r="C3248" t="s">
        <v>2735</v>
      </c>
      <c r="D3248" t="s">
        <v>10723</v>
      </c>
      <c r="E3248">
        <v>7070000</v>
      </c>
    </row>
    <row r="3249" spans="1:5" ht="15" customHeight="1" x14ac:dyDescent="0.3">
      <c r="A3249" t="s">
        <v>10724</v>
      </c>
      <c r="B3249" t="s">
        <v>2549</v>
      </c>
      <c r="C3249" t="s">
        <v>2550</v>
      </c>
      <c r="D3249" t="s">
        <v>10725</v>
      </c>
      <c r="E3249">
        <v>14400000</v>
      </c>
    </row>
    <row r="3250" spans="1:5" ht="15" customHeight="1" x14ac:dyDescent="0.3">
      <c r="A3250" t="s">
        <v>10726</v>
      </c>
      <c r="B3250" t="s">
        <v>207</v>
      </c>
      <c r="C3250" t="s">
        <v>208</v>
      </c>
      <c r="D3250" t="s">
        <v>10727</v>
      </c>
      <c r="E3250">
        <v>16800000</v>
      </c>
    </row>
    <row r="3251" spans="1:5" ht="15" customHeight="1" x14ac:dyDescent="0.3">
      <c r="A3251" t="s">
        <v>10728</v>
      </c>
      <c r="B3251" t="s">
        <v>2549</v>
      </c>
      <c r="C3251" t="s">
        <v>3041</v>
      </c>
      <c r="D3251" t="s">
        <v>3251</v>
      </c>
      <c r="E3251">
        <v>12000000</v>
      </c>
    </row>
    <row r="3252" spans="1:5" ht="15" customHeight="1" x14ac:dyDescent="0.3">
      <c r="A3252" t="s">
        <v>10729</v>
      </c>
      <c r="B3252" t="s">
        <v>2498</v>
      </c>
      <c r="C3252" t="s">
        <v>2499</v>
      </c>
      <c r="D3252" t="s">
        <v>10730</v>
      </c>
      <c r="E3252">
        <v>8900000</v>
      </c>
    </row>
    <row r="3253" spans="1:5" ht="15" customHeight="1" x14ac:dyDescent="0.3">
      <c r="A3253" t="s">
        <v>10731</v>
      </c>
      <c r="B3253" t="s">
        <v>156</v>
      </c>
      <c r="C3253" t="s">
        <v>3072</v>
      </c>
      <c r="D3253" t="s">
        <v>10732</v>
      </c>
      <c r="E3253">
        <v>7440000</v>
      </c>
    </row>
    <row r="3254" spans="1:5" ht="15" customHeight="1" x14ac:dyDescent="0.3">
      <c r="A3254" t="s">
        <v>10733</v>
      </c>
      <c r="B3254" t="s">
        <v>14</v>
      </c>
      <c r="C3254" t="s">
        <v>2508</v>
      </c>
      <c r="D3254" t="s">
        <v>10734</v>
      </c>
      <c r="E3254">
        <v>12100000</v>
      </c>
    </row>
    <row r="3255" spans="1:5" ht="15" customHeight="1" x14ac:dyDescent="0.3">
      <c r="A3255" t="s">
        <v>10735</v>
      </c>
      <c r="B3255" t="s">
        <v>241</v>
      </c>
      <c r="C3255" t="s">
        <v>2501</v>
      </c>
      <c r="D3255" t="s">
        <v>1500</v>
      </c>
      <c r="E3255">
        <v>16800000</v>
      </c>
    </row>
    <row r="3256" spans="1:5" ht="15" customHeight="1" x14ac:dyDescent="0.3">
      <c r="A3256" t="s">
        <v>10736</v>
      </c>
      <c r="B3256" t="s">
        <v>241</v>
      </c>
      <c r="C3256">
        <v>208</v>
      </c>
      <c r="D3256" t="s">
        <v>10737</v>
      </c>
      <c r="E3256">
        <v>9200000</v>
      </c>
    </row>
    <row r="3257" spans="1:5" ht="15" customHeight="1" x14ac:dyDescent="0.3">
      <c r="A3257" t="s">
        <v>10738</v>
      </c>
      <c r="B3257" t="s">
        <v>3218</v>
      </c>
      <c r="C3257" t="s">
        <v>3219</v>
      </c>
      <c r="D3257" t="s">
        <v>10691</v>
      </c>
      <c r="E3257">
        <v>12500000</v>
      </c>
    </row>
    <row r="3258" spans="1:5" ht="15" customHeight="1" x14ac:dyDescent="0.3">
      <c r="A3258" t="s">
        <v>10739</v>
      </c>
      <c r="B3258" t="s">
        <v>2498</v>
      </c>
      <c r="C3258" t="s">
        <v>10740</v>
      </c>
      <c r="D3258" t="s">
        <v>10741</v>
      </c>
      <c r="E3258">
        <v>40900000</v>
      </c>
    </row>
    <row r="3259" spans="1:5" ht="15" customHeight="1" x14ac:dyDescent="0.3">
      <c r="A3259" t="s">
        <v>10742</v>
      </c>
      <c r="B3259" t="s">
        <v>306</v>
      </c>
      <c r="C3259" t="s">
        <v>309</v>
      </c>
      <c r="D3259" t="s">
        <v>10743</v>
      </c>
      <c r="E3259">
        <v>11600000</v>
      </c>
    </row>
    <row r="3260" spans="1:5" ht="15" customHeight="1" x14ac:dyDescent="0.3">
      <c r="A3260" t="s">
        <v>10744</v>
      </c>
      <c r="B3260" t="s">
        <v>2549</v>
      </c>
      <c r="C3260" t="s">
        <v>3041</v>
      </c>
      <c r="D3260" t="s">
        <v>3251</v>
      </c>
      <c r="E3260">
        <v>12000000</v>
      </c>
    </row>
    <row r="3261" spans="1:5" ht="15" customHeight="1" x14ac:dyDescent="0.3">
      <c r="A3261" t="s">
        <v>10745</v>
      </c>
      <c r="B3261" t="s">
        <v>86</v>
      </c>
      <c r="C3261" t="s">
        <v>122</v>
      </c>
      <c r="D3261" t="s">
        <v>9711</v>
      </c>
      <c r="E3261">
        <v>21500000</v>
      </c>
    </row>
    <row r="3262" spans="1:5" ht="15" customHeight="1" x14ac:dyDescent="0.3">
      <c r="A3262" t="s">
        <v>10746</v>
      </c>
      <c r="B3262" t="s">
        <v>2545</v>
      </c>
      <c r="C3262" t="s">
        <v>3431</v>
      </c>
      <c r="D3262" t="s">
        <v>10747</v>
      </c>
      <c r="E3262">
        <v>14200000</v>
      </c>
    </row>
    <row r="3263" spans="1:5" ht="15" customHeight="1" x14ac:dyDescent="0.3">
      <c r="A3263" t="s">
        <v>10748</v>
      </c>
      <c r="B3263" t="s">
        <v>3218</v>
      </c>
      <c r="C3263" t="s">
        <v>3219</v>
      </c>
      <c r="D3263" t="s">
        <v>10691</v>
      </c>
      <c r="E3263">
        <v>12500000</v>
      </c>
    </row>
    <row r="3264" spans="1:5" ht="15" customHeight="1" x14ac:dyDescent="0.3">
      <c r="A3264" t="s">
        <v>10749</v>
      </c>
      <c r="B3264" t="s">
        <v>241</v>
      </c>
      <c r="C3264">
        <v>3008</v>
      </c>
      <c r="D3264" t="s">
        <v>3755</v>
      </c>
      <c r="E3264">
        <v>18100000</v>
      </c>
    </row>
    <row r="3265" spans="1:5" ht="15" customHeight="1" x14ac:dyDescent="0.3">
      <c r="A3265" t="s">
        <v>10750</v>
      </c>
      <c r="B3265" t="s">
        <v>45</v>
      </c>
      <c r="C3265" t="s">
        <v>46</v>
      </c>
      <c r="D3265" t="s">
        <v>7935</v>
      </c>
      <c r="E3265">
        <v>12800000</v>
      </c>
    </row>
    <row r="3266" spans="1:5" ht="15" customHeight="1" x14ac:dyDescent="0.3">
      <c r="A3266" t="s">
        <v>10751</v>
      </c>
      <c r="B3266" t="s">
        <v>2498</v>
      </c>
      <c r="C3266" t="s">
        <v>3195</v>
      </c>
      <c r="D3266" t="s">
        <v>10752</v>
      </c>
      <c r="E3266">
        <v>15400000</v>
      </c>
    </row>
    <row r="3267" spans="1:5" ht="15" customHeight="1" x14ac:dyDescent="0.3">
      <c r="A3267" t="s">
        <v>10753</v>
      </c>
      <c r="B3267" t="s">
        <v>86</v>
      </c>
      <c r="C3267" t="s">
        <v>2976</v>
      </c>
      <c r="D3267" t="s">
        <v>10754</v>
      </c>
      <c r="E3267">
        <v>15900000</v>
      </c>
    </row>
    <row r="3268" spans="1:5" ht="15" customHeight="1" x14ac:dyDescent="0.3">
      <c r="A3268" t="s">
        <v>10755</v>
      </c>
      <c r="B3268" t="s">
        <v>291</v>
      </c>
      <c r="C3268" t="s">
        <v>3161</v>
      </c>
      <c r="D3268" t="s">
        <v>3864</v>
      </c>
      <c r="E3268">
        <v>21400000</v>
      </c>
    </row>
    <row r="3269" spans="1:5" ht="15" customHeight="1" x14ac:dyDescent="0.3">
      <c r="A3269" t="s">
        <v>10756</v>
      </c>
      <c r="B3269" t="s">
        <v>2545</v>
      </c>
      <c r="C3269" t="s">
        <v>2651</v>
      </c>
      <c r="D3269" t="s">
        <v>10757</v>
      </c>
      <c r="E3269">
        <v>24600000</v>
      </c>
    </row>
    <row r="3270" spans="1:5" ht="15" customHeight="1" x14ac:dyDescent="0.3">
      <c r="A3270" t="s">
        <v>10758</v>
      </c>
      <c r="B3270" t="s">
        <v>3218</v>
      </c>
      <c r="C3270" t="s">
        <v>3219</v>
      </c>
      <c r="D3270" t="s">
        <v>10759</v>
      </c>
      <c r="E3270">
        <v>11900000</v>
      </c>
    </row>
    <row r="3271" spans="1:5" ht="15" customHeight="1" x14ac:dyDescent="0.3">
      <c r="A3271" t="s">
        <v>10760</v>
      </c>
      <c r="B3271" t="s">
        <v>86</v>
      </c>
      <c r="C3271" t="s">
        <v>2793</v>
      </c>
      <c r="D3271" t="s">
        <v>3641</v>
      </c>
      <c r="E3271">
        <v>17800000</v>
      </c>
    </row>
    <row r="3272" spans="1:5" ht="15" customHeight="1" x14ac:dyDescent="0.3">
      <c r="A3272" t="s">
        <v>10761</v>
      </c>
      <c r="B3272" t="s">
        <v>2498</v>
      </c>
      <c r="C3272" t="s">
        <v>188</v>
      </c>
      <c r="D3272" t="s">
        <v>10762</v>
      </c>
      <c r="E3272">
        <v>7530000</v>
      </c>
    </row>
    <row r="3273" spans="1:5" ht="15" customHeight="1" x14ac:dyDescent="0.3">
      <c r="A3273" t="s">
        <v>10763</v>
      </c>
      <c r="B3273" t="s">
        <v>300</v>
      </c>
      <c r="C3273" t="s">
        <v>2930</v>
      </c>
      <c r="D3273" t="s">
        <v>10764</v>
      </c>
      <c r="E3273">
        <v>15400000</v>
      </c>
    </row>
    <row r="3274" spans="1:5" ht="15" customHeight="1" x14ac:dyDescent="0.3">
      <c r="A3274" t="s">
        <v>10765</v>
      </c>
      <c r="B3274" t="s">
        <v>300</v>
      </c>
      <c r="C3274" t="s">
        <v>2930</v>
      </c>
      <c r="D3274" t="s">
        <v>10764</v>
      </c>
      <c r="E3274">
        <v>15400000</v>
      </c>
    </row>
    <row r="3275" spans="1:5" ht="15" customHeight="1" x14ac:dyDescent="0.3">
      <c r="A3275" t="s">
        <v>10766</v>
      </c>
      <c r="B3275" t="s">
        <v>156</v>
      </c>
      <c r="C3275" t="s">
        <v>3334</v>
      </c>
      <c r="D3275" t="s">
        <v>10767</v>
      </c>
      <c r="E3275">
        <v>8700000</v>
      </c>
    </row>
    <row r="3276" spans="1:5" ht="15" customHeight="1" x14ac:dyDescent="0.3">
      <c r="A3276" t="s">
        <v>10768</v>
      </c>
      <c r="B3276" t="s">
        <v>220</v>
      </c>
      <c r="C3276" t="s">
        <v>231</v>
      </c>
      <c r="D3276" t="s">
        <v>10769</v>
      </c>
      <c r="E3276">
        <v>9400000</v>
      </c>
    </row>
    <row r="3277" spans="1:5" ht="15" customHeight="1" x14ac:dyDescent="0.3">
      <c r="A3277" t="s">
        <v>10770</v>
      </c>
      <c r="B3277" t="s">
        <v>241</v>
      </c>
      <c r="C3277">
        <v>3008</v>
      </c>
      <c r="D3277" t="s">
        <v>10771</v>
      </c>
      <c r="E3277">
        <v>13700000</v>
      </c>
    </row>
    <row r="3278" spans="1:5" ht="15" customHeight="1" x14ac:dyDescent="0.3">
      <c r="A3278" t="s">
        <v>10287</v>
      </c>
      <c r="B3278" t="s">
        <v>14</v>
      </c>
      <c r="C3278" t="s">
        <v>8192</v>
      </c>
      <c r="D3278" t="s">
        <v>8196</v>
      </c>
      <c r="E3278">
        <v>20000000</v>
      </c>
    </row>
    <row r="3279" spans="1:5" ht="15" customHeight="1" x14ac:dyDescent="0.3">
      <c r="A3279" t="s">
        <v>10772</v>
      </c>
      <c r="B3279" t="s">
        <v>180</v>
      </c>
      <c r="C3279" t="s">
        <v>183</v>
      </c>
      <c r="D3279" t="s">
        <v>10773</v>
      </c>
      <c r="E3279">
        <v>21100000</v>
      </c>
    </row>
    <row r="3280" spans="1:5" ht="15" customHeight="1" x14ac:dyDescent="0.3">
      <c r="A3280" t="s">
        <v>10774</v>
      </c>
      <c r="B3280" t="s">
        <v>241</v>
      </c>
      <c r="C3280" t="s">
        <v>2484</v>
      </c>
      <c r="D3280" t="s">
        <v>1677</v>
      </c>
      <c r="E3280">
        <v>12000000</v>
      </c>
    </row>
    <row r="3281" spans="1:5" ht="15" customHeight="1" x14ac:dyDescent="0.3">
      <c r="A3281" t="s">
        <v>10775</v>
      </c>
      <c r="B3281" t="s">
        <v>214</v>
      </c>
      <c r="C3281" t="s">
        <v>2675</v>
      </c>
      <c r="D3281" t="s">
        <v>10776</v>
      </c>
      <c r="E3281">
        <v>17300000</v>
      </c>
    </row>
    <row r="3282" spans="1:5" ht="15" customHeight="1" x14ac:dyDescent="0.3">
      <c r="A3282" t="s">
        <v>10777</v>
      </c>
      <c r="B3282" t="s">
        <v>2665</v>
      </c>
      <c r="C3282" t="s">
        <v>10778</v>
      </c>
      <c r="D3282" t="s">
        <v>10779</v>
      </c>
      <c r="E3282">
        <v>27800000</v>
      </c>
    </row>
    <row r="3283" spans="1:5" ht="15" customHeight="1" x14ac:dyDescent="0.3">
      <c r="A3283" t="s">
        <v>10780</v>
      </c>
      <c r="B3283" t="s">
        <v>2498</v>
      </c>
      <c r="C3283" t="s">
        <v>2499</v>
      </c>
      <c r="D3283" t="s">
        <v>829</v>
      </c>
      <c r="E3283">
        <v>8000000</v>
      </c>
    </row>
    <row r="3284" spans="1:5" ht="15" customHeight="1" x14ac:dyDescent="0.3">
      <c r="A3284" t="s">
        <v>10781</v>
      </c>
      <c r="B3284" t="s">
        <v>86</v>
      </c>
      <c r="C3284" t="s">
        <v>134</v>
      </c>
      <c r="D3284" t="s">
        <v>3587</v>
      </c>
      <c r="E3284">
        <v>13300000</v>
      </c>
    </row>
    <row r="3285" spans="1:5" ht="15" customHeight="1" x14ac:dyDescent="0.3">
      <c r="A3285" t="s">
        <v>10288</v>
      </c>
      <c r="B3285" t="s">
        <v>14</v>
      </c>
      <c r="C3285" t="s">
        <v>10289</v>
      </c>
      <c r="D3285" t="s">
        <v>10290</v>
      </c>
      <c r="E3285">
        <v>43800000</v>
      </c>
    </row>
    <row r="3286" spans="1:5" ht="15" customHeight="1" x14ac:dyDescent="0.3">
      <c r="A3286" t="s">
        <v>10782</v>
      </c>
      <c r="B3286" t="s">
        <v>306</v>
      </c>
      <c r="C3286" t="s">
        <v>2862</v>
      </c>
      <c r="D3286" t="s">
        <v>10783</v>
      </c>
      <c r="E3286">
        <v>18200000</v>
      </c>
    </row>
    <row r="3287" spans="1:5" ht="15" customHeight="1" x14ac:dyDescent="0.3">
      <c r="A3287" t="s">
        <v>10291</v>
      </c>
      <c r="B3287" t="s">
        <v>14</v>
      </c>
      <c r="C3287" t="s">
        <v>10292</v>
      </c>
      <c r="D3287" t="s">
        <v>10293</v>
      </c>
      <c r="E3287">
        <v>21800000</v>
      </c>
    </row>
    <row r="3288" spans="1:5" ht="15" customHeight="1" x14ac:dyDescent="0.3">
      <c r="A3288" t="s">
        <v>10784</v>
      </c>
      <c r="B3288" t="s">
        <v>86</v>
      </c>
      <c r="C3288" t="s">
        <v>2976</v>
      </c>
      <c r="D3288" t="s">
        <v>10785</v>
      </c>
      <c r="E3288">
        <v>14700000</v>
      </c>
    </row>
    <row r="3289" spans="1:5" ht="15" customHeight="1" x14ac:dyDescent="0.3">
      <c r="A3289" t="s">
        <v>10786</v>
      </c>
      <c r="B3289" t="s">
        <v>2498</v>
      </c>
      <c r="C3289" t="s">
        <v>3290</v>
      </c>
      <c r="D3289" t="s">
        <v>10787</v>
      </c>
      <c r="E3289">
        <v>9800000</v>
      </c>
    </row>
    <row r="3290" spans="1:5" ht="15" customHeight="1" x14ac:dyDescent="0.3">
      <c r="A3290" t="s">
        <v>10788</v>
      </c>
      <c r="B3290" t="s">
        <v>86</v>
      </c>
      <c r="C3290" t="s">
        <v>2793</v>
      </c>
      <c r="D3290" t="s">
        <v>10789</v>
      </c>
      <c r="E3290">
        <v>18800000</v>
      </c>
    </row>
    <row r="3291" spans="1:5" ht="15" customHeight="1" x14ac:dyDescent="0.3">
      <c r="A3291" t="s">
        <v>10790</v>
      </c>
      <c r="B3291" t="s">
        <v>2498</v>
      </c>
      <c r="C3291" t="s">
        <v>188</v>
      </c>
      <c r="D3291" t="s">
        <v>10791</v>
      </c>
      <c r="E3291">
        <v>4320000</v>
      </c>
    </row>
    <row r="3292" spans="1:5" ht="15" customHeight="1" x14ac:dyDescent="0.3">
      <c r="A3292" t="s">
        <v>10294</v>
      </c>
      <c r="B3292" t="s">
        <v>241</v>
      </c>
      <c r="C3292" t="s">
        <v>2584</v>
      </c>
      <c r="D3292" t="s">
        <v>2477</v>
      </c>
      <c r="E3292">
        <v>20400000</v>
      </c>
    </row>
    <row r="3293" spans="1:5" ht="15" customHeight="1" x14ac:dyDescent="0.3">
      <c r="A3293" t="s">
        <v>10792</v>
      </c>
      <c r="B3293" t="s">
        <v>278</v>
      </c>
      <c r="C3293" t="s">
        <v>2530</v>
      </c>
      <c r="D3293" t="s">
        <v>10793</v>
      </c>
      <c r="E3293">
        <v>31400000</v>
      </c>
    </row>
    <row r="3294" spans="1:5" ht="15" customHeight="1" x14ac:dyDescent="0.3">
      <c r="A3294" t="s">
        <v>10794</v>
      </c>
      <c r="B3294" t="s">
        <v>2498</v>
      </c>
      <c r="C3294" t="s">
        <v>2563</v>
      </c>
      <c r="D3294" t="s">
        <v>10795</v>
      </c>
      <c r="E3294">
        <v>13200000</v>
      </c>
    </row>
    <row r="3295" spans="1:5" ht="15" customHeight="1" x14ac:dyDescent="0.3">
      <c r="A3295" t="s">
        <v>10796</v>
      </c>
      <c r="B3295" t="s">
        <v>86</v>
      </c>
      <c r="C3295" t="s">
        <v>134</v>
      </c>
      <c r="D3295" t="s">
        <v>10797</v>
      </c>
      <c r="E3295">
        <v>13200000</v>
      </c>
    </row>
    <row r="3296" spans="1:5" ht="15" customHeight="1" x14ac:dyDescent="0.3">
      <c r="A3296" t="s">
        <v>10798</v>
      </c>
      <c r="B3296" t="s">
        <v>241</v>
      </c>
      <c r="C3296">
        <v>3008</v>
      </c>
      <c r="D3296" t="s">
        <v>10799</v>
      </c>
      <c r="E3296">
        <v>18700000</v>
      </c>
    </row>
    <row r="3297" spans="1:5" ht="15" customHeight="1" x14ac:dyDescent="0.3">
      <c r="A3297" t="s">
        <v>10800</v>
      </c>
      <c r="B3297" t="s">
        <v>2474</v>
      </c>
      <c r="C3297" t="s">
        <v>10296</v>
      </c>
      <c r="D3297" t="s">
        <v>10297</v>
      </c>
      <c r="E3297">
        <v>21300000</v>
      </c>
    </row>
    <row r="3298" spans="1:5" ht="15" customHeight="1" x14ac:dyDescent="0.3">
      <c r="A3298" t="s">
        <v>10801</v>
      </c>
      <c r="B3298" t="s">
        <v>14</v>
      </c>
      <c r="C3298" t="s">
        <v>10802</v>
      </c>
      <c r="D3298" t="s">
        <v>10803</v>
      </c>
      <c r="E3298">
        <v>19500000</v>
      </c>
    </row>
    <row r="3299" spans="1:5" ht="15" customHeight="1" x14ac:dyDescent="0.3">
      <c r="A3299" t="s">
        <v>10804</v>
      </c>
      <c r="B3299" t="s">
        <v>60</v>
      </c>
      <c r="C3299" t="s">
        <v>3200</v>
      </c>
      <c r="D3299" t="s">
        <v>7917</v>
      </c>
      <c r="E3299">
        <v>9200000</v>
      </c>
    </row>
    <row r="3300" spans="1:5" ht="15" customHeight="1" x14ac:dyDescent="0.3">
      <c r="A3300" t="s">
        <v>10805</v>
      </c>
      <c r="B3300" t="s">
        <v>45</v>
      </c>
      <c r="C3300" t="s">
        <v>3807</v>
      </c>
      <c r="D3300" t="s">
        <v>10806</v>
      </c>
      <c r="E3300">
        <v>21300000</v>
      </c>
    </row>
    <row r="3301" spans="1:5" ht="15" customHeight="1" x14ac:dyDescent="0.3">
      <c r="A3301" t="s">
        <v>10807</v>
      </c>
      <c r="B3301" t="s">
        <v>288</v>
      </c>
      <c r="C3301" t="s">
        <v>2835</v>
      </c>
      <c r="D3301" t="s">
        <v>10808</v>
      </c>
      <c r="E3301">
        <v>7980000</v>
      </c>
    </row>
    <row r="3302" spans="1:5" ht="15" customHeight="1" x14ac:dyDescent="0.3">
      <c r="A3302" t="s">
        <v>10809</v>
      </c>
      <c r="B3302" t="s">
        <v>2498</v>
      </c>
      <c r="C3302" t="s">
        <v>2499</v>
      </c>
      <c r="D3302" t="s">
        <v>10810</v>
      </c>
      <c r="E3302">
        <v>8100000</v>
      </c>
    </row>
    <row r="3303" spans="1:5" ht="15" customHeight="1" x14ac:dyDescent="0.3">
      <c r="A3303" t="s">
        <v>10811</v>
      </c>
      <c r="B3303" t="s">
        <v>220</v>
      </c>
      <c r="C3303" t="s">
        <v>223</v>
      </c>
      <c r="D3303" t="s">
        <v>10172</v>
      </c>
      <c r="E3303">
        <v>20000000</v>
      </c>
    </row>
    <row r="3304" spans="1:5" ht="15" customHeight="1" x14ac:dyDescent="0.3">
      <c r="A3304" t="s">
        <v>10812</v>
      </c>
      <c r="B3304" t="s">
        <v>220</v>
      </c>
      <c r="C3304" t="s">
        <v>223</v>
      </c>
      <c r="D3304" t="s">
        <v>10172</v>
      </c>
      <c r="E3304">
        <v>20000000</v>
      </c>
    </row>
    <row r="3305" spans="1:5" ht="15" customHeight="1" x14ac:dyDescent="0.3">
      <c r="A3305" t="s">
        <v>10813</v>
      </c>
      <c r="B3305" t="s">
        <v>2526</v>
      </c>
      <c r="C3305" t="s">
        <v>3850</v>
      </c>
      <c r="D3305" t="s">
        <v>10814</v>
      </c>
      <c r="E3305">
        <v>14200000</v>
      </c>
    </row>
    <row r="3306" spans="1:5" ht="15" customHeight="1" x14ac:dyDescent="0.3">
      <c r="A3306" t="s">
        <v>10295</v>
      </c>
      <c r="B3306" t="s">
        <v>2474</v>
      </c>
      <c r="C3306" t="s">
        <v>10296</v>
      </c>
      <c r="D3306" t="s">
        <v>10297</v>
      </c>
      <c r="E3306">
        <v>21300000</v>
      </c>
    </row>
    <row r="3307" spans="1:5" ht="15" customHeight="1" x14ac:dyDescent="0.3">
      <c r="A3307" t="s">
        <v>10815</v>
      </c>
      <c r="B3307" t="s">
        <v>2498</v>
      </c>
      <c r="C3307" t="s">
        <v>3206</v>
      </c>
      <c r="D3307" t="s">
        <v>10816</v>
      </c>
      <c r="E3307">
        <v>9300000</v>
      </c>
    </row>
    <row r="3308" spans="1:5" ht="15" customHeight="1" x14ac:dyDescent="0.3">
      <c r="A3308" t="s">
        <v>10817</v>
      </c>
      <c r="B3308" t="s">
        <v>241</v>
      </c>
      <c r="C3308">
        <v>3008</v>
      </c>
      <c r="D3308" t="s">
        <v>10709</v>
      </c>
      <c r="E3308">
        <v>16300000</v>
      </c>
    </row>
    <row r="3309" spans="1:5" ht="15" customHeight="1" x14ac:dyDescent="0.3">
      <c r="A3309" t="s">
        <v>10818</v>
      </c>
      <c r="B3309" t="s">
        <v>86</v>
      </c>
      <c r="C3309" t="s">
        <v>2507</v>
      </c>
      <c r="D3309" t="s">
        <v>10819</v>
      </c>
      <c r="E3309">
        <v>28000000</v>
      </c>
    </row>
    <row r="3310" spans="1:5" ht="15" customHeight="1" x14ac:dyDescent="0.3">
      <c r="A3310" t="s">
        <v>10820</v>
      </c>
      <c r="B3310" t="s">
        <v>306</v>
      </c>
      <c r="C3310" t="s">
        <v>2981</v>
      </c>
      <c r="D3310" t="s">
        <v>10821</v>
      </c>
      <c r="E3310">
        <v>20900000</v>
      </c>
    </row>
    <row r="3311" spans="1:5" ht="15" customHeight="1" x14ac:dyDescent="0.3">
      <c r="A3311" t="s">
        <v>10822</v>
      </c>
      <c r="B3311" t="s">
        <v>156</v>
      </c>
      <c r="C3311" t="s">
        <v>8860</v>
      </c>
      <c r="D3311" t="s">
        <v>10823</v>
      </c>
      <c r="E3311">
        <v>10900000</v>
      </c>
    </row>
    <row r="3312" spans="1:5" ht="15" customHeight="1" x14ac:dyDescent="0.3">
      <c r="A3312" t="s">
        <v>10824</v>
      </c>
      <c r="B3312" t="s">
        <v>241</v>
      </c>
      <c r="C3312">
        <v>307</v>
      </c>
      <c r="D3312" t="s">
        <v>10825</v>
      </c>
      <c r="E3312">
        <v>3110000</v>
      </c>
    </row>
    <row r="3313" spans="1:5" ht="15" customHeight="1" x14ac:dyDescent="0.3">
      <c r="A3313" t="s">
        <v>10826</v>
      </c>
      <c r="B3313" t="s">
        <v>45</v>
      </c>
      <c r="C3313" t="s">
        <v>49</v>
      </c>
      <c r="D3313" t="s">
        <v>10827</v>
      </c>
      <c r="E3313">
        <v>38000000</v>
      </c>
    </row>
    <row r="3314" spans="1:5" ht="15" customHeight="1" x14ac:dyDescent="0.3">
      <c r="A3314" t="s">
        <v>10828</v>
      </c>
      <c r="B3314" t="s">
        <v>220</v>
      </c>
      <c r="C3314" t="s">
        <v>223</v>
      </c>
      <c r="D3314" t="s">
        <v>10172</v>
      </c>
      <c r="E3314">
        <v>20000000</v>
      </c>
    </row>
    <row r="3315" spans="1:5" ht="15" customHeight="1" x14ac:dyDescent="0.3">
      <c r="A3315" t="s">
        <v>10829</v>
      </c>
      <c r="B3315" t="s">
        <v>214</v>
      </c>
      <c r="C3315" t="s">
        <v>215</v>
      </c>
      <c r="D3315" t="s">
        <v>10830</v>
      </c>
      <c r="E3315">
        <v>15700000</v>
      </c>
    </row>
    <row r="3316" spans="1:5" ht="15" customHeight="1" x14ac:dyDescent="0.3">
      <c r="A3316" t="s">
        <v>10831</v>
      </c>
      <c r="B3316" t="s">
        <v>173</v>
      </c>
      <c r="C3316">
        <v>7</v>
      </c>
      <c r="D3316" t="s">
        <v>8746</v>
      </c>
      <c r="E3316">
        <v>23700000</v>
      </c>
    </row>
    <row r="3317" spans="1:5" ht="15" customHeight="1" x14ac:dyDescent="0.3">
      <c r="A3317" t="s">
        <v>10832</v>
      </c>
      <c r="B3317" t="s">
        <v>2498</v>
      </c>
      <c r="C3317" t="s">
        <v>2663</v>
      </c>
      <c r="D3317" t="s">
        <v>10577</v>
      </c>
      <c r="E3317">
        <v>11000000</v>
      </c>
    </row>
    <row r="3318" spans="1:5" ht="15" customHeight="1" x14ac:dyDescent="0.3">
      <c r="A3318" t="s">
        <v>10833</v>
      </c>
      <c r="B3318" t="s">
        <v>45</v>
      </c>
      <c r="C3318" t="s">
        <v>46</v>
      </c>
      <c r="D3318" t="s">
        <v>10834</v>
      </c>
      <c r="E3318">
        <v>13200000</v>
      </c>
    </row>
    <row r="3319" spans="1:5" ht="15" customHeight="1" x14ac:dyDescent="0.3">
      <c r="A3319" t="s">
        <v>10835</v>
      </c>
      <c r="B3319" t="s">
        <v>156</v>
      </c>
      <c r="C3319" t="s">
        <v>3072</v>
      </c>
      <c r="D3319" t="s">
        <v>10836</v>
      </c>
      <c r="E3319">
        <v>8900000</v>
      </c>
    </row>
    <row r="3320" spans="1:5" ht="15" customHeight="1" x14ac:dyDescent="0.3">
      <c r="A3320" t="s">
        <v>11848</v>
      </c>
      <c r="B3320" t="s">
        <v>220</v>
      </c>
      <c r="C3320" t="s">
        <v>2729</v>
      </c>
      <c r="D3320" t="s">
        <v>11849</v>
      </c>
      <c r="E3320">
        <v>10000000</v>
      </c>
    </row>
    <row r="3321" spans="1:5" ht="15" customHeight="1" x14ac:dyDescent="0.3">
      <c r="A3321" t="s">
        <v>11850</v>
      </c>
      <c r="B3321" t="s">
        <v>306</v>
      </c>
      <c r="C3321" t="s">
        <v>2862</v>
      </c>
      <c r="D3321" t="s">
        <v>11851</v>
      </c>
      <c r="E3321">
        <v>14900000</v>
      </c>
    </row>
    <row r="3322" spans="1:5" ht="15" customHeight="1" x14ac:dyDescent="0.3">
      <c r="A3322" t="s">
        <v>11852</v>
      </c>
      <c r="B3322" t="s">
        <v>220</v>
      </c>
      <c r="C3322" t="s">
        <v>2762</v>
      </c>
      <c r="D3322" t="s">
        <v>11853</v>
      </c>
      <c r="E3322">
        <v>13000000</v>
      </c>
    </row>
    <row r="3323" spans="1:5" ht="15" customHeight="1" x14ac:dyDescent="0.3">
      <c r="A3323" t="s">
        <v>11854</v>
      </c>
      <c r="B3323" t="s">
        <v>300</v>
      </c>
      <c r="C3323" t="s">
        <v>3299</v>
      </c>
      <c r="D3323" t="s">
        <v>11855</v>
      </c>
      <c r="E3323">
        <v>12400000</v>
      </c>
    </row>
    <row r="3324" spans="1:5" ht="15" customHeight="1" x14ac:dyDescent="0.3">
      <c r="A3324" t="s">
        <v>11856</v>
      </c>
      <c r="B3324" t="s">
        <v>241</v>
      </c>
      <c r="C3324">
        <v>3008</v>
      </c>
      <c r="D3324" t="s">
        <v>11857</v>
      </c>
      <c r="E3324">
        <v>13400000</v>
      </c>
    </row>
    <row r="3325" spans="1:5" ht="15" customHeight="1" x14ac:dyDescent="0.3">
      <c r="A3325" t="s">
        <v>11858</v>
      </c>
      <c r="B3325" t="s">
        <v>241</v>
      </c>
      <c r="C3325">
        <v>3008</v>
      </c>
      <c r="D3325" t="s">
        <v>11857</v>
      </c>
      <c r="E3325">
        <v>13400000</v>
      </c>
    </row>
    <row r="3326" spans="1:5" ht="15" customHeight="1" x14ac:dyDescent="0.3">
      <c r="A3326" t="s">
        <v>11859</v>
      </c>
      <c r="B3326" t="s">
        <v>241</v>
      </c>
      <c r="C3326">
        <v>3008</v>
      </c>
      <c r="D3326" t="s">
        <v>11857</v>
      </c>
      <c r="E3326">
        <v>13400000</v>
      </c>
    </row>
    <row r="3327" spans="1:5" ht="15" customHeight="1" x14ac:dyDescent="0.3">
      <c r="A3327" t="s">
        <v>10852</v>
      </c>
      <c r="B3327" t="s">
        <v>14</v>
      </c>
      <c r="C3327" t="s">
        <v>8192</v>
      </c>
      <c r="D3327" t="s">
        <v>8196</v>
      </c>
      <c r="E3327">
        <v>24900000</v>
      </c>
    </row>
    <row r="3328" spans="1:5" ht="15" customHeight="1" x14ac:dyDescent="0.3">
      <c r="A3328" t="s">
        <v>11860</v>
      </c>
      <c r="B3328" t="s">
        <v>2521</v>
      </c>
      <c r="C3328" t="s">
        <v>3315</v>
      </c>
      <c r="D3328" t="s">
        <v>10853</v>
      </c>
      <c r="E3328">
        <v>14200000</v>
      </c>
    </row>
    <row r="3329" spans="1:5" ht="15" customHeight="1" x14ac:dyDescent="0.3">
      <c r="A3329" t="s">
        <v>11861</v>
      </c>
      <c r="B3329" t="s">
        <v>2521</v>
      </c>
      <c r="C3329" t="s">
        <v>2522</v>
      </c>
      <c r="D3329" t="s">
        <v>10854</v>
      </c>
      <c r="E3329">
        <v>20300000</v>
      </c>
    </row>
    <row r="3330" spans="1:5" ht="15" customHeight="1" x14ac:dyDescent="0.3">
      <c r="A3330" t="s">
        <v>11862</v>
      </c>
      <c r="B3330" t="s">
        <v>28</v>
      </c>
      <c r="C3330" t="s">
        <v>42</v>
      </c>
      <c r="D3330" t="s">
        <v>11863</v>
      </c>
      <c r="E3330">
        <v>12500000</v>
      </c>
    </row>
    <row r="3331" spans="1:5" ht="15" customHeight="1" x14ac:dyDescent="0.3">
      <c r="A3331" t="s">
        <v>11864</v>
      </c>
      <c r="B3331" t="s">
        <v>2533</v>
      </c>
      <c r="C3331" t="s">
        <v>2571</v>
      </c>
      <c r="D3331" t="s">
        <v>2737</v>
      </c>
      <c r="E3331">
        <v>7360000</v>
      </c>
    </row>
    <row r="3332" spans="1:5" ht="15" customHeight="1" x14ac:dyDescent="0.3">
      <c r="A3332" t="s">
        <v>11865</v>
      </c>
      <c r="B3332" t="s">
        <v>2498</v>
      </c>
      <c r="C3332" t="s">
        <v>2664</v>
      </c>
      <c r="D3332" t="s">
        <v>11866</v>
      </c>
      <c r="E3332">
        <v>11800000</v>
      </c>
    </row>
    <row r="3333" spans="1:5" ht="15" customHeight="1" x14ac:dyDescent="0.3">
      <c r="A3333" t="s">
        <v>11867</v>
      </c>
      <c r="B3333" t="s">
        <v>306</v>
      </c>
      <c r="C3333" t="s">
        <v>2862</v>
      </c>
      <c r="D3333" t="s">
        <v>11851</v>
      </c>
      <c r="E3333">
        <v>14900000</v>
      </c>
    </row>
    <row r="3334" spans="1:5" ht="15" customHeight="1" x14ac:dyDescent="0.3">
      <c r="A3334" t="s">
        <v>10855</v>
      </c>
      <c r="B3334" t="s">
        <v>68</v>
      </c>
      <c r="C3334" t="s">
        <v>10629</v>
      </c>
      <c r="D3334" t="s">
        <v>10630</v>
      </c>
      <c r="E3334">
        <v>11700000</v>
      </c>
    </row>
    <row r="3335" spans="1:5" ht="15" customHeight="1" x14ac:dyDescent="0.3">
      <c r="A3335" t="s">
        <v>11868</v>
      </c>
      <c r="B3335" t="s">
        <v>2498</v>
      </c>
      <c r="C3335" t="s">
        <v>3136</v>
      </c>
      <c r="D3335" t="s">
        <v>11869</v>
      </c>
      <c r="E3335">
        <v>14800000</v>
      </c>
    </row>
    <row r="3336" spans="1:5" ht="15" customHeight="1" x14ac:dyDescent="0.3">
      <c r="A3336" t="s">
        <v>11870</v>
      </c>
      <c r="B3336" t="s">
        <v>306</v>
      </c>
      <c r="C3336" t="s">
        <v>2981</v>
      </c>
      <c r="D3336" t="s">
        <v>10821</v>
      </c>
      <c r="E3336">
        <v>23600000</v>
      </c>
    </row>
    <row r="3337" spans="1:5" ht="15" customHeight="1" x14ac:dyDescent="0.3">
      <c r="A3337" t="s">
        <v>11871</v>
      </c>
      <c r="B3337" t="s">
        <v>2494</v>
      </c>
      <c r="C3337" t="s">
        <v>3497</v>
      </c>
      <c r="D3337" t="s">
        <v>11475</v>
      </c>
      <c r="E3337">
        <v>17100000</v>
      </c>
    </row>
    <row r="3338" spans="1:5" ht="15" customHeight="1" x14ac:dyDescent="0.3">
      <c r="A3338" t="s">
        <v>11872</v>
      </c>
      <c r="B3338" t="s">
        <v>241</v>
      </c>
      <c r="C3338" t="s">
        <v>11873</v>
      </c>
      <c r="D3338" t="s">
        <v>11874</v>
      </c>
      <c r="E3338">
        <v>29100000</v>
      </c>
    </row>
    <row r="3339" spans="1:5" ht="15" customHeight="1" x14ac:dyDescent="0.3">
      <c r="A3339" t="s">
        <v>11875</v>
      </c>
      <c r="B3339" t="s">
        <v>241</v>
      </c>
      <c r="C3339" t="s">
        <v>2485</v>
      </c>
      <c r="D3339" t="s">
        <v>11876</v>
      </c>
      <c r="E3339">
        <v>11200000</v>
      </c>
    </row>
    <row r="3340" spans="1:5" ht="15" customHeight="1" x14ac:dyDescent="0.3">
      <c r="A3340" t="s">
        <v>11877</v>
      </c>
      <c r="B3340" t="s">
        <v>45</v>
      </c>
      <c r="C3340" t="s">
        <v>2764</v>
      </c>
      <c r="D3340" t="s">
        <v>11878</v>
      </c>
      <c r="E3340">
        <v>11000000</v>
      </c>
    </row>
    <row r="3341" spans="1:5" ht="15" customHeight="1" x14ac:dyDescent="0.3">
      <c r="A3341" t="s">
        <v>11879</v>
      </c>
      <c r="B3341" t="s">
        <v>214</v>
      </c>
      <c r="C3341" t="s">
        <v>2627</v>
      </c>
      <c r="D3341" t="s">
        <v>10002</v>
      </c>
      <c r="E3341">
        <v>34900000</v>
      </c>
    </row>
    <row r="3342" spans="1:5" ht="15" customHeight="1" x14ac:dyDescent="0.3">
      <c r="A3342" t="s">
        <v>11880</v>
      </c>
      <c r="B3342" t="s">
        <v>2498</v>
      </c>
      <c r="C3342" t="s">
        <v>3136</v>
      </c>
      <c r="D3342" t="s">
        <v>11881</v>
      </c>
      <c r="E3342">
        <v>17100000</v>
      </c>
    </row>
    <row r="3343" spans="1:5" ht="15" customHeight="1" x14ac:dyDescent="0.3">
      <c r="A3343" t="s">
        <v>11882</v>
      </c>
      <c r="B3343" t="s">
        <v>241</v>
      </c>
      <c r="C3343" t="s">
        <v>269</v>
      </c>
      <c r="D3343" t="s">
        <v>11883</v>
      </c>
      <c r="E3343">
        <v>18600000</v>
      </c>
    </row>
    <row r="3344" spans="1:5" ht="15" customHeight="1" x14ac:dyDescent="0.3">
      <c r="A3344" t="s">
        <v>11884</v>
      </c>
      <c r="B3344" t="s">
        <v>2521</v>
      </c>
      <c r="C3344" t="s">
        <v>2522</v>
      </c>
      <c r="D3344" t="s">
        <v>11885</v>
      </c>
      <c r="E3344">
        <v>17400000</v>
      </c>
    </row>
    <row r="3345" spans="1:5" ht="15" customHeight="1" x14ac:dyDescent="0.3">
      <c r="A3345" t="s">
        <v>11886</v>
      </c>
      <c r="B3345" t="s">
        <v>278</v>
      </c>
      <c r="C3345">
        <v>700</v>
      </c>
      <c r="D3345" t="s">
        <v>11887</v>
      </c>
      <c r="E3345">
        <v>14800000</v>
      </c>
    </row>
    <row r="3346" spans="1:5" ht="15" customHeight="1" x14ac:dyDescent="0.3">
      <c r="A3346" t="s">
        <v>11888</v>
      </c>
      <c r="B3346" t="s">
        <v>2545</v>
      </c>
      <c r="C3346" t="s">
        <v>2733</v>
      </c>
      <c r="D3346" t="s">
        <v>10856</v>
      </c>
      <c r="E3346">
        <v>20900000</v>
      </c>
    </row>
    <row r="3347" spans="1:5" ht="15" customHeight="1" x14ac:dyDescent="0.3">
      <c r="A3347" t="s">
        <v>11889</v>
      </c>
      <c r="B3347" t="s">
        <v>300</v>
      </c>
      <c r="C3347" t="s">
        <v>2653</v>
      </c>
      <c r="D3347" t="s">
        <v>11890</v>
      </c>
      <c r="E3347">
        <v>7880000</v>
      </c>
    </row>
    <row r="3348" spans="1:5" ht="15" customHeight="1" x14ac:dyDescent="0.3">
      <c r="A3348" t="s">
        <v>11891</v>
      </c>
      <c r="B3348" t="s">
        <v>45</v>
      </c>
      <c r="C3348" t="s">
        <v>2764</v>
      </c>
      <c r="D3348" t="s">
        <v>11892</v>
      </c>
      <c r="E3348">
        <v>10300000</v>
      </c>
    </row>
    <row r="3349" spans="1:5" ht="15" customHeight="1" x14ac:dyDescent="0.3">
      <c r="A3349" t="s">
        <v>11893</v>
      </c>
      <c r="B3349" t="s">
        <v>207</v>
      </c>
      <c r="C3349" t="s">
        <v>11894</v>
      </c>
      <c r="D3349" t="s">
        <v>11895</v>
      </c>
      <c r="E3349">
        <v>12800000</v>
      </c>
    </row>
    <row r="3350" spans="1:5" ht="15" customHeight="1" x14ac:dyDescent="0.3">
      <c r="A3350" t="s">
        <v>11896</v>
      </c>
      <c r="B3350" t="s">
        <v>2545</v>
      </c>
      <c r="C3350" t="s">
        <v>2651</v>
      </c>
      <c r="D3350" t="s">
        <v>11897</v>
      </c>
      <c r="E3350">
        <v>18000000</v>
      </c>
    </row>
    <row r="3351" spans="1:5" ht="15" customHeight="1" x14ac:dyDescent="0.3">
      <c r="A3351" t="s">
        <v>11898</v>
      </c>
      <c r="B3351" t="s">
        <v>2549</v>
      </c>
      <c r="C3351" t="s">
        <v>10857</v>
      </c>
      <c r="D3351" t="s">
        <v>11899</v>
      </c>
      <c r="E3351">
        <v>8500000</v>
      </c>
    </row>
    <row r="3352" spans="1:5" ht="15" customHeight="1" x14ac:dyDescent="0.3">
      <c r="A3352" t="s">
        <v>11900</v>
      </c>
      <c r="B3352" t="s">
        <v>241</v>
      </c>
      <c r="C3352">
        <v>308</v>
      </c>
      <c r="D3352" t="s">
        <v>10586</v>
      </c>
      <c r="E3352">
        <v>7660000</v>
      </c>
    </row>
    <row r="3353" spans="1:5" ht="15" customHeight="1" x14ac:dyDescent="0.3">
      <c r="A3353" t="s">
        <v>11901</v>
      </c>
      <c r="B3353" t="s">
        <v>86</v>
      </c>
      <c r="C3353" t="s">
        <v>134</v>
      </c>
      <c r="D3353" t="s">
        <v>9659</v>
      </c>
      <c r="E3353">
        <v>15800000</v>
      </c>
    </row>
    <row r="3354" spans="1:5" ht="15" customHeight="1" x14ac:dyDescent="0.3">
      <c r="A3354" t="s">
        <v>11902</v>
      </c>
      <c r="B3354" t="s">
        <v>2533</v>
      </c>
      <c r="C3354" t="s">
        <v>2582</v>
      </c>
      <c r="D3354" t="s">
        <v>11903</v>
      </c>
      <c r="E3354">
        <v>7210000</v>
      </c>
    </row>
    <row r="3355" spans="1:5" ht="15" customHeight="1" x14ac:dyDescent="0.3">
      <c r="A3355" t="s">
        <v>11904</v>
      </c>
      <c r="B3355" t="s">
        <v>28</v>
      </c>
      <c r="C3355" t="s">
        <v>2575</v>
      </c>
      <c r="D3355" t="s">
        <v>11905</v>
      </c>
      <c r="E3355">
        <v>8300000</v>
      </c>
    </row>
    <row r="3356" spans="1:5" ht="15" customHeight="1" x14ac:dyDescent="0.3">
      <c r="A3356" t="s">
        <v>11906</v>
      </c>
      <c r="B3356" t="s">
        <v>214</v>
      </c>
      <c r="C3356" t="s">
        <v>3494</v>
      </c>
      <c r="D3356" t="s">
        <v>11907</v>
      </c>
      <c r="E3356">
        <v>13100000</v>
      </c>
    </row>
    <row r="3357" spans="1:5" ht="15" customHeight="1" x14ac:dyDescent="0.3">
      <c r="A3357" t="s">
        <v>11908</v>
      </c>
      <c r="B3357" t="s">
        <v>288</v>
      </c>
      <c r="C3357" t="s">
        <v>2835</v>
      </c>
      <c r="D3357" t="s">
        <v>11909</v>
      </c>
      <c r="E3357">
        <v>7250000</v>
      </c>
    </row>
    <row r="3358" spans="1:5" ht="15" customHeight="1" x14ac:dyDescent="0.3">
      <c r="A3358" t="s">
        <v>11910</v>
      </c>
      <c r="B3358" t="s">
        <v>2498</v>
      </c>
      <c r="C3358" t="s">
        <v>2563</v>
      </c>
      <c r="D3358" t="s">
        <v>10858</v>
      </c>
      <c r="E3358">
        <v>14000000</v>
      </c>
    </row>
    <row r="3359" spans="1:5" ht="15" customHeight="1" x14ac:dyDescent="0.3">
      <c r="A3359" t="s">
        <v>11911</v>
      </c>
      <c r="B3359" t="s">
        <v>156</v>
      </c>
      <c r="C3359" t="s">
        <v>2713</v>
      </c>
      <c r="D3359" t="s">
        <v>11912</v>
      </c>
      <c r="E3359">
        <v>7930000</v>
      </c>
    </row>
    <row r="3360" spans="1:5" ht="15" customHeight="1" x14ac:dyDescent="0.3">
      <c r="A3360" t="s">
        <v>11913</v>
      </c>
      <c r="B3360" t="s">
        <v>241</v>
      </c>
      <c r="C3360" t="s">
        <v>2505</v>
      </c>
      <c r="D3360" t="s">
        <v>11914</v>
      </c>
      <c r="E3360">
        <v>22900000</v>
      </c>
    </row>
    <row r="3361" spans="1:5" ht="15" customHeight="1" x14ac:dyDescent="0.3">
      <c r="A3361" t="s">
        <v>11915</v>
      </c>
      <c r="B3361" t="s">
        <v>86</v>
      </c>
      <c r="C3361" t="s">
        <v>2793</v>
      </c>
      <c r="D3361" t="s">
        <v>11916</v>
      </c>
      <c r="E3361">
        <v>15600000</v>
      </c>
    </row>
    <row r="3362" spans="1:5" ht="15" customHeight="1" x14ac:dyDescent="0.3">
      <c r="A3362" t="s">
        <v>11917</v>
      </c>
      <c r="B3362" t="s">
        <v>147</v>
      </c>
      <c r="C3362" t="s">
        <v>150</v>
      </c>
      <c r="D3362" t="s">
        <v>11918</v>
      </c>
      <c r="E3362">
        <v>15900000</v>
      </c>
    </row>
    <row r="3363" spans="1:5" ht="15" customHeight="1" x14ac:dyDescent="0.3">
      <c r="A3363" t="s">
        <v>11919</v>
      </c>
      <c r="B3363" t="s">
        <v>2474</v>
      </c>
      <c r="C3363" t="s">
        <v>2685</v>
      </c>
      <c r="D3363" t="s">
        <v>11920</v>
      </c>
      <c r="E3363">
        <v>8100000</v>
      </c>
    </row>
    <row r="3364" spans="1:5" ht="15" customHeight="1" x14ac:dyDescent="0.3">
      <c r="A3364" t="s">
        <v>11921</v>
      </c>
      <c r="B3364" t="s">
        <v>2498</v>
      </c>
      <c r="C3364" t="s">
        <v>3136</v>
      </c>
      <c r="D3364" t="s">
        <v>11922</v>
      </c>
      <c r="E3364">
        <v>16200000</v>
      </c>
    </row>
    <row r="3365" spans="1:5" ht="15" customHeight="1" x14ac:dyDescent="0.3">
      <c r="A3365" t="s">
        <v>11923</v>
      </c>
      <c r="B3365" t="s">
        <v>156</v>
      </c>
      <c r="C3365" t="s">
        <v>3096</v>
      </c>
      <c r="D3365" t="s">
        <v>11924</v>
      </c>
      <c r="E3365">
        <v>16000000</v>
      </c>
    </row>
    <row r="3366" spans="1:5" ht="15" customHeight="1" x14ac:dyDescent="0.3">
      <c r="A3366" t="s">
        <v>11925</v>
      </c>
      <c r="B3366" t="s">
        <v>2494</v>
      </c>
      <c r="C3366" t="s">
        <v>3477</v>
      </c>
      <c r="D3366" t="s">
        <v>11926</v>
      </c>
      <c r="E3366">
        <v>6450000</v>
      </c>
    </row>
    <row r="3367" spans="1:5" ht="15" customHeight="1" x14ac:dyDescent="0.3">
      <c r="A3367" t="s">
        <v>11927</v>
      </c>
      <c r="B3367" t="s">
        <v>311</v>
      </c>
      <c r="C3367" t="s">
        <v>315</v>
      </c>
      <c r="D3367" t="s">
        <v>11928</v>
      </c>
      <c r="E3367">
        <v>10800000</v>
      </c>
    </row>
    <row r="3368" spans="1:5" ht="15" customHeight="1" x14ac:dyDescent="0.3">
      <c r="A3368" t="s">
        <v>11929</v>
      </c>
      <c r="B3368" t="s">
        <v>142</v>
      </c>
      <c r="C3368" t="s">
        <v>11930</v>
      </c>
      <c r="D3368" t="s">
        <v>11931</v>
      </c>
      <c r="E3368">
        <v>11100000</v>
      </c>
    </row>
    <row r="3369" spans="1:5" ht="15" customHeight="1" x14ac:dyDescent="0.3">
      <c r="A3369" t="s">
        <v>11932</v>
      </c>
      <c r="B3369" t="s">
        <v>2533</v>
      </c>
      <c r="C3369" t="s">
        <v>3525</v>
      </c>
      <c r="D3369" t="s">
        <v>11933</v>
      </c>
      <c r="E3369">
        <v>9700000</v>
      </c>
    </row>
    <row r="3370" spans="1:5" ht="15" customHeight="1" x14ac:dyDescent="0.3">
      <c r="A3370" t="s">
        <v>11934</v>
      </c>
      <c r="B3370" t="s">
        <v>241</v>
      </c>
      <c r="C3370" t="s">
        <v>2505</v>
      </c>
      <c r="D3370" t="s">
        <v>11914</v>
      </c>
      <c r="E3370">
        <v>23400000</v>
      </c>
    </row>
    <row r="3371" spans="1:5" ht="15" customHeight="1" x14ac:dyDescent="0.3">
      <c r="A3371" t="s">
        <v>11935</v>
      </c>
      <c r="B3371" t="s">
        <v>86</v>
      </c>
      <c r="C3371" t="s">
        <v>106</v>
      </c>
      <c r="D3371" t="s">
        <v>11936</v>
      </c>
      <c r="E3371">
        <v>19700000</v>
      </c>
    </row>
    <row r="3372" spans="1:5" ht="15" customHeight="1" x14ac:dyDescent="0.3">
      <c r="A3372" t="s">
        <v>11937</v>
      </c>
      <c r="B3372" t="s">
        <v>237</v>
      </c>
      <c r="C3372" t="s">
        <v>65</v>
      </c>
      <c r="D3372" t="s">
        <v>9613</v>
      </c>
      <c r="E3372">
        <v>13700000</v>
      </c>
    </row>
    <row r="3373" spans="1:5" ht="15" customHeight="1" x14ac:dyDescent="0.3">
      <c r="A3373" t="s">
        <v>11938</v>
      </c>
      <c r="B3373" t="s">
        <v>68</v>
      </c>
      <c r="C3373">
        <v>500</v>
      </c>
      <c r="D3373" t="s">
        <v>11939</v>
      </c>
      <c r="E3373">
        <v>9700000</v>
      </c>
    </row>
    <row r="3374" spans="1:5" ht="15" customHeight="1" x14ac:dyDescent="0.3">
      <c r="A3374" t="s">
        <v>11940</v>
      </c>
      <c r="B3374" t="s">
        <v>207</v>
      </c>
      <c r="C3374" t="s">
        <v>2603</v>
      </c>
      <c r="D3374" t="s">
        <v>11941</v>
      </c>
      <c r="E3374">
        <v>21800000</v>
      </c>
    </row>
    <row r="3375" spans="1:5" ht="15" customHeight="1" x14ac:dyDescent="0.3">
      <c r="A3375" t="s">
        <v>11942</v>
      </c>
      <c r="B3375" t="s">
        <v>86</v>
      </c>
      <c r="C3375" t="s">
        <v>93</v>
      </c>
      <c r="D3375" t="s">
        <v>11943</v>
      </c>
      <c r="E3375">
        <v>20700000</v>
      </c>
    </row>
    <row r="3376" spans="1:5" ht="15" customHeight="1" x14ac:dyDescent="0.3">
      <c r="A3376" t="s">
        <v>10859</v>
      </c>
      <c r="B3376" t="s">
        <v>2498</v>
      </c>
      <c r="C3376" t="s">
        <v>2830</v>
      </c>
      <c r="D3376" t="s">
        <v>7374</v>
      </c>
      <c r="E3376">
        <v>14300000</v>
      </c>
    </row>
    <row r="3377" spans="1:5" ht="15" customHeight="1" x14ac:dyDescent="0.3">
      <c r="A3377" t="s">
        <v>11944</v>
      </c>
      <c r="B3377" t="s">
        <v>241</v>
      </c>
      <c r="C3377">
        <v>3008</v>
      </c>
      <c r="D3377" t="s">
        <v>11945</v>
      </c>
      <c r="E3377">
        <v>14300000</v>
      </c>
    </row>
    <row r="3378" spans="1:5" ht="15" customHeight="1" x14ac:dyDescent="0.3">
      <c r="A3378" t="s">
        <v>11946</v>
      </c>
      <c r="B3378" t="s">
        <v>28</v>
      </c>
      <c r="C3378" t="s">
        <v>2575</v>
      </c>
      <c r="D3378" t="s">
        <v>11947</v>
      </c>
      <c r="E3378">
        <v>8800000</v>
      </c>
    </row>
    <row r="3379" spans="1:5" ht="15" customHeight="1" x14ac:dyDescent="0.3">
      <c r="A3379" t="s">
        <v>11948</v>
      </c>
      <c r="B3379" t="s">
        <v>2494</v>
      </c>
      <c r="C3379" t="s">
        <v>7964</v>
      </c>
      <c r="D3379" t="s">
        <v>10860</v>
      </c>
      <c r="E3379">
        <v>14400000</v>
      </c>
    </row>
    <row r="3380" spans="1:5" ht="15" customHeight="1" x14ac:dyDescent="0.3">
      <c r="A3380" t="s">
        <v>11949</v>
      </c>
      <c r="B3380" t="s">
        <v>2498</v>
      </c>
      <c r="C3380" t="s">
        <v>2499</v>
      </c>
      <c r="D3380" t="s">
        <v>1169</v>
      </c>
      <c r="E3380">
        <v>8100000</v>
      </c>
    </row>
    <row r="3381" spans="1:5" ht="15" customHeight="1" x14ac:dyDescent="0.3">
      <c r="A3381" t="s">
        <v>11950</v>
      </c>
      <c r="B3381" t="s">
        <v>2498</v>
      </c>
      <c r="C3381" t="s">
        <v>2563</v>
      </c>
      <c r="D3381" t="s">
        <v>8831</v>
      </c>
      <c r="E3381">
        <v>13200000</v>
      </c>
    </row>
    <row r="3382" spans="1:5" ht="15" customHeight="1" x14ac:dyDescent="0.3">
      <c r="A3382" t="s">
        <v>10861</v>
      </c>
      <c r="B3382" t="s">
        <v>173</v>
      </c>
      <c r="C3382">
        <v>7</v>
      </c>
      <c r="D3382" t="s">
        <v>10862</v>
      </c>
      <c r="E3382">
        <v>23700000</v>
      </c>
    </row>
    <row r="3383" spans="1:5" ht="15" customHeight="1" x14ac:dyDescent="0.3">
      <c r="A3383" t="s">
        <v>10863</v>
      </c>
      <c r="B3383" t="s">
        <v>173</v>
      </c>
      <c r="C3383">
        <v>5</v>
      </c>
      <c r="D3383" t="s">
        <v>10864</v>
      </c>
      <c r="E3383">
        <v>13500000</v>
      </c>
    </row>
    <row r="3384" spans="1:5" ht="15" customHeight="1" x14ac:dyDescent="0.3">
      <c r="A3384" t="s">
        <v>10865</v>
      </c>
      <c r="B3384" t="s">
        <v>237</v>
      </c>
      <c r="C3384" t="s">
        <v>65</v>
      </c>
      <c r="D3384" t="s">
        <v>10866</v>
      </c>
      <c r="E3384">
        <v>14500000</v>
      </c>
    </row>
    <row r="3385" spans="1:5" ht="15" customHeight="1" x14ac:dyDescent="0.3">
      <c r="A3385" t="s">
        <v>10867</v>
      </c>
      <c r="B3385" t="s">
        <v>237</v>
      </c>
      <c r="C3385" t="s">
        <v>3170</v>
      </c>
      <c r="D3385" t="s">
        <v>10868</v>
      </c>
      <c r="E3385">
        <v>19400000</v>
      </c>
    </row>
    <row r="3386" spans="1:5" ht="15" customHeight="1" x14ac:dyDescent="0.3">
      <c r="A3386" t="s">
        <v>10869</v>
      </c>
      <c r="B3386" t="s">
        <v>237</v>
      </c>
      <c r="C3386" t="s">
        <v>65</v>
      </c>
      <c r="D3386" t="s">
        <v>10870</v>
      </c>
      <c r="E3386">
        <v>15500000</v>
      </c>
    </row>
    <row r="3387" spans="1:5" ht="15" customHeight="1" x14ac:dyDescent="0.3">
      <c r="A3387" t="s">
        <v>10871</v>
      </c>
      <c r="B3387" t="s">
        <v>237</v>
      </c>
      <c r="C3387" t="s">
        <v>65</v>
      </c>
      <c r="D3387" t="s">
        <v>10872</v>
      </c>
      <c r="E3387">
        <v>19100000</v>
      </c>
    </row>
    <row r="3388" spans="1:5" ht="15" customHeight="1" x14ac:dyDescent="0.3">
      <c r="A3388" t="s">
        <v>11951</v>
      </c>
      <c r="B3388" t="s">
        <v>278</v>
      </c>
      <c r="C3388">
        <v>700</v>
      </c>
      <c r="D3388" t="s">
        <v>11952</v>
      </c>
      <c r="E3388">
        <v>9400000</v>
      </c>
    </row>
    <row r="3389" spans="1:5" ht="15" customHeight="1" x14ac:dyDescent="0.3">
      <c r="A3389" t="s">
        <v>11953</v>
      </c>
      <c r="B3389" t="s">
        <v>220</v>
      </c>
      <c r="C3389" t="s">
        <v>2729</v>
      </c>
      <c r="D3389" t="s">
        <v>11954</v>
      </c>
      <c r="E3389">
        <v>12600000</v>
      </c>
    </row>
    <row r="3390" spans="1:5" ht="15" customHeight="1" x14ac:dyDescent="0.3">
      <c r="A3390" t="s">
        <v>11955</v>
      </c>
      <c r="B3390" t="s">
        <v>237</v>
      </c>
      <c r="C3390" t="s">
        <v>65</v>
      </c>
      <c r="D3390" t="s">
        <v>11956</v>
      </c>
      <c r="E3390">
        <v>12600000</v>
      </c>
    </row>
    <row r="3391" spans="1:5" ht="15" customHeight="1" x14ac:dyDescent="0.3">
      <c r="A3391" t="s">
        <v>11957</v>
      </c>
      <c r="B3391" t="s">
        <v>220</v>
      </c>
      <c r="C3391" t="s">
        <v>231</v>
      </c>
      <c r="D3391" t="s">
        <v>11954</v>
      </c>
      <c r="E3391">
        <v>12100000</v>
      </c>
    </row>
    <row r="3392" spans="1:5" ht="15" customHeight="1" x14ac:dyDescent="0.3">
      <c r="A3392" t="s">
        <v>11958</v>
      </c>
      <c r="B3392" t="s">
        <v>173</v>
      </c>
      <c r="C3392">
        <v>7</v>
      </c>
      <c r="D3392" t="s">
        <v>11959</v>
      </c>
      <c r="E3392">
        <v>16400000</v>
      </c>
    </row>
    <row r="3393" spans="1:5" ht="15" customHeight="1" x14ac:dyDescent="0.3">
      <c r="A3393" t="s">
        <v>11960</v>
      </c>
      <c r="B3393" t="s">
        <v>147</v>
      </c>
      <c r="C3393" t="s">
        <v>10720</v>
      </c>
      <c r="D3393" t="s">
        <v>10721</v>
      </c>
      <c r="E3393">
        <v>14300000</v>
      </c>
    </row>
    <row r="3394" spans="1:5" ht="15" customHeight="1" x14ac:dyDescent="0.3">
      <c r="A3394" t="s">
        <v>11961</v>
      </c>
      <c r="B3394" t="s">
        <v>241</v>
      </c>
      <c r="C3394">
        <v>2008</v>
      </c>
      <c r="D3394" t="s">
        <v>11962</v>
      </c>
      <c r="E3394">
        <v>9900000</v>
      </c>
    </row>
    <row r="3395" spans="1:5" ht="15" customHeight="1" x14ac:dyDescent="0.3">
      <c r="A3395" t="s">
        <v>11963</v>
      </c>
      <c r="B3395" t="s">
        <v>2494</v>
      </c>
      <c r="C3395" t="s">
        <v>2811</v>
      </c>
      <c r="D3395" t="s">
        <v>11964</v>
      </c>
      <c r="E3395">
        <v>12300000</v>
      </c>
    </row>
    <row r="3396" spans="1:5" ht="15" customHeight="1" x14ac:dyDescent="0.3">
      <c r="A3396" t="s">
        <v>11965</v>
      </c>
      <c r="B3396" t="s">
        <v>86</v>
      </c>
      <c r="C3396" t="s">
        <v>2793</v>
      </c>
      <c r="D3396" t="s">
        <v>10873</v>
      </c>
      <c r="E3396">
        <v>17400000</v>
      </c>
    </row>
    <row r="3397" spans="1:5" ht="15" customHeight="1" x14ac:dyDescent="0.3">
      <c r="A3397" t="s">
        <v>11966</v>
      </c>
      <c r="B3397" t="s">
        <v>306</v>
      </c>
      <c r="C3397" t="s">
        <v>7872</v>
      </c>
      <c r="D3397" t="s">
        <v>11967</v>
      </c>
      <c r="E3397">
        <v>14500000</v>
      </c>
    </row>
    <row r="3398" spans="1:5" ht="15" customHeight="1" x14ac:dyDescent="0.3">
      <c r="A3398" t="s">
        <v>11968</v>
      </c>
      <c r="B3398" t="s">
        <v>241</v>
      </c>
      <c r="C3398" t="s">
        <v>2487</v>
      </c>
      <c r="D3398" t="s">
        <v>11969</v>
      </c>
      <c r="E3398">
        <v>16800000</v>
      </c>
    </row>
    <row r="3399" spans="1:5" ht="15" customHeight="1" x14ac:dyDescent="0.3">
      <c r="A3399" t="s">
        <v>11970</v>
      </c>
      <c r="B3399" t="s">
        <v>288</v>
      </c>
      <c r="C3399" t="s">
        <v>2557</v>
      </c>
      <c r="D3399" t="s">
        <v>11971</v>
      </c>
      <c r="E3399">
        <v>8700000</v>
      </c>
    </row>
    <row r="3400" spans="1:5" ht="15" customHeight="1" x14ac:dyDescent="0.3">
      <c r="A3400" t="s">
        <v>11972</v>
      </c>
      <c r="B3400" t="s">
        <v>2494</v>
      </c>
      <c r="C3400" t="s">
        <v>2959</v>
      </c>
      <c r="D3400" t="s">
        <v>11973</v>
      </c>
      <c r="E3400">
        <v>9900000</v>
      </c>
    </row>
    <row r="3401" spans="1:5" ht="15" customHeight="1" x14ac:dyDescent="0.3">
      <c r="A3401" t="s">
        <v>11974</v>
      </c>
      <c r="B3401" t="s">
        <v>167</v>
      </c>
      <c r="C3401" t="s">
        <v>10198</v>
      </c>
      <c r="D3401" t="s">
        <v>11975</v>
      </c>
      <c r="E3401">
        <v>12600000</v>
      </c>
    </row>
    <row r="3402" spans="1:5" ht="15" customHeight="1" x14ac:dyDescent="0.3">
      <c r="A3402" t="s">
        <v>11976</v>
      </c>
      <c r="B3402" t="s">
        <v>288</v>
      </c>
      <c r="C3402" t="s">
        <v>11977</v>
      </c>
      <c r="D3402" t="s">
        <v>11978</v>
      </c>
      <c r="E3402">
        <v>3880000</v>
      </c>
    </row>
    <row r="3403" spans="1:5" ht="15" customHeight="1" x14ac:dyDescent="0.3">
      <c r="A3403" t="s">
        <v>11979</v>
      </c>
      <c r="B3403" t="s">
        <v>86</v>
      </c>
      <c r="C3403" t="s">
        <v>2476</v>
      </c>
      <c r="D3403" t="s">
        <v>10874</v>
      </c>
      <c r="E3403">
        <v>43800000</v>
      </c>
    </row>
    <row r="3404" spans="1:5" ht="15" customHeight="1" x14ac:dyDescent="0.3">
      <c r="A3404" t="s">
        <v>11980</v>
      </c>
      <c r="B3404" t="s">
        <v>204</v>
      </c>
      <c r="C3404" t="s">
        <v>7751</v>
      </c>
      <c r="D3404" t="s">
        <v>11613</v>
      </c>
      <c r="E3404">
        <v>9100000</v>
      </c>
    </row>
    <row r="3405" spans="1:5" ht="15" customHeight="1" x14ac:dyDescent="0.3">
      <c r="A3405" t="s">
        <v>11981</v>
      </c>
      <c r="B3405" t="s">
        <v>241</v>
      </c>
      <c r="C3405">
        <v>308</v>
      </c>
      <c r="D3405" t="s">
        <v>3756</v>
      </c>
      <c r="E3405">
        <v>19600000</v>
      </c>
    </row>
    <row r="3406" spans="1:5" ht="15" customHeight="1" x14ac:dyDescent="0.3">
      <c r="A3406" t="s">
        <v>11982</v>
      </c>
      <c r="B3406" t="s">
        <v>86</v>
      </c>
      <c r="C3406" t="s">
        <v>3840</v>
      </c>
      <c r="D3406" t="s">
        <v>11983</v>
      </c>
      <c r="E3406">
        <v>23200000</v>
      </c>
    </row>
    <row r="3407" spans="1:5" ht="15" customHeight="1" x14ac:dyDescent="0.3">
      <c r="A3407" t="s">
        <v>10875</v>
      </c>
      <c r="B3407" t="s">
        <v>86</v>
      </c>
      <c r="C3407" t="s">
        <v>2476</v>
      </c>
      <c r="D3407" t="s">
        <v>10874</v>
      </c>
      <c r="E3407">
        <v>43800000</v>
      </c>
    </row>
    <row r="3408" spans="1:5" ht="15" customHeight="1" x14ac:dyDescent="0.3">
      <c r="A3408" t="s">
        <v>11984</v>
      </c>
      <c r="B3408" t="s">
        <v>156</v>
      </c>
      <c r="C3408" t="s">
        <v>2789</v>
      </c>
      <c r="D3408" t="s">
        <v>11985</v>
      </c>
      <c r="E3408">
        <v>15500000</v>
      </c>
    </row>
    <row r="3409" spans="1:5" ht="15" customHeight="1" x14ac:dyDescent="0.3">
      <c r="A3409" t="s">
        <v>11986</v>
      </c>
      <c r="B3409" t="s">
        <v>241</v>
      </c>
      <c r="C3409" t="s">
        <v>2484</v>
      </c>
      <c r="D3409" t="s">
        <v>11987</v>
      </c>
      <c r="E3409">
        <v>11200000</v>
      </c>
    </row>
    <row r="3410" spans="1:5" ht="15" customHeight="1" x14ac:dyDescent="0.3">
      <c r="A3410" t="s">
        <v>11988</v>
      </c>
      <c r="B3410" t="s">
        <v>241</v>
      </c>
      <c r="C3410">
        <v>208</v>
      </c>
      <c r="D3410" t="s">
        <v>10737</v>
      </c>
      <c r="E3410">
        <v>9800000</v>
      </c>
    </row>
    <row r="3411" spans="1:5" ht="15" customHeight="1" x14ac:dyDescent="0.3">
      <c r="A3411" t="s">
        <v>11989</v>
      </c>
      <c r="B3411" t="s">
        <v>2498</v>
      </c>
      <c r="C3411" t="s">
        <v>196</v>
      </c>
      <c r="D3411" t="s">
        <v>8788</v>
      </c>
      <c r="E3411">
        <v>19700000</v>
      </c>
    </row>
    <row r="3412" spans="1:5" ht="15" customHeight="1" x14ac:dyDescent="0.3">
      <c r="A3412" t="s">
        <v>11990</v>
      </c>
      <c r="B3412" t="s">
        <v>2498</v>
      </c>
      <c r="C3412" t="s">
        <v>196</v>
      </c>
      <c r="D3412" t="s">
        <v>8788</v>
      </c>
      <c r="E3412">
        <v>19700000</v>
      </c>
    </row>
    <row r="3413" spans="1:5" ht="15" customHeight="1" x14ac:dyDescent="0.3">
      <c r="A3413" t="s">
        <v>11991</v>
      </c>
      <c r="B3413" t="s">
        <v>147</v>
      </c>
      <c r="C3413" t="s">
        <v>153</v>
      </c>
      <c r="D3413" t="s">
        <v>2929</v>
      </c>
      <c r="E3413">
        <v>11300000</v>
      </c>
    </row>
    <row r="3414" spans="1:5" ht="15" customHeight="1" x14ac:dyDescent="0.3">
      <c r="A3414" t="s">
        <v>11992</v>
      </c>
      <c r="B3414" t="s">
        <v>291</v>
      </c>
      <c r="C3414" t="s">
        <v>4921</v>
      </c>
      <c r="D3414" t="s">
        <v>11993</v>
      </c>
      <c r="E3414">
        <v>8200000</v>
      </c>
    </row>
    <row r="3415" spans="1:5" ht="15" customHeight="1" x14ac:dyDescent="0.3">
      <c r="A3415" t="s">
        <v>11994</v>
      </c>
      <c r="B3415" t="s">
        <v>147</v>
      </c>
      <c r="C3415" t="s">
        <v>150</v>
      </c>
      <c r="D3415" t="s">
        <v>11995</v>
      </c>
      <c r="E3415">
        <v>15500000</v>
      </c>
    </row>
    <row r="3416" spans="1:5" ht="15" customHeight="1" x14ac:dyDescent="0.3">
      <c r="A3416" t="s">
        <v>11996</v>
      </c>
      <c r="B3416" t="s">
        <v>220</v>
      </c>
      <c r="C3416" t="s">
        <v>231</v>
      </c>
      <c r="D3416" t="s">
        <v>11997</v>
      </c>
      <c r="E3416">
        <v>8900000</v>
      </c>
    </row>
    <row r="3417" spans="1:5" ht="15" customHeight="1" x14ac:dyDescent="0.3">
      <c r="A3417" t="s">
        <v>11998</v>
      </c>
      <c r="B3417" t="s">
        <v>300</v>
      </c>
      <c r="C3417" t="s">
        <v>2735</v>
      </c>
      <c r="D3417" t="s">
        <v>11999</v>
      </c>
      <c r="E3417">
        <v>7170000</v>
      </c>
    </row>
    <row r="3418" spans="1:5" ht="15" customHeight="1" x14ac:dyDescent="0.3">
      <c r="A3418" t="s">
        <v>12000</v>
      </c>
      <c r="B3418" t="s">
        <v>86</v>
      </c>
      <c r="C3418" t="s">
        <v>122</v>
      </c>
      <c r="D3418" t="s">
        <v>1623</v>
      </c>
      <c r="E3418">
        <v>17700000</v>
      </c>
    </row>
    <row r="3419" spans="1:5" ht="15" customHeight="1" x14ac:dyDescent="0.3">
      <c r="A3419" t="s">
        <v>12001</v>
      </c>
      <c r="B3419" t="s">
        <v>28</v>
      </c>
      <c r="C3419" t="s">
        <v>2575</v>
      </c>
      <c r="D3419" t="s">
        <v>12002</v>
      </c>
      <c r="E3419">
        <v>9400000</v>
      </c>
    </row>
    <row r="3420" spans="1:5" ht="15" customHeight="1" x14ac:dyDescent="0.3">
      <c r="A3420" t="s">
        <v>12003</v>
      </c>
      <c r="B3420" t="s">
        <v>2498</v>
      </c>
      <c r="C3420" t="s">
        <v>196</v>
      </c>
      <c r="D3420" t="s">
        <v>2851</v>
      </c>
      <c r="E3420">
        <v>13000000</v>
      </c>
    </row>
    <row r="3421" spans="1:5" ht="15" customHeight="1" x14ac:dyDescent="0.3">
      <c r="A3421" t="s">
        <v>12004</v>
      </c>
      <c r="B3421" t="s">
        <v>86</v>
      </c>
      <c r="C3421" t="s">
        <v>2747</v>
      </c>
      <c r="D3421" t="s">
        <v>12005</v>
      </c>
      <c r="E3421">
        <v>11700000</v>
      </c>
    </row>
    <row r="3422" spans="1:5" ht="15" customHeight="1" x14ac:dyDescent="0.3">
      <c r="A3422" t="s">
        <v>12006</v>
      </c>
      <c r="B3422" t="s">
        <v>86</v>
      </c>
      <c r="C3422" t="s">
        <v>3840</v>
      </c>
      <c r="D3422" t="s">
        <v>11983</v>
      </c>
      <c r="E3422">
        <v>23200000</v>
      </c>
    </row>
    <row r="3423" spans="1:5" ht="15" customHeight="1" x14ac:dyDescent="0.3">
      <c r="A3423" t="s">
        <v>10876</v>
      </c>
      <c r="B3423" t="s">
        <v>86</v>
      </c>
      <c r="C3423" t="s">
        <v>2507</v>
      </c>
      <c r="D3423" t="s">
        <v>9689</v>
      </c>
      <c r="E3423">
        <v>32800000</v>
      </c>
    </row>
    <row r="3424" spans="1:5" ht="15" customHeight="1" x14ac:dyDescent="0.3">
      <c r="A3424" t="s">
        <v>10877</v>
      </c>
      <c r="B3424" t="s">
        <v>2549</v>
      </c>
      <c r="C3424" t="s">
        <v>10857</v>
      </c>
      <c r="D3424" t="s">
        <v>9680</v>
      </c>
      <c r="E3424">
        <v>9900000</v>
      </c>
    </row>
    <row r="3425" spans="1:5" ht="15" customHeight="1" x14ac:dyDescent="0.3">
      <c r="A3425" t="s">
        <v>10878</v>
      </c>
      <c r="B3425" t="s">
        <v>207</v>
      </c>
      <c r="C3425" t="s">
        <v>2603</v>
      </c>
      <c r="D3425" t="s">
        <v>8837</v>
      </c>
      <c r="E3425">
        <v>17200000</v>
      </c>
    </row>
    <row r="3426" spans="1:5" ht="15" customHeight="1" x14ac:dyDescent="0.3">
      <c r="A3426" t="s">
        <v>10879</v>
      </c>
      <c r="B3426" t="s">
        <v>167</v>
      </c>
      <c r="C3426" t="s">
        <v>3192</v>
      </c>
      <c r="D3426" t="s">
        <v>9762</v>
      </c>
      <c r="E3426">
        <v>8400000</v>
      </c>
    </row>
    <row r="3427" spans="1:5" ht="15" customHeight="1" x14ac:dyDescent="0.3">
      <c r="A3427" t="s">
        <v>10880</v>
      </c>
      <c r="B3427" t="s">
        <v>2498</v>
      </c>
      <c r="C3427" t="s">
        <v>2587</v>
      </c>
      <c r="D3427" t="s">
        <v>8812</v>
      </c>
      <c r="E3427">
        <v>17200000</v>
      </c>
    </row>
    <row r="3428" spans="1:5" ht="15" customHeight="1" x14ac:dyDescent="0.3">
      <c r="A3428" t="s">
        <v>10881</v>
      </c>
      <c r="B3428" t="s">
        <v>86</v>
      </c>
      <c r="C3428" t="s">
        <v>134</v>
      </c>
      <c r="D3428" t="s">
        <v>9621</v>
      </c>
      <c r="E3428">
        <v>15600000</v>
      </c>
    </row>
    <row r="3429" spans="1:5" ht="15" customHeight="1" x14ac:dyDescent="0.3">
      <c r="A3429" t="s">
        <v>10882</v>
      </c>
      <c r="B3429" t="s">
        <v>2498</v>
      </c>
      <c r="C3429" t="s">
        <v>188</v>
      </c>
      <c r="D3429" t="s">
        <v>9647</v>
      </c>
      <c r="E3429">
        <v>9700000</v>
      </c>
    </row>
    <row r="3430" spans="1:5" ht="15" customHeight="1" x14ac:dyDescent="0.3">
      <c r="A3430" t="s">
        <v>12007</v>
      </c>
      <c r="B3430" t="s">
        <v>2545</v>
      </c>
      <c r="C3430" t="s">
        <v>2856</v>
      </c>
      <c r="D3430" t="s">
        <v>12008</v>
      </c>
      <c r="E3430">
        <v>18100000</v>
      </c>
    </row>
    <row r="3431" spans="1:5" ht="15" customHeight="1" x14ac:dyDescent="0.3">
      <c r="A3431" t="s">
        <v>10883</v>
      </c>
      <c r="B3431" t="s">
        <v>167</v>
      </c>
      <c r="C3431" t="s">
        <v>3192</v>
      </c>
      <c r="D3431" t="s">
        <v>8846</v>
      </c>
      <c r="E3431">
        <v>9100000</v>
      </c>
    </row>
    <row r="3432" spans="1:5" ht="15" customHeight="1" x14ac:dyDescent="0.3">
      <c r="A3432" t="s">
        <v>10884</v>
      </c>
      <c r="B3432" t="s">
        <v>60</v>
      </c>
      <c r="C3432" t="s">
        <v>8859</v>
      </c>
      <c r="D3432" t="s">
        <v>8847</v>
      </c>
      <c r="E3432">
        <v>7870000</v>
      </c>
    </row>
    <row r="3433" spans="1:5" ht="15" customHeight="1" x14ac:dyDescent="0.3">
      <c r="A3433" t="s">
        <v>12009</v>
      </c>
      <c r="B3433" t="s">
        <v>156</v>
      </c>
      <c r="C3433" t="s">
        <v>2912</v>
      </c>
      <c r="D3433" t="s">
        <v>12010</v>
      </c>
      <c r="E3433">
        <v>11600000</v>
      </c>
    </row>
    <row r="3434" spans="1:5" ht="15" customHeight="1" x14ac:dyDescent="0.3">
      <c r="A3434" t="s">
        <v>12011</v>
      </c>
      <c r="B3434" t="s">
        <v>60</v>
      </c>
      <c r="C3434" t="s">
        <v>3200</v>
      </c>
      <c r="D3434" t="s">
        <v>12012</v>
      </c>
      <c r="E3434">
        <v>9200000</v>
      </c>
    </row>
    <row r="3435" spans="1:5" ht="15" customHeight="1" x14ac:dyDescent="0.3">
      <c r="A3435" t="s">
        <v>12013</v>
      </c>
      <c r="B3435" t="s">
        <v>156</v>
      </c>
      <c r="C3435" t="s">
        <v>2912</v>
      </c>
      <c r="D3435" t="s">
        <v>12010</v>
      </c>
      <c r="E3435">
        <v>11600000</v>
      </c>
    </row>
    <row r="3436" spans="1:5" ht="15" customHeight="1" x14ac:dyDescent="0.3">
      <c r="A3436" t="s">
        <v>12014</v>
      </c>
      <c r="B3436" t="s">
        <v>241</v>
      </c>
      <c r="C3436" t="s">
        <v>2484</v>
      </c>
      <c r="D3436" t="s">
        <v>12015</v>
      </c>
      <c r="E3436">
        <v>16600000</v>
      </c>
    </row>
    <row r="3437" spans="1:5" ht="15" customHeight="1" x14ac:dyDescent="0.3">
      <c r="A3437" t="s">
        <v>12016</v>
      </c>
      <c r="B3437" t="s">
        <v>2533</v>
      </c>
      <c r="C3437" t="s">
        <v>3799</v>
      </c>
      <c r="D3437" t="s">
        <v>12017</v>
      </c>
      <c r="E3437">
        <v>7530000</v>
      </c>
    </row>
    <row r="3438" spans="1:5" ht="15" customHeight="1" x14ac:dyDescent="0.3">
      <c r="A3438" t="s">
        <v>12018</v>
      </c>
      <c r="B3438" t="s">
        <v>167</v>
      </c>
      <c r="C3438" t="s">
        <v>170</v>
      </c>
      <c r="D3438" t="s">
        <v>9849</v>
      </c>
      <c r="E3438">
        <v>11100000</v>
      </c>
    </row>
    <row r="3439" spans="1:5" ht="15" customHeight="1" x14ac:dyDescent="0.3">
      <c r="A3439" t="s">
        <v>10885</v>
      </c>
      <c r="B3439" t="s">
        <v>2498</v>
      </c>
      <c r="C3439" t="s">
        <v>188</v>
      </c>
      <c r="D3439" t="s">
        <v>3906</v>
      </c>
      <c r="E3439">
        <v>10000000</v>
      </c>
    </row>
    <row r="3440" spans="1:5" ht="15" customHeight="1" x14ac:dyDescent="0.3">
      <c r="A3440" t="s">
        <v>10886</v>
      </c>
      <c r="B3440" t="s">
        <v>2498</v>
      </c>
      <c r="C3440" t="s">
        <v>2499</v>
      </c>
      <c r="D3440" t="s">
        <v>8151</v>
      </c>
      <c r="E3440">
        <v>8600000</v>
      </c>
    </row>
    <row r="3441" spans="1:5" ht="15" customHeight="1" x14ac:dyDescent="0.3">
      <c r="A3441" t="s">
        <v>10887</v>
      </c>
      <c r="B3441" t="s">
        <v>86</v>
      </c>
      <c r="C3441" t="s">
        <v>106</v>
      </c>
      <c r="D3441" t="s">
        <v>8338</v>
      </c>
      <c r="E3441">
        <v>31400000</v>
      </c>
    </row>
    <row r="3442" spans="1:5" ht="15" customHeight="1" x14ac:dyDescent="0.3">
      <c r="A3442" t="s">
        <v>10888</v>
      </c>
      <c r="B3442" t="s">
        <v>241</v>
      </c>
      <c r="C3442" t="s">
        <v>2584</v>
      </c>
      <c r="D3442" t="s">
        <v>2999</v>
      </c>
      <c r="E3442">
        <v>15700000</v>
      </c>
    </row>
    <row r="3443" spans="1:5" ht="15" customHeight="1" x14ac:dyDescent="0.3">
      <c r="A3443" t="s">
        <v>12019</v>
      </c>
      <c r="B3443" t="s">
        <v>173</v>
      </c>
      <c r="C3443">
        <v>7</v>
      </c>
      <c r="D3443" t="s">
        <v>12020</v>
      </c>
      <c r="E3443">
        <v>16500000</v>
      </c>
    </row>
    <row r="3444" spans="1:5" ht="15" customHeight="1" x14ac:dyDescent="0.3">
      <c r="A3444" t="s">
        <v>10889</v>
      </c>
      <c r="B3444" t="s">
        <v>278</v>
      </c>
      <c r="C3444" t="s">
        <v>2530</v>
      </c>
      <c r="D3444" t="s">
        <v>8524</v>
      </c>
      <c r="E3444">
        <v>38800000</v>
      </c>
    </row>
    <row r="3445" spans="1:5" ht="15" customHeight="1" x14ac:dyDescent="0.3">
      <c r="A3445" t="s">
        <v>10890</v>
      </c>
      <c r="B3445" t="s">
        <v>291</v>
      </c>
      <c r="C3445" t="s">
        <v>2537</v>
      </c>
      <c r="D3445" t="s">
        <v>8562</v>
      </c>
      <c r="E3445">
        <v>15200000</v>
      </c>
    </row>
    <row r="3446" spans="1:5" ht="15" customHeight="1" x14ac:dyDescent="0.3">
      <c r="A3446" t="s">
        <v>12021</v>
      </c>
      <c r="B3446" t="s">
        <v>241</v>
      </c>
      <c r="C3446" t="s">
        <v>2501</v>
      </c>
      <c r="D3446" t="s">
        <v>12022</v>
      </c>
      <c r="E3446">
        <v>22100000</v>
      </c>
    </row>
    <row r="3447" spans="1:5" ht="15" customHeight="1" x14ac:dyDescent="0.3">
      <c r="A3447" t="s">
        <v>12023</v>
      </c>
      <c r="B3447" t="s">
        <v>60</v>
      </c>
      <c r="C3447" t="s">
        <v>2854</v>
      </c>
      <c r="D3447" t="s">
        <v>12024</v>
      </c>
      <c r="E3447">
        <v>12300000</v>
      </c>
    </row>
    <row r="3448" spans="1:5" ht="15" customHeight="1" x14ac:dyDescent="0.3">
      <c r="A3448" t="s">
        <v>12025</v>
      </c>
      <c r="B3448" t="s">
        <v>291</v>
      </c>
      <c r="C3448" t="s">
        <v>12026</v>
      </c>
      <c r="D3448" t="s">
        <v>12027</v>
      </c>
      <c r="E3448">
        <v>9200000</v>
      </c>
    </row>
    <row r="3449" spans="1:5" ht="15" customHeight="1" x14ac:dyDescent="0.3">
      <c r="A3449" t="s">
        <v>12028</v>
      </c>
      <c r="B3449" t="s">
        <v>2498</v>
      </c>
      <c r="C3449" t="s">
        <v>188</v>
      </c>
      <c r="D3449" t="s">
        <v>12029</v>
      </c>
      <c r="E3449">
        <v>8700000</v>
      </c>
    </row>
    <row r="3450" spans="1:5" ht="15" customHeight="1" x14ac:dyDescent="0.3">
      <c r="A3450" t="s">
        <v>12030</v>
      </c>
      <c r="B3450" t="s">
        <v>300</v>
      </c>
      <c r="C3450" t="s">
        <v>2925</v>
      </c>
      <c r="D3450" t="s">
        <v>12031</v>
      </c>
      <c r="E3450">
        <v>11200000</v>
      </c>
    </row>
    <row r="3451" spans="1:5" ht="15" customHeight="1" x14ac:dyDescent="0.3">
      <c r="A3451" t="s">
        <v>12032</v>
      </c>
      <c r="B3451" t="s">
        <v>28</v>
      </c>
      <c r="C3451" t="s">
        <v>2496</v>
      </c>
      <c r="D3451" t="s">
        <v>12033</v>
      </c>
      <c r="E3451">
        <v>7840000</v>
      </c>
    </row>
    <row r="3452" spans="1:5" ht="15" customHeight="1" x14ac:dyDescent="0.3">
      <c r="A3452" t="s">
        <v>12034</v>
      </c>
      <c r="B3452" t="s">
        <v>28</v>
      </c>
      <c r="C3452" t="s">
        <v>2575</v>
      </c>
      <c r="D3452" t="s">
        <v>9945</v>
      </c>
      <c r="E3452">
        <v>7700000</v>
      </c>
    </row>
    <row r="3453" spans="1:5" ht="15" customHeight="1" x14ac:dyDescent="0.3">
      <c r="A3453" t="s">
        <v>12035</v>
      </c>
      <c r="B3453" t="s">
        <v>156</v>
      </c>
      <c r="C3453" t="s">
        <v>2912</v>
      </c>
      <c r="D3453" t="s">
        <v>12036</v>
      </c>
      <c r="E3453">
        <v>9700000</v>
      </c>
    </row>
    <row r="3454" spans="1:5" ht="15" customHeight="1" x14ac:dyDescent="0.3">
      <c r="A3454" t="s">
        <v>12037</v>
      </c>
      <c r="B3454" t="s">
        <v>86</v>
      </c>
      <c r="C3454" t="s">
        <v>2507</v>
      </c>
      <c r="D3454" t="s">
        <v>12038</v>
      </c>
      <c r="E3454">
        <v>31700000</v>
      </c>
    </row>
    <row r="3455" spans="1:5" ht="15" customHeight="1" x14ac:dyDescent="0.3">
      <c r="A3455" t="s">
        <v>12039</v>
      </c>
      <c r="B3455" t="s">
        <v>167</v>
      </c>
      <c r="C3455" t="s">
        <v>3192</v>
      </c>
      <c r="D3455" t="s">
        <v>12040</v>
      </c>
      <c r="E3455">
        <v>7640000</v>
      </c>
    </row>
    <row r="3456" spans="1:5" ht="15" customHeight="1" x14ac:dyDescent="0.3">
      <c r="A3456" t="s">
        <v>12041</v>
      </c>
      <c r="B3456" t="s">
        <v>306</v>
      </c>
      <c r="C3456" t="s">
        <v>2981</v>
      </c>
      <c r="D3456" t="s">
        <v>12042</v>
      </c>
      <c r="E3456">
        <v>15700000</v>
      </c>
    </row>
    <row r="3457" spans="1:5" ht="15" customHeight="1" x14ac:dyDescent="0.3">
      <c r="A3457" t="s">
        <v>12043</v>
      </c>
      <c r="B3457" t="s">
        <v>156</v>
      </c>
      <c r="C3457" t="s">
        <v>2539</v>
      </c>
      <c r="D3457" t="s">
        <v>12044</v>
      </c>
      <c r="E3457">
        <v>26200000</v>
      </c>
    </row>
    <row r="3458" spans="1:5" ht="15" customHeight="1" x14ac:dyDescent="0.3">
      <c r="A3458" t="s">
        <v>12045</v>
      </c>
      <c r="B3458" t="s">
        <v>207</v>
      </c>
      <c r="C3458" t="s">
        <v>2582</v>
      </c>
      <c r="D3458" t="s">
        <v>12046</v>
      </c>
      <c r="E3458">
        <v>14600000</v>
      </c>
    </row>
    <row r="3459" spans="1:5" ht="15" customHeight="1" x14ac:dyDescent="0.3">
      <c r="A3459" t="s">
        <v>12047</v>
      </c>
      <c r="B3459" t="s">
        <v>278</v>
      </c>
      <c r="C3459">
        <v>700</v>
      </c>
      <c r="D3459" t="s">
        <v>12048</v>
      </c>
      <c r="E3459">
        <v>7270000</v>
      </c>
    </row>
    <row r="3460" spans="1:5" ht="15" customHeight="1" x14ac:dyDescent="0.3">
      <c r="A3460" t="s">
        <v>12049</v>
      </c>
      <c r="B3460" t="s">
        <v>2498</v>
      </c>
      <c r="C3460" t="s">
        <v>188</v>
      </c>
      <c r="D3460" t="s">
        <v>12050</v>
      </c>
      <c r="E3460">
        <v>10400000</v>
      </c>
    </row>
    <row r="3461" spans="1:5" ht="15" customHeight="1" x14ac:dyDescent="0.3">
      <c r="A3461" t="s">
        <v>12051</v>
      </c>
      <c r="B3461" t="s">
        <v>2493</v>
      </c>
      <c r="C3461" t="s">
        <v>83</v>
      </c>
      <c r="D3461" t="s">
        <v>12052</v>
      </c>
      <c r="E3461">
        <v>13600000</v>
      </c>
    </row>
    <row r="3462" spans="1:5" ht="15" customHeight="1" x14ac:dyDescent="0.3">
      <c r="A3462" t="s">
        <v>12053</v>
      </c>
      <c r="B3462" t="s">
        <v>86</v>
      </c>
      <c r="C3462" t="s">
        <v>2859</v>
      </c>
      <c r="D3462" t="s">
        <v>12054</v>
      </c>
      <c r="E3462">
        <v>25600000</v>
      </c>
    </row>
    <row r="3463" spans="1:5" ht="15" customHeight="1" x14ac:dyDescent="0.3">
      <c r="A3463" t="s">
        <v>12055</v>
      </c>
      <c r="B3463" t="s">
        <v>278</v>
      </c>
      <c r="C3463" t="s">
        <v>2530</v>
      </c>
      <c r="D3463" t="s">
        <v>10891</v>
      </c>
      <c r="E3463">
        <v>32900000</v>
      </c>
    </row>
    <row r="3464" spans="1:5" ht="15" customHeight="1" x14ac:dyDescent="0.3">
      <c r="A3464" t="s">
        <v>12056</v>
      </c>
      <c r="B3464" t="s">
        <v>2493</v>
      </c>
      <c r="C3464" t="s">
        <v>2574</v>
      </c>
      <c r="D3464" t="s">
        <v>10523</v>
      </c>
      <c r="E3464">
        <v>17800000</v>
      </c>
    </row>
    <row r="3465" spans="1:5" ht="15" customHeight="1" x14ac:dyDescent="0.3">
      <c r="A3465" t="s">
        <v>12057</v>
      </c>
      <c r="B3465" t="s">
        <v>60</v>
      </c>
      <c r="C3465" t="s">
        <v>3200</v>
      </c>
      <c r="D3465" t="s">
        <v>11438</v>
      </c>
      <c r="E3465">
        <v>9400000</v>
      </c>
    </row>
    <row r="3466" spans="1:5" ht="15" customHeight="1" x14ac:dyDescent="0.3">
      <c r="A3466" t="s">
        <v>10892</v>
      </c>
      <c r="B3466" t="s">
        <v>278</v>
      </c>
      <c r="C3466" t="s">
        <v>2530</v>
      </c>
      <c r="D3466" t="s">
        <v>10891</v>
      </c>
      <c r="E3466">
        <v>32900000</v>
      </c>
    </row>
    <row r="3467" spans="1:5" ht="15" customHeight="1" x14ac:dyDescent="0.3">
      <c r="A3467" t="s">
        <v>12058</v>
      </c>
      <c r="B3467" t="s">
        <v>300</v>
      </c>
      <c r="C3467" t="s">
        <v>301</v>
      </c>
      <c r="D3467" t="s">
        <v>12059</v>
      </c>
      <c r="E3467">
        <v>7950000</v>
      </c>
    </row>
    <row r="3468" spans="1:5" ht="15" customHeight="1" x14ac:dyDescent="0.3">
      <c r="A3468" t="s">
        <v>12060</v>
      </c>
      <c r="B3468" t="s">
        <v>180</v>
      </c>
      <c r="C3468" t="s">
        <v>2662</v>
      </c>
      <c r="D3468" t="s">
        <v>12061</v>
      </c>
      <c r="E3468">
        <v>8700000</v>
      </c>
    </row>
    <row r="3469" spans="1:5" ht="15" customHeight="1" x14ac:dyDescent="0.3">
      <c r="A3469" t="s">
        <v>12062</v>
      </c>
      <c r="B3469" t="s">
        <v>156</v>
      </c>
      <c r="C3469" t="s">
        <v>2707</v>
      </c>
      <c r="D3469" t="s">
        <v>10893</v>
      </c>
      <c r="E3469">
        <v>8200000</v>
      </c>
    </row>
    <row r="3470" spans="1:5" ht="15" customHeight="1" x14ac:dyDescent="0.3">
      <c r="A3470" t="s">
        <v>12063</v>
      </c>
      <c r="B3470" t="s">
        <v>28</v>
      </c>
      <c r="C3470" t="s">
        <v>2575</v>
      </c>
      <c r="D3470" t="s">
        <v>11489</v>
      </c>
      <c r="E3470">
        <v>8000000</v>
      </c>
    </row>
    <row r="3471" spans="1:5" ht="15" customHeight="1" x14ac:dyDescent="0.3">
      <c r="A3471" t="s">
        <v>12064</v>
      </c>
      <c r="B3471" t="s">
        <v>220</v>
      </c>
      <c r="C3471" t="s">
        <v>223</v>
      </c>
      <c r="D3471" t="s">
        <v>12065</v>
      </c>
      <c r="E3471">
        <v>11900000</v>
      </c>
    </row>
    <row r="3472" spans="1:5" ht="15" customHeight="1" x14ac:dyDescent="0.3">
      <c r="A3472" t="s">
        <v>12066</v>
      </c>
      <c r="B3472" t="s">
        <v>2521</v>
      </c>
      <c r="C3472" t="s">
        <v>2543</v>
      </c>
      <c r="D3472" t="s">
        <v>2334</v>
      </c>
      <c r="E3472">
        <v>10400000</v>
      </c>
    </row>
    <row r="3473" spans="1:5" ht="15" customHeight="1" x14ac:dyDescent="0.3">
      <c r="A3473" t="s">
        <v>12067</v>
      </c>
      <c r="B3473" t="s">
        <v>2494</v>
      </c>
      <c r="C3473" t="s">
        <v>3497</v>
      </c>
      <c r="D3473" t="s">
        <v>11475</v>
      </c>
      <c r="E3473">
        <v>17100000</v>
      </c>
    </row>
    <row r="3474" spans="1:5" ht="15" customHeight="1" x14ac:dyDescent="0.3">
      <c r="A3474" t="s">
        <v>12068</v>
      </c>
      <c r="B3474" t="s">
        <v>147</v>
      </c>
      <c r="C3474" t="s">
        <v>150</v>
      </c>
      <c r="D3474" t="s">
        <v>11918</v>
      </c>
      <c r="E3474">
        <v>15900000</v>
      </c>
    </row>
    <row r="3475" spans="1:5" ht="15" customHeight="1" x14ac:dyDescent="0.3">
      <c r="A3475" t="s">
        <v>12069</v>
      </c>
      <c r="B3475" t="s">
        <v>147</v>
      </c>
      <c r="C3475" t="s">
        <v>2516</v>
      </c>
      <c r="D3475" t="s">
        <v>2867</v>
      </c>
      <c r="E3475">
        <v>15400000</v>
      </c>
    </row>
    <row r="3476" spans="1:5" ht="15" customHeight="1" x14ac:dyDescent="0.3">
      <c r="A3476" t="s">
        <v>12070</v>
      </c>
      <c r="B3476" t="s">
        <v>2665</v>
      </c>
      <c r="C3476" t="s">
        <v>7728</v>
      </c>
      <c r="D3476" t="s">
        <v>7729</v>
      </c>
      <c r="E3476">
        <v>28200000</v>
      </c>
    </row>
    <row r="3477" spans="1:5" ht="15" customHeight="1" x14ac:dyDescent="0.3">
      <c r="A3477" t="s">
        <v>12071</v>
      </c>
      <c r="B3477" t="s">
        <v>241</v>
      </c>
      <c r="C3477" t="s">
        <v>2484</v>
      </c>
      <c r="D3477" t="s">
        <v>10894</v>
      </c>
      <c r="E3477">
        <v>11900000</v>
      </c>
    </row>
    <row r="3478" spans="1:5" ht="15" customHeight="1" x14ac:dyDescent="0.3">
      <c r="A3478" t="s">
        <v>12072</v>
      </c>
      <c r="B3478" t="s">
        <v>142</v>
      </c>
      <c r="C3478" t="s">
        <v>2824</v>
      </c>
      <c r="D3478" t="s">
        <v>10895</v>
      </c>
      <c r="E3478">
        <v>5960000</v>
      </c>
    </row>
    <row r="3479" spans="1:5" ht="15" customHeight="1" x14ac:dyDescent="0.3">
      <c r="A3479" t="s">
        <v>12073</v>
      </c>
      <c r="B3479" t="s">
        <v>142</v>
      </c>
      <c r="C3479" t="s">
        <v>2824</v>
      </c>
      <c r="D3479" t="s">
        <v>10895</v>
      </c>
      <c r="E3479">
        <v>5960000</v>
      </c>
    </row>
    <row r="3480" spans="1:5" ht="15" customHeight="1" x14ac:dyDescent="0.3">
      <c r="A3480" t="s">
        <v>12074</v>
      </c>
      <c r="B3480" t="s">
        <v>2493</v>
      </c>
      <c r="C3480" t="s">
        <v>83</v>
      </c>
      <c r="D3480" t="s">
        <v>12075</v>
      </c>
      <c r="E3480">
        <v>13400000</v>
      </c>
    </row>
    <row r="3481" spans="1:5" ht="15" customHeight="1" x14ac:dyDescent="0.3">
      <c r="A3481" t="s">
        <v>12076</v>
      </c>
      <c r="B3481" t="s">
        <v>241</v>
      </c>
      <c r="C3481" t="s">
        <v>2505</v>
      </c>
      <c r="D3481" t="s">
        <v>12077</v>
      </c>
      <c r="E3481">
        <v>25400000</v>
      </c>
    </row>
    <row r="3482" spans="1:5" ht="15" customHeight="1" x14ac:dyDescent="0.3">
      <c r="A3482" t="s">
        <v>12078</v>
      </c>
      <c r="B3482" t="s">
        <v>86</v>
      </c>
      <c r="C3482" t="s">
        <v>3130</v>
      </c>
      <c r="D3482" t="s">
        <v>12079</v>
      </c>
      <c r="E3482">
        <v>16000000</v>
      </c>
    </row>
    <row r="3483" spans="1:5" ht="15" customHeight="1" x14ac:dyDescent="0.3">
      <c r="A3483" t="s">
        <v>12080</v>
      </c>
      <c r="B3483" t="s">
        <v>156</v>
      </c>
      <c r="C3483" t="s">
        <v>3466</v>
      </c>
      <c r="D3483" t="s">
        <v>12081</v>
      </c>
      <c r="E3483">
        <v>12100000</v>
      </c>
    </row>
    <row r="3484" spans="1:5" ht="15" customHeight="1" x14ac:dyDescent="0.3">
      <c r="A3484" t="s">
        <v>10896</v>
      </c>
      <c r="B3484" t="s">
        <v>142</v>
      </c>
      <c r="C3484" t="s">
        <v>2824</v>
      </c>
      <c r="D3484" t="s">
        <v>10895</v>
      </c>
      <c r="E3484">
        <v>5960000</v>
      </c>
    </row>
    <row r="3485" spans="1:5" ht="15" customHeight="1" x14ac:dyDescent="0.3">
      <c r="A3485" t="s">
        <v>12082</v>
      </c>
      <c r="B3485" t="s">
        <v>45</v>
      </c>
      <c r="C3485" t="s">
        <v>3240</v>
      </c>
      <c r="D3485" t="s">
        <v>12083</v>
      </c>
      <c r="E3485">
        <v>6520000</v>
      </c>
    </row>
    <row r="3486" spans="1:5" ht="15" customHeight="1" x14ac:dyDescent="0.3">
      <c r="A3486" t="s">
        <v>12084</v>
      </c>
      <c r="B3486" t="s">
        <v>220</v>
      </c>
      <c r="C3486" t="s">
        <v>2716</v>
      </c>
      <c r="D3486" t="s">
        <v>12085</v>
      </c>
      <c r="E3486">
        <v>13300000</v>
      </c>
    </row>
    <row r="3487" spans="1:5" ht="15" customHeight="1" x14ac:dyDescent="0.3">
      <c r="A3487" t="s">
        <v>12086</v>
      </c>
      <c r="B3487" t="s">
        <v>156</v>
      </c>
      <c r="C3487" t="s">
        <v>2707</v>
      </c>
      <c r="D3487" t="s">
        <v>7464</v>
      </c>
      <c r="E3487">
        <v>7310000</v>
      </c>
    </row>
    <row r="3488" spans="1:5" ht="15" customHeight="1" x14ac:dyDescent="0.3">
      <c r="A3488" t="s">
        <v>12087</v>
      </c>
      <c r="B3488" t="s">
        <v>2498</v>
      </c>
      <c r="C3488" t="s">
        <v>2663</v>
      </c>
      <c r="D3488" t="s">
        <v>10897</v>
      </c>
      <c r="E3488">
        <v>11100000</v>
      </c>
    </row>
    <row r="3489" spans="1:5" ht="15" customHeight="1" x14ac:dyDescent="0.3">
      <c r="A3489" t="s">
        <v>12088</v>
      </c>
      <c r="B3489" t="s">
        <v>306</v>
      </c>
      <c r="C3489" t="s">
        <v>2491</v>
      </c>
      <c r="D3489" t="s">
        <v>12089</v>
      </c>
      <c r="E3489">
        <v>22700000</v>
      </c>
    </row>
    <row r="3490" spans="1:5" ht="15" customHeight="1" x14ac:dyDescent="0.3">
      <c r="A3490" t="s">
        <v>12090</v>
      </c>
      <c r="B3490" t="s">
        <v>147</v>
      </c>
      <c r="C3490" t="s">
        <v>2845</v>
      </c>
      <c r="D3490" t="s">
        <v>11079</v>
      </c>
      <c r="E3490">
        <v>13800000</v>
      </c>
    </row>
    <row r="3491" spans="1:5" ht="15" customHeight="1" x14ac:dyDescent="0.3">
      <c r="A3491" t="s">
        <v>12091</v>
      </c>
      <c r="B3491" t="s">
        <v>241</v>
      </c>
      <c r="C3491" t="s">
        <v>2478</v>
      </c>
      <c r="D3491" t="s">
        <v>12092</v>
      </c>
      <c r="E3491">
        <v>13600000</v>
      </c>
    </row>
    <row r="3492" spans="1:5" ht="15" customHeight="1" x14ac:dyDescent="0.3">
      <c r="A3492" t="s">
        <v>11175</v>
      </c>
      <c r="B3492" t="s">
        <v>60</v>
      </c>
      <c r="C3492" t="s">
        <v>3465</v>
      </c>
      <c r="D3492" t="s">
        <v>2477</v>
      </c>
      <c r="E3492">
        <v>13400000</v>
      </c>
    </row>
    <row r="3493" spans="1:5" ht="15" customHeight="1" x14ac:dyDescent="0.3">
      <c r="A3493" t="s">
        <v>12093</v>
      </c>
      <c r="B3493" t="s">
        <v>300</v>
      </c>
      <c r="C3493" t="s">
        <v>2653</v>
      </c>
      <c r="D3493" t="s">
        <v>12094</v>
      </c>
      <c r="E3493">
        <v>8100000</v>
      </c>
    </row>
    <row r="3494" spans="1:5" ht="15" customHeight="1" x14ac:dyDescent="0.3">
      <c r="A3494" t="s">
        <v>12095</v>
      </c>
      <c r="B3494" t="s">
        <v>28</v>
      </c>
      <c r="C3494" t="s">
        <v>2670</v>
      </c>
      <c r="D3494" t="s">
        <v>12096</v>
      </c>
      <c r="E3494">
        <v>7160000</v>
      </c>
    </row>
    <row r="3495" spans="1:5" ht="15" customHeight="1" x14ac:dyDescent="0.3">
      <c r="A3495" t="s">
        <v>12097</v>
      </c>
      <c r="B3495" t="s">
        <v>207</v>
      </c>
      <c r="C3495" t="s">
        <v>11894</v>
      </c>
      <c r="D3495" t="s">
        <v>12098</v>
      </c>
      <c r="E3495">
        <v>14700000</v>
      </c>
    </row>
    <row r="3496" spans="1:5" ht="15" customHeight="1" x14ac:dyDescent="0.3">
      <c r="A3496" t="s">
        <v>12099</v>
      </c>
      <c r="B3496" t="s">
        <v>220</v>
      </c>
      <c r="C3496" t="s">
        <v>2716</v>
      </c>
      <c r="D3496" t="s">
        <v>1104</v>
      </c>
      <c r="E3496">
        <v>15100000</v>
      </c>
    </row>
    <row r="3497" spans="1:5" ht="15" customHeight="1" x14ac:dyDescent="0.3">
      <c r="A3497" t="s">
        <v>12100</v>
      </c>
      <c r="B3497" t="s">
        <v>14</v>
      </c>
      <c r="C3497" t="s">
        <v>15</v>
      </c>
      <c r="D3497" t="s">
        <v>10570</v>
      </c>
      <c r="E3497">
        <v>8200000</v>
      </c>
    </row>
    <row r="3498" spans="1:5" ht="15" customHeight="1" x14ac:dyDescent="0.3">
      <c r="A3498" t="s">
        <v>12101</v>
      </c>
      <c r="B3498" t="s">
        <v>86</v>
      </c>
      <c r="C3498" t="s">
        <v>122</v>
      </c>
      <c r="D3498" t="s">
        <v>1623</v>
      </c>
      <c r="E3498">
        <v>17700000</v>
      </c>
    </row>
    <row r="3499" spans="1:5" ht="15" customHeight="1" x14ac:dyDescent="0.3">
      <c r="A3499" t="s">
        <v>12102</v>
      </c>
      <c r="B3499" t="s">
        <v>2816</v>
      </c>
      <c r="C3499" t="s">
        <v>12103</v>
      </c>
      <c r="D3499" t="s">
        <v>12104</v>
      </c>
      <c r="E3499">
        <v>18000000</v>
      </c>
    </row>
    <row r="3500" spans="1:5" ht="15" customHeight="1" x14ac:dyDescent="0.3">
      <c r="A3500" t="s">
        <v>12105</v>
      </c>
      <c r="B3500" t="s">
        <v>45</v>
      </c>
      <c r="C3500" t="s">
        <v>2903</v>
      </c>
      <c r="D3500" t="s">
        <v>3579</v>
      </c>
      <c r="E3500">
        <v>20500000</v>
      </c>
    </row>
    <row r="3501" spans="1:5" ht="15" customHeight="1" x14ac:dyDescent="0.3">
      <c r="A3501" t="s">
        <v>12106</v>
      </c>
      <c r="B3501" t="s">
        <v>241</v>
      </c>
      <c r="C3501">
        <v>3008</v>
      </c>
      <c r="D3501" t="s">
        <v>12107</v>
      </c>
      <c r="E3501">
        <v>12000000</v>
      </c>
    </row>
    <row r="3502" spans="1:5" ht="15" customHeight="1" x14ac:dyDescent="0.3">
      <c r="A3502" t="s">
        <v>12108</v>
      </c>
      <c r="B3502" t="s">
        <v>220</v>
      </c>
      <c r="C3502" t="s">
        <v>223</v>
      </c>
      <c r="D3502" t="s">
        <v>12109</v>
      </c>
      <c r="E3502">
        <v>12900000</v>
      </c>
    </row>
    <row r="3503" spans="1:5" ht="15" customHeight="1" x14ac:dyDescent="0.3">
      <c r="A3503" t="s">
        <v>12110</v>
      </c>
      <c r="B3503" t="s">
        <v>300</v>
      </c>
      <c r="C3503" t="s">
        <v>3299</v>
      </c>
      <c r="D3503" t="s">
        <v>11212</v>
      </c>
      <c r="E3503">
        <v>14800000</v>
      </c>
    </row>
    <row r="3504" spans="1:5" ht="15" customHeight="1" x14ac:dyDescent="0.3">
      <c r="A3504" t="s">
        <v>12111</v>
      </c>
      <c r="B3504" t="s">
        <v>86</v>
      </c>
      <c r="C3504" t="s">
        <v>2507</v>
      </c>
      <c r="D3504" t="s">
        <v>12112</v>
      </c>
      <c r="E3504">
        <v>43500000</v>
      </c>
    </row>
    <row r="3505" spans="1:5" ht="15" customHeight="1" x14ac:dyDescent="0.3">
      <c r="A3505" t="s">
        <v>12113</v>
      </c>
      <c r="B3505" t="s">
        <v>241</v>
      </c>
      <c r="C3505" t="s">
        <v>2584</v>
      </c>
      <c r="D3505" t="s">
        <v>571</v>
      </c>
      <c r="E3505">
        <v>17700000</v>
      </c>
    </row>
    <row r="3506" spans="1:5" ht="15" customHeight="1" x14ac:dyDescent="0.3">
      <c r="A3506" t="s">
        <v>12114</v>
      </c>
      <c r="B3506" t="s">
        <v>86</v>
      </c>
      <c r="C3506" t="s">
        <v>2793</v>
      </c>
      <c r="D3506" t="s">
        <v>12115</v>
      </c>
      <c r="E3506">
        <v>18500000</v>
      </c>
    </row>
    <row r="3507" spans="1:5" ht="15" customHeight="1" x14ac:dyDescent="0.3">
      <c r="A3507" t="s">
        <v>12116</v>
      </c>
      <c r="B3507" t="s">
        <v>241</v>
      </c>
      <c r="C3507" t="s">
        <v>2478</v>
      </c>
      <c r="D3507" t="s">
        <v>12117</v>
      </c>
      <c r="E3507">
        <v>15500000</v>
      </c>
    </row>
    <row r="3508" spans="1:5" ht="15" customHeight="1" x14ac:dyDescent="0.3">
      <c r="A3508" t="s">
        <v>12118</v>
      </c>
      <c r="B3508" t="s">
        <v>86</v>
      </c>
      <c r="C3508" t="s">
        <v>2476</v>
      </c>
      <c r="D3508" t="s">
        <v>12119</v>
      </c>
      <c r="E3508">
        <v>39800000</v>
      </c>
    </row>
    <row r="3509" spans="1:5" ht="15" customHeight="1" x14ac:dyDescent="0.3">
      <c r="A3509" t="s">
        <v>12120</v>
      </c>
      <c r="B3509" t="s">
        <v>167</v>
      </c>
      <c r="C3509" t="s">
        <v>12121</v>
      </c>
      <c r="D3509" t="s">
        <v>12122</v>
      </c>
      <c r="E3509">
        <v>9100000</v>
      </c>
    </row>
    <row r="3510" spans="1:5" ht="15" customHeight="1" x14ac:dyDescent="0.3">
      <c r="A3510" t="s">
        <v>12123</v>
      </c>
      <c r="B3510" t="s">
        <v>156</v>
      </c>
      <c r="C3510" t="s">
        <v>3117</v>
      </c>
      <c r="D3510" t="s">
        <v>12124</v>
      </c>
      <c r="E3510">
        <v>18600000</v>
      </c>
    </row>
    <row r="3511" spans="1:5" ht="15" customHeight="1" x14ac:dyDescent="0.3">
      <c r="A3511" t="s">
        <v>11176</v>
      </c>
      <c r="B3511" t="s">
        <v>2521</v>
      </c>
      <c r="C3511" t="s">
        <v>2522</v>
      </c>
      <c r="D3511" t="s">
        <v>10854</v>
      </c>
      <c r="E3511">
        <v>20300000</v>
      </c>
    </row>
    <row r="3512" spans="1:5" ht="15" customHeight="1" x14ac:dyDescent="0.3">
      <c r="A3512" t="s">
        <v>12125</v>
      </c>
      <c r="B3512" t="s">
        <v>45</v>
      </c>
      <c r="C3512" t="s">
        <v>49</v>
      </c>
      <c r="D3512" t="s">
        <v>12126</v>
      </c>
      <c r="E3512">
        <v>37100000</v>
      </c>
    </row>
    <row r="3513" spans="1:5" ht="15" customHeight="1" x14ac:dyDescent="0.3">
      <c r="A3513" t="s">
        <v>12127</v>
      </c>
      <c r="B3513" t="s">
        <v>2498</v>
      </c>
      <c r="C3513" t="s">
        <v>2499</v>
      </c>
      <c r="D3513" t="s">
        <v>12128</v>
      </c>
      <c r="E3513">
        <v>8200000</v>
      </c>
    </row>
    <row r="3514" spans="1:5" ht="15" customHeight="1" x14ac:dyDescent="0.3">
      <c r="A3514" t="s">
        <v>12129</v>
      </c>
      <c r="B3514" t="s">
        <v>291</v>
      </c>
      <c r="C3514" t="s">
        <v>3844</v>
      </c>
      <c r="D3514" t="s">
        <v>11178</v>
      </c>
      <c r="E3514">
        <v>13800000</v>
      </c>
    </row>
    <row r="3515" spans="1:5" ht="15" customHeight="1" x14ac:dyDescent="0.3">
      <c r="A3515" t="s">
        <v>12130</v>
      </c>
      <c r="B3515" t="s">
        <v>220</v>
      </c>
      <c r="C3515" t="s">
        <v>223</v>
      </c>
      <c r="D3515" t="s">
        <v>12131</v>
      </c>
      <c r="E3515">
        <v>5630000</v>
      </c>
    </row>
    <row r="3516" spans="1:5" ht="15" customHeight="1" x14ac:dyDescent="0.3">
      <c r="A3516" t="s">
        <v>12132</v>
      </c>
      <c r="B3516" t="s">
        <v>2498</v>
      </c>
      <c r="C3516" t="s">
        <v>188</v>
      </c>
      <c r="D3516" t="s">
        <v>11180</v>
      </c>
      <c r="E3516">
        <v>7210000</v>
      </c>
    </row>
    <row r="3517" spans="1:5" ht="15" customHeight="1" x14ac:dyDescent="0.3">
      <c r="A3517" t="s">
        <v>11177</v>
      </c>
      <c r="B3517" t="s">
        <v>291</v>
      </c>
      <c r="C3517" t="s">
        <v>3844</v>
      </c>
      <c r="D3517" t="s">
        <v>11178</v>
      </c>
      <c r="E3517">
        <v>13800000</v>
      </c>
    </row>
    <row r="3518" spans="1:5" ht="15" customHeight="1" x14ac:dyDescent="0.3">
      <c r="A3518" t="s">
        <v>12133</v>
      </c>
      <c r="B3518" t="s">
        <v>60</v>
      </c>
      <c r="C3518" t="s">
        <v>3150</v>
      </c>
      <c r="D3518" t="s">
        <v>3151</v>
      </c>
      <c r="E3518">
        <v>11400000</v>
      </c>
    </row>
    <row r="3519" spans="1:5" ht="15" customHeight="1" x14ac:dyDescent="0.3">
      <c r="A3519" t="s">
        <v>11179</v>
      </c>
      <c r="B3519" t="s">
        <v>2498</v>
      </c>
      <c r="C3519" t="s">
        <v>188</v>
      </c>
      <c r="D3519" t="s">
        <v>11180</v>
      </c>
      <c r="E3519">
        <v>7200000</v>
      </c>
    </row>
    <row r="3520" spans="1:5" ht="15" customHeight="1" x14ac:dyDescent="0.3">
      <c r="A3520" t="s">
        <v>12134</v>
      </c>
      <c r="B3520" t="s">
        <v>86</v>
      </c>
      <c r="C3520" t="s">
        <v>90</v>
      </c>
      <c r="D3520" t="s">
        <v>9907</v>
      </c>
      <c r="E3520">
        <v>6870000</v>
      </c>
    </row>
    <row r="3521" spans="1:5" ht="15" customHeight="1" x14ac:dyDescent="0.3">
      <c r="A3521" t="s">
        <v>12135</v>
      </c>
      <c r="B3521" t="s">
        <v>2816</v>
      </c>
      <c r="C3521" t="s">
        <v>3103</v>
      </c>
      <c r="D3521" t="s">
        <v>12136</v>
      </c>
      <c r="E3521">
        <v>12900000</v>
      </c>
    </row>
    <row r="3522" spans="1:5" ht="15" customHeight="1" x14ac:dyDescent="0.3">
      <c r="A3522" t="s">
        <v>12137</v>
      </c>
      <c r="B3522" t="s">
        <v>28</v>
      </c>
      <c r="C3522" t="s">
        <v>31</v>
      </c>
      <c r="D3522" t="s">
        <v>12138</v>
      </c>
      <c r="E3522">
        <v>7970000</v>
      </c>
    </row>
    <row r="3523" spans="1:5" ht="15" customHeight="1" x14ac:dyDescent="0.3">
      <c r="A3523" t="s">
        <v>12139</v>
      </c>
      <c r="B3523" t="s">
        <v>2517</v>
      </c>
      <c r="C3523" t="s">
        <v>12140</v>
      </c>
      <c r="D3523" t="s">
        <v>12141</v>
      </c>
      <c r="E3523">
        <v>7060000</v>
      </c>
    </row>
    <row r="3524" spans="1:5" ht="15" customHeight="1" x14ac:dyDescent="0.3">
      <c r="A3524" t="s">
        <v>12142</v>
      </c>
      <c r="B3524" t="s">
        <v>214</v>
      </c>
      <c r="C3524" t="s">
        <v>3787</v>
      </c>
      <c r="D3524" t="s">
        <v>11091</v>
      </c>
      <c r="E3524">
        <v>13400000</v>
      </c>
    </row>
    <row r="3525" spans="1:5" ht="15" customHeight="1" x14ac:dyDescent="0.3">
      <c r="A3525" t="s">
        <v>12143</v>
      </c>
      <c r="B3525" t="s">
        <v>241</v>
      </c>
      <c r="C3525" t="s">
        <v>269</v>
      </c>
      <c r="D3525" t="s">
        <v>12144</v>
      </c>
      <c r="E3525">
        <v>18400000</v>
      </c>
    </row>
    <row r="3526" spans="1:5" ht="15" customHeight="1" x14ac:dyDescent="0.3">
      <c r="A3526" t="s">
        <v>12145</v>
      </c>
      <c r="B3526" t="s">
        <v>180</v>
      </c>
      <c r="C3526" t="s">
        <v>3419</v>
      </c>
      <c r="D3526" t="s">
        <v>12146</v>
      </c>
      <c r="E3526">
        <v>9000000</v>
      </c>
    </row>
    <row r="3527" spans="1:5" ht="15" customHeight="1" x14ac:dyDescent="0.3">
      <c r="A3527" t="s">
        <v>12147</v>
      </c>
      <c r="B3527" t="s">
        <v>241</v>
      </c>
      <c r="C3527" t="s">
        <v>2505</v>
      </c>
      <c r="D3527" t="s">
        <v>12148</v>
      </c>
      <c r="E3527">
        <v>23400000</v>
      </c>
    </row>
    <row r="3528" spans="1:5" ht="15" customHeight="1" x14ac:dyDescent="0.3">
      <c r="A3528" t="s">
        <v>12149</v>
      </c>
      <c r="B3528" t="s">
        <v>5094</v>
      </c>
      <c r="C3528" t="s">
        <v>12150</v>
      </c>
      <c r="D3528" t="s">
        <v>12151</v>
      </c>
      <c r="E3528">
        <v>15200000</v>
      </c>
    </row>
    <row r="3529" spans="1:5" ht="15" customHeight="1" x14ac:dyDescent="0.3">
      <c r="A3529" t="s">
        <v>12152</v>
      </c>
      <c r="B3529" t="s">
        <v>241</v>
      </c>
      <c r="C3529" t="s">
        <v>269</v>
      </c>
      <c r="D3529" t="s">
        <v>7658</v>
      </c>
      <c r="E3529">
        <v>18600000</v>
      </c>
    </row>
    <row r="3530" spans="1:5" ht="15" customHeight="1" x14ac:dyDescent="0.3">
      <c r="A3530" t="s">
        <v>12153</v>
      </c>
      <c r="B3530" t="s">
        <v>45</v>
      </c>
      <c r="C3530" t="s">
        <v>49</v>
      </c>
      <c r="D3530" t="s">
        <v>12154</v>
      </c>
      <c r="E3530">
        <v>29700000</v>
      </c>
    </row>
    <row r="3531" spans="1:5" ht="15" customHeight="1" x14ac:dyDescent="0.3">
      <c r="A3531" t="s">
        <v>12155</v>
      </c>
      <c r="B3531" t="s">
        <v>2494</v>
      </c>
      <c r="C3531" t="s">
        <v>2531</v>
      </c>
      <c r="D3531" t="s">
        <v>12156</v>
      </c>
      <c r="E3531">
        <v>8900000</v>
      </c>
    </row>
    <row r="3532" spans="1:5" ht="15" customHeight="1" x14ac:dyDescent="0.3">
      <c r="A3532" t="s">
        <v>12157</v>
      </c>
      <c r="B3532" t="s">
        <v>237</v>
      </c>
      <c r="C3532" t="s">
        <v>65</v>
      </c>
      <c r="D3532" t="s">
        <v>12158</v>
      </c>
      <c r="E3532">
        <v>14100000</v>
      </c>
    </row>
    <row r="3533" spans="1:5" ht="15" customHeight="1" x14ac:dyDescent="0.3">
      <c r="A3533" t="s">
        <v>12159</v>
      </c>
      <c r="B3533" t="s">
        <v>306</v>
      </c>
      <c r="C3533" t="s">
        <v>2862</v>
      </c>
      <c r="D3533" t="s">
        <v>9933</v>
      </c>
      <c r="E3533">
        <v>17300000</v>
      </c>
    </row>
    <row r="3534" spans="1:5" ht="15" customHeight="1" x14ac:dyDescent="0.3">
      <c r="A3534" t="s">
        <v>12160</v>
      </c>
      <c r="B3534" t="s">
        <v>2498</v>
      </c>
      <c r="C3534" t="s">
        <v>2499</v>
      </c>
      <c r="D3534" t="s">
        <v>11182</v>
      </c>
      <c r="E3534">
        <v>9800000</v>
      </c>
    </row>
    <row r="3535" spans="1:5" ht="15" customHeight="1" x14ac:dyDescent="0.3">
      <c r="A3535" t="s">
        <v>12161</v>
      </c>
      <c r="B3535" t="s">
        <v>2494</v>
      </c>
      <c r="C3535" t="s">
        <v>3497</v>
      </c>
      <c r="D3535" t="s">
        <v>11184</v>
      </c>
      <c r="E3535">
        <v>13800000</v>
      </c>
    </row>
    <row r="3536" spans="1:5" ht="15" customHeight="1" x14ac:dyDescent="0.3">
      <c r="A3536" t="s">
        <v>12162</v>
      </c>
      <c r="B3536" t="s">
        <v>86</v>
      </c>
      <c r="C3536" t="s">
        <v>2476</v>
      </c>
      <c r="D3536" t="s">
        <v>7497</v>
      </c>
      <c r="E3536">
        <v>40600000</v>
      </c>
    </row>
    <row r="3537" spans="1:5" ht="15" customHeight="1" x14ac:dyDescent="0.3">
      <c r="A3537" t="s">
        <v>12163</v>
      </c>
      <c r="B3537" t="s">
        <v>241</v>
      </c>
      <c r="C3537">
        <v>3008</v>
      </c>
      <c r="D3537" t="s">
        <v>12164</v>
      </c>
      <c r="E3537">
        <v>16300000</v>
      </c>
    </row>
    <row r="3538" spans="1:5" ht="15" customHeight="1" x14ac:dyDescent="0.3">
      <c r="A3538" t="s">
        <v>12165</v>
      </c>
      <c r="B3538" t="s">
        <v>86</v>
      </c>
      <c r="C3538" t="s">
        <v>2507</v>
      </c>
      <c r="D3538" t="s">
        <v>1051</v>
      </c>
      <c r="E3538">
        <v>34500000</v>
      </c>
    </row>
    <row r="3539" spans="1:5" ht="15" customHeight="1" x14ac:dyDescent="0.3">
      <c r="A3539" t="s">
        <v>11181</v>
      </c>
      <c r="B3539" t="s">
        <v>2498</v>
      </c>
      <c r="C3539" t="s">
        <v>2499</v>
      </c>
      <c r="D3539" t="s">
        <v>11182</v>
      </c>
      <c r="E3539">
        <v>9800000</v>
      </c>
    </row>
    <row r="3540" spans="1:5" ht="15" customHeight="1" x14ac:dyDescent="0.3">
      <c r="A3540" t="s">
        <v>11183</v>
      </c>
      <c r="B3540" t="s">
        <v>2494</v>
      </c>
      <c r="C3540" t="s">
        <v>3497</v>
      </c>
      <c r="D3540" t="s">
        <v>11184</v>
      </c>
      <c r="E3540">
        <v>13800000</v>
      </c>
    </row>
    <row r="3541" spans="1:5" ht="15" customHeight="1" x14ac:dyDescent="0.3">
      <c r="A3541" t="s">
        <v>12166</v>
      </c>
      <c r="B3541" t="s">
        <v>60</v>
      </c>
      <c r="C3541" t="s">
        <v>2520</v>
      </c>
      <c r="D3541" t="s">
        <v>12167</v>
      </c>
      <c r="E3541">
        <v>17500000</v>
      </c>
    </row>
    <row r="3542" spans="1:5" ht="15" customHeight="1" x14ac:dyDescent="0.3">
      <c r="A3542" t="s">
        <v>12168</v>
      </c>
      <c r="B3542" t="s">
        <v>214</v>
      </c>
      <c r="C3542" t="s">
        <v>2627</v>
      </c>
      <c r="D3542" t="s">
        <v>12169</v>
      </c>
      <c r="E3542">
        <v>23000000</v>
      </c>
    </row>
    <row r="3543" spans="1:5" ht="15" customHeight="1" x14ac:dyDescent="0.3">
      <c r="A3543" t="s">
        <v>12170</v>
      </c>
      <c r="B3543" t="s">
        <v>45</v>
      </c>
      <c r="C3543" t="s">
        <v>49</v>
      </c>
      <c r="D3543" t="s">
        <v>12171</v>
      </c>
      <c r="E3543">
        <v>55000000</v>
      </c>
    </row>
    <row r="3544" spans="1:5" ht="15" customHeight="1" x14ac:dyDescent="0.3">
      <c r="A3544" t="s">
        <v>12172</v>
      </c>
      <c r="B3544" t="s">
        <v>45</v>
      </c>
      <c r="C3544" t="s">
        <v>46</v>
      </c>
      <c r="D3544" t="s">
        <v>12173</v>
      </c>
      <c r="E3544">
        <v>11300000</v>
      </c>
    </row>
    <row r="3545" spans="1:5" ht="15" customHeight="1" x14ac:dyDescent="0.3">
      <c r="A3545" t="s">
        <v>12174</v>
      </c>
      <c r="B3545" t="s">
        <v>300</v>
      </c>
      <c r="C3545" t="s">
        <v>301</v>
      </c>
      <c r="D3545" t="s">
        <v>12175</v>
      </c>
      <c r="E3545">
        <v>8900000</v>
      </c>
    </row>
    <row r="3546" spans="1:5" ht="15" customHeight="1" x14ac:dyDescent="0.3">
      <c r="A3546" t="s">
        <v>12176</v>
      </c>
      <c r="B3546" t="s">
        <v>45</v>
      </c>
      <c r="C3546" t="s">
        <v>10402</v>
      </c>
      <c r="D3546" t="s">
        <v>12177</v>
      </c>
      <c r="E3546">
        <v>12300000</v>
      </c>
    </row>
    <row r="3547" spans="1:5" ht="15" customHeight="1" x14ac:dyDescent="0.3">
      <c r="A3547" t="s">
        <v>12178</v>
      </c>
      <c r="B3547" t="s">
        <v>86</v>
      </c>
      <c r="C3547" t="s">
        <v>2476</v>
      </c>
      <c r="D3547" t="s">
        <v>3527</v>
      </c>
      <c r="E3547">
        <v>36100000</v>
      </c>
    </row>
    <row r="3548" spans="1:5" ht="15" customHeight="1" x14ac:dyDescent="0.3">
      <c r="A3548" t="s">
        <v>12179</v>
      </c>
      <c r="B3548" t="s">
        <v>86</v>
      </c>
      <c r="C3548" t="s">
        <v>3692</v>
      </c>
      <c r="D3548" t="s">
        <v>3693</v>
      </c>
      <c r="E3548">
        <v>31900000</v>
      </c>
    </row>
    <row r="3549" spans="1:5" ht="15" customHeight="1" x14ac:dyDescent="0.3">
      <c r="A3549" t="s">
        <v>11185</v>
      </c>
      <c r="B3549" t="s">
        <v>45</v>
      </c>
      <c r="C3549" t="s">
        <v>3325</v>
      </c>
      <c r="D3549" t="s">
        <v>56</v>
      </c>
      <c r="E3549">
        <v>28500000</v>
      </c>
    </row>
    <row r="3550" spans="1:5" ht="15" customHeight="1" x14ac:dyDescent="0.3">
      <c r="A3550" t="s">
        <v>12180</v>
      </c>
      <c r="B3550" t="s">
        <v>2498</v>
      </c>
      <c r="C3550" t="s">
        <v>188</v>
      </c>
      <c r="D3550" t="s">
        <v>11000</v>
      </c>
      <c r="E3550">
        <v>6580000</v>
      </c>
    </row>
    <row r="3551" spans="1:5" ht="15" customHeight="1" x14ac:dyDescent="0.3">
      <c r="A3551" t="s">
        <v>11186</v>
      </c>
      <c r="B3551" t="s">
        <v>86</v>
      </c>
      <c r="C3551" t="s">
        <v>2504</v>
      </c>
      <c r="D3551" t="s">
        <v>117</v>
      </c>
      <c r="E3551">
        <v>40600000</v>
      </c>
    </row>
    <row r="3552" spans="1:5" ht="15" customHeight="1" x14ac:dyDescent="0.3">
      <c r="A3552" t="s">
        <v>12181</v>
      </c>
      <c r="B3552" t="s">
        <v>311</v>
      </c>
      <c r="C3552" t="s">
        <v>3599</v>
      </c>
      <c r="D3552" t="s">
        <v>12182</v>
      </c>
      <c r="E3552">
        <v>17200000</v>
      </c>
    </row>
    <row r="3553" spans="1:5" ht="15" customHeight="1" x14ac:dyDescent="0.3">
      <c r="A3553" t="s">
        <v>11187</v>
      </c>
      <c r="B3553" t="s">
        <v>86</v>
      </c>
      <c r="C3553" t="s">
        <v>2504</v>
      </c>
      <c r="D3553" t="s">
        <v>115</v>
      </c>
      <c r="E3553">
        <v>42200000</v>
      </c>
    </row>
    <row r="3554" spans="1:5" ht="15" customHeight="1" x14ac:dyDescent="0.3">
      <c r="A3554" t="s">
        <v>11188</v>
      </c>
      <c r="B3554" t="s">
        <v>86</v>
      </c>
      <c r="C3554" t="s">
        <v>2507</v>
      </c>
      <c r="D3554" t="s">
        <v>128</v>
      </c>
      <c r="E3554">
        <v>46000000</v>
      </c>
    </row>
    <row r="3555" spans="1:5" ht="15" customHeight="1" x14ac:dyDescent="0.3">
      <c r="A3555" t="s">
        <v>12183</v>
      </c>
      <c r="B3555" t="s">
        <v>2665</v>
      </c>
      <c r="C3555" t="s">
        <v>12184</v>
      </c>
      <c r="D3555" t="s">
        <v>12185</v>
      </c>
      <c r="E3555">
        <v>31200000</v>
      </c>
    </row>
    <row r="3556" spans="1:5" ht="15" customHeight="1" x14ac:dyDescent="0.3">
      <c r="A3556" t="s">
        <v>11189</v>
      </c>
      <c r="B3556" t="s">
        <v>156</v>
      </c>
      <c r="C3556" t="s">
        <v>2539</v>
      </c>
      <c r="D3556" t="s">
        <v>160</v>
      </c>
      <c r="E3556">
        <v>26500000</v>
      </c>
    </row>
    <row r="3557" spans="1:5" ht="15" customHeight="1" x14ac:dyDescent="0.3">
      <c r="A3557" t="s">
        <v>12186</v>
      </c>
      <c r="B3557" t="s">
        <v>241</v>
      </c>
      <c r="C3557" t="s">
        <v>2487</v>
      </c>
      <c r="D3557" t="s">
        <v>12187</v>
      </c>
      <c r="E3557">
        <v>16900000</v>
      </c>
    </row>
    <row r="3558" spans="1:5" ht="15" customHeight="1" x14ac:dyDescent="0.3">
      <c r="A3558" t="s">
        <v>11190</v>
      </c>
      <c r="B3558" t="s">
        <v>156</v>
      </c>
      <c r="C3558" t="s">
        <v>2539</v>
      </c>
      <c r="D3558" t="s">
        <v>162</v>
      </c>
      <c r="E3558">
        <v>32300000</v>
      </c>
    </row>
    <row r="3559" spans="1:5" ht="15" customHeight="1" x14ac:dyDescent="0.3">
      <c r="A3559" t="s">
        <v>12188</v>
      </c>
      <c r="B3559" t="s">
        <v>147</v>
      </c>
      <c r="C3559" t="s">
        <v>153</v>
      </c>
      <c r="D3559" t="s">
        <v>12189</v>
      </c>
      <c r="E3559">
        <v>12000000</v>
      </c>
    </row>
    <row r="3560" spans="1:5" ht="15" customHeight="1" x14ac:dyDescent="0.3">
      <c r="A3560" t="s">
        <v>11191</v>
      </c>
      <c r="B3560" t="s">
        <v>207</v>
      </c>
      <c r="C3560" t="s">
        <v>211</v>
      </c>
      <c r="D3560" t="s">
        <v>213</v>
      </c>
      <c r="E3560">
        <v>39300000</v>
      </c>
    </row>
    <row r="3561" spans="1:5" ht="15" customHeight="1" x14ac:dyDescent="0.3">
      <c r="A3561" t="s">
        <v>12190</v>
      </c>
      <c r="B3561" t="s">
        <v>2498</v>
      </c>
      <c r="C3561" t="s">
        <v>196</v>
      </c>
      <c r="D3561" t="s">
        <v>634</v>
      </c>
      <c r="E3561">
        <v>18100000</v>
      </c>
    </row>
    <row r="3562" spans="1:5" ht="15" customHeight="1" x14ac:dyDescent="0.3">
      <c r="A3562" t="s">
        <v>12191</v>
      </c>
      <c r="B3562" t="s">
        <v>291</v>
      </c>
      <c r="C3562" t="s">
        <v>3161</v>
      </c>
      <c r="D3562" t="s">
        <v>12192</v>
      </c>
      <c r="E3562">
        <v>21400000</v>
      </c>
    </row>
    <row r="3563" spans="1:5" ht="15" customHeight="1" x14ac:dyDescent="0.3">
      <c r="A3563" t="s">
        <v>12193</v>
      </c>
      <c r="B3563" t="s">
        <v>220</v>
      </c>
      <c r="C3563" t="s">
        <v>223</v>
      </c>
      <c r="D3563" t="s">
        <v>929</v>
      </c>
      <c r="E3563">
        <v>19800000</v>
      </c>
    </row>
    <row r="3564" spans="1:5" ht="15" customHeight="1" x14ac:dyDescent="0.3">
      <c r="A3564" t="s">
        <v>12194</v>
      </c>
      <c r="B3564" t="s">
        <v>220</v>
      </c>
      <c r="C3564" t="s">
        <v>223</v>
      </c>
      <c r="D3564" t="s">
        <v>929</v>
      </c>
      <c r="E3564">
        <v>19800000</v>
      </c>
    </row>
    <row r="3565" spans="1:5" ht="15" customHeight="1" x14ac:dyDescent="0.3">
      <c r="A3565" t="s">
        <v>11192</v>
      </c>
      <c r="B3565" t="s">
        <v>156</v>
      </c>
      <c r="C3565" t="s">
        <v>2539</v>
      </c>
      <c r="D3565" t="s">
        <v>2477</v>
      </c>
      <c r="E3565">
        <v>26500000</v>
      </c>
    </row>
    <row r="3566" spans="1:5" ht="15" customHeight="1" x14ac:dyDescent="0.3">
      <c r="A3566" t="s">
        <v>12195</v>
      </c>
      <c r="B3566" t="s">
        <v>237</v>
      </c>
      <c r="C3566" t="s">
        <v>65</v>
      </c>
      <c r="D3566" t="s">
        <v>3209</v>
      </c>
      <c r="E3566">
        <v>14600000</v>
      </c>
    </row>
    <row r="3567" spans="1:5" ht="15" customHeight="1" x14ac:dyDescent="0.3">
      <c r="A3567" t="s">
        <v>12196</v>
      </c>
      <c r="B3567" t="s">
        <v>237</v>
      </c>
      <c r="C3567" t="s">
        <v>65</v>
      </c>
      <c r="D3567" t="s">
        <v>3209</v>
      </c>
      <c r="E3567">
        <v>14600000</v>
      </c>
    </row>
    <row r="3568" spans="1:5" ht="15" customHeight="1" x14ac:dyDescent="0.3">
      <c r="A3568" t="s">
        <v>12197</v>
      </c>
      <c r="B3568" t="s">
        <v>3218</v>
      </c>
      <c r="C3568" t="s">
        <v>12198</v>
      </c>
      <c r="D3568" t="s">
        <v>12199</v>
      </c>
      <c r="E3568">
        <v>28400000</v>
      </c>
    </row>
    <row r="3569" spans="1:5" ht="15" customHeight="1" x14ac:dyDescent="0.3">
      <c r="A3569" t="s">
        <v>12200</v>
      </c>
      <c r="B3569" t="s">
        <v>60</v>
      </c>
      <c r="C3569" t="s">
        <v>3326</v>
      </c>
      <c r="D3569" t="s">
        <v>9970</v>
      </c>
      <c r="E3569">
        <v>15700000</v>
      </c>
    </row>
    <row r="3570" spans="1:5" ht="15" customHeight="1" x14ac:dyDescent="0.3">
      <c r="A3570" t="s">
        <v>12201</v>
      </c>
      <c r="B3570" t="s">
        <v>156</v>
      </c>
      <c r="C3570" t="s">
        <v>3096</v>
      </c>
      <c r="D3570" t="s">
        <v>12202</v>
      </c>
      <c r="E3570">
        <v>19300000</v>
      </c>
    </row>
    <row r="3571" spans="1:5" ht="15" customHeight="1" x14ac:dyDescent="0.3">
      <c r="A3571" t="s">
        <v>12203</v>
      </c>
      <c r="B3571" t="s">
        <v>300</v>
      </c>
      <c r="C3571" t="s">
        <v>2908</v>
      </c>
      <c r="D3571" t="s">
        <v>12204</v>
      </c>
      <c r="E3571">
        <v>9400000</v>
      </c>
    </row>
    <row r="3572" spans="1:5" ht="15" customHeight="1" x14ac:dyDescent="0.3">
      <c r="A3572" t="s">
        <v>12205</v>
      </c>
      <c r="B3572" t="s">
        <v>156</v>
      </c>
      <c r="C3572" t="s">
        <v>3096</v>
      </c>
      <c r="D3572" t="s">
        <v>12202</v>
      </c>
      <c r="E3572">
        <v>19300000</v>
      </c>
    </row>
    <row r="3573" spans="1:5" ht="15" customHeight="1" x14ac:dyDescent="0.3">
      <c r="A3573" t="s">
        <v>12206</v>
      </c>
      <c r="B3573" t="s">
        <v>2498</v>
      </c>
      <c r="C3573" t="s">
        <v>188</v>
      </c>
      <c r="D3573" t="s">
        <v>12207</v>
      </c>
      <c r="E3573">
        <v>8800000</v>
      </c>
    </row>
    <row r="3574" spans="1:5" ht="15" customHeight="1" x14ac:dyDescent="0.3">
      <c r="A3574" t="s">
        <v>12208</v>
      </c>
      <c r="B3574" t="s">
        <v>214</v>
      </c>
      <c r="C3574" t="s">
        <v>2627</v>
      </c>
      <c r="D3574" t="s">
        <v>12209</v>
      </c>
      <c r="E3574">
        <v>25300000</v>
      </c>
    </row>
    <row r="3575" spans="1:5" ht="15" customHeight="1" x14ac:dyDescent="0.3">
      <c r="A3575" t="s">
        <v>12210</v>
      </c>
      <c r="B3575" t="s">
        <v>237</v>
      </c>
      <c r="C3575" t="s">
        <v>65</v>
      </c>
      <c r="D3575" t="s">
        <v>12158</v>
      </c>
      <c r="E3575">
        <v>14100000</v>
      </c>
    </row>
    <row r="3576" spans="1:5" ht="15" customHeight="1" x14ac:dyDescent="0.3">
      <c r="A3576" t="s">
        <v>12211</v>
      </c>
      <c r="B3576" t="s">
        <v>28</v>
      </c>
      <c r="C3576" t="s">
        <v>2496</v>
      </c>
      <c r="D3576" t="s">
        <v>12212</v>
      </c>
      <c r="E3576">
        <v>6600000</v>
      </c>
    </row>
    <row r="3577" spans="1:5" ht="15" customHeight="1" x14ac:dyDescent="0.3">
      <c r="A3577" t="s">
        <v>12213</v>
      </c>
      <c r="B3577" t="s">
        <v>2665</v>
      </c>
      <c r="C3577" t="s">
        <v>11194</v>
      </c>
      <c r="D3577" t="s">
        <v>11195</v>
      </c>
      <c r="E3577">
        <v>28900000</v>
      </c>
    </row>
    <row r="3578" spans="1:5" ht="15" customHeight="1" x14ac:dyDescent="0.3">
      <c r="A3578" t="s">
        <v>12214</v>
      </c>
      <c r="B3578" t="s">
        <v>2498</v>
      </c>
      <c r="C3578" t="s">
        <v>2499</v>
      </c>
      <c r="D3578" t="s">
        <v>11078</v>
      </c>
      <c r="E3578">
        <v>8800000</v>
      </c>
    </row>
    <row r="3579" spans="1:5" ht="15" customHeight="1" x14ac:dyDescent="0.3">
      <c r="A3579" t="s">
        <v>12215</v>
      </c>
      <c r="B3579" t="s">
        <v>45</v>
      </c>
      <c r="C3579" t="s">
        <v>49</v>
      </c>
      <c r="D3579" t="s">
        <v>12171</v>
      </c>
      <c r="E3579">
        <v>55000000</v>
      </c>
    </row>
    <row r="3580" spans="1:5" ht="15" customHeight="1" x14ac:dyDescent="0.3">
      <c r="A3580" t="s">
        <v>12216</v>
      </c>
      <c r="B3580" t="s">
        <v>311</v>
      </c>
      <c r="C3580" t="s">
        <v>12217</v>
      </c>
      <c r="D3580" t="s">
        <v>2152</v>
      </c>
      <c r="E3580">
        <v>6980000</v>
      </c>
    </row>
    <row r="3581" spans="1:5" ht="15" customHeight="1" x14ac:dyDescent="0.3">
      <c r="A3581" t="s">
        <v>12218</v>
      </c>
      <c r="B3581" t="s">
        <v>2816</v>
      </c>
      <c r="C3581" t="s">
        <v>2817</v>
      </c>
      <c r="D3581" t="s">
        <v>12219</v>
      </c>
      <c r="E3581">
        <v>10200000</v>
      </c>
    </row>
    <row r="3582" spans="1:5" ht="15" customHeight="1" x14ac:dyDescent="0.3">
      <c r="A3582" t="s">
        <v>12220</v>
      </c>
      <c r="B3582" t="s">
        <v>2665</v>
      </c>
      <c r="C3582" t="s">
        <v>11194</v>
      </c>
      <c r="D3582" t="s">
        <v>11195</v>
      </c>
      <c r="E3582">
        <v>28900000</v>
      </c>
    </row>
    <row r="3583" spans="1:5" ht="15" customHeight="1" x14ac:dyDescent="0.3">
      <c r="A3583" t="s">
        <v>12221</v>
      </c>
      <c r="B3583" t="s">
        <v>45</v>
      </c>
      <c r="C3583" t="s">
        <v>2661</v>
      </c>
      <c r="D3583" t="s">
        <v>12222</v>
      </c>
      <c r="E3583">
        <v>9600000</v>
      </c>
    </row>
    <row r="3584" spans="1:5" ht="15" customHeight="1" x14ac:dyDescent="0.3">
      <c r="A3584" t="s">
        <v>12223</v>
      </c>
      <c r="B3584" t="s">
        <v>220</v>
      </c>
      <c r="C3584" t="s">
        <v>2729</v>
      </c>
      <c r="D3584" t="s">
        <v>12224</v>
      </c>
      <c r="E3584">
        <v>9900000</v>
      </c>
    </row>
    <row r="3585" spans="1:5" ht="15" customHeight="1" x14ac:dyDescent="0.3">
      <c r="A3585" t="s">
        <v>12225</v>
      </c>
      <c r="B3585" t="s">
        <v>220</v>
      </c>
      <c r="C3585" t="s">
        <v>228</v>
      </c>
      <c r="D3585" t="s">
        <v>1960</v>
      </c>
      <c r="E3585">
        <v>5230000</v>
      </c>
    </row>
    <row r="3586" spans="1:5" ht="15" customHeight="1" x14ac:dyDescent="0.3">
      <c r="A3586" t="s">
        <v>12226</v>
      </c>
      <c r="B3586" t="s">
        <v>220</v>
      </c>
      <c r="C3586" t="s">
        <v>2576</v>
      </c>
      <c r="D3586" t="s">
        <v>584</v>
      </c>
      <c r="E3586">
        <v>22300000</v>
      </c>
    </row>
    <row r="3587" spans="1:5" ht="15" customHeight="1" x14ac:dyDescent="0.3">
      <c r="A3587" t="s">
        <v>12227</v>
      </c>
      <c r="B3587" t="s">
        <v>147</v>
      </c>
      <c r="C3587" t="s">
        <v>153</v>
      </c>
      <c r="D3587" t="s">
        <v>12228</v>
      </c>
      <c r="E3587">
        <v>14100000</v>
      </c>
    </row>
    <row r="3588" spans="1:5" ht="15" customHeight="1" x14ac:dyDescent="0.3">
      <c r="A3588" t="s">
        <v>12229</v>
      </c>
      <c r="B3588" t="s">
        <v>2498</v>
      </c>
      <c r="C3588" t="s">
        <v>188</v>
      </c>
      <c r="D3588" t="s">
        <v>12230</v>
      </c>
      <c r="E3588">
        <v>10100000</v>
      </c>
    </row>
    <row r="3589" spans="1:5" ht="15" customHeight="1" x14ac:dyDescent="0.3">
      <c r="A3589" t="s">
        <v>12231</v>
      </c>
      <c r="B3589" t="s">
        <v>28</v>
      </c>
      <c r="C3589" t="s">
        <v>42</v>
      </c>
      <c r="D3589" t="s">
        <v>12232</v>
      </c>
      <c r="E3589">
        <v>13400000</v>
      </c>
    </row>
    <row r="3590" spans="1:5" ht="15" customHeight="1" x14ac:dyDescent="0.3">
      <c r="A3590" t="s">
        <v>12233</v>
      </c>
      <c r="B3590" t="s">
        <v>180</v>
      </c>
      <c r="C3590" t="s">
        <v>183</v>
      </c>
      <c r="D3590" t="s">
        <v>12234</v>
      </c>
      <c r="E3590">
        <v>9600000</v>
      </c>
    </row>
    <row r="3591" spans="1:5" ht="15" customHeight="1" x14ac:dyDescent="0.3">
      <c r="A3591" t="s">
        <v>12235</v>
      </c>
      <c r="B3591" t="s">
        <v>214</v>
      </c>
      <c r="C3591" t="s">
        <v>215</v>
      </c>
      <c r="D3591" t="s">
        <v>11117</v>
      </c>
      <c r="E3591">
        <v>12000000</v>
      </c>
    </row>
    <row r="3592" spans="1:5" ht="15" customHeight="1" x14ac:dyDescent="0.3">
      <c r="A3592" t="s">
        <v>12236</v>
      </c>
      <c r="B3592" t="s">
        <v>2545</v>
      </c>
      <c r="C3592" t="s">
        <v>2733</v>
      </c>
      <c r="D3592" t="s">
        <v>12237</v>
      </c>
      <c r="E3592">
        <v>23500000</v>
      </c>
    </row>
    <row r="3593" spans="1:5" ht="15" customHeight="1" x14ac:dyDescent="0.3">
      <c r="A3593" t="s">
        <v>12238</v>
      </c>
      <c r="B3593" t="s">
        <v>86</v>
      </c>
      <c r="C3593" t="s">
        <v>134</v>
      </c>
      <c r="D3593" t="s">
        <v>9665</v>
      </c>
      <c r="E3593">
        <v>12000000</v>
      </c>
    </row>
    <row r="3594" spans="1:5" ht="15" customHeight="1" x14ac:dyDescent="0.3">
      <c r="A3594" t="s">
        <v>12239</v>
      </c>
      <c r="B3594" t="s">
        <v>86</v>
      </c>
      <c r="C3594" t="s">
        <v>2476</v>
      </c>
      <c r="D3594" t="s">
        <v>12240</v>
      </c>
      <c r="E3594">
        <v>20100000</v>
      </c>
    </row>
    <row r="3595" spans="1:5" ht="15" customHeight="1" x14ac:dyDescent="0.3">
      <c r="A3595" t="s">
        <v>12241</v>
      </c>
      <c r="B3595" t="s">
        <v>2498</v>
      </c>
      <c r="C3595" t="s">
        <v>2499</v>
      </c>
      <c r="D3595" t="s">
        <v>11078</v>
      </c>
      <c r="E3595">
        <v>10400000</v>
      </c>
    </row>
    <row r="3596" spans="1:5" ht="15" customHeight="1" x14ac:dyDescent="0.3">
      <c r="A3596" t="s">
        <v>12242</v>
      </c>
      <c r="B3596" t="s">
        <v>156</v>
      </c>
      <c r="C3596" t="s">
        <v>3117</v>
      </c>
      <c r="D3596" t="s">
        <v>12243</v>
      </c>
      <c r="E3596">
        <v>15600000</v>
      </c>
    </row>
    <row r="3597" spans="1:5" ht="15" customHeight="1" x14ac:dyDescent="0.3">
      <c r="A3597" t="s">
        <v>12244</v>
      </c>
      <c r="B3597" t="s">
        <v>2498</v>
      </c>
      <c r="C3597" t="s">
        <v>199</v>
      </c>
      <c r="D3597" t="s">
        <v>12245</v>
      </c>
      <c r="E3597">
        <v>15000000</v>
      </c>
    </row>
    <row r="3598" spans="1:5" ht="15" customHeight="1" x14ac:dyDescent="0.3">
      <c r="A3598" t="s">
        <v>12246</v>
      </c>
      <c r="B3598" t="s">
        <v>86</v>
      </c>
      <c r="C3598" t="s">
        <v>3302</v>
      </c>
      <c r="D3598" t="s">
        <v>12247</v>
      </c>
      <c r="E3598">
        <v>29800000</v>
      </c>
    </row>
    <row r="3599" spans="1:5" ht="15" customHeight="1" x14ac:dyDescent="0.3">
      <c r="A3599" t="s">
        <v>12248</v>
      </c>
      <c r="B3599" t="s">
        <v>60</v>
      </c>
      <c r="C3599" t="s">
        <v>3150</v>
      </c>
      <c r="D3599" t="s">
        <v>12249</v>
      </c>
      <c r="E3599">
        <v>9100000</v>
      </c>
    </row>
    <row r="3600" spans="1:5" ht="15" customHeight="1" x14ac:dyDescent="0.3">
      <c r="A3600" t="s">
        <v>12250</v>
      </c>
      <c r="B3600" t="s">
        <v>241</v>
      </c>
      <c r="C3600">
        <v>3008</v>
      </c>
      <c r="D3600" t="s">
        <v>3179</v>
      </c>
      <c r="E3600">
        <v>16100000</v>
      </c>
    </row>
    <row r="3601" spans="1:5" ht="15" customHeight="1" x14ac:dyDescent="0.3">
      <c r="A3601" t="s">
        <v>11193</v>
      </c>
      <c r="B3601" t="s">
        <v>2665</v>
      </c>
      <c r="C3601" t="s">
        <v>11194</v>
      </c>
      <c r="D3601" t="s">
        <v>11195</v>
      </c>
      <c r="E3601">
        <v>28900000</v>
      </c>
    </row>
    <row r="3602" spans="1:5" ht="15" customHeight="1" x14ac:dyDescent="0.3">
      <c r="A3602" t="s">
        <v>12251</v>
      </c>
      <c r="B3602" t="s">
        <v>220</v>
      </c>
      <c r="C3602" t="s">
        <v>2569</v>
      </c>
      <c r="D3602" t="s">
        <v>12252</v>
      </c>
      <c r="E3602">
        <v>10700000</v>
      </c>
    </row>
    <row r="3603" spans="1:5" ht="15" customHeight="1" x14ac:dyDescent="0.3">
      <c r="A3603" t="s">
        <v>12253</v>
      </c>
      <c r="B3603" t="s">
        <v>86</v>
      </c>
      <c r="C3603" t="s">
        <v>134</v>
      </c>
      <c r="D3603" t="s">
        <v>2679</v>
      </c>
      <c r="E3603">
        <v>15400000</v>
      </c>
    </row>
    <row r="3604" spans="1:5" ht="15" customHeight="1" x14ac:dyDescent="0.3">
      <c r="A3604" t="s">
        <v>12254</v>
      </c>
      <c r="B3604" t="s">
        <v>45</v>
      </c>
      <c r="C3604" t="s">
        <v>46</v>
      </c>
      <c r="D3604" t="s">
        <v>7935</v>
      </c>
      <c r="E3604">
        <v>12600000</v>
      </c>
    </row>
    <row r="3605" spans="1:5" ht="15" customHeight="1" x14ac:dyDescent="0.3">
      <c r="A3605" t="s">
        <v>12255</v>
      </c>
      <c r="B3605" t="s">
        <v>2498</v>
      </c>
      <c r="C3605" t="s">
        <v>196</v>
      </c>
      <c r="D3605" t="s">
        <v>12256</v>
      </c>
      <c r="E3605">
        <v>11700000</v>
      </c>
    </row>
    <row r="3606" spans="1:5" ht="15" customHeight="1" x14ac:dyDescent="0.3">
      <c r="A3606" t="s">
        <v>12257</v>
      </c>
      <c r="B3606" t="s">
        <v>86</v>
      </c>
      <c r="C3606" t="s">
        <v>2476</v>
      </c>
      <c r="D3606" t="s">
        <v>12258</v>
      </c>
      <c r="E3606">
        <v>36100000</v>
      </c>
    </row>
    <row r="3607" spans="1:5" ht="15" customHeight="1" x14ac:dyDescent="0.3">
      <c r="A3607" t="s">
        <v>12259</v>
      </c>
      <c r="B3607" t="s">
        <v>45</v>
      </c>
      <c r="C3607" t="s">
        <v>46</v>
      </c>
      <c r="D3607" t="s">
        <v>7935</v>
      </c>
      <c r="E3607">
        <v>12600000</v>
      </c>
    </row>
    <row r="3608" spans="1:5" ht="15" customHeight="1" x14ac:dyDescent="0.3">
      <c r="A3608" t="s">
        <v>12260</v>
      </c>
      <c r="B3608" t="s">
        <v>86</v>
      </c>
      <c r="C3608" t="s">
        <v>134</v>
      </c>
      <c r="D3608" t="s">
        <v>12261</v>
      </c>
      <c r="E3608">
        <v>14600000</v>
      </c>
    </row>
    <row r="3609" spans="1:5" ht="15" customHeight="1" x14ac:dyDescent="0.3">
      <c r="A3609" t="s">
        <v>12262</v>
      </c>
      <c r="B3609" t="s">
        <v>142</v>
      </c>
      <c r="C3609" t="s">
        <v>145</v>
      </c>
      <c r="D3609" t="s">
        <v>12263</v>
      </c>
      <c r="E3609">
        <v>16700000</v>
      </c>
    </row>
    <row r="3610" spans="1:5" ht="15" customHeight="1" x14ac:dyDescent="0.3">
      <c r="A3610" t="s">
        <v>12264</v>
      </c>
      <c r="B3610" t="s">
        <v>2498</v>
      </c>
      <c r="C3610" t="s">
        <v>199</v>
      </c>
      <c r="D3610" t="s">
        <v>3820</v>
      </c>
      <c r="E3610">
        <v>16600000</v>
      </c>
    </row>
    <row r="3611" spans="1:5" ht="15" customHeight="1" x14ac:dyDescent="0.3">
      <c r="A3611" t="s">
        <v>12265</v>
      </c>
      <c r="B3611" t="s">
        <v>60</v>
      </c>
      <c r="C3611" t="s">
        <v>12266</v>
      </c>
      <c r="D3611" t="s">
        <v>12267</v>
      </c>
      <c r="E3611">
        <v>8200000</v>
      </c>
    </row>
    <row r="3612" spans="1:5" ht="15" customHeight="1" x14ac:dyDescent="0.3">
      <c r="A3612" t="s">
        <v>12268</v>
      </c>
      <c r="B3612" t="s">
        <v>86</v>
      </c>
      <c r="C3612" t="s">
        <v>3068</v>
      </c>
      <c r="D3612" t="s">
        <v>12269</v>
      </c>
      <c r="E3612">
        <v>11700000</v>
      </c>
    </row>
    <row r="3613" spans="1:5" ht="15" customHeight="1" x14ac:dyDescent="0.3">
      <c r="A3613" t="s">
        <v>12270</v>
      </c>
      <c r="B3613" t="s">
        <v>45</v>
      </c>
      <c r="C3613" t="s">
        <v>2661</v>
      </c>
      <c r="D3613" t="s">
        <v>12271</v>
      </c>
      <c r="E3613">
        <v>9200000</v>
      </c>
    </row>
    <row r="3614" spans="1:5" ht="15" customHeight="1" x14ac:dyDescent="0.3">
      <c r="A3614" t="s">
        <v>12272</v>
      </c>
      <c r="B3614" t="s">
        <v>2545</v>
      </c>
      <c r="C3614" t="s">
        <v>2856</v>
      </c>
      <c r="D3614" t="s">
        <v>11012</v>
      </c>
      <c r="E3614">
        <v>18800000</v>
      </c>
    </row>
    <row r="3615" spans="1:5" ht="15" customHeight="1" x14ac:dyDescent="0.3">
      <c r="A3615" t="s">
        <v>12273</v>
      </c>
      <c r="B3615" t="s">
        <v>2545</v>
      </c>
      <c r="C3615" t="s">
        <v>2856</v>
      </c>
      <c r="D3615" t="s">
        <v>12274</v>
      </c>
      <c r="E3615">
        <v>7550000</v>
      </c>
    </row>
    <row r="3616" spans="1:5" ht="15" customHeight="1" x14ac:dyDescent="0.3">
      <c r="A3616" t="s">
        <v>12275</v>
      </c>
      <c r="B3616" t="s">
        <v>2521</v>
      </c>
      <c r="C3616" t="s">
        <v>2522</v>
      </c>
      <c r="D3616" t="s">
        <v>1700</v>
      </c>
      <c r="E3616">
        <v>20300000</v>
      </c>
    </row>
    <row r="3617" spans="1:5" ht="15" customHeight="1" x14ac:dyDescent="0.3">
      <c r="A3617" t="s">
        <v>12276</v>
      </c>
      <c r="B3617" t="s">
        <v>2545</v>
      </c>
      <c r="C3617" t="s">
        <v>2856</v>
      </c>
      <c r="D3617" t="s">
        <v>12274</v>
      </c>
      <c r="E3617">
        <v>7550000</v>
      </c>
    </row>
    <row r="3618" spans="1:5" ht="15" customHeight="1" x14ac:dyDescent="0.3">
      <c r="A3618" t="s">
        <v>12277</v>
      </c>
      <c r="B3618" t="s">
        <v>2545</v>
      </c>
      <c r="C3618" t="s">
        <v>3625</v>
      </c>
      <c r="D3618" t="s">
        <v>12274</v>
      </c>
      <c r="E3618">
        <v>6980000</v>
      </c>
    </row>
    <row r="3619" spans="1:5" ht="15" customHeight="1" x14ac:dyDescent="0.3">
      <c r="A3619" t="s">
        <v>12278</v>
      </c>
      <c r="B3619" t="s">
        <v>2521</v>
      </c>
      <c r="C3619" t="s">
        <v>2522</v>
      </c>
      <c r="D3619" t="s">
        <v>1700</v>
      </c>
      <c r="E3619">
        <v>20300000</v>
      </c>
    </row>
    <row r="3620" spans="1:5" ht="15" customHeight="1" x14ac:dyDescent="0.3">
      <c r="A3620" t="s">
        <v>12279</v>
      </c>
      <c r="B3620" t="s">
        <v>2549</v>
      </c>
      <c r="C3620" t="s">
        <v>10482</v>
      </c>
      <c r="D3620" t="s">
        <v>11602</v>
      </c>
      <c r="E3620">
        <v>13200000</v>
      </c>
    </row>
    <row r="3621" spans="1:5" ht="15" customHeight="1" x14ac:dyDescent="0.3">
      <c r="A3621" t="s">
        <v>12280</v>
      </c>
      <c r="B3621" t="s">
        <v>86</v>
      </c>
      <c r="C3621" t="s">
        <v>2826</v>
      </c>
      <c r="D3621" t="s">
        <v>11066</v>
      </c>
      <c r="E3621">
        <v>20700000</v>
      </c>
    </row>
    <row r="3622" spans="1:5" ht="15" customHeight="1" x14ac:dyDescent="0.3">
      <c r="A3622" t="s">
        <v>12281</v>
      </c>
      <c r="B3622" t="s">
        <v>167</v>
      </c>
      <c r="C3622" t="s">
        <v>3363</v>
      </c>
      <c r="D3622" t="s">
        <v>11142</v>
      </c>
      <c r="E3622">
        <v>7370000</v>
      </c>
    </row>
    <row r="3623" spans="1:5" ht="15" customHeight="1" x14ac:dyDescent="0.3">
      <c r="A3623" t="s">
        <v>12282</v>
      </c>
      <c r="B3623" t="s">
        <v>220</v>
      </c>
      <c r="C3623" t="s">
        <v>2569</v>
      </c>
      <c r="D3623" t="s">
        <v>12283</v>
      </c>
      <c r="E3623">
        <v>10300000</v>
      </c>
    </row>
    <row r="3624" spans="1:5" ht="15" customHeight="1" x14ac:dyDescent="0.3">
      <c r="A3624" t="s">
        <v>12284</v>
      </c>
      <c r="B3624" t="s">
        <v>241</v>
      </c>
      <c r="C3624">
        <v>3008</v>
      </c>
      <c r="D3624" t="s">
        <v>3179</v>
      </c>
      <c r="E3624">
        <v>16100000</v>
      </c>
    </row>
    <row r="3625" spans="1:5" ht="15" customHeight="1" x14ac:dyDescent="0.3">
      <c r="A3625" t="s">
        <v>12285</v>
      </c>
      <c r="B3625" t="s">
        <v>306</v>
      </c>
      <c r="C3625" t="s">
        <v>2862</v>
      </c>
      <c r="D3625" t="s">
        <v>12286</v>
      </c>
      <c r="E3625">
        <v>17600000</v>
      </c>
    </row>
    <row r="3626" spans="1:5" ht="15" customHeight="1" x14ac:dyDescent="0.3">
      <c r="A3626" t="s">
        <v>12287</v>
      </c>
      <c r="B3626" t="s">
        <v>220</v>
      </c>
      <c r="C3626" t="s">
        <v>3099</v>
      </c>
      <c r="D3626" t="s">
        <v>12288</v>
      </c>
      <c r="E3626">
        <v>13000000</v>
      </c>
    </row>
    <row r="3627" spans="1:5" ht="15" customHeight="1" x14ac:dyDescent="0.3">
      <c r="A3627" t="s">
        <v>12289</v>
      </c>
      <c r="B3627" t="s">
        <v>2955</v>
      </c>
      <c r="C3627" t="s">
        <v>8856</v>
      </c>
      <c r="D3627" t="s">
        <v>9979</v>
      </c>
      <c r="E3627">
        <v>6830000</v>
      </c>
    </row>
    <row r="3628" spans="1:5" ht="15" customHeight="1" x14ac:dyDescent="0.3">
      <c r="A3628" t="s">
        <v>12290</v>
      </c>
      <c r="B3628" t="s">
        <v>306</v>
      </c>
      <c r="C3628" t="s">
        <v>7913</v>
      </c>
      <c r="D3628" t="s">
        <v>12291</v>
      </c>
      <c r="E3628">
        <v>13500000</v>
      </c>
    </row>
    <row r="3629" spans="1:5" ht="15" customHeight="1" x14ac:dyDescent="0.3">
      <c r="A3629" t="s">
        <v>12292</v>
      </c>
      <c r="B3629" t="s">
        <v>167</v>
      </c>
      <c r="C3629" t="s">
        <v>168</v>
      </c>
      <c r="D3629" t="s">
        <v>12293</v>
      </c>
      <c r="E3629">
        <v>11000000</v>
      </c>
    </row>
    <row r="3630" spans="1:5" ht="15" customHeight="1" x14ac:dyDescent="0.3">
      <c r="A3630" t="s">
        <v>12294</v>
      </c>
      <c r="B3630" t="s">
        <v>241</v>
      </c>
      <c r="C3630" t="s">
        <v>2501</v>
      </c>
      <c r="D3630" t="s">
        <v>1500</v>
      </c>
      <c r="E3630">
        <v>19000000</v>
      </c>
    </row>
    <row r="3631" spans="1:5" ht="15" customHeight="1" x14ac:dyDescent="0.3">
      <c r="A3631" t="s">
        <v>12295</v>
      </c>
      <c r="B3631" t="s">
        <v>207</v>
      </c>
      <c r="C3631" t="s">
        <v>2582</v>
      </c>
      <c r="D3631" t="s">
        <v>12296</v>
      </c>
      <c r="E3631">
        <v>9400000</v>
      </c>
    </row>
    <row r="3632" spans="1:5" ht="15" customHeight="1" x14ac:dyDescent="0.3">
      <c r="A3632" t="s">
        <v>12297</v>
      </c>
      <c r="B3632" t="s">
        <v>2498</v>
      </c>
      <c r="C3632" t="s">
        <v>188</v>
      </c>
      <c r="D3632" t="s">
        <v>10632</v>
      </c>
      <c r="E3632">
        <v>8800000</v>
      </c>
    </row>
    <row r="3633" spans="1:5" ht="15" customHeight="1" x14ac:dyDescent="0.3">
      <c r="A3633" t="s">
        <v>12298</v>
      </c>
      <c r="B3633" t="s">
        <v>2521</v>
      </c>
      <c r="C3633" t="s">
        <v>2522</v>
      </c>
      <c r="D3633" t="s">
        <v>12299</v>
      </c>
      <c r="E3633">
        <v>19700000</v>
      </c>
    </row>
    <row r="3634" spans="1:5" ht="15" customHeight="1" x14ac:dyDescent="0.3">
      <c r="A3634" t="s">
        <v>12300</v>
      </c>
      <c r="B3634" t="s">
        <v>28</v>
      </c>
      <c r="C3634" t="s">
        <v>35</v>
      </c>
      <c r="D3634" t="s">
        <v>11428</v>
      </c>
      <c r="E3634">
        <v>10900000</v>
      </c>
    </row>
    <row r="3635" spans="1:5" ht="15" customHeight="1" x14ac:dyDescent="0.3">
      <c r="A3635" t="s">
        <v>12301</v>
      </c>
      <c r="B3635" t="s">
        <v>2494</v>
      </c>
      <c r="C3635" t="s">
        <v>3656</v>
      </c>
      <c r="D3635" t="s">
        <v>11198</v>
      </c>
      <c r="E3635">
        <v>11300000</v>
      </c>
    </row>
    <row r="3636" spans="1:5" ht="15" customHeight="1" x14ac:dyDescent="0.3">
      <c r="A3636" t="s">
        <v>12302</v>
      </c>
      <c r="B3636" t="s">
        <v>2494</v>
      </c>
      <c r="C3636" t="s">
        <v>3477</v>
      </c>
      <c r="D3636" t="s">
        <v>12303</v>
      </c>
      <c r="E3636">
        <v>6620000</v>
      </c>
    </row>
    <row r="3637" spans="1:5" ht="15" customHeight="1" x14ac:dyDescent="0.3">
      <c r="A3637" t="s">
        <v>12304</v>
      </c>
      <c r="B3637" t="s">
        <v>28</v>
      </c>
      <c r="C3637" t="s">
        <v>42</v>
      </c>
      <c r="D3637" t="s">
        <v>12305</v>
      </c>
      <c r="E3637">
        <v>11400000</v>
      </c>
    </row>
    <row r="3638" spans="1:5" ht="15" customHeight="1" x14ac:dyDescent="0.3">
      <c r="A3638" t="s">
        <v>11196</v>
      </c>
      <c r="B3638" t="s">
        <v>86</v>
      </c>
      <c r="C3638" t="s">
        <v>2826</v>
      </c>
      <c r="D3638" t="s">
        <v>11066</v>
      </c>
      <c r="E3638">
        <v>20700000</v>
      </c>
    </row>
    <row r="3639" spans="1:5" ht="15" customHeight="1" x14ac:dyDescent="0.3">
      <c r="A3639" t="s">
        <v>12306</v>
      </c>
      <c r="B3639" t="s">
        <v>156</v>
      </c>
      <c r="C3639" t="s">
        <v>2789</v>
      </c>
      <c r="D3639" t="s">
        <v>12307</v>
      </c>
      <c r="E3639">
        <v>10100000</v>
      </c>
    </row>
    <row r="3640" spans="1:5" ht="15" customHeight="1" x14ac:dyDescent="0.3">
      <c r="A3640" t="s">
        <v>11197</v>
      </c>
      <c r="B3640" t="s">
        <v>2494</v>
      </c>
      <c r="C3640" t="s">
        <v>3656</v>
      </c>
      <c r="D3640" t="s">
        <v>11198</v>
      </c>
      <c r="E3640">
        <v>11300000</v>
      </c>
    </row>
    <row r="3641" spans="1:5" ht="15" customHeight="1" x14ac:dyDescent="0.3">
      <c r="A3641" t="s">
        <v>12308</v>
      </c>
      <c r="B3641" t="s">
        <v>2498</v>
      </c>
      <c r="C3641" t="s">
        <v>188</v>
      </c>
      <c r="D3641" t="s">
        <v>12309</v>
      </c>
      <c r="E3641">
        <v>5380000</v>
      </c>
    </row>
    <row r="3642" spans="1:5" ht="15" customHeight="1" x14ac:dyDescent="0.3">
      <c r="A3642" t="s">
        <v>12310</v>
      </c>
      <c r="B3642" t="s">
        <v>2549</v>
      </c>
      <c r="C3642" t="s">
        <v>2655</v>
      </c>
      <c r="D3642" t="s">
        <v>12311</v>
      </c>
      <c r="E3642">
        <v>11900000</v>
      </c>
    </row>
    <row r="3643" spans="1:5" ht="15" customHeight="1" x14ac:dyDescent="0.3">
      <c r="A3643" t="s">
        <v>12312</v>
      </c>
      <c r="B3643" t="s">
        <v>220</v>
      </c>
      <c r="C3643" t="s">
        <v>2762</v>
      </c>
      <c r="D3643" t="s">
        <v>12313</v>
      </c>
      <c r="E3643">
        <v>12500000</v>
      </c>
    </row>
    <row r="3644" spans="1:5" ht="15" customHeight="1" x14ac:dyDescent="0.3">
      <c r="A3644" t="s">
        <v>12314</v>
      </c>
      <c r="B3644" t="s">
        <v>291</v>
      </c>
      <c r="C3644" t="s">
        <v>3161</v>
      </c>
      <c r="D3644" t="s">
        <v>11150</v>
      </c>
      <c r="E3644">
        <v>20700000</v>
      </c>
    </row>
    <row r="3645" spans="1:5" ht="15" customHeight="1" x14ac:dyDescent="0.3">
      <c r="A3645" t="s">
        <v>12315</v>
      </c>
      <c r="B3645" t="s">
        <v>156</v>
      </c>
      <c r="C3645" t="s">
        <v>12316</v>
      </c>
      <c r="D3645" t="s">
        <v>12317</v>
      </c>
      <c r="E3645">
        <v>17700000</v>
      </c>
    </row>
    <row r="3646" spans="1:5" ht="15" customHeight="1" x14ac:dyDescent="0.3">
      <c r="A3646" t="s">
        <v>12318</v>
      </c>
      <c r="B3646" t="s">
        <v>156</v>
      </c>
      <c r="C3646" t="s">
        <v>2479</v>
      </c>
      <c r="D3646" t="s">
        <v>12319</v>
      </c>
      <c r="E3646">
        <v>8500000</v>
      </c>
    </row>
    <row r="3647" spans="1:5" ht="15" customHeight="1" x14ac:dyDescent="0.3">
      <c r="A3647" t="s">
        <v>12320</v>
      </c>
      <c r="B3647" t="s">
        <v>2517</v>
      </c>
      <c r="C3647" t="s">
        <v>2518</v>
      </c>
      <c r="D3647" t="s">
        <v>12321</v>
      </c>
      <c r="E3647">
        <v>5610000</v>
      </c>
    </row>
    <row r="3648" spans="1:5" ht="15" customHeight="1" x14ac:dyDescent="0.3">
      <c r="A3648" t="s">
        <v>11199</v>
      </c>
      <c r="B3648" t="s">
        <v>2498</v>
      </c>
      <c r="C3648" t="s">
        <v>199</v>
      </c>
      <c r="D3648" t="s">
        <v>3820</v>
      </c>
      <c r="E3648">
        <v>16600000</v>
      </c>
    </row>
    <row r="3649" spans="1:5" ht="15" customHeight="1" x14ac:dyDescent="0.3">
      <c r="A3649" t="s">
        <v>12322</v>
      </c>
      <c r="B3649" t="s">
        <v>2549</v>
      </c>
      <c r="C3649" t="s">
        <v>10482</v>
      </c>
      <c r="D3649" t="s">
        <v>11602</v>
      </c>
      <c r="E3649">
        <v>13200000</v>
      </c>
    </row>
    <row r="3650" spans="1:5" ht="15" customHeight="1" x14ac:dyDescent="0.3">
      <c r="A3650" t="s">
        <v>12323</v>
      </c>
      <c r="B3650" t="s">
        <v>306</v>
      </c>
      <c r="C3650" t="s">
        <v>2981</v>
      </c>
      <c r="D3650" t="s">
        <v>12324</v>
      </c>
      <c r="E3650">
        <v>25000000</v>
      </c>
    </row>
    <row r="3651" spans="1:5" ht="15" customHeight="1" x14ac:dyDescent="0.3">
      <c r="A3651" t="s">
        <v>12325</v>
      </c>
      <c r="B3651" t="s">
        <v>3021</v>
      </c>
      <c r="C3651" t="s">
        <v>3346</v>
      </c>
      <c r="D3651" t="s">
        <v>12326</v>
      </c>
      <c r="E3651">
        <v>18500000</v>
      </c>
    </row>
    <row r="3652" spans="1:5" ht="15" customHeight="1" x14ac:dyDescent="0.3">
      <c r="A3652" t="s">
        <v>11200</v>
      </c>
      <c r="B3652" t="s">
        <v>291</v>
      </c>
      <c r="C3652" t="s">
        <v>3161</v>
      </c>
      <c r="D3652" t="s">
        <v>11150</v>
      </c>
      <c r="E3652">
        <v>20700000</v>
      </c>
    </row>
    <row r="3653" spans="1:5" ht="15" customHeight="1" x14ac:dyDescent="0.3">
      <c r="A3653" t="s">
        <v>12327</v>
      </c>
      <c r="B3653" t="s">
        <v>45</v>
      </c>
      <c r="C3653" t="s">
        <v>2555</v>
      </c>
      <c r="D3653" t="s">
        <v>12328</v>
      </c>
      <c r="E3653">
        <v>18600000</v>
      </c>
    </row>
    <row r="3654" spans="1:5" ht="15" customHeight="1" x14ac:dyDescent="0.3">
      <c r="A3654" t="s">
        <v>12329</v>
      </c>
      <c r="B3654" t="s">
        <v>142</v>
      </c>
      <c r="C3654" t="s">
        <v>3834</v>
      </c>
      <c r="D3654" t="s">
        <v>8046</v>
      </c>
      <c r="E3654">
        <v>9600000</v>
      </c>
    </row>
    <row r="3655" spans="1:5" ht="15" customHeight="1" x14ac:dyDescent="0.3">
      <c r="A3655" t="s">
        <v>12330</v>
      </c>
      <c r="B3655" t="s">
        <v>237</v>
      </c>
      <c r="C3655" t="s">
        <v>65</v>
      </c>
      <c r="D3655" t="s">
        <v>12331</v>
      </c>
      <c r="E3655">
        <v>12700000</v>
      </c>
    </row>
    <row r="3656" spans="1:5" ht="15" customHeight="1" x14ac:dyDescent="0.3">
      <c r="A3656" t="s">
        <v>12332</v>
      </c>
      <c r="B3656" t="s">
        <v>156</v>
      </c>
      <c r="C3656" t="s">
        <v>2707</v>
      </c>
      <c r="D3656" t="s">
        <v>10893</v>
      </c>
      <c r="E3656">
        <v>7690000</v>
      </c>
    </row>
    <row r="3657" spans="1:5" ht="15" customHeight="1" x14ac:dyDescent="0.3">
      <c r="A3657" t="s">
        <v>12333</v>
      </c>
      <c r="B3657" t="s">
        <v>28</v>
      </c>
      <c r="C3657" t="s">
        <v>42</v>
      </c>
      <c r="D3657" t="s">
        <v>12334</v>
      </c>
      <c r="E3657">
        <v>11200000</v>
      </c>
    </row>
    <row r="3658" spans="1:5" ht="15" customHeight="1" x14ac:dyDescent="0.3">
      <c r="A3658" t="s">
        <v>12335</v>
      </c>
      <c r="B3658" t="s">
        <v>237</v>
      </c>
      <c r="C3658" t="s">
        <v>65</v>
      </c>
      <c r="D3658" t="s">
        <v>12331</v>
      </c>
      <c r="E3658">
        <v>12700000</v>
      </c>
    </row>
    <row r="3659" spans="1:5" ht="15" customHeight="1" x14ac:dyDescent="0.3">
      <c r="A3659" t="s">
        <v>12336</v>
      </c>
      <c r="B3659" t="s">
        <v>156</v>
      </c>
      <c r="C3659" t="s">
        <v>2912</v>
      </c>
      <c r="D3659" t="s">
        <v>12337</v>
      </c>
      <c r="E3659">
        <v>6770000</v>
      </c>
    </row>
    <row r="3660" spans="1:5" ht="15" customHeight="1" x14ac:dyDescent="0.3">
      <c r="A3660" t="s">
        <v>12338</v>
      </c>
      <c r="B3660" t="s">
        <v>147</v>
      </c>
      <c r="C3660" t="s">
        <v>153</v>
      </c>
      <c r="D3660" t="s">
        <v>12339</v>
      </c>
      <c r="E3660">
        <v>12600000</v>
      </c>
    </row>
    <row r="3661" spans="1:5" ht="15" customHeight="1" x14ac:dyDescent="0.3">
      <c r="A3661" t="s">
        <v>12340</v>
      </c>
      <c r="B3661" t="s">
        <v>2549</v>
      </c>
      <c r="C3661" t="s">
        <v>3066</v>
      </c>
      <c r="D3661" t="s">
        <v>12341</v>
      </c>
      <c r="E3661">
        <v>10700000</v>
      </c>
    </row>
    <row r="3662" spans="1:5" ht="15" customHeight="1" x14ac:dyDescent="0.3">
      <c r="A3662" t="s">
        <v>12342</v>
      </c>
      <c r="B3662" t="s">
        <v>28</v>
      </c>
      <c r="C3662" t="s">
        <v>2490</v>
      </c>
      <c r="D3662" t="s">
        <v>12343</v>
      </c>
      <c r="E3662">
        <v>14500000</v>
      </c>
    </row>
    <row r="3663" spans="1:5" ht="15" customHeight="1" x14ac:dyDescent="0.3">
      <c r="A3663" t="s">
        <v>12344</v>
      </c>
      <c r="B3663" t="s">
        <v>2533</v>
      </c>
      <c r="C3663" t="s">
        <v>2571</v>
      </c>
      <c r="D3663" t="s">
        <v>10412</v>
      </c>
      <c r="E3663">
        <v>7430000</v>
      </c>
    </row>
    <row r="3664" spans="1:5" ht="15" customHeight="1" x14ac:dyDescent="0.3">
      <c r="A3664" t="s">
        <v>12345</v>
      </c>
      <c r="B3664" t="s">
        <v>86</v>
      </c>
      <c r="C3664" t="s">
        <v>134</v>
      </c>
      <c r="D3664" t="s">
        <v>9984</v>
      </c>
      <c r="E3664">
        <v>16000000</v>
      </c>
    </row>
    <row r="3665" spans="1:5" ht="15" customHeight="1" x14ac:dyDescent="0.3">
      <c r="A3665" t="s">
        <v>12346</v>
      </c>
      <c r="B3665" t="s">
        <v>86</v>
      </c>
      <c r="C3665" t="s">
        <v>134</v>
      </c>
      <c r="D3665" t="s">
        <v>9984</v>
      </c>
      <c r="E3665">
        <v>16000000</v>
      </c>
    </row>
    <row r="3666" spans="1:5" ht="15" customHeight="1" x14ac:dyDescent="0.3">
      <c r="A3666" t="s">
        <v>12347</v>
      </c>
      <c r="B3666" t="s">
        <v>278</v>
      </c>
      <c r="C3666">
        <v>700</v>
      </c>
      <c r="D3666" t="s">
        <v>12348</v>
      </c>
      <c r="E3666">
        <v>10200000</v>
      </c>
    </row>
    <row r="3667" spans="1:5" ht="15" customHeight="1" x14ac:dyDescent="0.3">
      <c r="A3667" t="s">
        <v>12349</v>
      </c>
      <c r="B3667" t="s">
        <v>142</v>
      </c>
      <c r="C3667" t="s">
        <v>11804</v>
      </c>
      <c r="D3667" t="s">
        <v>12350</v>
      </c>
      <c r="E3667">
        <v>17100000</v>
      </c>
    </row>
    <row r="3668" spans="1:5" ht="15" customHeight="1" x14ac:dyDescent="0.3">
      <c r="A3668" t="s">
        <v>12351</v>
      </c>
      <c r="B3668" t="s">
        <v>214</v>
      </c>
      <c r="C3668" t="s">
        <v>2675</v>
      </c>
      <c r="D3668" t="s">
        <v>12352</v>
      </c>
      <c r="E3668">
        <v>15300000</v>
      </c>
    </row>
    <row r="3669" spans="1:5" ht="15" customHeight="1" x14ac:dyDescent="0.3">
      <c r="A3669" t="s">
        <v>12353</v>
      </c>
      <c r="B3669" t="s">
        <v>68</v>
      </c>
      <c r="C3669">
        <v>600</v>
      </c>
      <c r="D3669" t="s">
        <v>12354</v>
      </c>
      <c r="E3669">
        <v>13200000</v>
      </c>
    </row>
    <row r="3670" spans="1:5" ht="15" customHeight="1" x14ac:dyDescent="0.3">
      <c r="A3670" t="s">
        <v>12355</v>
      </c>
      <c r="B3670" t="s">
        <v>167</v>
      </c>
      <c r="C3670" t="s">
        <v>2529</v>
      </c>
      <c r="D3670" t="s">
        <v>12356</v>
      </c>
      <c r="E3670">
        <v>7820000</v>
      </c>
    </row>
    <row r="3671" spans="1:5" ht="15" customHeight="1" x14ac:dyDescent="0.3">
      <c r="A3671" t="s">
        <v>12357</v>
      </c>
      <c r="B3671" t="s">
        <v>241</v>
      </c>
      <c r="C3671">
        <v>3008</v>
      </c>
      <c r="D3671" t="s">
        <v>3917</v>
      </c>
      <c r="E3671">
        <v>21500000</v>
      </c>
    </row>
    <row r="3672" spans="1:5" ht="15" customHeight="1" x14ac:dyDescent="0.3">
      <c r="A3672" t="s">
        <v>12358</v>
      </c>
      <c r="B3672" t="s">
        <v>86</v>
      </c>
      <c r="C3672" t="s">
        <v>2976</v>
      </c>
      <c r="D3672" t="s">
        <v>2174</v>
      </c>
      <c r="E3672">
        <v>13300000</v>
      </c>
    </row>
    <row r="3673" spans="1:5" ht="15" customHeight="1" x14ac:dyDescent="0.3">
      <c r="A3673" t="s">
        <v>12359</v>
      </c>
      <c r="B3673" t="s">
        <v>2498</v>
      </c>
      <c r="C3673" t="s">
        <v>2664</v>
      </c>
      <c r="D3673" t="s">
        <v>9862</v>
      </c>
      <c r="E3673">
        <v>12800000</v>
      </c>
    </row>
    <row r="3674" spans="1:5" ht="15" customHeight="1" x14ac:dyDescent="0.3">
      <c r="A3674" t="s">
        <v>12360</v>
      </c>
      <c r="B3674" t="s">
        <v>2474</v>
      </c>
      <c r="C3674" t="s">
        <v>2685</v>
      </c>
      <c r="D3674" t="s">
        <v>10908</v>
      </c>
      <c r="E3674">
        <v>11700000</v>
      </c>
    </row>
    <row r="3675" spans="1:5" ht="15" customHeight="1" x14ac:dyDescent="0.3">
      <c r="A3675" t="s">
        <v>12361</v>
      </c>
      <c r="B3675" t="s">
        <v>68</v>
      </c>
      <c r="C3675">
        <v>560</v>
      </c>
      <c r="D3675" t="s">
        <v>11637</v>
      </c>
      <c r="E3675">
        <v>10100000</v>
      </c>
    </row>
    <row r="3676" spans="1:5" ht="15" customHeight="1" x14ac:dyDescent="0.3">
      <c r="A3676" t="s">
        <v>12362</v>
      </c>
      <c r="B3676" t="s">
        <v>2498</v>
      </c>
      <c r="C3676" t="s">
        <v>188</v>
      </c>
      <c r="D3676" t="s">
        <v>3013</v>
      </c>
      <c r="E3676">
        <v>10100000</v>
      </c>
    </row>
    <row r="3677" spans="1:5" ht="15" customHeight="1" x14ac:dyDescent="0.3">
      <c r="A3677" t="s">
        <v>12363</v>
      </c>
      <c r="B3677" t="s">
        <v>86</v>
      </c>
      <c r="C3677" t="s">
        <v>3811</v>
      </c>
      <c r="D3677" t="s">
        <v>12364</v>
      </c>
      <c r="E3677">
        <v>4180000</v>
      </c>
    </row>
    <row r="3678" spans="1:5" ht="15" customHeight="1" x14ac:dyDescent="0.3">
      <c r="A3678" t="s">
        <v>11201</v>
      </c>
      <c r="B3678" t="s">
        <v>207</v>
      </c>
      <c r="C3678" t="s">
        <v>11202</v>
      </c>
      <c r="D3678" t="s">
        <v>11203</v>
      </c>
      <c r="E3678">
        <v>25500000</v>
      </c>
    </row>
    <row r="3679" spans="1:5" ht="15" customHeight="1" x14ac:dyDescent="0.3">
      <c r="A3679" t="s">
        <v>12365</v>
      </c>
      <c r="B3679" t="s">
        <v>86</v>
      </c>
      <c r="C3679" t="s">
        <v>2793</v>
      </c>
      <c r="D3679" t="s">
        <v>12366</v>
      </c>
      <c r="E3679">
        <v>14600000</v>
      </c>
    </row>
    <row r="3680" spans="1:5" ht="15" customHeight="1" x14ac:dyDescent="0.3">
      <c r="A3680" t="s">
        <v>11204</v>
      </c>
      <c r="B3680" t="s">
        <v>207</v>
      </c>
      <c r="C3680" t="s">
        <v>11202</v>
      </c>
      <c r="D3680" t="s">
        <v>11203</v>
      </c>
      <c r="E3680">
        <v>21600000</v>
      </c>
    </row>
    <row r="3681" spans="1:5" ht="15" customHeight="1" x14ac:dyDescent="0.3">
      <c r="A3681" t="s">
        <v>12367</v>
      </c>
      <c r="B3681" t="s">
        <v>86</v>
      </c>
      <c r="C3681" t="s">
        <v>134</v>
      </c>
      <c r="D3681" t="s">
        <v>12368</v>
      </c>
      <c r="E3681">
        <v>15300000</v>
      </c>
    </row>
    <row r="3682" spans="1:5" ht="15" customHeight="1" x14ac:dyDescent="0.3">
      <c r="A3682" t="s">
        <v>12369</v>
      </c>
      <c r="B3682" t="s">
        <v>214</v>
      </c>
      <c r="C3682" t="s">
        <v>2627</v>
      </c>
      <c r="D3682" t="s">
        <v>12209</v>
      </c>
      <c r="E3682">
        <v>25300000</v>
      </c>
    </row>
    <row r="3683" spans="1:5" ht="15" customHeight="1" x14ac:dyDescent="0.3">
      <c r="A3683" t="s">
        <v>12370</v>
      </c>
      <c r="B3683" t="s">
        <v>86</v>
      </c>
      <c r="C3683" t="s">
        <v>3811</v>
      </c>
      <c r="D3683" t="s">
        <v>12364</v>
      </c>
      <c r="E3683">
        <v>4180000</v>
      </c>
    </row>
    <row r="3684" spans="1:5" ht="15" customHeight="1" x14ac:dyDescent="0.3">
      <c r="A3684" t="s">
        <v>12371</v>
      </c>
      <c r="B3684" t="s">
        <v>207</v>
      </c>
      <c r="C3684" t="s">
        <v>211</v>
      </c>
      <c r="D3684" t="s">
        <v>11223</v>
      </c>
      <c r="E3684">
        <v>35800000</v>
      </c>
    </row>
    <row r="3685" spans="1:5" ht="15" customHeight="1" x14ac:dyDescent="0.3">
      <c r="A3685" t="s">
        <v>12372</v>
      </c>
      <c r="B3685" t="s">
        <v>86</v>
      </c>
      <c r="C3685" t="s">
        <v>2747</v>
      </c>
      <c r="D3685" t="s">
        <v>12373</v>
      </c>
      <c r="E3685">
        <v>9200000</v>
      </c>
    </row>
    <row r="3686" spans="1:5" ht="15" customHeight="1" x14ac:dyDescent="0.3">
      <c r="A3686" t="s">
        <v>12374</v>
      </c>
      <c r="B3686" t="s">
        <v>86</v>
      </c>
      <c r="C3686" t="s">
        <v>122</v>
      </c>
      <c r="D3686" t="s">
        <v>12375</v>
      </c>
      <c r="E3686">
        <v>19000000</v>
      </c>
    </row>
    <row r="3687" spans="1:5" ht="15" customHeight="1" x14ac:dyDescent="0.3">
      <c r="A3687" t="s">
        <v>11205</v>
      </c>
      <c r="B3687" t="s">
        <v>2498</v>
      </c>
      <c r="C3687" t="s">
        <v>2499</v>
      </c>
      <c r="D3687" t="s">
        <v>11078</v>
      </c>
      <c r="E3687">
        <v>11000000</v>
      </c>
    </row>
    <row r="3688" spans="1:5" ht="15" customHeight="1" x14ac:dyDescent="0.3">
      <c r="A3688" t="s">
        <v>12376</v>
      </c>
      <c r="B3688" t="s">
        <v>68</v>
      </c>
      <c r="C3688" t="s">
        <v>11209</v>
      </c>
      <c r="D3688" t="s">
        <v>11210</v>
      </c>
      <c r="E3688">
        <v>16700000</v>
      </c>
    </row>
    <row r="3689" spans="1:5" ht="15" customHeight="1" x14ac:dyDescent="0.3">
      <c r="A3689" t="s">
        <v>12377</v>
      </c>
      <c r="B3689" t="s">
        <v>2498</v>
      </c>
      <c r="C3689" t="s">
        <v>4472</v>
      </c>
      <c r="D3689" t="s">
        <v>11207</v>
      </c>
      <c r="E3689">
        <v>31400000</v>
      </c>
    </row>
    <row r="3690" spans="1:5" ht="15" customHeight="1" x14ac:dyDescent="0.3">
      <c r="A3690" t="s">
        <v>12378</v>
      </c>
      <c r="B3690" t="s">
        <v>147</v>
      </c>
      <c r="C3690" t="s">
        <v>150</v>
      </c>
      <c r="D3690" t="s">
        <v>12379</v>
      </c>
      <c r="E3690">
        <v>9400000</v>
      </c>
    </row>
    <row r="3691" spans="1:5" ht="15" customHeight="1" x14ac:dyDescent="0.3">
      <c r="A3691" t="s">
        <v>11206</v>
      </c>
      <c r="B3691" t="s">
        <v>2498</v>
      </c>
      <c r="C3691" t="s">
        <v>4472</v>
      </c>
      <c r="D3691" t="s">
        <v>11207</v>
      </c>
      <c r="E3691">
        <v>31400000</v>
      </c>
    </row>
    <row r="3692" spans="1:5" ht="15" customHeight="1" x14ac:dyDescent="0.3">
      <c r="A3692" t="s">
        <v>11208</v>
      </c>
      <c r="B3692" t="s">
        <v>68</v>
      </c>
      <c r="C3692" t="s">
        <v>11209</v>
      </c>
      <c r="D3692" t="s">
        <v>11210</v>
      </c>
      <c r="E3692">
        <v>16700000</v>
      </c>
    </row>
    <row r="3693" spans="1:5" ht="15" customHeight="1" x14ac:dyDescent="0.3">
      <c r="A3693" t="s">
        <v>12380</v>
      </c>
      <c r="B3693" t="s">
        <v>300</v>
      </c>
      <c r="C3693" t="s">
        <v>3299</v>
      </c>
      <c r="D3693" t="s">
        <v>11212</v>
      </c>
      <c r="E3693">
        <v>14700000</v>
      </c>
    </row>
    <row r="3694" spans="1:5" ht="15" customHeight="1" x14ac:dyDescent="0.3">
      <c r="A3694" t="s">
        <v>11211</v>
      </c>
      <c r="B3694" t="s">
        <v>300</v>
      </c>
      <c r="C3694" t="s">
        <v>3299</v>
      </c>
      <c r="D3694" t="s">
        <v>11212</v>
      </c>
      <c r="E3694">
        <v>14700000</v>
      </c>
    </row>
    <row r="3695" spans="1:5" ht="15" customHeight="1" x14ac:dyDescent="0.3">
      <c r="A3695" t="s">
        <v>12381</v>
      </c>
      <c r="B3695" t="s">
        <v>156</v>
      </c>
      <c r="C3695" t="s">
        <v>2789</v>
      </c>
      <c r="D3695" t="s">
        <v>12382</v>
      </c>
      <c r="E3695">
        <v>14600000</v>
      </c>
    </row>
    <row r="3696" spans="1:5" ht="15" customHeight="1" x14ac:dyDescent="0.3">
      <c r="A3696" t="s">
        <v>12383</v>
      </c>
      <c r="B3696" t="s">
        <v>156</v>
      </c>
      <c r="C3696" t="s">
        <v>3096</v>
      </c>
      <c r="D3696" t="s">
        <v>11214</v>
      </c>
      <c r="E3696">
        <v>17600000</v>
      </c>
    </row>
    <row r="3697" spans="1:5" ht="15" customHeight="1" x14ac:dyDescent="0.3">
      <c r="A3697" t="s">
        <v>12384</v>
      </c>
      <c r="B3697" t="s">
        <v>14</v>
      </c>
      <c r="C3697" t="s">
        <v>15</v>
      </c>
      <c r="D3697" t="s">
        <v>12385</v>
      </c>
      <c r="E3697">
        <v>7470000</v>
      </c>
    </row>
    <row r="3698" spans="1:5" ht="15" customHeight="1" x14ac:dyDescent="0.3">
      <c r="A3698" t="s">
        <v>11213</v>
      </c>
      <c r="B3698" t="s">
        <v>156</v>
      </c>
      <c r="C3698" t="s">
        <v>3096</v>
      </c>
      <c r="D3698" t="s">
        <v>11214</v>
      </c>
      <c r="E3698">
        <v>17600000</v>
      </c>
    </row>
    <row r="3699" spans="1:5" ht="15" customHeight="1" x14ac:dyDescent="0.3">
      <c r="A3699" t="s">
        <v>12386</v>
      </c>
      <c r="B3699" t="s">
        <v>2545</v>
      </c>
      <c r="C3699" t="s">
        <v>2856</v>
      </c>
      <c r="D3699" t="s">
        <v>7655</v>
      </c>
      <c r="E3699">
        <v>21800000</v>
      </c>
    </row>
    <row r="3700" spans="1:5" ht="15" customHeight="1" x14ac:dyDescent="0.3">
      <c r="A3700" t="s">
        <v>12387</v>
      </c>
      <c r="B3700" t="s">
        <v>45</v>
      </c>
      <c r="C3700" t="s">
        <v>2995</v>
      </c>
      <c r="D3700" t="s">
        <v>12388</v>
      </c>
      <c r="E3700">
        <v>6540000</v>
      </c>
    </row>
    <row r="3701" spans="1:5" ht="15" customHeight="1" x14ac:dyDescent="0.3">
      <c r="A3701" t="s">
        <v>12389</v>
      </c>
      <c r="B3701" t="s">
        <v>220</v>
      </c>
      <c r="C3701" t="s">
        <v>2716</v>
      </c>
      <c r="D3701" t="s">
        <v>12390</v>
      </c>
      <c r="E3701">
        <v>11000000</v>
      </c>
    </row>
    <row r="3702" spans="1:5" ht="15" customHeight="1" x14ac:dyDescent="0.3">
      <c r="A3702" t="s">
        <v>12391</v>
      </c>
      <c r="B3702" t="s">
        <v>220</v>
      </c>
      <c r="C3702" t="s">
        <v>2576</v>
      </c>
      <c r="D3702" t="s">
        <v>11216</v>
      </c>
      <c r="E3702">
        <v>25000000</v>
      </c>
    </row>
    <row r="3703" spans="1:5" ht="15" customHeight="1" x14ac:dyDescent="0.3">
      <c r="A3703" t="s">
        <v>12392</v>
      </c>
      <c r="B3703" t="s">
        <v>156</v>
      </c>
      <c r="C3703" t="s">
        <v>2789</v>
      </c>
      <c r="D3703" t="s">
        <v>12393</v>
      </c>
      <c r="E3703">
        <v>8900000</v>
      </c>
    </row>
    <row r="3704" spans="1:5" ht="15" customHeight="1" x14ac:dyDescent="0.3">
      <c r="A3704" t="s">
        <v>12394</v>
      </c>
      <c r="B3704" t="s">
        <v>2498</v>
      </c>
      <c r="C3704" t="s">
        <v>2664</v>
      </c>
      <c r="D3704" t="s">
        <v>11218</v>
      </c>
      <c r="E3704">
        <v>12300000</v>
      </c>
    </row>
    <row r="3705" spans="1:5" ht="15" customHeight="1" x14ac:dyDescent="0.3">
      <c r="A3705" t="s">
        <v>11215</v>
      </c>
      <c r="B3705" t="s">
        <v>220</v>
      </c>
      <c r="C3705" t="s">
        <v>2576</v>
      </c>
      <c r="D3705" t="s">
        <v>11216</v>
      </c>
      <c r="E3705">
        <v>25000000</v>
      </c>
    </row>
    <row r="3706" spans="1:5" ht="15" customHeight="1" x14ac:dyDescent="0.3">
      <c r="A3706" t="s">
        <v>11217</v>
      </c>
      <c r="B3706" t="s">
        <v>2498</v>
      </c>
      <c r="C3706" t="s">
        <v>2664</v>
      </c>
      <c r="D3706" t="s">
        <v>11218</v>
      </c>
      <c r="E3706">
        <v>12300000</v>
      </c>
    </row>
    <row r="3707" spans="1:5" ht="15" customHeight="1" x14ac:dyDescent="0.3">
      <c r="A3707" t="s">
        <v>12395</v>
      </c>
      <c r="B3707" t="s">
        <v>68</v>
      </c>
      <c r="C3707" t="s">
        <v>3249</v>
      </c>
      <c r="D3707" t="s">
        <v>12396</v>
      </c>
      <c r="E3707">
        <v>17300000</v>
      </c>
    </row>
    <row r="3708" spans="1:5" ht="15" customHeight="1" x14ac:dyDescent="0.3">
      <c r="A3708" t="s">
        <v>12397</v>
      </c>
      <c r="B3708" t="s">
        <v>2474</v>
      </c>
      <c r="C3708" t="s">
        <v>2685</v>
      </c>
      <c r="D3708" t="s">
        <v>1539</v>
      </c>
      <c r="E3708">
        <v>12200000</v>
      </c>
    </row>
    <row r="3709" spans="1:5" ht="15" customHeight="1" x14ac:dyDescent="0.3">
      <c r="A3709" t="s">
        <v>12398</v>
      </c>
      <c r="B3709" t="s">
        <v>2498</v>
      </c>
      <c r="C3709" t="s">
        <v>2563</v>
      </c>
      <c r="D3709" t="s">
        <v>10910</v>
      </c>
      <c r="E3709">
        <v>14600000</v>
      </c>
    </row>
    <row r="3710" spans="1:5" ht="15" customHeight="1" x14ac:dyDescent="0.3">
      <c r="A3710" t="s">
        <v>11219</v>
      </c>
      <c r="B3710" t="s">
        <v>156</v>
      </c>
      <c r="C3710" t="s">
        <v>3117</v>
      </c>
      <c r="D3710" t="s">
        <v>2477</v>
      </c>
      <c r="E3710">
        <v>14900000</v>
      </c>
    </row>
    <row r="3711" spans="1:5" ht="15" customHeight="1" x14ac:dyDescent="0.3">
      <c r="A3711" t="s">
        <v>11220</v>
      </c>
      <c r="B3711" t="s">
        <v>156</v>
      </c>
      <c r="C3711" t="s">
        <v>3117</v>
      </c>
      <c r="D3711" t="s">
        <v>2477</v>
      </c>
      <c r="E3711">
        <v>14900000</v>
      </c>
    </row>
    <row r="3712" spans="1:5" ht="15" customHeight="1" x14ac:dyDescent="0.3">
      <c r="A3712" t="s">
        <v>12399</v>
      </c>
      <c r="B3712" t="s">
        <v>2533</v>
      </c>
      <c r="C3712" t="s">
        <v>2571</v>
      </c>
      <c r="D3712" t="s">
        <v>8843</v>
      </c>
      <c r="E3712">
        <v>8400000</v>
      </c>
    </row>
    <row r="3713" spans="1:5" ht="15" customHeight="1" x14ac:dyDescent="0.3">
      <c r="A3713" t="s">
        <v>12400</v>
      </c>
      <c r="B3713" t="s">
        <v>220</v>
      </c>
      <c r="C3713" t="s">
        <v>2569</v>
      </c>
      <c r="D3713" t="s">
        <v>12401</v>
      </c>
      <c r="E3713">
        <v>9900000</v>
      </c>
    </row>
    <row r="3714" spans="1:5" ht="15" customHeight="1" x14ac:dyDescent="0.3">
      <c r="A3714" t="s">
        <v>12402</v>
      </c>
      <c r="B3714" t="s">
        <v>2665</v>
      </c>
      <c r="C3714" t="s">
        <v>12403</v>
      </c>
      <c r="D3714" t="s">
        <v>12404</v>
      </c>
      <c r="E3714">
        <v>23700000</v>
      </c>
    </row>
    <row r="3715" spans="1:5" ht="15" customHeight="1" x14ac:dyDescent="0.3">
      <c r="A3715" t="s">
        <v>12405</v>
      </c>
      <c r="B3715" t="s">
        <v>28</v>
      </c>
      <c r="C3715" t="s">
        <v>42</v>
      </c>
      <c r="D3715" t="s">
        <v>12406</v>
      </c>
      <c r="E3715">
        <v>11300000</v>
      </c>
    </row>
    <row r="3716" spans="1:5" ht="15" customHeight="1" x14ac:dyDescent="0.3">
      <c r="A3716" t="s">
        <v>12407</v>
      </c>
      <c r="B3716" t="s">
        <v>86</v>
      </c>
      <c r="C3716" t="s">
        <v>2747</v>
      </c>
      <c r="D3716" t="s">
        <v>12408</v>
      </c>
      <c r="E3716">
        <v>10400000</v>
      </c>
    </row>
    <row r="3717" spans="1:5" ht="15" customHeight="1" x14ac:dyDescent="0.3">
      <c r="A3717" t="s">
        <v>12409</v>
      </c>
      <c r="B3717" t="s">
        <v>220</v>
      </c>
      <c r="C3717" t="s">
        <v>2576</v>
      </c>
      <c r="D3717" t="s">
        <v>12410</v>
      </c>
      <c r="E3717">
        <v>25100000</v>
      </c>
    </row>
    <row r="3718" spans="1:5" ht="15" customHeight="1" x14ac:dyDescent="0.3">
      <c r="A3718" t="s">
        <v>12411</v>
      </c>
      <c r="B3718" t="s">
        <v>86</v>
      </c>
      <c r="C3718" t="s">
        <v>134</v>
      </c>
      <c r="D3718" t="s">
        <v>12412</v>
      </c>
      <c r="E3718">
        <v>11300000</v>
      </c>
    </row>
    <row r="3719" spans="1:5" ht="15" customHeight="1" x14ac:dyDescent="0.3">
      <c r="A3719" t="s">
        <v>12413</v>
      </c>
      <c r="B3719" t="s">
        <v>60</v>
      </c>
      <c r="C3719" t="s">
        <v>8859</v>
      </c>
      <c r="D3719" t="s">
        <v>742</v>
      </c>
      <c r="E3719">
        <v>7830000</v>
      </c>
    </row>
    <row r="3720" spans="1:5" ht="15" customHeight="1" x14ac:dyDescent="0.3">
      <c r="A3720" t="s">
        <v>12414</v>
      </c>
      <c r="B3720" t="s">
        <v>241</v>
      </c>
      <c r="C3720" t="s">
        <v>2484</v>
      </c>
      <c r="D3720" t="s">
        <v>3614</v>
      </c>
      <c r="E3720">
        <v>12700000</v>
      </c>
    </row>
    <row r="3721" spans="1:5" ht="15" customHeight="1" x14ac:dyDescent="0.3">
      <c r="A3721" t="s">
        <v>12415</v>
      </c>
      <c r="B3721" t="s">
        <v>2521</v>
      </c>
      <c r="C3721" t="s">
        <v>2522</v>
      </c>
      <c r="D3721" t="s">
        <v>12416</v>
      </c>
      <c r="E3721">
        <v>18200000</v>
      </c>
    </row>
    <row r="3722" spans="1:5" ht="15" customHeight="1" x14ac:dyDescent="0.3">
      <c r="A3722" t="s">
        <v>12417</v>
      </c>
      <c r="B3722" t="s">
        <v>28</v>
      </c>
      <c r="C3722" t="s">
        <v>2575</v>
      </c>
      <c r="D3722" t="s">
        <v>12418</v>
      </c>
      <c r="E3722">
        <v>9000000</v>
      </c>
    </row>
    <row r="3723" spans="1:5" ht="15" customHeight="1" x14ac:dyDescent="0.3">
      <c r="A3723" t="s">
        <v>12419</v>
      </c>
      <c r="B3723" t="s">
        <v>28</v>
      </c>
      <c r="C3723" t="s">
        <v>2496</v>
      </c>
      <c r="D3723" t="s">
        <v>12420</v>
      </c>
      <c r="E3723">
        <v>7010000</v>
      </c>
    </row>
    <row r="3724" spans="1:5" ht="15" customHeight="1" x14ac:dyDescent="0.3">
      <c r="A3724" t="s">
        <v>12421</v>
      </c>
      <c r="B3724" t="s">
        <v>86</v>
      </c>
      <c r="C3724" t="s">
        <v>106</v>
      </c>
      <c r="D3724" t="s">
        <v>1122</v>
      </c>
      <c r="E3724">
        <v>30400000</v>
      </c>
    </row>
    <row r="3725" spans="1:5" ht="15" customHeight="1" x14ac:dyDescent="0.3">
      <c r="A3725" t="s">
        <v>12422</v>
      </c>
      <c r="B3725" t="s">
        <v>156</v>
      </c>
      <c r="C3725" t="s">
        <v>2479</v>
      </c>
      <c r="D3725" t="s">
        <v>3389</v>
      </c>
      <c r="E3725">
        <v>10900000</v>
      </c>
    </row>
    <row r="3726" spans="1:5" ht="15" customHeight="1" x14ac:dyDescent="0.3">
      <c r="A3726" t="s">
        <v>12423</v>
      </c>
      <c r="B3726" t="s">
        <v>167</v>
      </c>
      <c r="C3726" t="s">
        <v>170</v>
      </c>
      <c r="D3726" t="s">
        <v>11671</v>
      </c>
      <c r="E3726">
        <v>13500000</v>
      </c>
    </row>
    <row r="3727" spans="1:5" ht="15" customHeight="1" x14ac:dyDescent="0.3">
      <c r="A3727" t="s">
        <v>12424</v>
      </c>
      <c r="B3727" t="s">
        <v>86</v>
      </c>
      <c r="C3727" t="s">
        <v>134</v>
      </c>
      <c r="D3727" t="s">
        <v>12425</v>
      </c>
      <c r="E3727">
        <v>13000000</v>
      </c>
    </row>
    <row r="3728" spans="1:5" ht="15" customHeight="1" x14ac:dyDescent="0.3">
      <c r="A3728" t="s">
        <v>12426</v>
      </c>
      <c r="B3728" t="s">
        <v>2474</v>
      </c>
      <c r="C3728" t="s">
        <v>2685</v>
      </c>
      <c r="D3728" t="s">
        <v>12427</v>
      </c>
      <c r="E3728">
        <v>13800000</v>
      </c>
    </row>
    <row r="3729" spans="1:5" ht="15" customHeight="1" x14ac:dyDescent="0.3">
      <c r="A3729" t="s">
        <v>12428</v>
      </c>
      <c r="B3729" t="s">
        <v>220</v>
      </c>
      <c r="C3729" t="s">
        <v>2492</v>
      </c>
      <c r="D3729" t="s">
        <v>3189</v>
      </c>
      <c r="E3729">
        <v>21700000</v>
      </c>
    </row>
    <row r="3730" spans="1:5" ht="15" customHeight="1" x14ac:dyDescent="0.3">
      <c r="A3730" t="s">
        <v>12429</v>
      </c>
      <c r="B3730" t="s">
        <v>207</v>
      </c>
      <c r="C3730" t="s">
        <v>3176</v>
      </c>
      <c r="D3730" t="s">
        <v>10604</v>
      </c>
      <c r="E3730">
        <v>19000000</v>
      </c>
    </row>
    <row r="3731" spans="1:5" ht="15" customHeight="1" x14ac:dyDescent="0.3">
      <c r="A3731" t="s">
        <v>12430</v>
      </c>
      <c r="B3731" t="s">
        <v>241</v>
      </c>
      <c r="C3731" t="s">
        <v>2487</v>
      </c>
      <c r="D3731" t="s">
        <v>11969</v>
      </c>
      <c r="E3731">
        <v>16700000</v>
      </c>
    </row>
    <row r="3732" spans="1:5" ht="15" customHeight="1" x14ac:dyDescent="0.3">
      <c r="A3732" t="s">
        <v>12431</v>
      </c>
      <c r="B3732" t="s">
        <v>278</v>
      </c>
      <c r="C3732">
        <v>700</v>
      </c>
      <c r="D3732" t="s">
        <v>12432</v>
      </c>
      <c r="E3732">
        <v>8200000</v>
      </c>
    </row>
    <row r="3733" spans="1:5" ht="15" customHeight="1" x14ac:dyDescent="0.3">
      <c r="A3733" t="s">
        <v>11221</v>
      </c>
      <c r="B3733" t="s">
        <v>207</v>
      </c>
      <c r="C3733" t="s">
        <v>3176</v>
      </c>
      <c r="D3733" t="s">
        <v>10604</v>
      </c>
      <c r="E3733">
        <v>19100000</v>
      </c>
    </row>
    <row r="3734" spans="1:5" ht="15" customHeight="1" x14ac:dyDescent="0.3">
      <c r="A3734" t="s">
        <v>12433</v>
      </c>
      <c r="B3734" t="s">
        <v>214</v>
      </c>
      <c r="C3734" t="s">
        <v>2481</v>
      </c>
      <c r="D3734" t="s">
        <v>486</v>
      </c>
      <c r="E3734">
        <v>18800000</v>
      </c>
    </row>
    <row r="3735" spans="1:5" ht="15" customHeight="1" x14ac:dyDescent="0.3">
      <c r="A3735" t="s">
        <v>12434</v>
      </c>
      <c r="B3735" t="s">
        <v>173</v>
      </c>
      <c r="C3735">
        <v>7</v>
      </c>
      <c r="D3735" t="s">
        <v>12435</v>
      </c>
      <c r="E3735">
        <v>16000000</v>
      </c>
    </row>
    <row r="3736" spans="1:5" ht="15" customHeight="1" x14ac:dyDescent="0.3">
      <c r="A3736" t="s">
        <v>12436</v>
      </c>
      <c r="B3736" t="s">
        <v>207</v>
      </c>
      <c r="C3736" t="s">
        <v>2806</v>
      </c>
      <c r="D3736" t="s">
        <v>12437</v>
      </c>
      <c r="E3736">
        <v>20400000</v>
      </c>
    </row>
    <row r="3737" spans="1:5" ht="15" customHeight="1" x14ac:dyDescent="0.3">
      <c r="A3737" t="s">
        <v>12438</v>
      </c>
      <c r="B3737" t="s">
        <v>300</v>
      </c>
      <c r="C3737" t="s">
        <v>2541</v>
      </c>
      <c r="D3737" t="s">
        <v>12439</v>
      </c>
      <c r="E3737">
        <v>9800000</v>
      </c>
    </row>
    <row r="3738" spans="1:5" ht="15" customHeight="1" x14ac:dyDescent="0.3">
      <c r="A3738" t="s">
        <v>12440</v>
      </c>
      <c r="B3738" t="s">
        <v>156</v>
      </c>
      <c r="C3738" t="s">
        <v>2789</v>
      </c>
      <c r="D3738" t="s">
        <v>12441</v>
      </c>
      <c r="E3738">
        <v>7550000</v>
      </c>
    </row>
    <row r="3739" spans="1:5" ht="15" customHeight="1" x14ac:dyDescent="0.3">
      <c r="A3739" t="s">
        <v>11222</v>
      </c>
      <c r="B3739" t="s">
        <v>207</v>
      </c>
      <c r="C3739" t="s">
        <v>211</v>
      </c>
      <c r="D3739" t="s">
        <v>11223</v>
      </c>
      <c r="E3739">
        <v>35800000</v>
      </c>
    </row>
    <row r="3740" spans="1:5" ht="15" customHeight="1" x14ac:dyDescent="0.3">
      <c r="A3740" t="s">
        <v>12442</v>
      </c>
      <c r="B3740" t="s">
        <v>2545</v>
      </c>
      <c r="C3740" t="s">
        <v>2856</v>
      </c>
      <c r="D3740" t="s">
        <v>10617</v>
      </c>
      <c r="E3740">
        <v>22400000</v>
      </c>
    </row>
    <row r="3741" spans="1:5" ht="15" customHeight="1" x14ac:dyDescent="0.3">
      <c r="A3741" t="s">
        <v>12443</v>
      </c>
      <c r="B3741" t="s">
        <v>142</v>
      </c>
      <c r="C3741" t="s">
        <v>145</v>
      </c>
      <c r="D3741" t="s">
        <v>12444</v>
      </c>
      <c r="E3741">
        <v>13000000</v>
      </c>
    </row>
    <row r="3742" spans="1:5" ht="15" customHeight="1" x14ac:dyDescent="0.3">
      <c r="A3742" t="s">
        <v>12445</v>
      </c>
      <c r="B3742" t="s">
        <v>28</v>
      </c>
      <c r="C3742" t="s">
        <v>31</v>
      </c>
      <c r="D3742" t="s">
        <v>12446</v>
      </c>
      <c r="E3742">
        <v>8100000</v>
      </c>
    </row>
    <row r="3743" spans="1:5" ht="15" customHeight="1" x14ac:dyDescent="0.3">
      <c r="A3743" t="s">
        <v>12447</v>
      </c>
      <c r="B3743" t="s">
        <v>68</v>
      </c>
      <c r="C3743">
        <v>560</v>
      </c>
      <c r="D3743" t="s">
        <v>1981</v>
      </c>
      <c r="E3743">
        <v>8600000</v>
      </c>
    </row>
    <row r="3744" spans="1:5" ht="15" customHeight="1" x14ac:dyDescent="0.3">
      <c r="A3744" t="s">
        <v>12448</v>
      </c>
      <c r="B3744" t="s">
        <v>86</v>
      </c>
      <c r="C3744" t="s">
        <v>2859</v>
      </c>
      <c r="D3744" t="s">
        <v>12449</v>
      </c>
      <c r="E3744">
        <v>22600000</v>
      </c>
    </row>
    <row r="3745" spans="1:5" ht="15" customHeight="1" x14ac:dyDescent="0.3">
      <c r="A3745" t="s">
        <v>12450</v>
      </c>
      <c r="B3745" t="s">
        <v>220</v>
      </c>
      <c r="C3745" t="s">
        <v>2492</v>
      </c>
      <c r="D3745" t="s">
        <v>12451</v>
      </c>
      <c r="E3745">
        <v>13200000</v>
      </c>
    </row>
    <row r="3746" spans="1:5" ht="15" customHeight="1" x14ac:dyDescent="0.3">
      <c r="A3746" t="s">
        <v>12452</v>
      </c>
      <c r="B3746" t="s">
        <v>86</v>
      </c>
      <c r="C3746" t="s">
        <v>4254</v>
      </c>
      <c r="D3746" t="s">
        <v>12453</v>
      </c>
      <c r="E3746">
        <v>31600000</v>
      </c>
    </row>
    <row r="3747" spans="1:5" ht="15" customHeight="1" x14ac:dyDescent="0.3">
      <c r="A3747" t="s">
        <v>12454</v>
      </c>
      <c r="B3747" t="s">
        <v>86</v>
      </c>
      <c r="C3747" t="s">
        <v>4254</v>
      </c>
      <c r="D3747" t="s">
        <v>12453</v>
      </c>
      <c r="E3747">
        <v>31600000</v>
      </c>
    </row>
    <row r="3748" spans="1:5" ht="15" customHeight="1" x14ac:dyDescent="0.3">
      <c r="A3748" t="s">
        <v>12455</v>
      </c>
      <c r="B3748" t="s">
        <v>28</v>
      </c>
      <c r="C3748" t="s">
        <v>4019</v>
      </c>
      <c r="D3748" t="s">
        <v>12456</v>
      </c>
      <c r="E3748">
        <v>6710000</v>
      </c>
    </row>
    <row r="3749" spans="1:5" ht="15" customHeight="1" x14ac:dyDescent="0.3">
      <c r="A3749" t="s">
        <v>12457</v>
      </c>
      <c r="B3749" t="s">
        <v>220</v>
      </c>
      <c r="C3749" t="s">
        <v>2682</v>
      </c>
      <c r="D3749" t="s">
        <v>12451</v>
      </c>
      <c r="E3749">
        <v>13200000</v>
      </c>
    </row>
    <row r="3750" spans="1:5" ht="15" customHeight="1" x14ac:dyDescent="0.3">
      <c r="A3750" t="s">
        <v>12458</v>
      </c>
      <c r="B3750" t="s">
        <v>291</v>
      </c>
      <c r="C3750" t="s">
        <v>12459</v>
      </c>
      <c r="D3750" t="s">
        <v>2294</v>
      </c>
      <c r="E3750">
        <v>15400000</v>
      </c>
    </row>
    <row r="3751" spans="1:5" ht="15" customHeight="1" x14ac:dyDescent="0.3">
      <c r="A3751" t="s">
        <v>12460</v>
      </c>
      <c r="B3751" t="s">
        <v>291</v>
      </c>
      <c r="C3751" t="s">
        <v>12459</v>
      </c>
      <c r="D3751" t="s">
        <v>2294</v>
      </c>
      <c r="E3751">
        <v>15400000</v>
      </c>
    </row>
    <row r="3752" spans="1:5" ht="15" customHeight="1" x14ac:dyDescent="0.3">
      <c r="A3752" t="s">
        <v>12461</v>
      </c>
      <c r="B3752" t="s">
        <v>241</v>
      </c>
      <c r="C3752" t="s">
        <v>2505</v>
      </c>
      <c r="D3752" t="s">
        <v>12462</v>
      </c>
      <c r="E3752">
        <v>27100000</v>
      </c>
    </row>
    <row r="3753" spans="1:5" ht="15" customHeight="1" x14ac:dyDescent="0.3">
      <c r="A3753" t="s">
        <v>12463</v>
      </c>
      <c r="B3753" t="s">
        <v>156</v>
      </c>
      <c r="C3753" t="s">
        <v>3466</v>
      </c>
      <c r="D3753" t="s">
        <v>12464</v>
      </c>
      <c r="E3753">
        <v>12200000</v>
      </c>
    </row>
    <row r="3754" spans="1:5" ht="15" customHeight="1" x14ac:dyDescent="0.3">
      <c r="A3754" t="s">
        <v>12465</v>
      </c>
      <c r="B3754" t="s">
        <v>278</v>
      </c>
      <c r="C3754" t="s">
        <v>2530</v>
      </c>
      <c r="D3754" t="s">
        <v>12466</v>
      </c>
      <c r="E3754">
        <v>31600000</v>
      </c>
    </row>
    <row r="3755" spans="1:5" ht="15" customHeight="1" x14ac:dyDescent="0.3">
      <c r="A3755" t="s">
        <v>12467</v>
      </c>
      <c r="B3755" t="s">
        <v>28</v>
      </c>
      <c r="C3755" t="s">
        <v>2575</v>
      </c>
      <c r="D3755" t="s">
        <v>11583</v>
      </c>
      <c r="E3755">
        <v>7640000</v>
      </c>
    </row>
    <row r="3756" spans="1:5" ht="15" customHeight="1" x14ac:dyDescent="0.3">
      <c r="A3756" t="s">
        <v>12468</v>
      </c>
      <c r="B3756" t="s">
        <v>2816</v>
      </c>
      <c r="C3756" t="s">
        <v>12469</v>
      </c>
      <c r="D3756" t="s">
        <v>12470</v>
      </c>
      <c r="E3756">
        <v>11400000</v>
      </c>
    </row>
    <row r="3757" spans="1:5" ht="15" customHeight="1" x14ac:dyDescent="0.3">
      <c r="A3757" t="s">
        <v>12471</v>
      </c>
      <c r="B3757" t="s">
        <v>156</v>
      </c>
      <c r="C3757" t="s">
        <v>2868</v>
      </c>
      <c r="D3757" t="s">
        <v>12472</v>
      </c>
      <c r="E3757">
        <v>14500000</v>
      </c>
    </row>
    <row r="3758" spans="1:5" ht="15" customHeight="1" x14ac:dyDescent="0.3">
      <c r="A3758" t="s">
        <v>12473</v>
      </c>
      <c r="B3758" t="s">
        <v>311</v>
      </c>
      <c r="C3758" t="s">
        <v>3438</v>
      </c>
      <c r="D3758" t="s">
        <v>12474</v>
      </c>
      <c r="E3758">
        <v>6280000</v>
      </c>
    </row>
    <row r="3759" spans="1:5" ht="15" customHeight="1" x14ac:dyDescent="0.3">
      <c r="A3759" t="s">
        <v>12475</v>
      </c>
      <c r="B3759" t="s">
        <v>156</v>
      </c>
      <c r="C3759" t="s">
        <v>2479</v>
      </c>
      <c r="D3759" t="s">
        <v>12476</v>
      </c>
      <c r="E3759">
        <v>7770000</v>
      </c>
    </row>
    <row r="3760" spans="1:5" ht="15" customHeight="1" x14ac:dyDescent="0.3">
      <c r="A3760" t="s">
        <v>12477</v>
      </c>
      <c r="B3760" t="s">
        <v>214</v>
      </c>
      <c r="C3760" t="s">
        <v>2481</v>
      </c>
      <c r="D3760" t="s">
        <v>486</v>
      </c>
      <c r="E3760">
        <v>18800000</v>
      </c>
    </row>
    <row r="3761" spans="1:5" ht="15" customHeight="1" x14ac:dyDescent="0.3">
      <c r="A3761" t="s">
        <v>12478</v>
      </c>
      <c r="B3761" t="s">
        <v>306</v>
      </c>
      <c r="C3761" t="s">
        <v>2596</v>
      </c>
      <c r="D3761" t="s">
        <v>12479</v>
      </c>
      <c r="E3761">
        <v>10900000</v>
      </c>
    </row>
    <row r="3762" spans="1:5" ht="15" customHeight="1" x14ac:dyDescent="0.3">
      <c r="A3762" t="s">
        <v>12480</v>
      </c>
      <c r="B3762" t="s">
        <v>86</v>
      </c>
      <c r="C3762" t="s">
        <v>134</v>
      </c>
      <c r="D3762" t="s">
        <v>10797</v>
      </c>
      <c r="E3762">
        <v>13100000</v>
      </c>
    </row>
    <row r="3763" spans="1:5" ht="15" customHeight="1" x14ac:dyDescent="0.3">
      <c r="A3763" t="s">
        <v>12481</v>
      </c>
      <c r="B3763" t="s">
        <v>86</v>
      </c>
      <c r="C3763" t="s">
        <v>122</v>
      </c>
      <c r="D3763" t="s">
        <v>12482</v>
      </c>
      <c r="E3763">
        <v>27000000</v>
      </c>
    </row>
    <row r="3764" spans="1:5" ht="15" customHeight="1" x14ac:dyDescent="0.3">
      <c r="A3764" t="s">
        <v>12483</v>
      </c>
      <c r="B3764" t="s">
        <v>86</v>
      </c>
      <c r="C3764" t="s">
        <v>3068</v>
      </c>
      <c r="D3764" t="s">
        <v>11688</v>
      </c>
      <c r="E3764">
        <v>37700000</v>
      </c>
    </row>
    <row r="3765" spans="1:5" ht="15" customHeight="1" x14ac:dyDescent="0.3">
      <c r="A3765" t="s">
        <v>12484</v>
      </c>
      <c r="B3765" t="s">
        <v>311</v>
      </c>
      <c r="C3765" t="s">
        <v>12485</v>
      </c>
      <c r="D3765" t="s">
        <v>12486</v>
      </c>
      <c r="E3765">
        <v>15800000</v>
      </c>
    </row>
    <row r="3766" spans="1:5" ht="15" customHeight="1" x14ac:dyDescent="0.3">
      <c r="A3766" t="s">
        <v>12487</v>
      </c>
      <c r="B3766" t="s">
        <v>86</v>
      </c>
      <c r="C3766" t="s">
        <v>2976</v>
      </c>
      <c r="D3766" t="s">
        <v>3520</v>
      </c>
      <c r="E3766">
        <v>12000000</v>
      </c>
    </row>
    <row r="3767" spans="1:5" ht="15" customHeight="1" x14ac:dyDescent="0.3">
      <c r="A3767" t="s">
        <v>12488</v>
      </c>
      <c r="B3767" t="s">
        <v>68</v>
      </c>
      <c r="C3767">
        <v>560</v>
      </c>
      <c r="D3767" t="s">
        <v>12489</v>
      </c>
      <c r="E3767">
        <v>8700000</v>
      </c>
    </row>
    <row r="3768" spans="1:5" ht="15" customHeight="1" x14ac:dyDescent="0.3">
      <c r="A3768" t="s">
        <v>12490</v>
      </c>
      <c r="B3768" t="s">
        <v>28</v>
      </c>
      <c r="C3768" t="s">
        <v>42</v>
      </c>
      <c r="D3768" t="s">
        <v>10542</v>
      </c>
      <c r="E3768">
        <v>12700000</v>
      </c>
    </row>
    <row r="3769" spans="1:5" ht="15" customHeight="1" x14ac:dyDescent="0.3">
      <c r="A3769" t="s">
        <v>12491</v>
      </c>
      <c r="B3769" t="s">
        <v>241</v>
      </c>
      <c r="C3769">
        <v>5008</v>
      </c>
      <c r="D3769" t="s">
        <v>12492</v>
      </c>
      <c r="E3769">
        <v>12600000</v>
      </c>
    </row>
    <row r="3770" spans="1:5" ht="15" customHeight="1" x14ac:dyDescent="0.3">
      <c r="A3770" t="s">
        <v>12493</v>
      </c>
      <c r="B3770" t="s">
        <v>68</v>
      </c>
      <c r="C3770">
        <v>500</v>
      </c>
      <c r="D3770" t="s">
        <v>12494</v>
      </c>
      <c r="E3770">
        <v>8500000</v>
      </c>
    </row>
    <row r="3771" spans="1:5" ht="15" customHeight="1" x14ac:dyDescent="0.3">
      <c r="A3771" t="s">
        <v>12495</v>
      </c>
      <c r="B3771" t="s">
        <v>300</v>
      </c>
      <c r="C3771" t="s">
        <v>301</v>
      </c>
      <c r="D3771" t="s">
        <v>12496</v>
      </c>
      <c r="E3771">
        <v>6190000</v>
      </c>
    </row>
    <row r="3772" spans="1:5" ht="15" customHeight="1" x14ac:dyDescent="0.3">
      <c r="A3772" t="s">
        <v>12497</v>
      </c>
      <c r="B3772" t="s">
        <v>2526</v>
      </c>
      <c r="C3772" t="s">
        <v>3154</v>
      </c>
      <c r="D3772" t="s">
        <v>12498</v>
      </c>
      <c r="E3772">
        <v>5610000</v>
      </c>
    </row>
    <row r="3773" spans="1:5" ht="15" customHeight="1" x14ac:dyDescent="0.3">
      <c r="A3773" t="s">
        <v>12499</v>
      </c>
      <c r="B3773" t="s">
        <v>167</v>
      </c>
      <c r="C3773" t="s">
        <v>3395</v>
      </c>
      <c r="D3773" t="s">
        <v>12500</v>
      </c>
      <c r="E3773">
        <v>6670000</v>
      </c>
    </row>
    <row r="3774" spans="1:5" ht="15" customHeight="1" x14ac:dyDescent="0.3">
      <c r="A3774" t="s">
        <v>12501</v>
      </c>
      <c r="B3774" t="s">
        <v>241</v>
      </c>
      <c r="C3774" t="s">
        <v>9598</v>
      </c>
      <c r="D3774" t="s">
        <v>12502</v>
      </c>
      <c r="E3774">
        <v>23400000</v>
      </c>
    </row>
    <row r="3775" spans="1:5" ht="15" customHeight="1" x14ac:dyDescent="0.3">
      <c r="A3775" t="s">
        <v>12503</v>
      </c>
      <c r="B3775" t="s">
        <v>28</v>
      </c>
      <c r="C3775" t="s">
        <v>38</v>
      </c>
      <c r="D3775" t="s">
        <v>12504</v>
      </c>
      <c r="E3775">
        <v>12300000</v>
      </c>
    </row>
    <row r="3776" spans="1:5" ht="15" customHeight="1" x14ac:dyDescent="0.3">
      <c r="A3776" t="s">
        <v>12505</v>
      </c>
      <c r="B3776" t="s">
        <v>2533</v>
      </c>
      <c r="C3776" t="s">
        <v>2582</v>
      </c>
      <c r="D3776" t="s">
        <v>12506</v>
      </c>
      <c r="E3776">
        <v>7100000</v>
      </c>
    </row>
    <row r="3777" spans="1:5" ht="15" customHeight="1" x14ac:dyDescent="0.3">
      <c r="A3777" t="s">
        <v>12507</v>
      </c>
      <c r="B3777" t="s">
        <v>311</v>
      </c>
      <c r="C3777" t="s">
        <v>3865</v>
      </c>
      <c r="D3777" t="s">
        <v>12508</v>
      </c>
      <c r="E3777">
        <v>13400000</v>
      </c>
    </row>
    <row r="3778" spans="1:5" ht="15" customHeight="1" x14ac:dyDescent="0.3">
      <c r="A3778" t="s">
        <v>12509</v>
      </c>
      <c r="B3778" t="s">
        <v>2498</v>
      </c>
      <c r="C3778" t="s">
        <v>188</v>
      </c>
      <c r="D3778" t="s">
        <v>1367</v>
      </c>
      <c r="E3778">
        <v>7660000</v>
      </c>
    </row>
    <row r="3779" spans="1:5" ht="15" customHeight="1" x14ac:dyDescent="0.3">
      <c r="A3779" t="s">
        <v>12510</v>
      </c>
      <c r="B3779" t="s">
        <v>28</v>
      </c>
      <c r="C3779" t="s">
        <v>3105</v>
      </c>
      <c r="D3779" t="s">
        <v>3516</v>
      </c>
      <c r="E3779">
        <v>14700000</v>
      </c>
    </row>
    <row r="3780" spans="1:5" ht="15" customHeight="1" x14ac:dyDescent="0.3">
      <c r="A3780" t="s">
        <v>12511</v>
      </c>
      <c r="B3780" t="s">
        <v>311</v>
      </c>
      <c r="C3780" t="s">
        <v>3865</v>
      </c>
      <c r="D3780" t="s">
        <v>12508</v>
      </c>
      <c r="E3780">
        <v>13400000</v>
      </c>
    </row>
    <row r="3781" spans="1:5" ht="15" customHeight="1" x14ac:dyDescent="0.3">
      <c r="A3781" t="s">
        <v>12512</v>
      </c>
      <c r="B3781" t="s">
        <v>86</v>
      </c>
      <c r="C3781" t="s">
        <v>122</v>
      </c>
      <c r="D3781" t="s">
        <v>12482</v>
      </c>
      <c r="E3781">
        <v>27000000</v>
      </c>
    </row>
    <row r="3782" spans="1:5" ht="15" customHeight="1" x14ac:dyDescent="0.3">
      <c r="A3782" t="s">
        <v>12513</v>
      </c>
      <c r="B3782" t="s">
        <v>86</v>
      </c>
      <c r="C3782" t="s">
        <v>2976</v>
      </c>
      <c r="D3782" t="s">
        <v>3520</v>
      </c>
      <c r="E3782">
        <v>10900000</v>
      </c>
    </row>
    <row r="3783" spans="1:5" ht="15" customHeight="1" x14ac:dyDescent="0.3">
      <c r="A3783" t="s">
        <v>12514</v>
      </c>
      <c r="B3783" t="s">
        <v>2494</v>
      </c>
      <c r="C3783" t="s">
        <v>3497</v>
      </c>
      <c r="D3783" t="s">
        <v>11184</v>
      </c>
      <c r="E3783">
        <v>14500000</v>
      </c>
    </row>
    <row r="3784" spans="1:5" ht="15" customHeight="1" x14ac:dyDescent="0.3">
      <c r="A3784" t="s">
        <v>12515</v>
      </c>
      <c r="B3784" t="s">
        <v>311</v>
      </c>
      <c r="C3784" t="s">
        <v>3865</v>
      </c>
      <c r="D3784" t="s">
        <v>12508</v>
      </c>
      <c r="E3784">
        <v>13400000</v>
      </c>
    </row>
    <row r="3785" spans="1:5" ht="15" customHeight="1" x14ac:dyDescent="0.3">
      <c r="A3785" t="s">
        <v>12516</v>
      </c>
      <c r="B3785" t="s">
        <v>300</v>
      </c>
      <c r="C3785" t="s">
        <v>2541</v>
      </c>
      <c r="D3785" t="s">
        <v>12517</v>
      </c>
      <c r="E3785">
        <v>9000000</v>
      </c>
    </row>
    <row r="3786" spans="1:5" ht="15" customHeight="1" x14ac:dyDescent="0.3">
      <c r="A3786" t="s">
        <v>12518</v>
      </c>
      <c r="B3786" t="s">
        <v>60</v>
      </c>
      <c r="C3786" t="s">
        <v>8859</v>
      </c>
      <c r="D3786" t="s">
        <v>12519</v>
      </c>
      <c r="E3786">
        <v>10500000</v>
      </c>
    </row>
    <row r="3787" spans="1:5" ht="15" customHeight="1" x14ac:dyDescent="0.3">
      <c r="A3787" t="s">
        <v>12520</v>
      </c>
      <c r="B3787" t="s">
        <v>311</v>
      </c>
      <c r="C3787" t="s">
        <v>12521</v>
      </c>
      <c r="D3787" t="s">
        <v>12522</v>
      </c>
      <c r="E3787">
        <v>3970000</v>
      </c>
    </row>
    <row r="3788" spans="1:5" ht="15" customHeight="1" x14ac:dyDescent="0.3">
      <c r="A3788" t="s">
        <v>12523</v>
      </c>
      <c r="B3788" t="s">
        <v>156</v>
      </c>
      <c r="C3788" t="s">
        <v>3117</v>
      </c>
      <c r="D3788" t="s">
        <v>12382</v>
      </c>
      <c r="E3788">
        <v>14500000</v>
      </c>
    </row>
    <row r="3789" spans="1:5" ht="15" customHeight="1" x14ac:dyDescent="0.3">
      <c r="A3789" t="s">
        <v>12524</v>
      </c>
      <c r="B3789" t="s">
        <v>60</v>
      </c>
      <c r="C3789" t="s">
        <v>2520</v>
      </c>
      <c r="D3789" t="s">
        <v>12167</v>
      </c>
      <c r="E3789">
        <v>16400000</v>
      </c>
    </row>
    <row r="3790" spans="1:5" ht="15" customHeight="1" x14ac:dyDescent="0.3">
      <c r="A3790" t="s">
        <v>12525</v>
      </c>
      <c r="B3790" t="s">
        <v>28</v>
      </c>
      <c r="C3790" t="s">
        <v>2496</v>
      </c>
      <c r="D3790" t="s">
        <v>11706</v>
      </c>
      <c r="E3790">
        <v>7310000</v>
      </c>
    </row>
    <row r="3791" spans="1:5" ht="15" customHeight="1" x14ac:dyDescent="0.3">
      <c r="A3791" t="s">
        <v>12526</v>
      </c>
      <c r="B3791" t="s">
        <v>311</v>
      </c>
      <c r="C3791" t="s">
        <v>12485</v>
      </c>
      <c r="D3791" t="s">
        <v>12527</v>
      </c>
      <c r="E3791">
        <v>24900000</v>
      </c>
    </row>
    <row r="3792" spans="1:5" ht="15" customHeight="1" x14ac:dyDescent="0.3">
      <c r="A3792" t="s">
        <v>12528</v>
      </c>
      <c r="B3792" t="s">
        <v>147</v>
      </c>
      <c r="C3792" t="s">
        <v>153</v>
      </c>
      <c r="D3792" t="s">
        <v>12529</v>
      </c>
      <c r="E3792">
        <v>11900000</v>
      </c>
    </row>
    <row r="3793" spans="1:5" ht="15" customHeight="1" x14ac:dyDescent="0.3">
      <c r="A3793" t="s">
        <v>12530</v>
      </c>
      <c r="B3793" t="s">
        <v>2549</v>
      </c>
      <c r="C3793" t="s">
        <v>10482</v>
      </c>
      <c r="D3793" t="s">
        <v>11602</v>
      </c>
      <c r="E3793">
        <v>12700000</v>
      </c>
    </row>
    <row r="3794" spans="1:5" ht="15" customHeight="1" x14ac:dyDescent="0.3">
      <c r="A3794" t="s">
        <v>12531</v>
      </c>
      <c r="B3794" t="s">
        <v>220</v>
      </c>
      <c r="C3794" t="s">
        <v>2569</v>
      </c>
      <c r="D3794" t="s">
        <v>12401</v>
      </c>
      <c r="E3794">
        <v>9900000</v>
      </c>
    </row>
    <row r="3795" spans="1:5" ht="15" customHeight="1" x14ac:dyDescent="0.3">
      <c r="A3795" t="s">
        <v>12532</v>
      </c>
      <c r="B3795" t="s">
        <v>241</v>
      </c>
      <c r="C3795">
        <v>3008</v>
      </c>
      <c r="D3795" t="s">
        <v>3014</v>
      </c>
      <c r="E3795">
        <v>21300000</v>
      </c>
    </row>
    <row r="3796" spans="1:5" ht="15" customHeight="1" x14ac:dyDescent="0.3">
      <c r="A3796" t="s">
        <v>12533</v>
      </c>
      <c r="B3796" t="s">
        <v>241</v>
      </c>
      <c r="C3796" t="s">
        <v>9598</v>
      </c>
      <c r="D3796" t="s">
        <v>12502</v>
      </c>
      <c r="E3796">
        <v>29800000</v>
      </c>
    </row>
    <row r="3797" spans="1:5" ht="15" customHeight="1" x14ac:dyDescent="0.3">
      <c r="A3797" t="s">
        <v>12534</v>
      </c>
      <c r="B3797" t="s">
        <v>68</v>
      </c>
      <c r="C3797">
        <v>560</v>
      </c>
      <c r="D3797" t="s">
        <v>12535</v>
      </c>
      <c r="E3797">
        <v>7470000</v>
      </c>
    </row>
    <row r="3798" spans="1:5" ht="15" customHeight="1" x14ac:dyDescent="0.3">
      <c r="A3798" t="s">
        <v>12536</v>
      </c>
      <c r="B3798" t="s">
        <v>68</v>
      </c>
      <c r="C3798">
        <v>560</v>
      </c>
      <c r="D3798" t="s">
        <v>12535</v>
      </c>
      <c r="E3798">
        <v>7570000</v>
      </c>
    </row>
    <row r="3799" spans="1:5" ht="15" customHeight="1" x14ac:dyDescent="0.3">
      <c r="A3799" t="s">
        <v>12537</v>
      </c>
      <c r="B3799" t="s">
        <v>291</v>
      </c>
      <c r="C3799" t="s">
        <v>3080</v>
      </c>
      <c r="D3799" t="s">
        <v>12538</v>
      </c>
      <c r="E3799">
        <v>16800000</v>
      </c>
    </row>
    <row r="3800" spans="1:5" ht="15" customHeight="1" x14ac:dyDescent="0.3">
      <c r="A3800" t="s">
        <v>12539</v>
      </c>
      <c r="B3800" t="s">
        <v>2511</v>
      </c>
      <c r="C3800" t="s">
        <v>2766</v>
      </c>
      <c r="D3800" t="s">
        <v>12540</v>
      </c>
      <c r="E3800">
        <v>10400000</v>
      </c>
    </row>
    <row r="3801" spans="1:5" ht="15" customHeight="1" x14ac:dyDescent="0.3">
      <c r="A3801" t="s">
        <v>12541</v>
      </c>
      <c r="B3801" t="s">
        <v>291</v>
      </c>
      <c r="C3801" t="s">
        <v>3080</v>
      </c>
      <c r="D3801" t="s">
        <v>8805</v>
      </c>
      <c r="E3801">
        <v>25500000</v>
      </c>
    </row>
    <row r="3802" spans="1:5" ht="15" customHeight="1" x14ac:dyDescent="0.3">
      <c r="A3802" t="s">
        <v>12542</v>
      </c>
      <c r="B3802" t="s">
        <v>311</v>
      </c>
      <c r="C3802" t="s">
        <v>3456</v>
      </c>
      <c r="D3802" t="s">
        <v>12543</v>
      </c>
      <c r="E3802">
        <v>10600000</v>
      </c>
    </row>
    <row r="3803" spans="1:5" ht="15" customHeight="1" x14ac:dyDescent="0.3">
      <c r="A3803" t="s">
        <v>12544</v>
      </c>
      <c r="B3803" t="s">
        <v>311</v>
      </c>
      <c r="C3803" t="s">
        <v>3593</v>
      </c>
      <c r="D3803" t="s">
        <v>12545</v>
      </c>
      <c r="E3803">
        <v>8200000</v>
      </c>
    </row>
    <row r="3804" spans="1:5" ht="15" customHeight="1" x14ac:dyDescent="0.3">
      <c r="A3804" t="s">
        <v>12546</v>
      </c>
      <c r="B3804" t="s">
        <v>2494</v>
      </c>
      <c r="C3804" t="s">
        <v>3497</v>
      </c>
      <c r="D3804" t="s">
        <v>11184</v>
      </c>
      <c r="E3804">
        <v>13800000</v>
      </c>
    </row>
    <row r="3805" spans="1:5" ht="15" customHeight="1" x14ac:dyDescent="0.3">
      <c r="A3805" t="s">
        <v>12547</v>
      </c>
      <c r="B3805" t="s">
        <v>2498</v>
      </c>
      <c r="C3805" t="s">
        <v>199</v>
      </c>
      <c r="D3805" t="s">
        <v>8799</v>
      </c>
      <c r="E3805">
        <v>27000000</v>
      </c>
    </row>
    <row r="3806" spans="1:5" ht="15" customHeight="1" x14ac:dyDescent="0.3">
      <c r="A3806" t="s">
        <v>12548</v>
      </c>
      <c r="B3806" t="s">
        <v>86</v>
      </c>
      <c r="C3806" t="s">
        <v>90</v>
      </c>
      <c r="D3806" t="s">
        <v>12549</v>
      </c>
      <c r="E3806">
        <v>9800000</v>
      </c>
    </row>
    <row r="3807" spans="1:5" ht="15" customHeight="1" x14ac:dyDescent="0.3">
      <c r="A3807" t="s">
        <v>12550</v>
      </c>
      <c r="B3807" t="s">
        <v>311</v>
      </c>
      <c r="C3807" t="s">
        <v>12485</v>
      </c>
      <c r="D3807" t="s">
        <v>12486</v>
      </c>
      <c r="E3807">
        <v>14100000</v>
      </c>
    </row>
    <row r="3808" spans="1:5" ht="15" customHeight="1" x14ac:dyDescent="0.3">
      <c r="A3808" t="s">
        <v>12551</v>
      </c>
      <c r="B3808" t="s">
        <v>241</v>
      </c>
      <c r="C3808" t="s">
        <v>2487</v>
      </c>
      <c r="D3808" t="s">
        <v>10952</v>
      </c>
      <c r="E3808">
        <v>16000000</v>
      </c>
    </row>
    <row r="3809" spans="1:5" ht="15" customHeight="1" x14ac:dyDescent="0.3">
      <c r="A3809" t="s">
        <v>12552</v>
      </c>
      <c r="B3809" t="s">
        <v>5094</v>
      </c>
      <c r="C3809" t="s">
        <v>12553</v>
      </c>
      <c r="D3809" t="s">
        <v>12554</v>
      </c>
      <c r="E3809">
        <v>18700000</v>
      </c>
    </row>
    <row r="3810" spans="1:5" ht="15" customHeight="1" x14ac:dyDescent="0.3">
      <c r="A3810" t="s">
        <v>12555</v>
      </c>
      <c r="B3810" t="s">
        <v>167</v>
      </c>
      <c r="C3810" t="s">
        <v>3785</v>
      </c>
      <c r="D3810" t="s">
        <v>12556</v>
      </c>
      <c r="E3810">
        <v>6020000</v>
      </c>
    </row>
    <row r="3811" spans="1:5" ht="15" customHeight="1" x14ac:dyDescent="0.3">
      <c r="A3811" t="s">
        <v>12557</v>
      </c>
      <c r="B3811" t="s">
        <v>311</v>
      </c>
      <c r="C3811" t="s">
        <v>3593</v>
      </c>
      <c r="D3811" t="s">
        <v>12545</v>
      </c>
      <c r="E3811">
        <v>8200000</v>
      </c>
    </row>
    <row r="3812" spans="1:5" ht="15" customHeight="1" x14ac:dyDescent="0.3">
      <c r="A3812" t="s">
        <v>12558</v>
      </c>
      <c r="B3812" t="s">
        <v>156</v>
      </c>
      <c r="C3812" t="s">
        <v>3117</v>
      </c>
      <c r="D3812" t="s">
        <v>12382</v>
      </c>
      <c r="E3812">
        <v>14500000</v>
      </c>
    </row>
    <row r="3813" spans="1:5" ht="15" customHeight="1" x14ac:dyDescent="0.3">
      <c r="A3813" t="s">
        <v>12559</v>
      </c>
      <c r="B3813" t="s">
        <v>2521</v>
      </c>
      <c r="C3813" t="s">
        <v>2522</v>
      </c>
      <c r="D3813" t="s">
        <v>12560</v>
      </c>
      <c r="E3813">
        <v>20100000</v>
      </c>
    </row>
    <row r="3814" spans="1:5" ht="15" customHeight="1" x14ac:dyDescent="0.3">
      <c r="A3814" t="s">
        <v>12561</v>
      </c>
      <c r="B3814" t="s">
        <v>28</v>
      </c>
      <c r="C3814" t="s">
        <v>4022</v>
      </c>
      <c r="D3814" t="s">
        <v>2102</v>
      </c>
      <c r="E3814">
        <v>5610000</v>
      </c>
    </row>
    <row r="3815" spans="1:5" ht="15" customHeight="1" x14ac:dyDescent="0.3">
      <c r="A3815" t="s">
        <v>12562</v>
      </c>
      <c r="B3815" t="s">
        <v>45</v>
      </c>
      <c r="C3815" t="s">
        <v>2764</v>
      </c>
      <c r="D3815" t="s">
        <v>12563</v>
      </c>
      <c r="E3815">
        <v>9200000</v>
      </c>
    </row>
    <row r="3816" spans="1:5" ht="15" customHeight="1" x14ac:dyDescent="0.3">
      <c r="A3816" t="s">
        <v>12564</v>
      </c>
      <c r="B3816" t="s">
        <v>167</v>
      </c>
      <c r="C3816" t="s">
        <v>2529</v>
      </c>
      <c r="D3816" t="s">
        <v>11654</v>
      </c>
      <c r="E3816">
        <v>7590000</v>
      </c>
    </row>
    <row r="3817" spans="1:5" ht="15" customHeight="1" x14ac:dyDescent="0.3">
      <c r="A3817" t="s">
        <v>12565</v>
      </c>
      <c r="B3817" t="s">
        <v>237</v>
      </c>
      <c r="C3817" t="s">
        <v>65</v>
      </c>
      <c r="D3817" t="s">
        <v>11412</v>
      </c>
      <c r="E3817">
        <v>12600000</v>
      </c>
    </row>
    <row r="3818" spans="1:5" ht="15" customHeight="1" x14ac:dyDescent="0.3">
      <c r="A3818" t="s">
        <v>12566</v>
      </c>
      <c r="B3818" t="s">
        <v>86</v>
      </c>
      <c r="C3818" t="s">
        <v>3692</v>
      </c>
      <c r="D3818" t="s">
        <v>12567</v>
      </c>
      <c r="E3818">
        <v>24100000</v>
      </c>
    </row>
    <row r="3819" spans="1:5" ht="15" customHeight="1" x14ac:dyDescent="0.3">
      <c r="A3819" t="s">
        <v>12568</v>
      </c>
      <c r="B3819" t="s">
        <v>2498</v>
      </c>
      <c r="C3819" t="s">
        <v>2523</v>
      </c>
      <c r="D3819" t="s">
        <v>12569</v>
      </c>
      <c r="E3819">
        <v>12300000</v>
      </c>
    </row>
    <row r="3820" spans="1:5" ht="15" customHeight="1" x14ac:dyDescent="0.3">
      <c r="A3820" t="s">
        <v>12570</v>
      </c>
      <c r="B3820" t="s">
        <v>167</v>
      </c>
      <c r="C3820" t="s">
        <v>170</v>
      </c>
      <c r="D3820" t="s">
        <v>12571</v>
      </c>
      <c r="E3820">
        <v>11800000</v>
      </c>
    </row>
    <row r="3821" spans="1:5" ht="15" customHeight="1" x14ac:dyDescent="0.3">
      <c r="A3821" t="s">
        <v>12572</v>
      </c>
      <c r="B3821" t="s">
        <v>2549</v>
      </c>
      <c r="C3821" t="s">
        <v>2655</v>
      </c>
      <c r="D3821" t="s">
        <v>9986</v>
      </c>
      <c r="E3821">
        <v>14500000</v>
      </c>
    </row>
    <row r="3822" spans="1:5" ht="15" customHeight="1" x14ac:dyDescent="0.3">
      <c r="A3822" t="s">
        <v>12573</v>
      </c>
      <c r="B3822" t="s">
        <v>156</v>
      </c>
      <c r="C3822" t="s">
        <v>3096</v>
      </c>
      <c r="D3822" t="s">
        <v>11561</v>
      </c>
      <c r="E3822">
        <v>19400000</v>
      </c>
    </row>
    <row r="3823" spans="1:5" ht="15" customHeight="1" x14ac:dyDescent="0.3">
      <c r="A3823" t="s">
        <v>12574</v>
      </c>
      <c r="B3823" t="s">
        <v>237</v>
      </c>
      <c r="C3823" t="s">
        <v>65</v>
      </c>
      <c r="D3823" t="s">
        <v>8744</v>
      </c>
      <c r="E3823">
        <v>11900000</v>
      </c>
    </row>
    <row r="3824" spans="1:5" ht="15" customHeight="1" x14ac:dyDescent="0.3">
      <c r="A3824" t="s">
        <v>12575</v>
      </c>
      <c r="B3824" t="s">
        <v>28</v>
      </c>
      <c r="C3824" t="s">
        <v>42</v>
      </c>
      <c r="D3824" t="s">
        <v>12576</v>
      </c>
      <c r="E3824">
        <v>11300000</v>
      </c>
    </row>
    <row r="3825" spans="1:5" ht="15" customHeight="1" x14ac:dyDescent="0.3">
      <c r="A3825" t="s">
        <v>12577</v>
      </c>
      <c r="B3825" t="s">
        <v>204</v>
      </c>
      <c r="C3825" t="s">
        <v>2901</v>
      </c>
      <c r="D3825" t="s">
        <v>12578</v>
      </c>
      <c r="E3825">
        <v>6180000</v>
      </c>
    </row>
    <row r="3826" spans="1:5" ht="15" customHeight="1" x14ac:dyDescent="0.3">
      <c r="A3826" t="s">
        <v>12579</v>
      </c>
      <c r="B3826" t="s">
        <v>306</v>
      </c>
      <c r="C3826" t="s">
        <v>3517</v>
      </c>
      <c r="D3826" t="s">
        <v>12580</v>
      </c>
      <c r="E3826">
        <v>21100000</v>
      </c>
    </row>
    <row r="3827" spans="1:5" ht="15" customHeight="1" x14ac:dyDescent="0.3">
      <c r="A3827" t="s">
        <v>12581</v>
      </c>
      <c r="B3827" t="s">
        <v>167</v>
      </c>
      <c r="C3827" t="s">
        <v>2529</v>
      </c>
      <c r="D3827" t="s">
        <v>11654</v>
      </c>
      <c r="E3827">
        <v>7580000</v>
      </c>
    </row>
    <row r="3828" spans="1:5" ht="15" customHeight="1" x14ac:dyDescent="0.3">
      <c r="A3828" t="s">
        <v>12582</v>
      </c>
      <c r="B3828" t="s">
        <v>156</v>
      </c>
      <c r="C3828" t="s">
        <v>3096</v>
      </c>
      <c r="D3828" t="s">
        <v>11561</v>
      </c>
      <c r="E3828">
        <v>18300000</v>
      </c>
    </row>
    <row r="3829" spans="1:5" ht="15" customHeight="1" x14ac:dyDescent="0.3">
      <c r="A3829" t="s">
        <v>12583</v>
      </c>
      <c r="B3829" t="s">
        <v>278</v>
      </c>
      <c r="C3829" t="s">
        <v>2530</v>
      </c>
      <c r="D3829" t="s">
        <v>12584</v>
      </c>
      <c r="E3829">
        <v>42900000</v>
      </c>
    </row>
    <row r="3830" spans="1:5" ht="15" customHeight="1" x14ac:dyDescent="0.3">
      <c r="A3830" t="s">
        <v>12585</v>
      </c>
      <c r="B3830" t="s">
        <v>278</v>
      </c>
      <c r="C3830" t="s">
        <v>2530</v>
      </c>
      <c r="D3830" t="s">
        <v>12584</v>
      </c>
      <c r="E3830">
        <v>42900000</v>
      </c>
    </row>
    <row r="3831" spans="1:5" ht="15" customHeight="1" x14ac:dyDescent="0.3">
      <c r="A3831" t="s">
        <v>12586</v>
      </c>
      <c r="B3831" t="s">
        <v>2494</v>
      </c>
      <c r="C3831" t="s">
        <v>3497</v>
      </c>
      <c r="D3831" t="s">
        <v>12587</v>
      </c>
      <c r="E3831">
        <v>15700000</v>
      </c>
    </row>
    <row r="3832" spans="1:5" ht="15" customHeight="1" x14ac:dyDescent="0.3">
      <c r="A3832" t="s">
        <v>12588</v>
      </c>
      <c r="B3832" t="s">
        <v>60</v>
      </c>
      <c r="C3832" t="s">
        <v>61</v>
      </c>
      <c r="D3832" t="s">
        <v>11438</v>
      </c>
      <c r="E3832">
        <v>9800000</v>
      </c>
    </row>
    <row r="3833" spans="1:5" ht="15" customHeight="1" x14ac:dyDescent="0.3">
      <c r="A3833" t="s">
        <v>12589</v>
      </c>
      <c r="B3833" t="s">
        <v>2498</v>
      </c>
      <c r="C3833" t="s">
        <v>188</v>
      </c>
      <c r="D3833" t="s">
        <v>637</v>
      </c>
      <c r="E3833">
        <v>11000000</v>
      </c>
    </row>
    <row r="3834" spans="1:5" ht="15" customHeight="1" x14ac:dyDescent="0.3">
      <c r="A3834" t="s">
        <v>12590</v>
      </c>
      <c r="B3834" t="s">
        <v>2498</v>
      </c>
      <c r="C3834" t="s">
        <v>188</v>
      </c>
      <c r="D3834" t="s">
        <v>637</v>
      </c>
      <c r="E3834">
        <v>11000000</v>
      </c>
    </row>
    <row r="3835" spans="1:5" ht="15" customHeight="1" x14ac:dyDescent="0.3">
      <c r="A3835" t="s">
        <v>12591</v>
      </c>
      <c r="B3835" t="s">
        <v>2549</v>
      </c>
      <c r="C3835" t="s">
        <v>2655</v>
      </c>
      <c r="D3835" t="s">
        <v>12592</v>
      </c>
      <c r="E3835">
        <v>13900000</v>
      </c>
    </row>
    <row r="3836" spans="1:5" ht="15" customHeight="1" x14ac:dyDescent="0.3">
      <c r="A3836" t="s">
        <v>12593</v>
      </c>
      <c r="B3836" t="s">
        <v>28</v>
      </c>
      <c r="C3836" t="s">
        <v>2496</v>
      </c>
      <c r="D3836" t="s">
        <v>12594</v>
      </c>
      <c r="E3836">
        <v>7380000</v>
      </c>
    </row>
    <row r="3837" spans="1:5" ht="15" customHeight="1" x14ac:dyDescent="0.3">
      <c r="A3837" t="s">
        <v>12595</v>
      </c>
      <c r="B3837" t="s">
        <v>167</v>
      </c>
      <c r="C3837" t="s">
        <v>2609</v>
      </c>
      <c r="D3837" t="s">
        <v>12596</v>
      </c>
      <c r="E3837">
        <v>5960000</v>
      </c>
    </row>
    <row r="3838" spans="1:5" ht="15" customHeight="1" x14ac:dyDescent="0.3">
      <c r="A3838" t="s">
        <v>12597</v>
      </c>
      <c r="B3838" t="s">
        <v>237</v>
      </c>
      <c r="C3838" t="s">
        <v>65</v>
      </c>
      <c r="D3838" t="s">
        <v>12598</v>
      </c>
      <c r="E3838">
        <v>12200000</v>
      </c>
    </row>
    <row r="3839" spans="1:5" ht="15" customHeight="1" x14ac:dyDescent="0.3">
      <c r="A3839" t="s">
        <v>12599</v>
      </c>
      <c r="B3839" t="s">
        <v>214</v>
      </c>
      <c r="C3839" t="s">
        <v>2675</v>
      </c>
      <c r="D3839" t="s">
        <v>7857</v>
      </c>
      <c r="E3839">
        <v>16100000</v>
      </c>
    </row>
    <row r="3840" spans="1:5" ht="15" customHeight="1" x14ac:dyDescent="0.3">
      <c r="A3840" t="s">
        <v>12600</v>
      </c>
      <c r="B3840" t="s">
        <v>2498</v>
      </c>
      <c r="C3840" t="s">
        <v>188</v>
      </c>
      <c r="D3840" t="s">
        <v>12601</v>
      </c>
      <c r="E3840">
        <v>7090000</v>
      </c>
    </row>
    <row r="3841" spans="1:5" ht="15" customHeight="1" x14ac:dyDescent="0.3">
      <c r="A3841" t="s">
        <v>12602</v>
      </c>
      <c r="B3841" t="s">
        <v>173</v>
      </c>
      <c r="C3841">
        <v>7</v>
      </c>
      <c r="D3841" t="s">
        <v>12603</v>
      </c>
      <c r="E3841">
        <v>15500000</v>
      </c>
    </row>
    <row r="3842" spans="1:5" ht="15" customHeight="1" x14ac:dyDescent="0.3">
      <c r="A3842" t="s">
        <v>12604</v>
      </c>
      <c r="B3842" t="s">
        <v>173</v>
      </c>
      <c r="C3842">
        <v>7</v>
      </c>
      <c r="D3842" t="s">
        <v>12603</v>
      </c>
      <c r="E3842">
        <v>15500000</v>
      </c>
    </row>
    <row r="3843" spans="1:5" ht="15" customHeight="1" x14ac:dyDescent="0.3">
      <c r="A3843" t="s">
        <v>12605</v>
      </c>
      <c r="B3843" t="s">
        <v>2498</v>
      </c>
      <c r="C3843" t="s">
        <v>188</v>
      </c>
      <c r="D3843" t="s">
        <v>12601</v>
      </c>
      <c r="E3843">
        <v>7090000</v>
      </c>
    </row>
    <row r="3844" spans="1:5" ht="15" customHeight="1" x14ac:dyDescent="0.3">
      <c r="A3844" t="s">
        <v>12606</v>
      </c>
      <c r="B3844" t="s">
        <v>180</v>
      </c>
      <c r="C3844" t="s">
        <v>183</v>
      </c>
      <c r="D3844" t="s">
        <v>1383</v>
      </c>
      <c r="E3844">
        <v>21000000</v>
      </c>
    </row>
    <row r="3845" spans="1:5" ht="15" customHeight="1" x14ac:dyDescent="0.3">
      <c r="A3845" t="s">
        <v>12607</v>
      </c>
      <c r="B3845" t="s">
        <v>237</v>
      </c>
      <c r="C3845" t="s">
        <v>65</v>
      </c>
      <c r="D3845" t="s">
        <v>11420</v>
      </c>
      <c r="E3845">
        <v>12500000</v>
      </c>
    </row>
    <row r="3846" spans="1:5" ht="15" customHeight="1" x14ac:dyDescent="0.3">
      <c r="A3846" t="s">
        <v>12608</v>
      </c>
      <c r="B3846" t="s">
        <v>45</v>
      </c>
      <c r="C3846" t="s">
        <v>2540</v>
      </c>
      <c r="D3846" t="s">
        <v>12609</v>
      </c>
      <c r="E3846">
        <v>9900000</v>
      </c>
    </row>
    <row r="3847" spans="1:5" ht="15" customHeight="1" x14ac:dyDescent="0.3">
      <c r="A3847" t="s">
        <v>12610</v>
      </c>
      <c r="B3847" t="s">
        <v>2498</v>
      </c>
      <c r="C3847" t="s">
        <v>188</v>
      </c>
      <c r="D3847" t="s">
        <v>637</v>
      </c>
      <c r="E3847">
        <v>9900000</v>
      </c>
    </row>
    <row r="3848" spans="1:5" ht="15" customHeight="1" x14ac:dyDescent="0.3">
      <c r="A3848" t="s">
        <v>12611</v>
      </c>
      <c r="B3848" t="s">
        <v>2498</v>
      </c>
      <c r="C3848" t="s">
        <v>188</v>
      </c>
      <c r="D3848" t="s">
        <v>637</v>
      </c>
      <c r="E3848">
        <v>9900000</v>
      </c>
    </row>
    <row r="3849" spans="1:5" ht="15" customHeight="1" x14ac:dyDescent="0.3">
      <c r="A3849" t="s">
        <v>12612</v>
      </c>
      <c r="B3849" t="s">
        <v>167</v>
      </c>
      <c r="C3849" t="s">
        <v>10198</v>
      </c>
      <c r="D3849" t="s">
        <v>12613</v>
      </c>
      <c r="E3849">
        <v>11400000</v>
      </c>
    </row>
    <row r="3850" spans="1:5" ht="15" customHeight="1" x14ac:dyDescent="0.3">
      <c r="A3850" t="s">
        <v>12614</v>
      </c>
      <c r="B3850" t="s">
        <v>2498</v>
      </c>
      <c r="C3850" t="s">
        <v>2523</v>
      </c>
      <c r="D3850" t="s">
        <v>12615</v>
      </c>
      <c r="E3850">
        <v>8400000</v>
      </c>
    </row>
    <row r="3851" spans="1:5" ht="15" customHeight="1" x14ac:dyDescent="0.3">
      <c r="A3851" t="s">
        <v>12616</v>
      </c>
      <c r="B3851" t="s">
        <v>241</v>
      </c>
      <c r="C3851">
        <v>5008</v>
      </c>
      <c r="D3851" t="s">
        <v>12617</v>
      </c>
      <c r="E3851">
        <v>9500000</v>
      </c>
    </row>
    <row r="3852" spans="1:5" ht="15" customHeight="1" x14ac:dyDescent="0.3">
      <c r="A3852" t="s">
        <v>12618</v>
      </c>
      <c r="B3852" t="s">
        <v>28</v>
      </c>
      <c r="C3852" t="s">
        <v>2575</v>
      </c>
      <c r="D3852" t="s">
        <v>11947</v>
      </c>
      <c r="E3852">
        <v>8700000</v>
      </c>
    </row>
    <row r="3853" spans="1:5" ht="15" customHeight="1" x14ac:dyDescent="0.3">
      <c r="A3853" t="s">
        <v>12619</v>
      </c>
      <c r="B3853" t="s">
        <v>2511</v>
      </c>
      <c r="C3853" t="s">
        <v>2766</v>
      </c>
      <c r="D3853" t="s">
        <v>12540</v>
      </c>
      <c r="E3853">
        <v>11000000</v>
      </c>
    </row>
    <row r="3854" spans="1:5" ht="15" customHeight="1" x14ac:dyDescent="0.3">
      <c r="A3854" t="s">
        <v>12620</v>
      </c>
      <c r="B3854" t="s">
        <v>2511</v>
      </c>
      <c r="C3854" t="s">
        <v>2766</v>
      </c>
      <c r="D3854" t="s">
        <v>12540</v>
      </c>
      <c r="E3854">
        <v>11000000</v>
      </c>
    </row>
    <row r="3855" spans="1:5" ht="15" customHeight="1" x14ac:dyDescent="0.3">
      <c r="A3855" t="s">
        <v>12621</v>
      </c>
      <c r="B3855" t="s">
        <v>2511</v>
      </c>
      <c r="C3855" t="s">
        <v>2766</v>
      </c>
      <c r="D3855" t="s">
        <v>12540</v>
      </c>
      <c r="E3855">
        <v>11000000</v>
      </c>
    </row>
    <row r="3856" spans="1:5" ht="15" customHeight="1" x14ac:dyDescent="0.3">
      <c r="A3856" t="s">
        <v>12622</v>
      </c>
      <c r="B3856" t="s">
        <v>86</v>
      </c>
      <c r="C3856" t="s">
        <v>2476</v>
      </c>
      <c r="D3856" t="s">
        <v>12623</v>
      </c>
      <c r="E3856">
        <v>26800000</v>
      </c>
    </row>
    <row r="3857" spans="1:5" ht="15" customHeight="1" x14ac:dyDescent="0.3">
      <c r="A3857" t="s">
        <v>12624</v>
      </c>
      <c r="B3857" t="s">
        <v>214</v>
      </c>
      <c r="C3857" t="s">
        <v>12625</v>
      </c>
      <c r="D3857" t="s">
        <v>12626</v>
      </c>
      <c r="E3857">
        <v>14500000</v>
      </c>
    </row>
    <row r="3858" spans="1:5" ht="15" customHeight="1" x14ac:dyDescent="0.3">
      <c r="A3858" t="s">
        <v>12627</v>
      </c>
      <c r="B3858" t="s">
        <v>28</v>
      </c>
      <c r="C3858" t="s">
        <v>2496</v>
      </c>
      <c r="D3858" t="s">
        <v>12628</v>
      </c>
      <c r="E3858">
        <v>8700000</v>
      </c>
    </row>
    <row r="3859" spans="1:5" ht="15" customHeight="1" x14ac:dyDescent="0.3">
      <c r="A3859" t="s">
        <v>12629</v>
      </c>
      <c r="B3859" t="s">
        <v>2498</v>
      </c>
      <c r="C3859" t="s">
        <v>2830</v>
      </c>
      <c r="D3859" t="s">
        <v>12630</v>
      </c>
      <c r="E3859">
        <v>14500000</v>
      </c>
    </row>
    <row r="3860" spans="1:5" ht="15" customHeight="1" x14ac:dyDescent="0.3">
      <c r="A3860" t="s">
        <v>12631</v>
      </c>
      <c r="B3860" t="s">
        <v>2498</v>
      </c>
      <c r="C3860" t="s">
        <v>2830</v>
      </c>
      <c r="D3860" t="s">
        <v>12630</v>
      </c>
      <c r="E3860">
        <v>14500000</v>
      </c>
    </row>
    <row r="3861" spans="1:5" ht="15" customHeight="1" x14ac:dyDescent="0.3">
      <c r="A3861" t="s">
        <v>12632</v>
      </c>
      <c r="B3861" t="s">
        <v>86</v>
      </c>
      <c r="C3861" t="s">
        <v>134</v>
      </c>
      <c r="D3861" t="s">
        <v>12633</v>
      </c>
      <c r="E3861">
        <v>16300000</v>
      </c>
    </row>
    <row r="3862" spans="1:5" ht="15" customHeight="1" x14ac:dyDescent="0.3">
      <c r="A3862" t="s">
        <v>12634</v>
      </c>
      <c r="B3862" t="s">
        <v>86</v>
      </c>
      <c r="C3862" t="s">
        <v>2793</v>
      </c>
      <c r="D3862" t="s">
        <v>12635</v>
      </c>
      <c r="E3862">
        <v>17400000</v>
      </c>
    </row>
    <row r="3863" spans="1:5" ht="15" customHeight="1" x14ac:dyDescent="0.3">
      <c r="A3863" t="s">
        <v>12636</v>
      </c>
      <c r="B3863" t="s">
        <v>86</v>
      </c>
      <c r="C3863" t="s">
        <v>2793</v>
      </c>
      <c r="D3863" t="s">
        <v>12635</v>
      </c>
      <c r="E3863">
        <v>17400000</v>
      </c>
    </row>
    <row r="3864" spans="1:5" ht="15" customHeight="1" x14ac:dyDescent="0.3">
      <c r="A3864" t="s">
        <v>12637</v>
      </c>
      <c r="B3864" t="s">
        <v>2494</v>
      </c>
      <c r="C3864" t="s">
        <v>2531</v>
      </c>
      <c r="D3864" t="s">
        <v>12638</v>
      </c>
      <c r="E3864">
        <v>8300000</v>
      </c>
    </row>
    <row r="3865" spans="1:5" ht="15" customHeight="1" x14ac:dyDescent="0.3">
      <c r="A3865" t="s">
        <v>12639</v>
      </c>
      <c r="B3865" t="s">
        <v>2950</v>
      </c>
      <c r="C3865" t="s">
        <v>2966</v>
      </c>
      <c r="D3865" t="s">
        <v>12640</v>
      </c>
      <c r="E3865">
        <v>8500000</v>
      </c>
    </row>
    <row r="3866" spans="1:5" ht="15" customHeight="1" x14ac:dyDescent="0.3">
      <c r="A3866" t="s">
        <v>12641</v>
      </c>
      <c r="B3866" t="s">
        <v>2950</v>
      </c>
      <c r="C3866" t="s">
        <v>2966</v>
      </c>
      <c r="D3866" t="s">
        <v>12640</v>
      </c>
      <c r="E3866">
        <v>8200000</v>
      </c>
    </row>
    <row r="3867" spans="1:5" ht="15" customHeight="1" x14ac:dyDescent="0.3">
      <c r="A3867" t="s">
        <v>12642</v>
      </c>
      <c r="B3867" t="s">
        <v>2950</v>
      </c>
      <c r="C3867" t="s">
        <v>2966</v>
      </c>
      <c r="D3867" t="s">
        <v>12640</v>
      </c>
      <c r="E3867">
        <v>8200000</v>
      </c>
    </row>
    <row r="3868" spans="1:5" ht="15" customHeight="1" x14ac:dyDescent="0.3">
      <c r="A3868" t="s">
        <v>12643</v>
      </c>
      <c r="B3868" t="s">
        <v>2545</v>
      </c>
      <c r="C3868" t="s">
        <v>2733</v>
      </c>
      <c r="D3868" t="s">
        <v>12644</v>
      </c>
      <c r="E3868">
        <v>19400000</v>
      </c>
    </row>
    <row r="3869" spans="1:5" ht="15" customHeight="1" x14ac:dyDescent="0.3">
      <c r="A3869" t="s">
        <v>12645</v>
      </c>
      <c r="B3869" t="s">
        <v>207</v>
      </c>
      <c r="C3869" t="s">
        <v>2603</v>
      </c>
      <c r="D3869" t="s">
        <v>12646</v>
      </c>
      <c r="E3869">
        <v>16100000</v>
      </c>
    </row>
    <row r="3870" spans="1:5" ht="15" customHeight="1" x14ac:dyDescent="0.3">
      <c r="A3870" t="s">
        <v>12647</v>
      </c>
      <c r="B3870" t="s">
        <v>241</v>
      </c>
      <c r="C3870">
        <v>2008</v>
      </c>
      <c r="D3870" t="s">
        <v>12648</v>
      </c>
      <c r="E3870">
        <v>12800000</v>
      </c>
    </row>
    <row r="3871" spans="1:5" ht="15" customHeight="1" x14ac:dyDescent="0.3">
      <c r="A3871" t="s">
        <v>12649</v>
      </c>
      <c r="B3871" t="s">
        <v>241</v>
      </c>
      <c r="C3871">
        <v>3008</v>
      </c>
      <c r="D3871" t="s">
        <v>12650</v>
      </c>
      <c r="E3871">
        <v>8900000</v>
      </c>
    </row>
    <row r="3872" spans="1:5" ht="15" customHeight="1" x14ac:dyDescent="0.3">
      <c r="A3872" t="s">
        <v>12651</v>
      </c>
      <c r="B3872" t="s">
        <v>220</v>
      </c>
      <c r="C3872" t="s">
        <v>223</v>
      </c>
      <c r="D3872" t="s">
        <v>12652</v>
      </c>
      <c r="E3872">
        <v>17300000</v>
      </c>
    </row>
    <row r="3873" spans="1:5" ht="15" customHeight="1" x14ac:dyDescent="0.3">
      <c r="A3873" t="s">
        <v>12653</v>
      </c>
      <c r="B3873" t="s">
        <v>2950</v>
      </c>
      <c r="C3873" t="s">
        <v>2966</v>
      </c>
      <c r="D3873" t="s">
        <v>12640</v>
      </c>
      <c r="E3873">
        <v>8200000</v>
      </c>
    </row>
    <row r="3874" spans="1:5" ht="15" customHeight="1" x14ac:dyDescent="0.3">
      <c r="A3874" t="s">
        <v>12654</v>
      </c>
      <c r="B3874" t="s">
        <v>156</v>
      </c>
      <c r="C3874" t="s">
        <v>2868</v>
      </c>
      <c r="D3874" t="s">
        <v>10685</v>
      </c>
      <c r="E3874">
        <v>16300000</v>
      </c>
    </row>
    <row r="3875" spans="1:5" ht="15" customHeight="1" x14ac:dyDescent="0.3">
      <c r="A3875" t="s">
        <v>12655</v>
      </c>
      <c r="B3875" t="s">
        <v>220</v>
      </c>
      <c r="C3875" t="s">
        <v>2729</v>
      </c>
      <c r="D3875" t="s">
        <v>11534</v>
      </c>
      <c r="E3875">
        <v>12200000</v>
      </c>
    </row>
    <row r="3876" spans="1:5" ht="15" customHeight="1" x14ac:dyDescent="0.3">
      <c r="A3876" t="s">
        <v>12656</v>
      </c>
      <c r="B3876" t="s">
        <v>2498</v>
      </c>
      <c r="C3876" t="s">
        <v>2563</v>
      </c>
      <c r="D3876" t="s">
        <v>11456</v>
      </c>
      <c r="E3876">
        <v>13200000</v>
      </c>
    </row>
    <row r="3877" spans="1:5" ht="15" customHeight="1" x14ac:dyDescent="0.3">
      <c r="A3877" t="s">
        <v>12657</v>
      </c>
      <c r="B3877" t="s">
        <v>28</v>
      </c>
      <c r="C3877" t="s">
        <v>2670</v>
      </c>
      <c r="D3877" t="s">
        <v>12658</v>
      </c>
      <c r="E3877">
        <v>11800000</v>
      </c>
    </row>
    <row r="3878" spans="1:5" ht="15" customHeight="1" x14ac:dyDescent="0.3">
      <c r="A3878" t="s">
        <v>12659</v>
      </c>
      <c r="B3878" t="s">
        <v>180</v>
      </c>
      <c r="C3878" t="s">
        <v>3419</v>
      </c>
      <c r="D3878" t="s">
        <v>12660</v>
      </c>
      <c r="E3878">
        <v>11900000</v>
      </c>
    </row>
    <row r="3879" spans="1:5" ht="15" customHeight="1" x14ac:dyDescent="0.3">
      <c r="A3879" t="s">
        <v>12661</v>
      </c>
      <c r="B3879" t="s">
        <v>156</v>
      </c>
      <c r="C3879" t="s">
        <v>2868</v>
      </c>
      <c r="D3879" t="s">
        <v>10685</v>
      </c>
      <c r="E3879">
        <v>12400000</v>
      </c>
    </row>
    <row r="3880" spans="1:5" ht="15" customHeight="1" x14ac:dyDescent="0.3">
      <c r="A3880" t="s">
        <v>12662</v>
      </c>
      <c r="B3880" t="s">
        <v>2533</v>
      </c>
      <c r="C3880" t="s">
        <v>2582</v>
      </c>
      <c r="D3880" t="s">
        <v>12506</v>
      </c>
      <c r="E3880">
        <v>7170000</v>
      </c>
    </row>
    <row r="3881" spans="1:5" ht="15" customHeight="1" x14ac:dyDescent="0.3">
      <c r="A3881" t="s">
        <v>11224</v>
      </c>
      <c r="B3881" t="s">
        <v>2494</v>
      </c>
      <c r="C3881" t="s">
        <v>7921</v>
      </c>
      <c r="D3881" t="s">
        <v>11225</v>
      </c>
      <c r="E3881">
        <v>18700000</v>
      </c>
    </row>
    <row r="3882" spans="1:5" ht="15" customHeight="1" x14ac:dyDescent="0.3">
      <c r="A3882" t="s">
        <v>12663</v>
      </c>
      <c r="B3882" t="s">
        <v>60</v>
      </c>
      <c r="C3882" t="s">
        <v>2520</v>
      </c>
      <c r="D3882" t="s">
        <v>12664</v>
      </c>
      <c r="E3882">
        <v>15300000</v>
      </c>
    </row>
    <row r="3883" spans="1:5" ht="15" customHeight="1" x14ac:dyDescent="0.3">
      <c r="A3883" t="s">
        <v>12665</v>
      </c>
      <c r="B3883" t="s">
        <v>28</v>
      </c>
      <c r="C3883" t="s">
        <v>2575</v>
      </c>
      <c r="D3883" t="s">
        <v>11947</v>
      </c>
      <c r="E3883">
        <v>8700000</v>
      </c>
    </row>
    <row r="3884" spans="1:5" ht="15" customHeight="1" x14ac:dyDescent="0.3">
      <c r="A3884" t="s">
        <v>12666</v>
      </c>
      <c r="B3884" t="s">
        <v>207</v>
      </c>
      <c r="C3884" t="s">
        <v>208</v>
      </c>
      <c r="D3884" t="s">
        <v>12667</v>
      </c>
      <c r="E3884">
        <v>14200000</v>
      </c>
    </row>
    <row r="3885" spans="1:5" ht="15" customHeight="1" x14ac:dyDescent="0.3">
      <c r="A3885" t="s">
        <v>12668</v>
      </c>
      <c r="B3885" t="s">
        <v>28</v>
      </c>
      <c r="C3885" t="s">
        <v>2575</v>
      </c>
      <c r="D3885" t="s">
        <v>11947</v>
      </c>
      <c r="E3885">
        <v>8700000</v>
      </c>
    </row>
    <row r="3886" spans="1:5" ht="15" customHeight="1" x14ac:dyDescent="0.3">
      <c r="A3886" t="s">
        <v>12669</v>
      </c>
      <c r="B3886" t="s">
        <v>220</v>
      </c>
      <c r="C3886" t="s">
        <v>2762</v>
      </c>
      <c r="D3886" t="s">
        <v>12670</v>
      </c>
      <c r="E3886">
        <v>14700000</v>
      </c>
    </row>
    <row r="3887" spans="1:5" ht="15" customHeight="1" x14ac:dyDescent="0.3">
      <c r="A3887" t="s">
        <v>12671</v>
      </c>
      <c r="B3887" t="s">
        <v>241</v>
      </c>
      <c r="C3887">
        <v>208</v>
      </c>
      <c r="D3887" t="s">
        <v>2649</v>
      </c>
      <c r="E3887">
        <v>13700000</v>
      </c>
    </row>
    <row r="3888" spans="1:5" ht="15" customHeight="1" x14ac:dyDescent="0.3">
      <c r="A3888" t="s">
        <v>12672</v>
      </c>
      <c r="B3888" t="s">
        <v>306</v>
      </c>
      <c r="C3888" t="s">
        <v>3517</v>
      </c>
      <c r="D3888" t="s">
        <v>12673</v>
      </c>
      <c r="E3888">
        <v>18700000</v>
      </c>
    </row>
    <row r="3889" spans="1:5" ht="15" customHeight="1" x14ac:dyDescent="0.3">
      <c r="A3889" t="s">
        <v>12674</v>
      </c>
      <c r="B3889" t="s">
        <v>237</v>
      </c>
      <c r="C3889" t="s">
        <v>65</v>
      </c>
      <c r="D3889" t="s">
        <v>3762</v>
      </c>
      <c r="E3889">
        <v>14600000</v>
      </c>
    </row>
    <row r="3890" spans="1:5" ht="15" customHeight="1" x14ac:dyDescent="0.3">
      <c r="A3890" t="s">
        <v>12675</v>
      </c>
      <c r="B3890" t="s">
        <v>86</v>
      </c>
      <c r="C3890" t="s">
        <v>106</v>
      </c>
      <c r="D3890" t="s">
        <v>12676</v>
      </c>
      <c r="E3890">
        <v>16700000</v>
      </c>
    </row>
    <row r="3891" spans="1:5" ht="15" customHeight="1" x14ac:dyDescent="0.3">
      <c r="A3891" t="s">
        <v>12677</v>
      </c>
      <c r="B3891" t="s">
        <v>86</v>
      </c>
      <c r="C3891" t="s">
        <v>106</v>
      </c>
      <c r="D3891" t="s">
        <v>12676</v>
      </c>
      <c r="E3891">
        <v>16700000</v>
      </c>
    </row>
    <row r="3892" spans="1:5" ht="15" customHeight="1" x14ac:dyDescent="0.3">
      <c r="A3892" t="s">
        <v>12678</v>
      </c>
      <c r="B3892" t="s">
        <v>207</v>
      </c>
      <c r="C3892">
        <v>2</v>
      </c>
      <c r="D3892" t="s">
        <v>12679</v>
      </c>
      <c r="E3892">
        <v>6470000</v>
      </c>
    </row>
    <row r="3893" spans="1:5" ht="15" customHeight="1" x14ac:dyDescent="0.3">
      <c r="A3893" t="s">
        <v>12680</v>
      </c>
      <c r="B3893" t="s">
        <v>278</v>
      </c>
      <c r="C3893">
        <v>700</v>
      </c>
      <c r="D3893" t="s">
        <v>11543</v>
      </c>
      <c r="E3893">
        <v>10900000</v>
      </c>
    </row>
    <row r="3894" spans="1:5" ht="15" customHeight="1" x14ac:dyDescent="0.3">
      <c r="A3894" t="s">
        <v>12681</v>
      </c>
      <c r="B3894" t="s">
        <v>241</v>
      </c>
      <c r="C3894" t="s">
        <v>2505</v>
      </c>
      <c r="D3894" t="s">
        <v>12682</v>
      </c>
      <c r="E3894">
        <v>26300000</v>
      </c>
    </row>
    <row r="3895" spans="1:5" ht="15" customHeight="1" x14ac:dyDescent="0.3">
      <c r="A3895" t="s">
        <v>12683</v>
      </c>
      <c r="B3895" t="s">
        <v>241</v>
      </c>
      <c r="C3895" t="s">
        <v>2478</v>
      </c>
      <c r="D3895" t="s">
        <v>12684</v>
      </c>
      <c r="E3895">
        <v>14000000</v>
      </c>
    </row>
    <row r="3896" spans="1:5" ht="15" customHeight="1" x14ac:dyDescent="0.3">
      <c r="A3896" t="s">
        <v>12685</v>
      </c>
      <c r="B3896" t="s">
        <v>2545</v>
      </c>
      <c r="C3896" t="s">
        <v>2546</v>
      </c>
      <c r="D3896" t="s">
        <v>1444</v>
      </c>
      <c r="E3896">
        <v>15300000</v>
      </c>
    </row>
    <row r="3897" spans="1:5" ht="15" customHeight="1" x14ac:dyDescent="0.3">
      <c r="A3897" t="s">
        <v>12686</v>
      </c>
      <c r="B3897" t="s">
        <v>2545</v>
      </c>
      <c r="C3897" t="s">
        <v>2546</v>
      </c>
      <c r="D3897" t="s">
        <v>1444</v>
      </c>
      <c r="E3897">
        <v>15800000</v>
      </c>
    </row>
    <row r="3898" spans="1:5" ht="15" customHeight="1" x14ac:dyDescent="0.3">
      <c r="A3898" t="s">
        <v>12687</v>
      </c>
      <c r="B3898" t="s">
        <v>241</v>
      </c>
      <c r="C3898">
        <v>2008</v>
      </c>
      <c r="D3898" t="s">
        <v>12648</v>
      </c>
      <c r="E3898">
        <v>12100000</v>
      </c>
    </row>
    <row r="3899" spans="1:5" ht="15" customHeight="1" x14ac:dyDescent="0.3">
      <c r="A3899" t="s">
        <v>12688</v>
      </c>
      <c r="B3899" t="s">
        <v>86</v>
      </c>
      <c r="C3899" t="s">
        <v>134</v>
      </c>
      <c r="D3899" t="s">
        <v>12689</v>
      </c>
      <c r="E3899">
        <v>12500000</v>
      </c>
    </row>
    <row r="3900" spans="1:5" ht="15" customHeight="1" x14ac:dyDescent="0.3">
      <c r="A3900" t="s">
        <v>12690</v>
      </c>
      <c r="B3900" t="s">
        <v>2521</v>
      </c>
      <c r="C3900" t="s">
        <v>2543</v>
      </c>
      <c r="D3900" t="s">
        <v>12691</v>
      </c>
      <c r="E3900">
        <v>10400000</v>
      </c>
    </row>
    <row r="3901" spans="1:5" ht="15" customHeight="1" x14ac:dyDescent="0.3">
      <c r="A3901" t="s">
        <v>12692</v>
      </c>
      <c r="B3901" t="s">
        <v>2494</v>
      </c>
      <c r="C3901" t="s">
        <v>3244</v>
      </c>
      <c r="D3901" t="s">
        <v>3567</v>
      </c>
      <c r="E3901">
        <v>10000000</v>
      </c>
    </row>
    <row r="3902" spans="1:5" ht="15" customHeight="1" x14ac:dyDescent="0.3">
      <c r="A3902" t="s">
        <v>12693</v>
      </c>
      <c r="B3902" t="s">
        <v>45</v>
      </c>
      <c r="C3902" t="s">
        <v>2555</v>
      </c>
      <c r="D3902" t="s">
        <v>12328</v>
      </c>
      <c r="E3902">
        <v>18700000</v>
      </c>
    </row>
    <row r="3903" spans="1:5" ht="15" customHeight="1" x14ac:dyDescent="0.3">
      <c r="A3903" t="s">
        <v>12694</v>
      </c>
      <c r="B3903" t="s">
        <v>241</v>
      </c>
      <c r="C3903" t="s">
        <v>2485</v>
      </c>
      <c r="D3903" t="s">
        <v>12695</v>
      </c>
      <c r="E3903">
        <v>10300000</v>
      </c>
    </row>
    <row r="3904" spans="1:5" ht="15" customHeight="1" x14ac:dyDescent="0.3">
      <c r="A3904" t="s">
        <v>12696</v>
      </c>
      <c r="B3904" t="s">
        <v>241</v>
      </c>
      <c r="C3904">
        <v>2008</v>
      </c>
      <c r="D3904" t="s">
        <v>12648</v>
      </c>
      <c r="E3904">
        <v>12800000</v>
      </c>
    </row>
    <row r="3905" spans="1:5" ht="15" customHeight="1" x14ac:dyDescent="0.3">
      <c r="A3905" t="s">
        <v>12697</v>
      </c>
      <c r="B3905" t="s">
        <v>2498</v>
      </c>
      <c r="C3905" t="s">
        <v>2523</v>
      </c>
      <c r="D3905" t="s">
        <v>12698</v>
      </c>
      <c r="E3905">
        <v>5120000</v>
      </c>
    </row>
    <row r="3906" spans="1:5" ht="15" customHeight="1" x14ac:dyDescent="0.3">
      <c r="A3906" t="s">
        <v>12699</v>
      </c>
      <c r="B3906" t="s">
        <v>86</v>
      </c>
      <c r="C3906" t="s">
        <v>3523</v>
      </c>
      <c r="D3906" t="s">
        <v>12700</v>
      </c>
      <c r="E3906">
        <v>4640000</v>
      </c>
    </row>
    <row r="3907" spans="1:5" ht="15" customHeight="1" x14ac:dyDescent="0.3">
      <c r="A3907" t="s">
        <v>12701</v>
      </c>
      <c r="B3907" t="s">
        <v>220</v>
      </c>
      <c r="C3907" t="s">
        <v>228</v>
      </c>
      <c r="D3907" t="s">
        <v>2924</v>
      </c>
      <c r="E3907">
        <v>16700000</v>
      </c>
    </row>
    <row r="3908" spans="1:5" ht="15" customHeight="1" x14ac:dyDescent="0.3">
      <c r="A3908" t="s">
        <v>12702</v>
      </c>
      <c r="B3908" t="s">
        <v>28</v>
      </c>
      <c r="C3908" t="s">
        <v>42</v>
      </c>
      <c r="D3908" t="s">
        <v>12703</v>
      </c>
      <c r="E3908">
        <v>9900000</v>
      </c>
    </row>
    <row r="3909" spans="1:5" ht="15" customHeight="1" x14ac:dyDescent="0.3">
      <c r="A3909" t="s">
        <v>12704</v>
      </c>
      <c r="B3909" t="s">
        <v>220</v>
      </c>
      <c r="C3909" t="s">
        <v>228</v>
      </c>
      <c r="D3909" t="s">
        <v>2924</v>
      </c>
      <c r="E3909">
        <v>16700000</v>
      </c>
    </row>
    <row r="3910" spans="1:5" ht="15" customHeight="1" x14ac:dyDescent="0.3">
      <c r="A3910" t="s">
        <v>12705</v>
      </c>
      <c r="B3910" t="s">
        <v>300</v>
      </c>
      <c r="C3910" t="s">
        <v>12706</v>
      </c>
      <c r="D3910" t="s">
        <v>12707</v>
      </c>
      <c r="E3910">
        <v>4560000</v>
      </c>
    </row>
    <row r="3911" spans="1:5" ht="15" customHeight="1" x14ac:dyDescent="0.3">
      <c r="A3911" t="s">
        <v>12708</v>
      </c>
      <c r="B3911" t="s">
        <v>2533</v>
      </c>
      <c r="C3911" t="s">
        <v>2571</v>
      </c>
      <c r="D3911" t="s">
        <v>12709</v>
      </c>
      <c r="E3911">
        <v>7110000</v>
      </c>
    </row>
    <row r="3912" spans="1:5" ht="15" customHeight="1" x14ac:dyDescent="0.3">
      <c r="A3912" t="s">
        <v>12710</v>
      </c>
      <c r="B3912" t="s">
        <v>45</v>
      </c>
      <c r="C3912" t="s">
        <v>57</v>
      </c>
      <c r="D3912" t="s">
        <v>12711</v>
      </c>
      <c r="E3912">
        <v>6800000</v>
      </c>
    </row>
    <row r="3913" spans="1:5" ht="15" customHeight="1" x14ac:dyDescent="0.3">
      <c r="A3913" t="s">
        <v>12712</v>
      </c>
      <c r="B3913" t="s">
        <v>306</v>
      </c>
      <c r="C3913" t="s">
        <v>2862</v>
      </c>
      <c r="D3913" t="s">
        <v>12713</v>
      </c>
      <c r="E3913">
        <v>18200000</v>
      </c>
    </row>
    <row r="3914" spans="1:5" ht="15" customHeight="1" x14ac:dyDescent="0.3">
      <c r="A3914" t="s">
        <v>12714</v>
      </c>
      <c r="B3914" t="s">
        <v>311</v>
      </c>
      <c r="C3914" t="s">
        <v>3456</v>
      </c>
      <c r="D3914" t="s">
        <v>12715</v>
      </c>
      <c r="E3914">
        <v>15200000</v>
      </c>
    </row>
    <row r="3915" spans="1:5" ht="15" customHeight="1" x14ac:dyDescent="0.3">
      <c r="A3915" t="s">
        <v>12716</v>
      </c>
      <c r="B3915" t="s">
        <v>2498</v>
      </c>
      <c r="C3915" t="s">
        <v>2499</v>
      </c>
      <c r="D3915" t="s">
        <v>12717</v>
      </c>
      <c r="E3915">
        <v>9000000</v>
      </c>
    </row>
    <row r="3916" spans="1:5" ht="15" customHeight="1" x14ac:dyDescent="0.3">
      <c r="A3916" t="s">
        <v>12718</v>
      </c>
      <c r="B3916" t="s">
        <v>2521</v>
      </c>
      <c r="C3916" t="s">
        <v>2543</v>
      </c>
      <c r="D3916" t="s">
        <v>7939</v>
      </c>
      <c r="E3916">
        <v>9500000</v>
      </c>
    </row>
    <row r="3917" spans="1:5" ht="15" customHeight="1" x14ac:dyDescent="0.3">
      <c r="A3917" t="s">
        <v>12719</v>
      </c>
      <c r="B3917" t="s">
        <v>156</v>
      </c>
      <c r="C3917" t="s">
        <v>3072</v>
      </c>
      <c r="D3917" t="s">
        <v>12720</v>
      </c>
      <c r="E3917">
        <v>8500000</v>
      </c>
    </row>
    <row r="3918" spans="1:5" ht="15" customHeight="1" x14ac:dyDescent="0.3">
      <c r="A3918" t="s">
        <v>12721</v>
      </c>
      <c r="B3918" t="s">
        <v>311</v>
      </c>
      <c r="C3918" t="s">
        <v>8858</v>
      </c>
      <c r="D3918" t="s">
        <v>12715</v>
      </c>
      <c r="E3918">
        <v>15500000</v>
      </c>
    </row>
    <row r="3919" spans="1:5" ht="15" customHeight="1" x14ac:dyDescent="0.3">
      <c r="A3919" t="s">
        <v>12722</v>
      </c>
      <c r="B3919" t="s">
        <v>86</v>
      </c>
      <c r="C3919" t="s">
        <v>2476</v>
      </c>
      <c r="D3919" t="s">
        <v>12723</v>
      </c>
      <c r="E3919">
        <v>17700000</v>
      </c>
    </row>
    <row r="3920" spans="1:5" ht="15" customHeight="1" x14ac:dyDescent="0.3">
      <c r="A3920" t="s">
        <v>11226</v>
      </c>
      <c r="B3920" t="s">
        <v>45</v>
      </c>
      <c r="C3920" t="s">
        <v>7642</v>
      </c>
      <c r="D3920" t="s">
        <v>11227</v>
      </c>
      <c r="E3920">
        <v>5590000</v>
      </c>
    </row>
    <row r="3921" spans="1:5" ht="15" customHeight="1" x14ac:dyDescent="0.3">
      <c r="A3921" t="s">
        <v>12724</v>
      </c>
      <c r="B3921" t="s">
        <v>311</v>
      </c>
      <c r="C3921" t="s">
        <v>3456</v>
      </c>
      <c r="D3921" t="s">
        <v>12725</v>
      </c>
      <c r="E3921">
        <v>11300000</v>
      </c>
    </row>
    <row r="3922" spans="1:5" ht="15" customHeight="1" x14ac:dyDescent="0.3">
      <c r="A3922" t="s">
        <v>12726</v>
      </c>
      <c r="B3922" t="s">
        <v>86</v>
      </c>
      <c r="C3922" t="s">
        <v>93</v>
      </c>
      <c r="D3922" t="s">
        <v>12727</v>
      </c>
      <c r="E3922">
        <v>26300000</v>
      </c>
    </row>
    <row r="3923" spans="1:5" ht="15" customHeight="1" x14ac:dyDescent="0.3">
      <c r="A3923" t="s">
        <v>12728</v>
      </c>
      <c r="B3923" t="s">
        <v>311</v>
      </c>
      <c r="C3923" t="s">
        <v>3456</v>
      </c>
      <c r="D3923" t="s">
        <v>12725</v>
      </c>
      <c r="E3923">
        <v>12500000</v>
      </c>
    </row>
    <row r="3924" spans="1:5" ht="15" customHeight="1" x14ac:dyDescent="0.3">
      <c r="A3924" t="s">
        <v>12729</v>
      </c>
      <c r="B3924" t="s">
        <v>86</v>
      </c>
      <c r="C3924" t="s">
        <v>134</v>
      </c>
      <c r="D3924" t="s">
        <v>7466</v>
      </c>
      <c r="E3924">
        <v>11000000</v>
      </c>
    </row>
    <row r="3925" spans="1:5" ht="15" customHeight="1" x14ac:dyDescent="0.3">
      <c r="A3925" t="s">
        <v>12730</v>
      </c>
      <c r="B3925" t="s">
        <v>86</v>
      </c>
      <c r="C3925" t="s">
        <v>122</v>
      </c>
      <c r="D3925" t="s">
        <v>11681</v>
      </c>
      <c r="E3925">
        <v>16600000</v>
      </c>
    </row>
    <row r="3926" spans="1:5" ht="15" customHeight="1" x14ac:dyDescent="0.3">
      <c r="A3926" t="s">
        <v>12731</v>
      </c>
      <c r="B3926" t="s">
        <v>180</v>
      </c>
      <c r="C3926" t="s">
        <v>183</v>
      </c>
      <c r="D3926" t="s">
        <v>12732</v>
      </c>
      <c r="E3926">
        <v>17900000</v>
      </c>
    </row>
    <row r="3927" spans="1:5" ht="15" customHeight="1" x14ac:dyDescent="0.3">
      <c r="A3927" t="s">
        <v>12733</v>
      </c>
      <c r="B3927" t="s">
        <v>311</v>
      </c>
      <c r="C3927" t="s">
        <v>12485</v>
      </c>
      <c r="D3927" t="s">
        <v>12527</v>
      </c>
      <c r="E3927">
        <v>21400000</v>
      </c>
    </row>
    <row r="3928" spans="1:5" ht="15" customHeight="1" x14ac:dyDescent="0.3">
      <c r="A3928" t="s">
        <v>12734</v>
      </c>
      <c r="B3928" t="s">
        <v>220</v>
      </c>
      <c r="C3928" t="s">
        <v>2569</v>
      </c>
      <c r="D3928" t="s">
        <v>12735</v>
      </c>
      <c r="E3928">
        <v>11300000</v>
      </c>
    </row>
    <row r="3929" spans="1:5" ht="15" customHeight="1" x14ac:dyDescent="0.3">
      <c r="A3929" t="s">
        <v>12736</v>
      </c>
      <c r="B3929" t="s">
        <v>156</v>
      </c>
      <c r="C3929" t="s">
        <v>3072</v>
      </c>
      <c r="D3929" t="s">
        <v>12737</v>
      </c>
      <c r="E3929">
        <v>9100000</v>
      </c>
    </row>
    <row r="3930" spans="1:5" ht="15" customHeight="1" x14ac:dyDescent="0.3">
      <c r="A3930" t="s">
        <v>12738</v>
      </c>
      <c r="B3930" t="s">
        <v>2521</v>
      </c>
      <c r="C3930" t="s">
        <v>2543</v>
      </c>
      <c r="D3930" t="s">
        <v>12739</v>
      </c>
      <c r="E3930">
        <v>9200000</v>
      </c>
    </row>
    <row r="3931" spans="1:5" ht="15" customHeight="1" x14ac:dyDescent="0.3">
      <c r="A3931" t="s">
        <v>12740</v>
      </c>
      <c r="B3931" t="s">
        <v>220</v>
      </c>
      <c r="C3931" t="s">
        <v>2762</v>
      </c>
      <c r="D3931" t="s">
        <v>12741</v>
      </c>
      <c r="E3931">
        <v>13800000</v>
      </c>
    </row>
    <row r="3932" spans="1:5" ht="15" customHeight="1" x14ac:dyDescent="0.3">
      <c r="A3932" t="s">
        <v>12742</v>
      </c>
      <c r="B3932" t="s">
        <v>306</v>
      </c>
      <c r="C3932" t="s">
        <v>12743</v>
      </c>
      <c r="D3932" t="s">
        <v>12744</v>
      </c>
      <c r="E3932">
        <v>5510000</v>
      </c>
    </row>
    <row r="3933" spans="1:5" ht="15" customHeight="1" x14ac:dyDescent="0.3">
      <c r="A3933" t="s">
        <v>12745</v>
      </c>
      <c r="B3933" t="s">
        <v>60</v>
      </c>
      <c r="C3933" t="s">
        <v>3326</v>
      </c>
      <c r="D3933" t="s">
        <v>9970</v>
      </c>
      <c r="E3933">
        <v>15800000</v>
      </c>
    </row>
    <row r="3934" spans="1:5" ht="15" customHeight="1" x14ac:dyDescent="0.3">
      <c r="A3934" t="s">
        <v>12746</v>
      </c>
      <c r="B3934" t="s">
        <v>45</v>
      </c>
      <c r="C3934" t="s">
        <v>2480</v>
      </c>
      <c r="D3934" t="s">
        <v>12747</v>
      </c>
      <c r="E3934">
        <v>10800000</v>
      </c>
    </row>
    <row r="3935" spans="1:5" ht="15" customHeight="1" x14ac:dyDescent="0.3">
      <c r="A3935" t="s">
        <v>12748</v>
      </c>
      <c r="B3935" t="s">
        <v>28</v>
      </c>
      <c r="C3935" t="s">
        <v>31</v>
      </c>
      <c r="D3935" t="s">
        <v>12749</v>
      </c>
      <c r="E3935">
        <v>7680000</v>
      </c>
    </row>
    <row r="3936" spans="1:5" ht="15" customHeight="1" x14ac:dyDescent="0.3">
      <c r="A3936" t="s">
        <v>12750</v>
      </c>
      <c r="B3936" t="s">
        <v>220</v>
      </c>
      <c r="C3936" t="s">
        <v>2682</v>
      </c>
      <c r="D3936" t="s">
        <v>12751</v>
      </c>
      <c r="E3936">
        <v>21900000</v>
      </c>
    </row>
    <row r="3937" spans="1:5" ht="15" customHeight="1" x14ac:dyDescent="0.3">
      <c r="A3937" t="s">
        <v>12752</v>
      </c>
      <c r="B3937" t="s">
        <v>86</v>
      </c>
      <c r="C3937" t="s">
        <v>134</v>
      </c>
      <c r="D3937" t="s">
        <v>12753</v>
      </c>
      <c r="E3937">
        <v>11800000</v>
      </c>
    </row>
    <row r="3938" spans="1:5" ht="15" customHeight="1" x14ac:dyDescent="0.3">
      <c r="A3938" t="s">
        <v>12754</v>
      </c>
      <c r="B3938" t="s">
        <v>45</v>
      </c>
      <c r="C3938" t="s">
        <v>2764</v>
      </c>
      <c r="D3938" t="s">
        <v>12755</v>
      </c>
      <c r="E3938">
        <v>9700000</v>
      </c>
    </row>
    <row r="3939" spans="1:5" ht="15" customHeight="1" x14ac:dyDescent="0.3">
      <c r="A3939" t="s">
        <v>12756</v>
      </c>
      <c r="B3939" t="s">
        <v>167</v>
      </c>
      <c r="C3939" t="s">
        <v>3395</v>
      </c>
      <c r="D3939" t="s">
        <v>11509</v>
      </c>
      <c r="E3939">
        <v>6800000</v>
      </c>
    </row>
    <row r="3940" spans="1:5" ht="15" customHeight="1" x14ac:dyDescent="0.3">
      <c r="A3940" t="s">
        <v>12757</v>
      </c>
      <c r="B3940" t="s">
        <v>28</v>
      </c>
      <c r="C3940" t="s">
        <v>2496</v>
      </c>
      <c r="D3940" t="s">
        <v>12758</v>
      </c>
      <c r="E3940">
        <v>7220000</v>
      </c>
    </row>
    <row r="3941" spans="1:5" ht="15" customHeight="1" x14ac:dyDescent="0.3">
      <c r="A3941" t="s">
        <v>12759</v>
      </c>
      <c r="B3941" t="s">
        <v>2665</v>
      </c>
      <c r="C3941" t="s">
        <v>3047</v>
      </c>
      <c r="D3941" t="s">
        <v>12760</v>
      </c>
      <c r="E3941">
        <v>38000000</v>
      </c>
    </row>
    <row r="3942" spans="1:5" ht="15" customHeight="1" x14ac:dyDescent="0.3">
      <c r="A3942" t="s">
        <v>12761</v>
      </c>
      <c r="B3942" t="s">
        <v>86</v>
      </c>
      <c r="C3942" t="s">
        <v>2507</v>
      </c>
      <c r="D3942" t="s">
        <v>12762</v>
      </c>
      <c r="E3942">
        <v>31700000</v>
      </c>
    </row>
    <row r="3943" spans="1:5" ht="15" customHeight="1" x14ac:dyDescent="0.3">
      <c r="A3943" t="s">
        <v>12763</v>
      </c>
      <c r="B3943" t="s">
        <v>14</v>
      </c>
      <c r="C3943" t="s">
        <v>2508</v>
      </c>
      <c r="D3943" t="s">
        <v>12764</v>
      </c>
      <c r="E3943">
        <v>8600000</v>
      </c>
    </row>
    <row r="3944" spans="1:5" ht="15" customHeight="1" x14ac:dyDescent="0.3">
      <c r="A3944" t="s">
        <v>12765</v>
      </c>
      <c r="B3944" t="s">
        <v>2533</v>
      </c>
      <c r="C3944" t="s">
        <v>2571</v>
      </c>
      <c r="D3944" t="s">
        <v>12766</v>
      </c>
      <c r="E3944">
        <v>7960000</v>
      </c>
    </row>
    <row r="3945" spans="1:5" ht="15" customHeight="1" x14ac:dyDescent="0.3">
      <c r="A3945" t="s">
        <v>12767</v>
      </c>
      <c r="B3945" t="s">
        <v>241</v>
      </c>
      <c r="C3945" t="s">
        <v>2487</v>
      </c>
      <c r="D3945" t="s">
        <v>11517</v>
      </c>
      <c r="E3945">
        <v>16900000</v>
      </c>
    </row>
    <row r="3946" spans="1:5" ht="15" customHeight="1" x14ac:dyDescent="0.3">
      <c r="A3946" t="s">
        <v>12768</v>
      </c>
      <c r="B3946" t="s">
        <v>156</v>
      </c>
      <c r="C3946" t="s">
        <v>3117</v>
      </c>
      <c r="D3946" t="s">
        <v>12769</v>
      </c>
      <c r="E3946">
        <v>13900000</v>
      </c>
    </row>
    <row r="3947" spans="1:5" ht="15" customHeight="1" x14ac:dyDescent="0.3">
      <c r="A3947" t="s">
        <v>12770</v>
      </c>
      <c r="B3947" t="s">
        <v>306</v>
      </c>
      <c r="C3947" t="s">
        <v>2981</v>
      </c>
      <c r="D3947" t="s">
        <v>12771</v>
      </c>
      <c r="E3947">
        <v>17400000</v>
      </c>
    </row>
    <row r="3948" spans="1:5" ht="15" customHeight="1" x14ac:dyDescent="0.3">
      <c r="A3948" t="s">
        <v>12772</v>
      </c>
      <c r="B3948" t="s">
        <v>28</v>
      </c>
      <c r="C3948" t="s">
        <v>31</v>
      </c>
      <c r="D3948" t="s">
        <v>12773</v>
      </c>
      <c r="E3948">
        <v>7760000</v>
      </c>
    </row>
    <row r="3949" spans="1:5" ht="15" customHeight="1" x14ac:dyDescent="0.3">
      <c r="A3949" t="s">
        <v>12774</v>
      </c>
      <c r="B3949" t="s">
        <v>300</v>
      </c>
      <c r="C3949" t="s">
        <v>12775</v>
      </c>
      <c r="D3949" t="s">
        <v>12776</v>
      </c>
      <c r="E3949">
        <v>6840000</v>
      </c>
    </row>
    <row r="3950" spans="1:5" ht="15" customHeight="1" x14ac:dyDescent="0.3">
      <c r="A3950" t="s">
        <v>12777</v>
      </c>
      <c r="B3950" t="s">
        <v>86</v>
      </c>
      <c r="C3950" t="s">
        <v>2976</v>
      </c>
      <c r="D3950" t="s">
        <v>12778</v>
      </c>
      <c r="E3950">
        <v>11800000</v>
      </c>
    </row>
    <row r="3951" spans="1:5" ht="15" customHeight="1" x14ac:dyDescent="0.3">
      <c r="A3951" t="s">
        <v>12779</v>
      </c>
      <c r="B3951" t="s">
        <v>86</v>
      </c>
      <c r="C3951" t="s">
        <v>2476</v>
      </c>
      <c r="D3951" t="s">
        <v>12780</v>
      </c>
      <c r="E3951">
        <v>43900000</v>
      </c>
    </row>
    <row r="3952" spans="1:5" ht="15" customHeight="1" x14ac:dyDescent="0.3">
      <c r="A3952" t="s">
        <v>12781</v>
      </c>
      <c r="B3952" t="s">
        <v>167</v>
      </c>
      <c r="C3952" t="s">
        <v>2529</v>
      </c>
      <c r="D3952" t="s">
        <v>1193</v>
      </c>
      <c r="E3952">
        <v>10000000</v>
      </c>
    </row>
    <row r="3953" spans="1:5" ht="15" customHeight="1" x14ac:dyDescent="0.3">
      <c r="A3953" t="s">
        <v>12782</v>
      </c>
      <c r="B3953" t="s">
        <v>86</v>
      </c>
      <c r="C3953" t="s">
        <v>90</v>
      </c>
      <c r="D3953" t="s">
        <v>12783</v>
      </c>
      <c r="E3953">
        <v>8900000</v>
      </c>
    </row>
    <row r="3954" spans="1:5" ht="15" customHeight="1" x14ac:dyDescent="0.3">
      <c r="A3954" t="s">
        <v>12784</v>
      </c>
      <c r="B3954" t="s">
        <v>241</v>
      </c>
      <c r="C3954" t="s">
        <v>2487</v>
      </c>
      <c r="D3954" t="s">
        <v>8785</v>
      </c>
      <c r="E3954">
        <v>16400000</v>
      </c>
    </row>
    <row r="3955" spans="1:5" ht="15" customHeight="1" x14ac:dyDescent="0.3">
      <c r="A3955" t="s">
        <v>12785</v>
      </c>
      <c r="B3955" t="s">
        <v>2498</v>
      </c>
      <c r="C3955" t="s">
        <v>199</v>
      </c>
      <c r="D3955" t="s">
        <v>12786</v>
      </c>
      <c r="E3955">
        <v>13500000</v>
      </c>
    </row>
    <row r="3956" spans="1:5" ht="15" customHeight="1" x14ac:dyDescent="0.3">
      <c r="A3956" t="s">
        <v>12787</v>
      </c>
      <c r="B3956" t="s">
        <v>86</v>
      </c>
      <c r="C3956" t="s">
        <v>122</v>
      </c>
      <c r="D3956" t="s">
        <v>12788</v>
      </c>
      <c r="E3956">
        <v>32000000</v>
      </c>
    </row>
    <row r="3957" spans="1:5" ht="15" customHeight="1" x14ac:dyDescent="0.3">
      <c r="A3957" t="s">
        <v>12789</v>
      </c>
      <c r="B3957" t="s">
        <v>214</v>
      </c>
      <c r="C3957" t="s">
        <v>2627</v>
      </c>
      <c r="D3957" t="s">
        <v>10002</v>
      </c>
      <c r="E3957">
        <v>35200000</v>
      </c>
    </row>
    <row r="3958" spans="1:5" ht="15" customHeight="1" x14ac:dyDescent="0.3">
      <c r="A3958" t="s">
        <v>12790</v>
      </c>
      <c r="B3958" t="s">
        <v>2498</v>
      </c>
      <c r="C3958" t="s">
        <v>2664</v>
      </c>
      <c r="D3958" t="s">
        <v>12791</v>
      </c>
      <c r="E3958">
        <v>13500000</v>
      </c>
    </row>
    <row r="3959" spans="1:5" ht="15" customHeight="1" x14ac:dyDescent="0.3">
      <c r="A3959" t="s">
        <v>12792</v>
      </c>
      <c r="B3959" t="s">
        <v>156</v>
      </c>
      <c r="C3959" t="s">
        <v>3096</v>
      </c>
      <c r="D3959" t="s">
        <v>12793</v>
      </c>
      <c r="E3959">
        <v>18400000</v>
      </c>
    </row>
    <row r="3960" spans="1:5" ht="15" customHeight="1" x14ac:dyDescent="0.3">
      <c r="A3960" t="s">
        <v>12794</v>
      </c>
      <c r="B3960" t="s">
        <v>45</v>
      </c>
      <c r="C3960" t="s">
        <v>2555</v>
      </c>
      <c r="D3960" t="s">
        <v>12795</v>
      </c>
      <c r="E3960">
        <v>20100000</v>
      </c>
    </row>
    <row r="3961" spans="1:5" ht="15" customHeight="1" x14ac:dyDescent="0.3">
      <c r="A3961" t="s">
        <v>12796</v>
      </c>
      <c r="B3961" t="s">
        <v>2521</v>
      </c>
      <c r="C3961" t="s">
        <v>2543</v>
      </c>
      <c r="D3961" t="s">
        <v>12797</v>
      </c>
      <c r="E3961">
        <v>9000000</v>
      </c>
    </row>
    <row r="3962" spans="1:5" ht="15" customHeight="1" x14ac:dyDescent="0.3">
      <c r="A3962" t="s">
        <v>12798</v>
      </c>
      <c r="B3962" t="s">
        <v>86</v>
      </c>
      <c r="C3962" t="s">
        <v>134</v>
      </c>
      <c r="D3962" t="s">
        <v>2053</v>
      </c>
      <c r="E3962">
        <v>10700000</v>
      </c>
    </row>
    <row r="3963" spans="1:5" ht="15" customHeight="1" x14ac:dyDescent="0.3">
      <c r="A3963" t="s">
        <v>12799</v>
      </c>
      <c r="B3963" t="s">
        <v>306</v>
      </c>
      <c r="C3963" t="s">
        <v>2981</v>
      </c>
      <c r="D3963" t="s">
        <v>12771</v>
      </c>
      <c r="E3963">
        <v>17400000</v>
      </c>
    </row>
    <row r="3964" spans="1:5" ht="15" customHeight="1" x14ac:dyDescent="0.3">
      <c r="A3964" t="s">
        <v>12800</v>
      </c>
      <c r="B3964" t="s">
        <v>220</v>
      </c>
      <c r="C3964" t="s">
        <v>2492</v>
      </c>
      <c r="D3964" t="s">
        <v>12801</v>
      </c>
      <c r="E3964">
        <v>21600000</v>
      </c>
    </row>
    <row r="3965" spans="1:5" ht="15" customHeight="1" x14ac:dyDescent="0.3">
      <c r="A3965" t="s">
        <v>12802</v>
      </c>
      <c r="B3965" t="s">
        <v>241</v>
      </c>
      <c r="C3965" t="s">
        <v>3164</v>
      </c>
      <c r="D3965" t="s">
        <v>12803</v>
      </c>
      <c r="E3965">
        <v>25100000</v>
      </c>
    </row>
    <row r="3966" spans="1:5" ht="15" customHeight="1" x14ac:dyDescent="0.3">
      <c r="A3966" t="s">
        <v>12804</v>
      </c>
      <c r="B3966" t="s">
        <v>156</v>
      </c>
      <c r="C3966" t="s">
        <v>3072</v>
      </c>
      <c r="D3966" t="s">
        <v>12805</v>
      </c>
      <c r="E3966">
        <v>8900000</v>
      </c>
    </row>
    <row r="3967" spans="1:5" ht="15" customHeight="1" x14ac:dyDescent="0.3">
      <c r="A3967" t="s">
        <v>12806</v>
      </c>
      <c r="B3967" t="s">
        <v>241</v>
      </c>
      <c r="C3967" t="s">
        <v>3269</v>
      </c>
      <c r="D3967" t="s">
        <v>12807</v>
      </c>
      <c r="E3967">
        <v>24300000</v>
      </c>
    </row>
    <row r="3968" spans="1:5" ht="15" customHeight="1" x14ac:dyDescent="0.3">
      <c r="A3968" t="s">
        <v>12808</v>
      </c>
      <c r="B3968" t="s">
        <v>220</v>
      </c>
      <c r="C3968" t="s">
        <v>2492</v>
      </c>
      <c r="D3968" t="s">
        <v>12809</v>
      </c>
      <c r="E3968">
        <v>19400000</v>
      </c>
    </row>
    <row r="3969" spans="1:5" ht="15" customHeight="1" x14ac:dyDescent="0.3">
      <c r="A3969" t="s">
        <v>12810</v>
      </c>
      <c r="B3969" t="s">
        <v>86</v>
      </c>
      <c r="C3969" t="s">
        <v>3840</v>
      </c>
      <c r="D3969" t="s">
        <v>12811</v>
      </c>
      <c r="E3969">
        <v>23400000</v>
      </c>
    </row>
    <row r="3970" spans="1:5" ht="15" customHeight="1" x14ac:dyDescent="0.3">
      <c r="A3970" t="s">
        <v>12812</v>
      </c>
      <c r="B3970" t="s">
        <v>220</v>
      </c>
      <c r="C3970" t="s">
        <v>2492</v>
      </c>
      <c r="D3970" t="s">
        <v>12809</v>
      </c>
      <c r="E3970">
        <v>19800000</v>
      </c>
    </row>
    <row r="3971" spans="1:5" ht="15" customHeight="1" x14ac:dyDescent="0.3">
      <c r="A3971" t="s">
        <v>12813</v>
      </c>
      <c r="B3971" t="s">
        <v>14</v>
      </c>
      <c r="C3971" t="s">
        <v>2508</v>
      </c>
      <c r="D3971" t="s">
        <v>7835</v>
      </c>
      <c r="E3971">
        <v>13200000</v>
      </c>
    </row>
    <row r="3972" spans="1:5" ht="15" customHeight="1" x14ac:dyDescent="0.3">
      <c r="A3972" t="s">
        <v>12814</v>
      </c>
      <c r="B3972" t="s">
        <v>45</v>
      </c>
      <c r="C3972" t="s">
        <v>49</v>
      </c>
      <c r="D3972" t="s">
        <v>12815</v>
      </c>
      <c r="E3972">
        <v>24700000</v>
      </c>
    </row>
    <row r="3973" spans="1:5" ht="15" customHeight="1" x14ac:dyDescent="0.3">
      <c r="A3973" t="s">
        <v>12816</v>
      </c>
      <c r="B3973" t="s">
        <v>86</v>
      </c>
      <c r="C3973" t="s">
        <v>2556</v>
      </c>
      <c r="D3973" t="s">
        <v>8773</v>
      </c>
      <c r="E3973">
        <v>17600000</v>
      </c>
    </row>
    <row r="3974" spans="1:5" ht="15" customHeight="1" x14ac:dyDescent="0.3">
      <c r="A3974" t="s">
        <v>12817</v>
      </c>
      <c r="B3974" t="s">
        <v>68</v>
      </c>
      <c r="C3974">
        <v>500</v>
      </c>
      <c r="D3974" t="s">
        <v>12818</v>
      </c>
      <c r="E3974">
        <v>9000000</v>
      </c>
    </row>
    <row r="3975" spans="1:5" ht="15" customHeight="1" x14ac:dyDescent="0.3">
      <c r="A3975" t="s">
        <v>12819</v>
      </c>
      <c r="B3975" t="s">
        <v>220</v>
      </c>
      <c r="C3975" t="s">
        <v>12820</v>
      </c>
      <c r="D3975" t="s">
        <v>12821</v>
      </c>
      <c r="E3975">
        <v>6030000</v>
      </c>
    </row>
    <row r="3976" spans="1:5" ht="15" customHeight="1" x14ac:dyDescent="0.3">
      <c r="A3976" t="s">
        <v>12822</v>
      </c>
      <c r="B3976" t="s">
        <v>204</v>
      </c>
      <c r="C3976" t="s">
        <v>12823</v>
      </c>
      <c r="D3976" t="s">
        <v>12824</v>
      </c>
      <c r="E3976">
        <v>7490000</v>
      </c>
    </row>
    <row r="3977" spans="1:5" ht="15" customHeight="1" x14ac:dyDescent="0.3">
      <c r="A3977" t="s">
        <v>12825</v>
      </c>
      <c r="B3977" t="s">
        <v>28</v>
      </c>
      <c r="C3977" t="s">
        <v>38</v>
      </c>
      <c r="D3977" t="s">
        <v>10645</v>
      </c>
      <c r="E3977">
        <v>12000000</v>
      </c>
    </row>
    <row r="3978" spans="1:5" ht="15" customHeight="1" x14ac:dyDescent="0.3">
      <c r="A3978" t="s">
        <v>12826</v>
      </c>
      <c r="B3978" t="s">
        <v>156</v>
      </c>
      <c r="C3978" t="s">
        <v>3096</v>
      </c>
      <c r="D3978" t="s">
        <v>12827</v>
      </c>
      <c r="E3978">
        <v>18300000</v>
      </c>
    </row>
    <row r="3979" spans="1:5" ht="15" customHeight="1" x14ac:dyDescent="0.3">
      <c r="A3979" t="s">
        <v>12828</v>
      </c>
      <c r="B3979" t="s">
        <v>241</v>
      </c>
      <c r="C3979" t="s">
        <v>3269</v>
      </c>
      <c r="D3979" t="s">
        <v>2477</v>
      </c>
      <c r="E3979">
        <v>21100000</v>
      </c>
    </row>
    <row r="3980" spans="1:5" ht="15" customHeight="1" x14ac:dyDescent="0.3">
      <c r="A3980" t="s">
        <v>12829</v>
      </c>
      <c r="B3980" t="s">
        <v>60</v>
      </c>
      <c r="C3980" t="s">
        <v>2520</v>
      </c>
      <c r="D3980" t="s">
        <v>12830</v>
      </c>
      <c r="E3980">
        <v>17000000</v>
      </c>
    </row>
    <row r="3981" spans="1:5" ht="15" customHeight="1" x14ac:dyDescent="0.3">
      <c r="A3981" t="s">
        <v>12831</v>
      </c>
      <c r="B3981" t="s">
        <v>241</v>
      </c>
      <c r="C3981" t="s">
        <v>269</v>
      </c>
      <c r="D3981" t="s">
        <v>12832</v>
      </c>
      <c r="E3981">
        <v>14100000</v>
      </c>
    </row>
    <row r="3982" spans="1:5" ht="15" customHeight="1" x14ac:dyDescent="0.3">
      <c r="A3982" t="s">
        <v>12833</v>
      </c>
      <c r="B3982" t="s">
        <v>220</v>
      </c>
      <c r="C3982" t="s">
        <v>2682</v>
      </c>
      <c r="D3982" t="s">
        <v>12809</v>
      </c>
      <c r="E3982">
        <v>18700000</v>
      </c>
    </row>
    <row r="3983" spans="1:5" ht="15" customHeight="1" x14ac:dyDescent="0.3">
      <c r="A3983" t="s">
        <v>12834</v>
      </c>
      <c r="B3983" t="s">
        <v>147</v>
      </c>
      <c r="C3983" t="s">
        <v>150</v>
      </c>
      <c r="D3983" t="s">
        <v>12835</v>
      </c>
      <c r="E3983">
        <v>7770000</v>
      </c>
    </row>
    <row r="3984" spans="1:5" ht="15" customHeight="1" x14ac:dyDescent="0.3">
      <c r="A3984" t="s">
        <v>12836</v>
      </c>
      <c r="B3984" t="s">
        <v>68</v>
      </c>
      <c r="C3984">
        <v>560</v>
      </c>
      <c r="D3984" t="s">
        <v>1981</v>
      </c>
      <c r="E3984">
        <v>8200000</v>
      </c>
    </row>
    <row r="3985" spans="1:5" ht="15" customHeight="1" x14ac:dyDescent="0.3">
      <c r="A3985" t="s">
        <v>12837</v>
      </c>
      <c r="B3985" t="s">
        <v>2521</v>
      </c>
      <c r="C3985" t="s">
        <v>2543</v>
      </c>
      <c r="D3985" t="s">
        <v>12838</v>
      </c>
      <c r="E3985">
        <v>9100000</v>
      </c>
    </row>
    <row r="3986" spans="1:5" ht="15" customHeight="1" x14ac:dyDescent="0.3">
      <c r="A3986" t="s">
        <v>12839</v>
      </c>
      <c r="B3986" t="s">
        <v>278</v>
      </c>
      <c r="C3986" t="s">
        <v>285</v>
      </c>
      <c r="D3986" t="s">
        <v>3106</v>
      </c>
      <c r="E3986">
        <v>27000000</v>
      </c>
    </row>
    <row r="3987" spans="1:5" ht="15" customHeight="1" x14ac:dyDescent="0.3">
      <c r="A3987" t="s">
        <v>12840</v>
      </c>
      <c r="B3987" t="s">
        <v>86</v>
      </c>
      <c r="C3987" t="s">
        <v>3068</v>
      </c>
      <c r="D3987" t="s">
        <v>12841</v>
      </c>
      <c r="E3987">
        <v>44100000</v>
      </c>
    </row>
    <row r="3988" spans="1:5" ht="15" customHeight="1" x14ac:dyDescent="0.3">
      <c r="A3988" t="s">
        <v>12842</v>
      </c>
      <c r="B3988" t="s">
        <v>291</v>
      </c>
      <c r="C3988" t="s">
        <v>3080</v>
      </c>
      <c r="D3988" t="s">
        <v>12843</v>
      </c>
      <c r="E3988">
        <v>16200000</v>
      </c>
    </row>
    <row r="3989" spans="1:5" ht="15" customHeight="1" x14ac:dyDescent="0.3">
      <c r="A3989" t="s">
        <v>12844</v>
      </c>
      <c r="B3989" t="s">
        <v>300</v>
      </c>
      <c r="C3989" t="s">
        <v>12845</v>
      </c>
      <c r="D3989" t="s">
        <v>12846</v>
      </c>
      <c r="E3989">
        <v>5930000</v>
      </c>
    </row>
    <row r="3990" spans="1:5" ht="15" customHeight="1" x14ac:dyDescent="0.3">
      <c r="A3990" t="s">
        <v>12847</v>
      </c>
      <c r="B3990" t="s">
        <v>2533</v>
      </c>
      <c r="C3990" t="s">
        <v>2599</v>
      </c>
      <c r="D3990" t="s">
        <v>12848</v>
      </c>
      <c r="E3990">
        <v>8400000</v>
      </c>
    </row>
    <row r="3991" spans="1:5" ht="15" customHeight="1" x14ac:dyDescent="0.3">
      <c r="A3991" t="s">
        <v>12849</v>
      </c>
      <c r="B3991" t="s">
        <v>220</v>
      </c>
      <c r="C3991" t="s">
        <v>12820</v>
      </c>
      <c r="D3991" t="s">
        <v>12850</v>
      </c>
      <c r="E3991">
        <v>7510000</v>
      </c>
    </row>
    <row r="3992" spans="1:5" ht="15" customHeight="1" x14ac:dyDescent="0.3">
      <c r="A3992" t="s">
        <v>12851</v>
      </c>
      <c r="B3992" t="s">
        <v>2511</v>
      </c>
      <c r="C3992" t="s">
        <v>12852</v>
      </c>
      <c r="D3992" t="s">
        <v>12853</v>
      </c>
      <c r="E3992">
        <v>8300000</v>
      </c>
    </row>
    <row r="3993" spans="1:5" ht="15" customHeight="1" x14ac:dyDescent="0.3">
      <c r="A3993" t="s">
        <v>12854</v>
      </c>
      <c r="B3993" t="s">
        <v>86</v>
      </c>
      <c r="C3993" t="s">
        <v>134</v>
      </c>
      <c r="D3993" t="s">
        <v>10797</v>
      </c>
      <c r="E3993">
        <v>13000000</v>
      </c>
    </row>
    <row r="3994" spans="1:5" ht="15" customHeight="1" x14ac:dyDescent="0.3">
      <c r="A3994" t="s">
        <v>12855</v>
      </c>
      <c r="B3994" t="s">
        <v>207</v>
      </c>
      <c r="C3994" t="s">
        <v>3445</v>
      </c>
      <c r="D3994" t="s">
        <v>12856</v>
      </c>
      <c r="E3994">
        <v>19900000</v>
      </c>
    </row>
    <row r="3995" spans="1:5" ht="15" customHeight="1" x14ac:dyDescent="0.3">
      <c r="A3995" t="s">
        <v>12857</v>
      </c>
      <c r="B3995" t="s">
        <v>86</v>
      </c>
      <c r="C3995" t="s">
        <v>134</v>
      </c>
      <c r="D3995" t="s">
        <v>12858</v>
      </c>
      <c r="E3995">
        <v>12400000</v>
      </c>
    </row>
    <row r="3996" spans="1:5" ht="15" customHeight="1" x14ac:dyDescent="0.3">
      <c r="A3996" t="s">
        <v>12859</v>
      </c>
      <c r="B3996" t="s">
        <v>2494</v>
      </c>
      <c r="C3996" t="s">
        <v>3477</v>
      </c>
      <c r="D3996" t="s">
        <v>12860</v>
      </c>
      <c r="E3996">
        <v>6850000</v>
      </c>
    </row>
    <row r="3997" spans="1:5" ht="15" customHeight="1" x14ac:dyDescent="0.3">
      <c r="A3997" t="s">
        <v>12861</v>
      </c>
      <c r="B3997" t="s">
        <v>241</v>
      </c>
      <c r="C3997" t="s">
        <v>2487</v>
      </c>
      <c r="D3997" t="s">
        <v>8785</v>
      </c>
      <c r="E3997">
        <v>16200000</v>
      </c>
    </row>
    <row r="3998" spans="1:5" ht="15" customHeight="1" x14ac:dyDescent="0.3">
      <c r="A3998" t="s">
        <v>12862</v>
      </c>
      <c r="B3998" t="s">
        <v>2494</v>
      </c>
      <c r="C3998" t="s">
        <v>11495</v>
      </c>
      <c r="D3998" t="s">
        <v>11499</v>
      </c>
      <c r="E3998">
        <v>7060000</v>
      </c>
    </row>
    <row r="3999" spans="1:5" ht="15" customHeight="1" x14ac:dyDescent="0.3">
      <c r="A3999" t="s">
        <v>12863</v>
      </c>
      <c r="B3999" t="s">
        <v>2498</v>
      </c>
      <c r="C3999" t="s">
        <v>199</v>
      </c>
      <c r="D3999" t="s">
        <v>12864</v>
      </c>
      <c r="E3999">
        <v>19900000</v>
      </c>
    </row>
    <row r="4000" spans="1:5" ht="15" customHeight="1" x14ac:dyDescent="0.3">
      <c r="A4000" t="s">
        <v>12865</v>
      </c>
      <c r="B4000" t="s">
        <v>2498</v>
      </c>
      <c r="C4000" t="s">
        <v>2499</v>
      </c>
      <c r="D4000" t="s">
        <v>12866</v>
      </c>
      <c r="E4000">
        <v>8500000</v>
      </c>
    </row>
    <row r="4001" spans="1:5" ht="15" customHeight="1" x14ac:dyDescent="0.3">
      <c r="A4001" t="s">
        <v>12867</v>
      </c>
      <c r="B4001" t="s">
        <v>2526</v>
      </c>
      <c r="C4001" t="s">
        <v>3329</v>
      </c>
      <c r="D4001" t="s">
        <v>12868</v>
      </c>
      <c r="E4001">
        <v>14000000</v>
      </c>
    </row>
    <row r="4002" spans="1:5" ht="15" customHeight="1" x14ac:dyDescent="0.3">
      <c r="A4002" t="s">
        <v>12869</v>
      </c>
      <c r="B4002" t="s">
        <v>180</v>
      </c>
      <c r="C4002" t="s">
        <v>2673</v>
      </c>
      <c r="D4002" t="s">
        <v>2477</v>
      </c>
      <c r="E4002">
        <v>12900000</v>
      </c>
    </row>
    <row r="4003" spans="1:5" ht="15" customHeight="1" x14ac:dyDescent="0.3">
      <c r="A4003" t="s">
        <v>12870</v>
      </c>
      <c r="B4003" t="s">
        <v>180</v>
      </c>
      <c r="C4003" t="s">
        <v>2673</v>
      </c>
      <c r="D4003" t="s">
        <v>2477</v>
      </c>
      <c r="E4003">
        <v>15800000</v>
      </c>
    </row>
    <row r="4004" spans="1:5" ht="15" customHeight="1" x14ac:dyDescent="0.3">
      <c r="A4004" t="s">
        <v>12871</v>
      </c>
      <c r="B4004" t="s">
        <v>180</v>
      </c>
      <c r="C4004" t="s">
        <v>181</v>
      </c>
      <c r="D4004" t="s">
        <v>10132</v>
      </c>
      <c r="E4004">
        <v>30900000</v>
      </c>
    </row>
    <row r="4005" spans="1:5" ht="15" customHeight="1" x14ac:dyDescent="0.3">
      <c r="A4005" t="s">
        <v>12872</v>
      </c>
      <c r="B4005" t="s">
        <v>180</v>
      </c>
      <c r="C4005" t="s">
        <v>12873</v>
      </c>
      <c r="D4005" t="s">
        <v>12874</v>
      </c>
      <c r="E4005">
        <v>26100000</v>
      </c>
    </row>
    <row r="4006" spans="1:5" ht="15" customHeight="1" x14ac:dyDescent="0.3">
      <c r="A4006" t="s">
        <v>12875</v>
      </c>
      <c r="B4006" t="s">
        <v>278</v>
      </c>
      <c r="C4006">
        <v>700</v>
      </c>
      <c r="D4006" t="s">
        <v>2477</v>
      </c>
      <c r="E4006">
        <v>13000000</v>
      </c>
    </row>
    <row r="4007" spans="1:5" ht="15" customHeight="1" x14ac:dyDescent="0.3">
      <c r="A4007" t="s">
        <v>12876</v>
      </c>
      <c r="B4007" t="s">
        <v>278</v>
      </c>
      <c r="C4007">
        <v>700</v>
      </c>
      <c r="D4007" t="s">
        <v>12877</v>
      </c>
      <c r="E4007">
        <v>14800000</v>
      </c>
    </row>
    <row r="4008" spans="1:5" ht="15" customHeight="1" x14ac:dyDescent="0.3">
      <c r="A4008" t="s">
        <v>12878</v>
      </c>
      <c r="B4008" t="s">
        <v>278</v>
      </c>
      <c r="C4008" t="s">
        <v>285</v>
      </c>
      <c r="D4008" t="s">
        <v>2477</v>
      </c>
      <c r="E4008">
        <v>25700000</v>
      </c>
    </row>
    <row r="4009" spans="1:5" ht="15" customHeight="1" x14ac:dyDescent="0.3">
      <c r="A4009" t="s">
        <v>12879</v>
      </c>
      <c r="B4009" t="s">
        <v>147</v>
      </c>
      <c r="C4009" t="s">
        <v>2528</v>
      </c>
      <c r="D4009" t="s">
        <v>12880</v>
      </c>
      <c r="E4009">
        <v>17800000</v>
      </c>
    </row>
    <row r="4010" spans="1:5" ht="15" customHeight="1" x14ac:dyDescent="0.3">
      <c r="A4010" t="s">
        <v>12881</v>
      </c>
      <c r="B4010" t="s">
        <v>86</v>
      </c>
      <c r="C4010" t="s">
        <v>2504</v>
      </c>
      <c r="D4010" t="s">
        <v>12882</v>
      </c>
      <c r="E4010">
        <v>78000000</v>
      </c>
    </row>
    <row r="4011" spans="1:5" ht="15" customHeight="1" x14ac:dyDescent="0.3">
      <c r="A4011" t="s">
        <v>12883</v>
      </c>
      <c r="B4011" t="s">
        <v>86</v>
      </c>
      <c r="C4011" t="s">
        <v>2793</v>
      </c>
      <c r="D4011" t="s">
        <v>12884</v>
      </c>
      <c r="E4011">
        <v>17800000</v>
      </c>
    </row>
    <row r="4012" spans="1:5" ht="15" customHeight="1" x14ac:dyDescent="0.3">
      <c r="A4012" t="s">
        <v>12885</v>
      </c>
      <c r="B4012" t="s">
        <v>86</v>
      </c>
      <c r="C4012" t="s">
        <v>122</v>
      </c>
      <c r="D4012" t="s">
        <v>12886</v>
      </c>
      <c r="E4012">
        <v>20800000</v>
      </c>
    </row>
    <row r="4013" spans="1:5" ht="15" customHeight="1" x14ac:dyDescent="0.3">
      <c r="A4013" t="s">
        <v>12887</v>
      </c>
      <c r="B4013" t="s">
        <v>86</v>
      </c>
      <c r="C4013" t="s">
        <v>2476</v>
      </c>
      <c r="D4013" t="s">
        <v>7748</v>
      </c>
      <c r="E4013">
        <v>36100000</v>
      </c>
    </row>
    <row r="4014" spans="1:5" ht="15" customHeight="1" x14ac:dyDescent="0.3">
      <c r="A4014" t="s">
        <v>12888</v>
      </c>
      <c r="B4014" t="s">
        <v>86</v>
      </c>
      <c r="C4014" t="s">
        <v>2976</v>
      </c>
      <c r="D4014" t="s">
        <v>12889</v>
      </c>
      <c r="E4014">
        <v>11200000</v>
      </c>
    </row>
    <row r="4015" spans="1:5" ht="15" customHeight="1" x14ac:dyDescent="0.3">
      <c r="A4015" t="s">
        <v>12890</v>
      </c>
      <c r="B4015" t="s">
        <v>3427</v>
      </c>
      <c r="C4015" t="s">
        <v>12891</v>
      </c>
      <c r="D4015" t="s">
        <v>12892</v>
      </c>
      <c r="E4015">
        <v>9200000</v>
      </c>
    </row>
    <row r="4016" spans="1:5" ht="15" customHeight="1" x14ac:dyDescent="0.3">
      <c r="A4016" t="s">
        <v>12893</v>
      </c>
      <c r="B4016" t="s">
        <v>214</v>
      </c>
      <c r="C4016" t="s">
        <v>3360</v>
      </c>
      <c r="D4016" t="s">
        <v>12894</v>
      </c>
      <c r="E4016">
        <v>15800000</v>
      </c>
    </row>
    <row r="4017" spans="1:5" ht="15" customHeight="1" x14ac:dyDescent="0.3">
      <c r="A4017" t="s">
        <v>12895</v>
      </c>
      <c r="B4017" t="s">
        <v>28</v>
      </c>
      <c r="C4017" t="s">
        <v>2496</v>
      </c>
      <c r="D4017" t="s">
        <v>12896</v>
      </c>
      <c r="E4017">
        <v>7950000</v>
      </c>
    </row>
    <row r="4018" spans="1:5" ht="15" customHeight="1" x14ac:dyDescent="0.3">
      <c r="A4018" t="s">
        <v>12897</v>
      </c>
      <c r="B4018" t="s">
        <v>86</v>
      </c>
      <c r="C4018" t="s">
        <v>3068</v>
      </c>
      <c r="D4018" t="s">
        <v>12841</v>
      </c>
      <c r="E4018">
        <v>44100000</v>
      </c>
    </row>
    <row r="4019" spans="1:5" ht="15" customHeight="1" x14ac:dyDescent="0.3">
      <c r="A4019" t="s">
        <v>12898</v>
      </c>
      <c r="B4019" t="s">
        <v>86</v>
      </c>
      <c r="C4019" t="s">
        <v>3068</v>
      </c>
      <c r="D4019" t="s">
        <v>12841</v>
      </c>
      <c r="E4019">
        <v>44100000</v>
      </c>
    </row>
    <row r="4020" spans="1:5" ht="15" customHeight="1" x14ac:dyDescent="0.3">
      <c r="A4020" t="s">
        <v>12899</v>
      </c>
      <c r="B4020" t="s">
        <v>86</v>
      </c>
      <c r="C4020" t="s">
        <v>2793</v>
      </c>
      <c r="D4020" t="s">
        <v>12900</v>
      </c>
      <c r="E4020">
        <v>14900000</v>
      </c>
    </row>
    <row r="4021" spans="1:5" ht="15" customHeight="1" x14ac:dyDescent="0.3">
      <c r="A4021" t="s">
        <v>12901</v>
      </c>
      <c r="B4021" t="s">
        <v>86</v>
      </c>
      <c r="C4021" t="s">
        <v>3068</v>
      </c>
      <c r="D4021" t="s">
        <v>12841</v>
      </c>
      <c r="E4021">
        <v>44100000</v>
      </c>
    </row>
    <row r="4022" spans="1:5" ht="15" customHeight="1" x14ac:dyDescent="0.3">
      <c r="A4022" t="s">
        <v>12902</v>
      </c>
      <c r="B4022" t="s">
        <v>28</v>
      </c>
      <c r="C4022" t="s">
        <v>38</v>
      </c>
      <c r="D4022" t="s">
        <v>12504</v>
      </c>
      <c r="E4022">
        <v>12200000</v>
      </c>
    </row>
    <row r="4023" spans="1:5" ht="15" customHeight="1" x14ac:dyDescent="0.3">
      <c r="A4023" t="s">
        <v>12903</v>
      </c>
      <c r="B4023" t="s">
        <v>45</v>
      </c>
      <c r="C4023" t="s">
        <v>46</v>
      </c>
      <c r="D4023" t="s">
        <v>396</v>
      </c>
      <c r="E4023">
        <v>11300000</v>
      </c>
    </row>
    <row r="4024" spans="1:5" ht="15" customHeight="1" x14ac:dyDescent="0.3">
      <c r="A4024" t="s">
        <v>12904</v>
      </c>
      <c r="B4024" t="s">
        <v>2498</v>
      </c>
      <c r="C4024" t="s">
        <v>188</v>
      </c>
      <c r="D4024" t="s">
        <v>12905</v>
      </c>
      <c r="E4024">
        <v>6040000</v>
      </c>
    </row>
    <row r="4025" spans="1:5" ht="15" customHeight="1" x14ac:dyDescent="0.3">
      <c r="A4025" t="s">
        <v>12906</v>
      </c>
      <c r="B4025" t="s">
        <v>45</v>
      </c>
      <c r="C4025" t="s">
        <v>49</v>
      </c>
      <c r="D4025" t="s">
        <v>3846</v>
      </c>
      <c r="E4025">
        <v>43100000</v>
      </c>
    </row>
    <row r="4026" spans="1:5" ht="15" customHeight="1" x14ac:dyDescent="0.3">
      <c r="A4026" t="s">
        <v>12907</v>
      </c>
      <c r="B4026" t="s">
        <v>86</v>
      </c>
      <c r="C4026" t="s">
        <v>2476</v>
      </c>
      <c r="D4026" t="s">
        <v>3847</v>
      </c>
      <c r="E4026">
        <v>46200000</v>
      </c>
    </row>
    <row r="4027" spans="1:5" ht="15" customHeight="1" x14ac:dyDescent="0.3">
      <c r="A4027" t="s">
        <v>12908</v>
      </c>
      <c r="B4027" t="s">
        <v>156</v>
      </c>
      <c r="C4027" t="s">
        <v>3334</v>
      </c>
      <c r="D4027" t="s">
        <v>12909</v>
      </c>
      <c r="E4027">
        <v>11200000</v>
      </c>
    </row>
    <row r="4028" spans="1:5" ht="15" customHeight="1" x14ac:dyDescent="0.3">
      <c r="A4028" t="s">
        <v>12910</v>
      </c>
      <c r="B4028" t="s">
        <v>241</v>
      </c>
      <c r="C4028">
        <v>3008</v>
      </c>
      <c r="D4028" t="s">
        <v>12911</v>
      </c>
      <c r="E4028">
        <v>14300000</v>
      </c>
    </row>
    <row r="4029" spans="1:5" ht="15" customHeight="1" x14ac:dyDescent="0.3">
      <c r="A4029" t="s">
        <v>12912</v>
      </c>
      <c r="B4029" t="s">
        <v>156</v>
      </c>
      <c r="C4029" t="s">
        <v>3466</v>
      </c>
      <c r="D4029" t="s">
        <v>12913</v>
      </c>
      <c r="E4029">
        <v>12500000</v>
      </c>
    </row>
    <row r="4030" spans="1:5" ht="15" customHeight="1" x14ac:dyDescent="0.3">
      <c r="A4030" t="s">
        <v>12914</v>
      </c>
      <c r="B4030" t="s">
        <v>45</v>
      </c>
      <c r="C4030" t="s">
        <v>12915</v>
      </c>
      <c r="D4030" t="s">
        <v>12916</v>
      </c>
      <c r="E4030">
        <v>14300000</v>
      </c>
    </row>
    <row r="4031" spans="1:5" ht="15" customHeight="1" x14ac:dyDescent="0.3">
      <c r="A4031" t="s">
        <v>12917</v>
      </c>
      <c r="B4031" t="s">
        <v>28</v>
      </c>
      <c r="C4031" t="s">
        <v>2496</v>
      </c>
      <c r="D4031" t="s">
        <v>12918</v>
      </c>
      <c r="E4031">
        <v>7310000</v>
      </c>
    </row>
    <row r="4032" spans="1:5" ht="15" customHeight="1" x14ac:dyDescent="0.3">
      <c r="A4032" t="s">
        <v>12919</v>
      </c>
      <c r="B4032" t="s">
        <v>45</v>
      </c>
      <c r="C4032" t="s">
        <v>2480</v>
      </c>
      <c r="D4032" t="s">
        <v>12920</v>
      </c>
      <c r="E4032">
        <v>11600000</v>
      </c>
    </row>
    <row r="4033" spans="1:5" ht="15" customHeight="1" x14ac:dyDescent="0.3">
      <c r="A4033" t="s">
        <v>12921</v>
      </c>
      <c r="B4033" t="s">
        <v>60</v>
      </c>
      <c r="C4033" t="s">
        <v>2854</v>
      </c>
      <c r="D4033" t="s">
        <v>12922</v>
      </c>
      <c r="E4033">
        <v>5240000</v>
      </c>
    </row>
    <row r="4034" spans="1:5" ht="15" customHeight="1" x14ac:dyDescent="0.3">
      <c r="A4034" t="s">
        <v>12923</v>
      </c>
      <c r="B4034" t="s">
        <v>28</v>
      </c>
      <c r="C4034" t="s">
        <v>2575</v>
      </c>
      <c r="D4034" t="s">
        <v>12924</v>
      </c>
      <c r="E4034">
        <v>7340000</v>
      </c>
    </row>
    <row r="4035" spans="1:5" ht="15" customHeight="1" x14ac:dyDescent="0.3">
      <c r="A4035" t="s">
        <v>12925</v>
      </c>
      <c r="B4035" t="s">
        <v>180</v>
      </c>
      <c r="C4035" t="s">
        <v>181</v>
      </c>
      <c r="D4035" t="s">
        <v>12926</v>
      </c>
      <c r="E4035">
        <v>11800000</v>
      </c>
    </row>
    <row r="4036" spans="1:5" ht="15" customHeight="1" x14ac:dyDescent="0.3">
      <c r="A4036" t="s">
        <v>12927</v>
      </c>
      <c r="B4036" t="s">
        <v>45</v>
      </c>
      <c r="C4036" t="s">
        <v>12915</v>
      </c>
      <c r="D4036" t="s">
        <v>12916</v>
      </c>
      <c r="E4036">
        <v>14300000</v>
      </c>
    </row>
    <row r="4037" spans="1:5" ht="15" customHeight="1" x14ac:dyDescent="0.3">
      <c r="A4037" t="s">
        <v>12928</v>
      </c>
      <c r="B4037" t="s">
        <v>45</v>
      </c>
      <c r="C4037" t="s">
        <v>2480</v>
      </c>
      <c r="D4037" t="s">
        <v>12920</v>
      </c>
      <c r="E4037">
        <v>11600000</v>
      </c>
    </row>
    <row r="4038" spans="1:5" ht="15" customHeight="1" x14ac:dyDescent="0.3">
      <c r="A4038" t="s">
        <v>12929</v>
      </c>
      <c r="B4038" t="s">
        <v>45</v>
      </c>
      <c r="C4038" t="s">
        <v>2540</v>
      </c>
      <c r="D4038" t="s">
        <v>12930</v>
      </c>
      <c r="E4038">
        <v>8700000</v>
      </c>
    </row>
    <row r="4039" spans="1:5" ht="15" customHeight="1" x14ac:dyDescent="0.3">
      <c r="A4039" t="s">
        <v>12931</v>
      </c>
      <c r="B4039" t="s">
        <v>300</v>
      </c>
      <c r="C4039" t="s">
        <v>2653</v>
      </c>
      <c r="D4039" t="s">
        <v>12932</v>
      </c>
      <c r="E4039">
        <v>8700000</v>
      </c>
    </row>
    <row r="4040" spans="1:5" ht="15" customHeight="1" x14ac:dyDescent="0.3">
      <c r="A4040" t="s">
        <v>12933</v>
      </c>
      <c r="B4040" t="s">
        <v>2474</v>
      </c>
      <c r="C4040" t="s">
        <v>2685</v>
      </c>
      <c r="D4040" t="s">
        <v>12934</v>
      </c>
      <c r="E4040">
        <v>10300000</v>
      </c>
    </row>
    <row r="4041" spans="1:5" ht="15" customHeight="1" x14ac:dyDescent="0.3">
      <c r="A4041" t="s">
        <v>12935</v>
      </c>
      <c r="B4041" t="s">
        <v>28</v>
      </c>
      <c r="C4041" t="s">
        <v>2490</v>
      </c>
      <c r="D4041" t="s">
        <v>12936</v>
      </c>
      <c r="E4041">
        <v>12300000</v>
      </c>
    </row>
    <row r="4042" spans="1:5" ht="15" customHeight="1" x14ac:dyDescent="0.3">
      <c r="A4042" t="s">
        <v>12937</v>
      </c>
      <c r="B4042" t="s">
        <v>2521</v>
      </c>
      <c r="C4042" t="s">
        <v>12938</v>
      </c>
      <c r="D4042" t="s">
        <v>12939</v>
      </c>
      <c r="E4042">
        <v>26300000</v>
      </c>
    </row>
    <row r="4043" spans="1:5" ht="15" customHeight="1" x14ac:dyDescent="0.3">
      <c r="A4043" t="s">
        <v>12940</v>
      </c>
      <c r="B4043" t="s">
        <v>45</v>
      </c>
      <c r="C4043" t="s">
        <v>49</v>
      </c>
      <c r="D4043" t="s">
        <v>3846</v>
      </c>
      <c r="E4043">
        <v>43400000</v>
      </c>
    </row>
    <row r="4044" spans="1:5" ht="15" customHeight="1" x14ac:dyDescent="0.3">
      <c r="A4044" t="s">
        <v>12941</v>
      </c>
      <c r="B4044" t="s">
        <v>2545</v>
      </c>
      <c r="C4044" t="s">
        <v>2856</v>
      </c>
      <c r="D4044" t="s">
        <v>12942</v>
      </c>
      <c r="E4044">
        <v>21900000</v>
      </c>
    </row>
    <row r="4045" spans="1:5" ht="15" customHeight="1" x14ac:dyDescent="0.3">
      <c r="A4045" t="s">
        <v>12943</v>
      </c>
      <c r="B4045" t="s">
        <v>156</v>
      </c>
      <c r="C4045" t="s">
        <v>2707</v>
      </c>
      <c r="D4045" t="s">
        <v>12944</v>
      </c>
      <c r="E4045">
        <v>5910000</v>
      </c>
    </row>
    <row r="4046" spans="1:5" ht="15" customHeight="1" x14ac:dyDescent="0.3">
      <c r="A4046" t="s">
        <v>12945</v>
      </c>
      <c r="B4046" t="s">
        <v>180</v>
      </c>
      <c r="C4046" t="s">
        <v>2673</v>
      </c>
      <c r="D4046" t="s">
        <v>3460</v>
      </c>
      <c r="E4046">
        <v>15200000</v>
      </c>
    </row>
    <row r="4047" spans="1:5" ht="15" customHeight="1" x14ac:dyDescent="0.3">
      <c r="A4047" t="s">
        <v>12946</v>
      </c>
      <c r="B4047" t="s">
        <v>68</v>
      </c>
      <c r="C4047">
        <v>560</v>
      </c>
      <c r="D4047" t="s">
        <v>1981</v>
      </c>
      <c r="E4047">
        <v>8200000</v>
      </c>
    </row>
    <row r="4048" spans="1:5" ht="15" customHeight="1" x14ac:dyDescent="0.3">
      <c r="A4048" t="s">
        <v>12947</v>
      </c>
      <c r="B4048" t="s">
        <v>180</v>
      </c>
      <c r="C4048" t="s">
        <v>183</v>
      </c>
      <c r="D4048" t="s">
        <v>10773</v>
      </c>
      <c r="E4048">
        <v>22900000</v>
      </c>
    </row>
    <row r="4049" spans="1:5" ht="15" customHeight="1" x14ac:dyDescent="0.3">
      <c r="A4049" t="s">
        <v>12948</v>
      </c>
      <c r="B4049" t="s">
        <v>28</v>
      </c>
      <c r="C4049" t="s">
        <v>2575</v>
      </c>
      <c r="D4049" t="s">
        <v>689</v>
      </c>
      <c r="E4049">
        <v>8800000</v>
      </c>
    </row>
    <row r="4050" spans="1:5" ht="15" customHeight="1" x14ac:dyDescent="0.3">
      <c r="A4050" t="s">
        <v>12949</v>
      </c>
      <c r="B4050" t="s">
        <v>2950</v>
      </c>
      <c r="C4050" t="s">
        <v>7441</v>
      </c>
      <c r="D4050" t="s">
        <v>12950</v>
      </c>
      <c r="E4050">
        <v>11600000</v>
      </c>
    </row>
    <row r="4051" spans="1:5" ht="15" customHeight="1" x14ac:dyDescent="0.3">
      <c r="A4051" t="s">
        <v>12951</v>
      </c>
      <c r="B4051" t="s">
        <v>237</v>
      </c>
      <c r="C4051" t="s">
        <v>65</v>
      </c>
      <c r="D4051" t="s">
        <v>12952</v>
      </c>
      <c r="E4051">
        <v>12200000</v>
      </c>
    </row>
    <row r="4052" spans="1:5" ht="15" customHeight="1" x14ac:dyDescent="0.3">
      <c r="A4052" t="s">
        <v>12953</v>
      </c>
      <c r="B4052" t="s">
        <v>28</v>
      </c>
      <c r="C4052" t="s">
        <v>35</v>
      </c>
      <c r="D4052" t="s">
        <v>12954</v>
      </c>
      <c r="E4052">
        <v>9100000</v>
      </c>
    </row>
    <row r="4053" spans="1:5" ht="15" customHeight="1" x14ac:dyDescent="0.3">
      <c r="A4053" t="s">
        <v>12955</v>
      </c>
      <c r="B4053" t="s">
        <v>142</v>
      </c>
      <c r="C4053" t="s">
        <v>2922</v>
      </c>
      <c r="D4053" t="s">
        <v>1312</v>
      </c>
      <c r="E4053">
        <v>6580000</v>
      </c>
    </row>
    <row r="4054" spans="1:5" ht="15" customHeight="1" x14ac:dyDescent="0.3">
      <c r="A4054" t="s">
        <v>12956</v>
      </c>
      <c r="B4054" t="s">
        <v>214</v>
      </c>
      <c r="C4054" t="s">
        <v>3787</v>
      </c>
      <c r="D4054" t="s">
        <v>12957</v>
      </c>
      <c r="E4054">
        <v>9800000</v>
      </c>
    </row>
    <row r="4055" spans="1:5" ht="15" customHeight="1" x14ac:dyDescent="0.3">
      <c r="A4055" t="s">
        <v>12958</v>
      </c>
      <c r="B4055" t="s">
        <v>28</v>
      </c>
      <c r="C4055" t="s">
        <v>2496</v>
      </c>
      <c r="D4055" t="s">
        <v>1747</v>
      </c>
      <c r="E4055">
        <v>6710000</v>
      </c>
    </row>
    <row r="4056" spans="1:5" ht="15" customHeight="1" x14ac:dyDescent="0.3">
      <c r="A4056" t="s">
        <v>12959</v>
      </c>
      <c r="B4056" t="s">
        <v>28</v>
      </c>
      <c r="C4056" t="s">
        <v>2575</v>
      </c>
      <c r="D4056" t="s">
        <v>12960</v>
      </c>
      <c r="E4056">
        <v>8400000</v>
      </c>
    </row>
    <row r="4057" spans="1:5" ht="15" customHeight="1" x14ac:dyDescent="0.3">
      <c r="A4057" t="s">
        <v>12961</v>
      </c>
      <c r="B4057" t="s">
        <v>2498</v>
      </c>
      <c r="C4057" t="s">
        <v>188</v>
      </c>
      <c r="D4057" t="s">
        <v>840</v>
      </c>
      <c r="E4057">
        <v>9700000</v>
      </c>
    </row>
    <row r="4058" spans="1:5" ht="15" customHeight="1" x14ac:dyDescent="0.3">
      <c r="A4058" t="s">
        <v>12962</v>
      </c>
      <c r="B4058" t="s">
        <v>306</v>
      </c>
      <c r="C4058" t="s">
        <v>2862</v>
      </c>
      <c r="D4058" t="s">
        <v>10507</v>
      </c>
      <c r="E4058">
        <v>16800000</v>
      </c>
    </row>
    <row r="4059" spans="1:5" ht="15" customHeight="1" x14ac:dyDescent="0.3">
      <c r="A4059" t="s">
        <v>12963</v>
      </c>
      <c r="B4059" t="s">
        <v>86</v>
      </c>
      <c r="C4059" t="s">
        <v>4251</v>
      </c>
      <c r="D4059" t="s">
        <v>12964</v>
      </c>
      <c r="E4059">
        <v>11200000</v>
      </c>
    </row>
    <row r="4060" spans="1:5" ht="15" customHeight="1" x14ac:dyDescent="0.3">
      <c r="A4060" t="s">
        <v>12965</v>
      </c>
      <c r="B4060" t="s">
        <v>2498</v>
      </c>
      <c r="C4060" t="s">
        <v>196</v>
      </c>
      <c r="D4060" t="s">
        <v>12966</v>
      </c>
      <c r="E4060">
        <v>25300000</v>
      </c>
    </row>
    <row r="4061" spans="1:5" ht="15" customHeight="1" x14ac:dyDescent="0.3">
      <c r="A4061" t="s">
        <v>12967</v>
      </c>
      <c r="B4061" t="s">
        <v>220</v>
      </c>
      <c r="C4061" t="s">
        <v>2577</v>
      </c>
      <c r="D4061" t="s">
        <v>7521</v>
      </c>
      <c r="E4061">
        <v>10800000</v>
      </c>
    </row>
    <row r="4062" spans="1:5" ht="15" customHeight="1" x14ac:dyDescent="0.3">
      <c r="A4062" t="s">
        <v>12968</v>
      </c>
      <c r="B4062" t="s">
        <v>86</v>
      </c>
      <c r="C4062" t="s">
        <v>4251</v>
      </c>
      <c r="D4062" t="s">
        <v>12964</v>
      </c>
      <c r="E4062">
        <v>11200000</v>
      </c>
    </row>
    <row r="4063" spans="1:5" ht="15" customHeight="1" x14ac:dyDescent="0.3">
      <c r="A4063" t="s">
        <v>12969</v>
      </c>
      <c r="B4063" t="s">
        <v>207</v>
      </c>
      <c r="C4063" t="s">
        <v>3445</v>
      </c>
      <c r="D4063" t="s">
        <v>12856</v>
      </c>
      <c r="E4063">
        <v>19900000</v>
      </c>
    </row>
    <row r="4064" spans="1:5" ht="15" customHeight="1" x14ac:dyDescent="0.3">
      <c r="A4064" t="s">
        <v>12970</v>
      </c>
      <c r="B4064" t="s">
        <v>220</v>
      </c>
      <c r="C4064" t="s">
        <v>2492</v>
      </c>
      <c r="D4064" t="s">
        <v>12971</v>
      </c>
      <c r="E4064">
        <v>22400000</v>
      </c>
    </row>
    <row r="4065" spans="1:5" ht="15" customHeight="1" x14ac:dyDescent="0.3">
      <c r="A4065" t="s">
        <v>12972</v>
      </c>
      <c r="B4065" t="s">
        <v>28</v>
      </c>
      <c r="C4065" t="s">
        <v>2496</v>
      </c>
      <c r="D4065" t="s">
        <v>12973</v>
      </c>
      <c r="E4065">
        <v>7180000</v>
      </c>
    </row>
    <row r="4066" spans="1:5" ht="15" customHeight="1" x14ac:dyDescent="0.3">
      <c r="A4066" t="s">
        <v>12974</v>
      </c>
      <c r="B4066" t="s">
        <v>45</v>
      </c>
      <c r="C4066" t="s">
        <v>2764</v>
      </c>
      <c r="D4066" t="s">
        <v>12975</v>
      </c>
      <c r="E4066">
        <v>10200000</v>
      </c>
    </row>
    <row r="4067" spans="1:5" ht="15" customHeight="1" x14ac:dyDescent="0.3">
      <c r="A4067" t="s">
        <v>12976</v>
      </c>
      <c r="B4067" t="s">
        <v>60</v>
      </c>
      <c r="C4067" t="s">
        <v>8859</v>
      </c>
      <c r="D4067" t="s">
        <v>12977</v>
      </c>
      <c r="E4067">
        <v>8900000</v>
      </c>
    </row>
    <row r="4068" spans="1:5" ht="15" customHeight="1" x14ac:dyDescent="0.3">
      <c r="A4068" t="s">
        <v>12978</v>
      </c>
      <c r="B4068" t="s">
        <v>147</v>
      </c>
      <c r="C4068" t="s">
        <v>153</v>
      </c>
      <c r="D4068" t="s">
        <v>12979</v>
      </c>
      <c r="E4068">
        <v>11900000</v>
      </c>
    </row>
    <row r="4069" spans="1:5" ht="15" customHeight="1" x14ac:dyDescent="0.3">
      <c r="A4069" t="s">
        <v>12980</v>
      </c>
      <c r="B4069" t="s">
        <v>28</v>
      </c>
      <c r="C4069" t="s">
        <v>2575</v>
      </c>
      <c r="D4069" t="s">
        <v>12981</v>
      </c>
      <c r="E4069">
        <v>8200000</v>
      </c>
    </row>
    <row r="4070" spans="1:5" ht="15" customHeight="1" x14ac:dyDescent="0.3">
      <c r="A4070" t="s">
        <v>12982</v>
      </c>
      <c r="B4070" t="s">
        <v>220</v>
      </c>
      <c r="C4070" t="s">
        <v>2492</v>
      </c>
      <c r="D4070" t="s">
        <v>12983</v>
      </c>
      <c r="E4070">
        <v>16000000</v>
      </c>
    </row>
    <row r="4071" spans="1:5" ht="15" customHeight="1" x14ac:dyDescent="0.3">
      <c r="A4071" t="s">
        <v>12984</v>
      </c>
      <c r="B4071" t="s">
        <v>220</v>
      </c>
      <c r="C4071" t="s">
        <v>2576</v>
      </c>
      <c r="D4071" t="s">
        <v>9595</v>
      </c>
      <c r="E4071">
        <v>17500000</v>
      </c>
    </row>
    <row r="4072" spans="1:5" ht="15" customHeight="1" x14ac:dyDescent="0.3">
      <c r="A4072" t="s">
        <v>12985</v>
      </c>
      <c r="B4072" t="s">
        <v>2498</v>
      </c>
      <c r="C4072" t="s">
        <v>2523</v>
      </c>
      <c r="D4072" t="s">
        <v>11576</v>
      </c>
      <c r="E4072">
        <v>9100000</v>
      </c>
    </row>
    <row r="4073" spans="1:5" ht="15" customHeight="1" x14ac:dyDescent="0.3">
      <c r="A4073" t="s">
        <v>12986</v>
      </c>
      <c r="B4073" t="s">
        <v>2498</v>
      </c>
      <c r="C4073" t="s">
        <v>2523</v>
      </c>
      <c r="D4073" t="s">
        <v>11576</v>
      </c>
      <c r="E4073">
        <v>9900000</v>
      </c>
    </row>
    <row r="4074" spans="1:5" ht="15" customHeight="1" x14ac:dyDescent="0.3">
      <c r="A4074" t="s">
        <v>12987</v>
      </c>
      <c r="B4074" t="s">
        <v>86</v>
      </c>
      <c r="C4074" t="s">
        <v>90</v>
      </c>
      <c r="D4074" t="s">
        <v>3333</v>
      </c>
      <c r="E4074">
        <v>7740000</v>
      </c>
    </row>
    <row r="4075" spans="1:5" ht="15" customHeight="1" x14ac:dyDescent="0.3">
      <c r="A4075" t="s">
        <v>12988</v>
      </c>
      <c r="B4075" t="s">
        <v>214</v>
      </c>
      <c r="C4075" t="s">
        <v>7517</v>
      </c>
      <c r="D4075" t="s">
        <v>12989</v>
      </c>
      <c r="E4075">
        <v>11000000</v>
      </c>
    </row>
    <row r="4076" spans="1:5" ht="15" customHeight="1" x14ac:dyDescent="0.3">
      <c r="A4076" t="s">
        <v>12990</v>
      </c>
      <c r="B4076" t="s">
        <v>241</v>
      </c>
      <c r="C4076" t="s">
        <v>2505</v>
      </c>
      <c r="D4076" t="s">
        <v>12991</v>
      </c>
      <c r="E4076">
        <v>22700000</v>
      </c>
    </row>
    <row r="4077" spans="1:5" ht="15" customHeight="1" x14ac:dyDescent="0.3">
      <c r="A4077" t="s">
        <v>12992</v>
      </c>
      <c r="B4077" t="s">
        <v>220</v>
      </c>
      <c r="C4077" t="s">
        <v>2492</v>
      </c>
      <c r="D4077" t="s">
        <v>12983</v>
      </c>
      <c r="E4077">
        <v>17800000</v>
      </c>
    </row>
    <row r="4078" spans="1:5" ht="15" customHeight="1" x14ac:dyDescent="0.3">
      <c r="A4078" t="s">
        <v>12993</v>
      </c>
      <c r="B4078" t="s">
        <v>86</v>
      </c>
      <c r="C4078" t="s">
        <v>2476</v>
      </c>
      <c r="D4078" t="s">
        <v>2477</v>
      </c>
      <c r="E4078">
        <v>53000000</v>
      </c>
    </row>
    <row r="4079" spans="1:5" ht="15" customHeight="1" x14ac:dyDescent="0.3">
      <c r="A4079" t="s">
        <v>12994</v>
      </c>
      <c r="B4079" t="s">
        <v>311</v>
      </c>
      <c r="C4079" t="s">
        <v>3593</v>
      </c>
      <c r="D4079" t="s">
        <v>12995</v>
      </c>
      <c r="E4079">
        <v>6630000</v>
      </c>
    </row>
    <row r="4080" spans="1:5" ht="15" customHeight="1" x14ac:dyDescent="0.3">
      <c r="A4080" t="s">
        <v>12996</v>
      </c>
      <c r="B4080" t="s">
        <v>86</v>
      </c>
      <c r="C4080" t="s">
        <v>2476</v>
      </c>
      <c r="D4080" t="s">
        <v>12997</v>
      </c>
      <c r="E4080">
        <v>53000000</v>
      </c>
    </row>
    <row r="4081" spans="1:5" ht="15" customHeight="1" x14ac:dyDescent="0.3">
      <c r="A4081" t="s">
        <v>12998</v>
      </c>
      <c r="B4081" t="s">
        <v>2608</v>
      </c>
      <c r="C4081" t="s">
        <v>3216</v>
      </c>
      <c r="D4081" t="s">
        <v>3217</v>
      </c>
      <c r="E4081">
        <v>16300000</v>
      </c>
    </row>
    <row r="4082" spans="1:5" ht="15" customHeight="1" x14ac:dyDescent="0.3">
      <c r="A4082" t="s">
        <v>12999</v>
      </c>
      <c r="B4082" t="s">
        <v>147</v>
      </c>
      <c r="C4082" t="s">
        <v>2516</v>
      </c>
      <c r="D4082" t="s">
        <v>13000</v>
      </c>
      <c r="E4082">
        <v>12600000</v>
      </c>
    </row>
    <row r="4083" spans="1:5" ht="15" customHeight="1" x14ac:dyDescent="0.3">
      <c r="A4083" t="s">
        <v>13001</v>
      </c>
      <c r="B4083" t="s">
        <v>237</v>
      </c>
      <c r="C4083" t="s">
        <v>65</v>
      </c>
      <c r="D4083" t="s">
        <v>2775</v>
      </c>
      <c r="E4083">
        <v>13100000</v>
      </c>
    </row>
    <row r="4084" spans="1:5" ht="15" customHeight="1" x14ac:dyDescent="0.3">
      <c r="A4084" t="s">
        <v>13002</v>
      </c>
      <c r="B4084" t="s">
        <v>3021</v>
      </c>
      <c r="C4084" t="s">
        <v>13003</v>
      </c>
      <c r="D4084" t="s">
        <v>13004</v>
      </c>
      <c r="E4084">
        <v>34500000</v>
      </c>
    </row>
    <row r="4085" spans="1:5" ht="15" customHeight="1" x14ac:dyDescent="0.3">
      <c r="A4085" t="s">
        <v>13005</v>
      </c>
      <c r="B4085" t="s">
        <v>2608</v>
      </c>
      <c r="C4085" t="s">
        <v>3899</v>
      </c>
      <c r="D4085" t="s">
        <v>13006</v>
      </c>
      <c r="E4085">
        <v>29400000</v>
      </c>
    </row>
    <row r="4086" spans="1:5" ht="15" customHeight="1" x14ac:dyDescent="0.3">
      <c r="A4086" t="s">
        <v>13007</v>
      </c>
      <c r="B4086" t="s">
        <v>220</v>
      </c>
      <c r="C4086" t="s">
        <v>13008</v>
      </c>
      <c r="D4086" t="s">
        <v>13009</v>
      </c>
      <c r="E4086">
        <v>4450000</v>
      </c>
    </row>
    <row r="4087" spans="1:5" ht="15" customHeight="1" x14ac:dyDescent="0.3">
      <c r="A4087" t="s">
        <v>13010</v>
      </c>
      <c r="B4087" t="s">
        <v>86</v>
      </c>
      <c r="C4087" t="s">
        <v>2488</v>
      </c>
      <c r="D4087" t="s">
        <v>13011</v>
      </c>
      <c r="E4087">
        <v>45100000</v>
      </c>
    </row>
    <row r="4088" spans="1:5" ht="15" customHeight="1" x14ac:dyDescent="0.3">
      <c r="A4088" t="s">
        <v>13012</v>
      </c>
      <c r="B4088" t="s">
        <v>220</v>
      </c>
      <c r="C4088" t="s">
        <v>231</v>
      </c>
      <c r="D4088" t="s">
        <v>2232</v>
      </c>
      <c r="E4088">
        <v>11200000</v>
      </c>
    </row>
    <row r="4089" spans="1:5" ht="15" customHeight="1" x14ac:dyDescent="0.3">
      <c r="A4089" t="s">
        <v>13013</v>
      </c>
      <c r="B4089" t="s">
        <v>2521</v>
      </c>
      <c r="C4089" t="s">
        <v>2522</v>
      </c>
      <c r="D4089" t="s">
        <v>1700</v>
      </c>
      <c r="E4089">
        <v>18700000</v>
      </c>
    </row>
    <row r="4090" spans="1:5" ht="15" customHeight="1" x14ac:dyDescent="0.3">
      <c r="A4090" t="s">
        <v>13014</v>
      </c>
      <c r="B4090" t="s">
        <v>86</v>
      </c>
      <c r="C4090" t="s">
        <v>2507</v>
      </c>
      <c r="D4090" t="s">
        <v>8760</v>
      </c>
      <c r="E4090">
        <v>36800000</v>
      </c>
    </row>
    <row r="4091" spans="1:5" ht="15" customHeight="1" x14ac:dyDescent="0.3">
      <c r="A4091" t="s">
        <v>13015</v>
      </c>
      <c r="B4091" t="s">
        <v>278</v>
      </c>
      <c r="C4091">
        <v>700</v>
      </c>
      <c r="D4091" t="s">
        <v>481</v>
      </c>
      <c r="E4091">
        <v>12600000</v>
      </c>
    </row>
    <row r="4092" spans="1:5" ht="15" customHeight="1" x14ac:dyDescent="0.3">
      <c r="A4092" t="s">
        <v>13016</v>
      </c>
      <c r="B4092" t="s">
        <v>214</v>
      </c>
      <c r="C4092" t="s">
        <v>2560</v>
      </c>
      <c r="D4092" t="s">
        <v>13017</v>
      </c>
      <c r="E4092">
        <v>24200000</v>
      </c>
    </row>
    <row r="4093" spans="1:5" ht="15" customHeight="1" x14ac:dyDescent="0.3">
      <c r="A4093" t="s">
        <v>13018</v>
      </c>
      <c r="B4093" t="s">
        <v>2474</v>
      </c>
      <c r="C4093" t="s">
        <v>13019</v>
      </c>
      <c r="D4093" t="s">
        <v>13020</v>
      </c>
      <c r="E4093">
        <v>21000000</v>
      </c>
    </row>
    <row r="4094" spans="1:5" ht="15" customHeight="1" x14ac:dyDescent="0.3">
      <c r="A4094" t="s">
        <v>13021</v>
      </c>
      <c r="B4094" t="s">
        <v>241</v>
      </c>
      <c r="C4094" t="s">
        <v>2484</v>
      </c>
      <c r="D4094" t="s">
        <v>1197</v>
      </c>
      <c r="E4094">
        <v>10400000</v>
      </c>
    </row>
    <row r="4095" spans="1:5" ht="15" customHeight="1" x14ac:dyDescent="0.3">
      <c r="A4095" t="s">
        <v>13022</v>
      </c>
      <c r="B4095" t="s">
        <v>45</v>
      </c>
      <c r="C4095" t="s">
        <v>2995</v>
      </c>
      <c r="D4095" t="s">
        <v>13023</v>
      </c>
      <c r="E4095">
        <v>9600000</v>
      </c>
    </row>
    <row r="4096" spans="1:5" ht="15" customHeight="1" x14ac:dyDescent="0.3">
      <c r="A4096" t="s">
        <v>13024</v>
      </c>
      <c r="B4096" t="s">
        <v>86</v>
      </c>
      <c r="C4096" t="s">
        <v>93</v>
      </c>
      <c r="D4096" t="s">
        <v>13025</v>
      </c>
      <c r="E4096">
        <v>19700000</v>
      </c>
    </row>
    <row r="4097" spans="1:5" ht="15" customHeight="1" x14ac:dyDescent="0.3">
      <c r="A4097" t="s">
        <v>13026</v>
      </c>
      <c r="B4097" t="s">
        <v>45</v>
      </c>
      <c r="C4097" t="s">
        <v>2995</v>
      </c>
      <c r="D4097" t="s">
        <v>13023</v>
      </c>
      <c r="E4097">
        <v>9600000</v>
      </c>
    </row>
    <row r="4098" spans="1:5" ht="15" customHeight="1" x14ac:dyDescent="0.3">
      <c r="A4098" t="s">
        <v>13027</v>
      </c>
      <c r="B4098" t="s">
        <v>291</v>
      </c>
      <c r="C4098" t="s">
        <v>297</v>
      </c>
      <c r="D4098" t="s">
        <v>13028</v>
      </c>
      <c r="E4098">
        <v>16600000</v>
      </c>
    </row>
    <row r="4099" spans="1:5" ht="15" customHeight="1" x14ac:dyDescent="0.3">
      <c r="A4099" t="s">
        <v>13029</v>
      </c>
      <c r="B4099" t="s">
        <v>214</v>
      </c>
      <c r="C4099" t="s">
        <v>2560</v>
      </c>
      <c r="D4099" t="s">
        <v>13017</v>
      </c>
      <c r="E4099">
        <v>24200000</v>
      </c>
    </row>
    <row r="4100" spans="1:5" ht="15" customHeight="1" x14ac:dyDescent="0.3">
      <c r="A4100" t="s">
        <v>13030</v>
      </c>
      <c r="B4100" t="s">
        <v>2533</v>
      </c>
      <c r="C4100" t="s">
        <v>3799</v>
      </c>
      <c r="D4100" t="s">
        <v>13031</v>
      </c>
      <c r="E4100">
        <v>8200000</v>
      </c>
    </row>
    <row r="4101" spans="1:5" ht="15" customHeight="1" x14ac:dyDescent="0.3">
      <c r="A4101" t="s">
        <v>13032</v>
      </c>
      <c r="B4101" t="s">
        <v>86</v>
      </c>
      <c r="C4101" t="s">
        <v>122</v>
      </c>
      <c r="D4101" t="s">
        <v>13033</v>
      </c>
      <c r="E4101">
        <v>22100000</v>
      </c>
    </row>
    <row r="4102" spans="1:5" ht="15" customHeight="1" x14ac:dyDescent="0.3">
      <c r="A4102" t="s">
        <v>13034</v>
      </c>
      <c r="B4102" t="s">
        <v>306</v>
      </c>
      <c r="C4102" t="s">
        <v>2862</v>
      </c>
      <c r="D4102" t="s">
        <v>13035</v>
      </c>
      <c r="E4102">
        <v>16900000</v>
      </c>
    </row>
    <row r="4103" spans="1:5" ht="15" customHeight="1" x14ac:dyDescent="0.3">
      <c r="A4103" t="s">
        <v>13036</v>
      </c>
      <c r="B4103" t="s">
        <v>311</v>
      </c>
      <c r="C4103" t="s">
        <v>3593</v>
      </c>
      <c r="D4103" t="s">
        <v>13037</v>
      </c>
      <c r="E4103">
        <v>8200000</v>
      </c>
    </row>
    <row r="4104" spans="1:5" ht="15" customHeight="1" x14ac:dyDescent="0.3">
      <c r="A4104" t="s">
        <v>13038</v>
      </c>
      <c r="B4104" t="s">
        <v>86</v>
      </c>
      <c r="C4104" t="s">
        <v>3068</v>
      </c>
      <c r="D4104" t="s">
        <v>13039</v>
      </c>
      <c r="E4104">
        <v>13900000</v>
      </c>
    </row>
    <row r="4105" spans="1:5" ht="15" customHeight="1" x14ac:dyDescent="0.3">
      <c r="A4105" t="s">
        <v>13040</v>
      </c>
      <c r="B4105" t="s">
        <v>2816</v>
      </c>
      <c r="C4105" t="s">
        <v>12469</v>
      </c>
      <c r="D4105" t="s">
        <v>12470</v>
      </c>
      <c r="E4105">
        <v>11400000</v>
      </c>
    </row>
    <row r="4106" spans="1:5" ht="15" customHeight="1" x14ac:dyDescent="0.3">
      <c r="A4106" t="s">
        <v>13041</v>
      </c>
      <c r="B4106" t="s">
        <v>306</v>
      </c>
      <c r="C4106" t="s">
        <v>3616</v>
      </c>
      <c r="D4106" t="s">
        <v>13042</v>
      </c>
      <c r="E4106">
        <v>10100000</v>
      </c>
    </row>
    <row r="4107" spans="1:5" ht="15" customHeight="1" x14ac:dyDescent="0.3">
      <c r="A4107" t="s">
        <v>13043</v>
      </c>
      <c r="B4107" t="s">
        <v>28</v>
      </c>
      <c r="C4107" t="s">
        <v>2575</v>
      </c>
      <c r="D4107" t="s">
        <v>13044</v>
      </c>
      <c r="E4107">
        <v>8700000</v>
      </c>
    </row>
    <row r="4108" spans="1:5" ht="15" customHeight="1" x14ac:dyDescent="0.3">
      <c r="A4108" t="s">
        <v>13045</v>
      </c>
      <c r="B4108" t="s">
        <v>156</v>
      </c>
      <c r="C4108" t="s">
        <v>3117</v>
      </c>
      <c r="D4108" t="s">
        <v>13046</v>
      </c>
      <c r="E4108">
        <v>14500000</v>
      </c>
    </row>
    <row r="4109" spans="1:5" ht="15" customHeight="1" x14ac:dyDescent="0.3">
      <c r="A4109" t="s">
        <v>13047</v>
      </c>
      <c r="B4109" t="s">
        <v>86</v>
      </c>
      <c r="C4109" t="s">
        <v>2976</v>
      </c>
      <c r="D4109" t="s">
        <v>368</v>
      </c>
      <c r="E4109">
        <v>13100000</v>
      </c>
    </row>
    <row r="4110" spans="1:5" ht="15" customHeight="1" x14ac:dyDescent="0.3">
      <c r="A4110" t="s">
        <v>13048</v>
      </c>
      <c r="B4110" t="s">
        <v>86</v>
      </c>
      <c r="C4110" t="s">
        <v>2793</v>
      </c>
      <c r="D4110" t="s">
        <v>13049</v>
      </c>
      <c r="E4110">
        <v>15400000</v>
      </c>
    </row>
    <row r="4111" spans="1:5" ht="15" customHeight="1" x14ac:dyDescent="0.3">
      <c r="A4111" t="s">
        <v>13050</v>
      </c>
      <c r="B4111" t="s">
        <v>167</v>
      </c>
      <c r="C4111" t="s">
        <v>170</v>
      </c>
      <c r="D4111" t="s">
        <v>9849</v>
      </c>
      <c r="E4111">
        <v>10100000</v>
      </c>
    </row>
    <row r="4112" spans="1:5" ht="15" customHeight="1" x14ac:dyDescent="0.3">
      <c r="A4112" t="s">
        <v>13051</v>
      </c>
      <c r="B4112" t="s">
        <v>167</v>
      </c>
      <c r="C4112" t="s">
        <v>168</v>
      </c>
      <c r="D4112" t="s">
        <v>3377</v>
      </c>
      <c r="E4112">
        <v>8700000</v>
      </c>
    </row>
    <row r="4113" spans="1:5" ht="15" customHeight="1" x14ac:dyDescent="0.3">
      <c r="A4113" t="s">
        <v>13052</v>
      </c>
      <c r="B4113" t="s">
        <v>28</v>
      </c>
      <c r="C4113" t="s">
        <v>2496</v>
      </c>
      <c r="D4113" t="s">
        <v>13053</v>
      </c>
      <c r="E4113">
        <v>6550000</v>
      </c>
    </row>
    <row r="4114" spans="1:5" ht="15" customHeight="1" x14ac:dyDescent="0.3">
      <c r="A4114" t="s">
        <v>13054</v>
      </c>
      <c r="B4114" t="s">
        <v>2545</v>
      </c>
      <c r="C4114" t="s">
        <v>10511</v>
      </c>
      <c r="D4114" t="s">
        <v>13055</v>
      </c>
      <c r="E4114">
        <v>14200000</v>
      </c>
    </row>
    <row r="4115" spans="1:5" ht="15" customHeight="1" x14ac:dyDescent="0.3">
      <c r="A4115" t="s">
        <v>13056</v>
      </c>
      <c r="B4115" t="s">
        <v>4152</v>
      </c>
      <c r="C4115" t="s">
        <v>4155</v>
      </c>
      <c r="D4115" t="s">
        <v>13057</v>
      </c>
      <c r="E4115">
        <v>19300000</v>
      </c>
    </row>
    <row r="4116" spans="1:5" ht="15" customHeight="1" x14ac:dyDescent="0.3">
      <c r="A4116" t="s">
        <v>13058</v>
      </c>
      <c r="B4116" t="s">
        <v>220</v>
      </c>
      <c r="C4116" t="s">
        <v>223</v>
      </c>
      <c r="D4116" t="s">
        <v>13059</v>
      </c>
      <c r="E4116">
        <v>20000000</v>
      </c>
    </row>
    <row r="4117" spans="1:5" ht="15" customHeight="1" x14ac:dyDescent="0.3">
      <c r="A4117" t="s">
        <v>13060</v>
      </c>
      <c r="B4117" t="s">
        <v>45</v>
      </c>
      <c r="C4117" t="s">
        <v>49</v>
      </c>
      <c r="D4117" t="s">
        <v>13061</v>
      </c>
      <c r="E4117">
        <v>45800000</v>
      </c>
    </row>
    <row r="4118" spans="1:5" ht="15" customHeight="1" x14ac:dyDescent="0.3">
      <c r="A4118" t="s">
        <v>13062</v>
      </c>
      <c r="B4118" t="s">
        <v>291</v>
      </c>
      <c r="C4118" t="s">
        <v>11619</v>
      </c>
      <c r="D4118" t="s">
        <v>11623</v>
      </c>
      <c r="E4118">
        <v>12200000</v>
      </c>
    </row>
    <row r="4119" spans="1:5" ht="15" customHeight="1" x14ac:dyDescent="0.3">
      <c r="A4119" t="s">
        <v>13063</v>
      </c>
      <c r="B4119" t="s">
        <v>2545</v>
      </c>
      <c r="C4119" t="s">
        <v>2546</v>
      </c>
      <c r="D4119" t="s">
        <v>13064</v>
      </c>
      <c r="E4119">
        <v>11600000</v>
      </c>
    </row>
    <row r="4120" spans="1:5" ht="15" customHeight="1" x14ac:dyDescent="0.3">
      <c r="A4120" t="s">
        <v>13065</v>
      </c>
      <c r="B4120" t="s">
        <v>156</v>
      </c>
      <c r="C4120" t="s">
        <v>13066</v>
      </c>
      <c r="D4120" t="s">
        <v>13067</v>
      </c>
      <c r="E4120">
        <v>13600000</v>
      </c>
    </row>
    <row r="4121" spans="1:5" ht="15" customHeight="1" x14ac:dyDescent="0.3">
      <c r="A4121" t="s">
        <v>13068</v>
      </c>
      <c r="B4121" t="s">
        <v>2494</v>
      </c>
      <c r="C4121" t="s">
        <v>3244</v>
      </c>
      <c r="D4121" t="s">
        <v>13069</v>
      </c>
      <c r="E4121">
        <v>8600000</v>
      </c>
    </row>
    <row r="4122" spans="1:5" ht="15" customHeight="1" x14ac:dyDescent="0.3">
      <c r="A4122" t="s">
        <v>13070</v>
      </c>
      <c r="B4122" t="s">
        <v>2549</v>
      </c>
      <c r="C4122" t="s">
        <v>2655</v>
      </c>
      <c r="D4122" t="s">
        <v>13071</v>
      </c>
      <c r="E4122">
        <v>13200000</v>
      </c>
    </row>
    <row r="4123" spans="1:5" ht="15" customHeight="1" x14ac:dyDescent="0.3">
      <c r="A4123" t="s">
        <v>13072</v>
      </c>
      <c r="B4123" t="s">
        <v>241</v>
      </c>
      <c r="C4123" t="s">
        <v>269</v>
      </c>
      <c r="D4123" t="s">
        <v>854</v>
      </c>
      <c r="E4123">
        <v>19400000</v>
      </c>
    </row>
    <row r="4124" spans="1:5" ht="15" customHeight="1" x14ac:dyDescent="0.3">
      <c r="A4124" t="s">
        <v>13073</v>
      </c>
      <c r="B4124" t="s">
        <v>156</v>
      </c>
      <c r="C4124" t="s">
        <v>13066</v>
      </c>
      <c r="D4124" t="s">
        <v>13067</v>
      </c>
      <c r="E4124">
        <v>12200000</v>
      </c>
    </row>
    <row r="4125" spans="1:5" ht="15" customHeight="1" x14ac:dyDescent="0.3">
      <c r="A4125" t="s">
        <v>13074</v>
      </c>
      <c r="B4125" t="s">
        <v>86</v>
      </c>
      <c r="C4125" t="s">
        <v>4251</v>
      </c>
      <c r="D4125" t="s">
        <v>12964</v>
      </c>
      <c r="E4125">
        <v>11200000</v>
      </c>
    </row>
    <row r="4126" spans="1:5" ht="15" customHeight="1" x14ac:dyDescent="0.3">
      <c r="A4126" t="s">
        <v>13075</v>
      </c>
      <c r="B4126" t="s">
        <v>86</v>
      </c>
      <c r="C4126" t="s">
        <v>122</v>
      </c>
      <c r="D4126" t="s">
        <v>11681</v>
      </c>
      <c r="E4126">
        <v>16400000</v>
      </c>
    </row>
    <row r="4127" spans="1:5" ht="15" customHeight="1" x14ac:dyDescent="0.3">
      <c r="A4127" t="s">
        <v>13076</v>
      </c>
      <c r="B4127" t="s">
        <v>241</v>
      </c>
      <c r="C4127">
        <v>2008</v>
      </c>
      <c r="D4127" t="s">
        <v>13077</v>
      </c>
      <c r="E4127">
        <v>11000000</v>
      </c>
    </row>
    <row r="4128" spans="1:5" ht="15" customHeight="1" x14ac:dyDescent="0.3">
      <c r="A4128" t="s">
        <v>13078</v>
      </c>
      <c r="B4128" t="s">
        <v>86</v>
      </c>
      <c r="C4128" t="s">
        <v>2507</v>
      </c>
      <c r="D4128" t="s">
        <v>13079</v>
      </c>
      <c r="E4128">
        <v>25300000</v>
      </c>
    </row>
    <row r="4129" spans="1:5" ht="15" customHeight="1" x14ac:dyDescent="0.3">
      <c r="A4129" t="s">
        <v>13080</v>
      </c>
      <c r="B4129" t="s">
        <v>2474</v>
      </c>
      <c r="C4129" t="s">
        <v>13081</v>
      </c>
      <c r="D4129" t="s">
        <v>13082</v>
      </c>
      <c r="E4129">
        <v>21100000</v>
      </c>
    </row>
    <row r="4130" spans="1:5" ht="15" customHeight="1" x14ac:dyDescent="0.3">
      <c r="A4130" t="s">
        <v>13083</v>
      </c>
      <c r="B4130" t="s">
        <v>2533</v>
      </c>
      <c r="C4130">
        <v>3</v>
      </c>
      <c r="D4130" t="s">
        <v>13084</v>
      </c>
      <c r="E4130">
        <v>5850000</v>
      </c>
    </row>
    <row r="4131" spans="1:5" ht="15" customHeight="1" x14ac:dyDescent="0.3">
      <c r="A4131" t="s">
        <v>13085</v>
      </c>
      <c r="B4131" t="s">
        <v>2498</v>
      </c>
      <c r="C4131" t="s">
        <v>2587</v>
      </c>
      <c r="D4131" t="s">
        <v>13086</v>
      </c>
      <c r="E4131">
        <v>15000000</v>
      </c>
    </row>
    <row r="4132" spans="1:5" ht="15" customHeight="1" x14ac:dyDescent="0.3">
      <c r="A4132" t="s">
        <v>13087</v>
      </c>
      <c r="B4132" t="s">
        <v>220</v>
      </c>
      <c r="C4132" t="s">
        <v>2682</v>
      </c>
      <c r="D4132" t="s">
        <v>13088</v>
      </c>
      <c r="E4132">
        <v>21900000</v>
      </c>
    </row>
    <row r="4133" spans="1:5" ht="15" customHeight="1" x14ac:dyDescent="0.3">
      <c r="A4133" t="s">
        <v>13089</v>
      </c>
      <c r="B4133" t="s">
        <v>45</v>
      </c>
      <c r="C4133" t="s">
        <v>2903</v>
      </c>
      <c r="D4133" t="s">
        <v>13090</v>
      </c>
      <c r="E4133">
        <v>19500000</v>
      </c>
    </row>
    <row r="4134" spans="1:5" ht="15" customHeight="1" x14ac:dyDescent="0.3">
      <c r="A4134" t="s">
        <v>13091</v>
      </c>
      <c r="B4134" t="s">
        <v>2498</v>
      </c>
      <c r="C4134" t="s">
        <v>2587</v>
      </c>
      <c r="D4134" t="s">
        <v>13086</v>
      </c>
      <c r="E4134">
        <v>15800000</v>
      </c>
    </row>
    <row r="4135" spans="1:5" ht="15" customHeight="1" x14ac:dyDescent="0.3">
      <c r="A4135" t="s">
        <v>13092</v>
      </c>
      <c r="B4135" t="s">
        <v>156</v>
      </c>
      <c r="C4135" t="s">
        <v>13066</v>
      </c>
      <c r="D4135" t="s">
        <v>13067</v>
      </c>
      <c r="E4135">
        <v>12200000</v>
      </c>
    </row>
    <row r="4136" spans="1:5" ht="15" customHeight="1" x14ac:dyDescent="0.3">
      <c r="A4136" t="s">
        <v>13093</v>
      </c>
      <c r="B4136" t="s">
        <v>86</v>
      </c>
      <c r="C4136" t="s">
        <v>106</v>
      </c>
      <c r="D4136" t="s">
        <v>3907</v>
      </c>
      <c r="E4136">
        <v>19800000</v>
      </c>
    </row>
    <row r="4137" spans="1:5" ht="15" customHeight="1" x14ac:dyDescent="0.3">
      <c r="A4137" t="s">
        <v>13094</v>
      </c>
      <c r="B4137" t="s">
        <v>2533</v>
      </c>
      <c r="C4137" t="s">
        <v>2571</v>
      </c>
      <c r="D4137" t="s">
        <v>13095</v>
      </c>
      <c r="E4137">
        <v>8000000</v>
      </c>
    </row>
    <row r="4138" spans="1:5" ht="15" customHeight="1" x14ac:dyDescent="0.3">
      <c r="A4138" t="s">
        <v>13096</v>
      </c>
      <c r="B4138" t="s">
        <v>2533</v>
      </c>
      <c r="C4138" t="s">
        <v>2571</v>
      </c>
      <c r="D4138" t="s">
        <v>13095</v>
      </c>
      <c r="E4138">
        <v>8000000</v>
      </c>
    </row>
    <row r="4139" spans="1:5" ht="15" customHeight="1" x14ac:dyDescent="0.3">
      <c r="A4139" t="s">
        <v>13097</v>
      </c>
      <c r="B4139" t="s">
        <v>300</v>
      </c>
      <c r="C4139" t="s">
        <v>13098</v>
      </c>
      <c r="D4139" t="s">
        <v>13099</v>
      </c>
      <c r="E4139">
        <v>5970000</v>
      </c>
    </row>
    <row r="4140" spans="1:5" ht="15" customHeight="1" x14ac:dyDescent="0.3">
      <c r="A4140" t="s">
        <v>13100</v>
      </c>
      <c r="B4140" t="s">
        <v>220</v>
      </c>
      <c r="C4140" t="s">
        <v>2492</v>
      </c>
      <c r="D4140" t="s">
        <v>13101</v>
      </c>
      <c r="E4140">
        <v>22100000</v>
      </c>
    </row>
    <row r="4141" spans="1:5" ht="15" customHeight="1" x14ac:dyDescent="0.3">
      <c r="A4141" t="s">
        <v>13102</v>
      </c>
      <c r="B4141" t="s">
        <v>2533</v>
      </c>
      <c r="C4141" t="s">
        <v>2571</v>
      </c>
      <c r="D4141" t="s">
        <v>10412</v>
      </c>
      <c r="E4141">
        <v>7400000</v>
      </c>
    </row>
    <row r="4142" spans="1:5" ht="15" customHeight="1" x14ac:dyDescent="0.3">
      <c r="A4142" t="s">
        <v>13103</v>
      </c>
      <c r="B4142" t="s">
        <v>147</v>
      </c>
      <c r="C4142" t="s">
        <v>150</v>
      </c>
      <c r="D4142" t="s">
        <v>13104</v>
      </c>
      <c r="E4142">
        <v>14500000</v>
      </c>
    </row>
    <row r="4143" spans="1:5" ht="15" customHeight="1" x14ac:dyDescent="0.3">
      <c r="A4143" t="s">
        <v>13105</v>
      </c>
      <c r="B4143" t="s">
        <v>2549</v>
      </c>
      <c r="C4143" t="s">
        <v>3066</v>
      </c>
      <c r="D4143" t="s">
        <v>13106</v>
      </c>
      <c r="E4143">
        <v>10900000</v>
      </c>
    </row>
    <row r="4144" spans="1:5" ht="15" customHeight="1" x14ac:dyDescent="0.3">
      <c r="A4144" t="s">
        <v>13107</v>
      </c>
      <c r="B4144" t="s">
        <v>3021</v>
      </c>
      <c r="C4144" t="s">
        <v>13108</v>
      </c>
      <c r="D4144" t="s">
        <v>13109</v>
      </c>
      <c r="E4144">
        <v>20300000</v>
      </c>
    </row>
    <row r="4145" spans="1:5" ht="15" customHeight="1" x14ac:dyDescent="0.3">
      <c r="A4145" t="s">
        <v>13110</v>
      </c>
      <c r="B4145" t="s">
        <v>2533</v>
      </c>
      <c r="C4145" t="s">
        <v>2571</v>
      </c>
      <c r="D4145" t="s">
        <v>10412</v>
      </c>
      <c r="E4145">
        <v>7410000</v>
      </c>
    </row>
    <row r="4146" spans="1:5" ht="15" customHeight="1" x14ac:dyDescent="0.3">
      <c r="A4146" t="s">
        <v>13111</v>
      </c>
      <c r="B4146" t="s">
        <v>241</v>
      </c>
      <c r="C4146" t="s">
        <v>269</v>
      </c>
      <c r="D4146" t="s">
        <v>13112</v>
      </c>
      <c r="E4146">
        <v>16200000</v>
      </c>
    </row>
    <row r="4147" spans="1:5" ht="15" customHeight="1" x14ac:dyDescent="0.3">
      <c r="A4147" t="s">
        <v>13113</v>
      </c>
      <c r="B4147" t="s">
        <v>2665</v>
      </c>
      <c r="C4147" t="s">
        <v>3981</v>
      </c>
      <c r="D4147" t="s">
        <v>13114</v>
      </c>
      <c r="E4147">
        <v>35200000</v>
      </c>
    </row>
    <row r="4148" spans="1:5" ht="15" customHeight="1" x14ac:dyDescent="0.3">
      <c r="A4148" t="s">
        <v>13115</v>
      </c>
      <c r="B4148" t="s">
        <v>86</v>
      </c>
      <c r="C4148" t="s">
        <v>2476</v>
      </c>
      <c r="D4148" t="s">
        <v>2376</v>
      </c>
      <c r="E4148">
        <v>34300000</v>
      </c>
    </row>
    <row r="4149" spans="1:5" ht="15" customHeight="1" x14ac:dyDescent="0.3">
      <c r="A4149" t="s">
        <v>13116</v>
      </c>
      <c r="B4149" t="s">
        <v>86</v>
      </c>
      <c r="C4149" t="s">
        <v>2476</v>
      </c>
      <c r="D4149" t="s">
        <v>2376</v>
      </c>
      <c r="E4149">
        <v>34300000</v>
      </c>
    </row>
    <row r="4150" spans="1:5" ht="15" customHeight="1" x14ac:dyDescent="0.3">
      <c r="A4150" t="s">
        <v>13117</v>
      </c>
      <c r="B4150" t="s">
        <v>86</v>
      </c>
      <c r="C4150" t="s">
        <v>2476</v>
      </c>
      <c r="D4150" t="s">
        <v>2376</v>
      </c>
      <c r="E4150">
        <v>34300000</v>
      </c>
    </row>
    <row r="4151" spans="1:5" ht="15" customHeight="1" x14ac:dyDescent="0.3">
      <c r="A4151" t="s">
        <v>13118</v>
      </c>
      <c r="B4151" t="s">
        <v>311</v>
      </c>
      <c r="C4151" t="s">
        <v>2692</v>
      </c>
      <c r="D4151" t="s">
        <v>13119</v>
      </c>
      <c r="E4151">
        <v>7930000</v>
      </c>
    </row>
    <row r="4152" spans="1:5" ht="15" customHeight="1" x14ac:dyDescent="0.3">
      <c r="A4152" t="s">
        <v>13120</v>
      </c>
      <c r="B4152" t="s">
        <v>2498</v>
      </c>
      <c r="C4152" t="s">
        <v>199</v>
      </c>
      <c r="D4152" t="s">
        <v>13121</v>
      </c>
      <c r="E4152">
        <v>15200000</v>
      </c>
    </row>
    <row r="4153" spans="1:5" ht="15" customHeight="1" x14ac:dyDescent="0.3">
      <c r="A4153" t="s">
        <v>13122</v>
      </c>
      <c r="B4153" t="s">
        <v>311</v>
      </c>
      <c r="C4153" t="s">
        <v>2979</v>
      </c>
      <c r="D4153" t="s">
        <v>13123</v>
      </c>
      <c r="E4153">
        <v>9000000</v>
      </c>
    </row>
    <row r="4154" spans="1:5" ht="15" customHeight="1" x14ac:dyDescent="0.3">
      <c r="A4154" t="s">
        <v>13124</v>
      </c>
      <c r="B4154" t="s">
        <v>28</v>
      </c>
      <c r="C4154" t="s">
        <v>35</v>
      </c>
      <c r="D4154" t="s">
        <v>13125</v>
      </c>
      <c r="E4154">
        <v>11000000</v>
      </c>
    </row>
    <row r="4155" spans="1:5" ht="15" customHeight="1" x14ac:dyDescent="0.3">
      <c r="A4155" t="s">
        <v>13126</v>
      </c>
      <c r="B4155" t="s">
        <v>45</v>
      </c>
      <c r="C4155" t="s">
        <v>49</v>
      </c>
      <c r="D4155" t="s">
        <v>13127</v>
      </c>
      <c r="E4155">
        <v>49500000</v>
      </c>
    </row>
    <row r="4156" spans="1:5" ht="15" customHeight="1" x14ac:dyDescent="0.3">
      <c r="A4156" t="s">
        <v>13128</v>
      </c>
      <c r="B4156" t="s">
        <v>2498</v>
      </c>
      <c r="C4156" t="s">
        <v>2664</v>
      </c>
      <c r="D4156" t="s">
        <v>13129</v>
      </c>
      <c r="E4156">
        <v>13000000</v>
      </c>
    </row>
    <row r="4157" spans="1:5" ht="15" customHeight="1" x14ac:dyDescent="0.3">
      <c r="A4157" t="s">
        <v>13130</v>
      </c>
      <c r="B4157" t="s">
        <v>147</v>
      </c>
      <c r="C4157" t="s">
        <v>2528</v>
      </c>
      <c r="D4157" t="s">
        <v>2991</v>
      </c>
      <c r="E4157">
        <v>18100000</v>
      </c>
    </row>
    <row r="4158" spans="1:5" ht="15" customHeight="1" x14ac:dyDescent="0.3">
      <c r="A4158" t="s">
        <v>13131</v>
      </c>
      <c r="B4158" t="s">
        <v>311</v>
      </c>
      <c r="C4158" t="s">
        <v>312</v>
      </c>
      <c r="D4158" t="s">
        <v>314</v>
      </c>
      <c r="E4158">
        <v>28200000</v>
      </c>
    </row>
    <row r="4159" spans="1:5" ht="15" customHeight="1" x14ac:dyDescent="0.3">
      <c r="A4159" t="s">
        <v>13132</v>
      </c>
      <c r="B4159" t="s">
        <v>28</v>
      </c>
      <c r="C4159" t="s">
        <v>38</v>
      </c>
      <c r="D4159" t="s">
        <v>8768</v>
      </c>
      <c r="E4159">
        <v>12700000</v>
      </c>
    </row>
    <row r="4160" spans="1:5" ht="15" customHeight="1" x14ac:dyDescent="0.3">
      <c r="A4160" t="s">
        <v>13133</v>
      </c>
      <c r="B4160" t="s">
        <v>147</v>
      </c>
      <c r="C4160" t="s">
        <v>2528</v>
      </c>
      <c r="D4160" t="s">
        <v>2991</v>
      </c>
      <c r="E4160">
        <v>18100000</v>
      </c>
    </row>
    <row r="4161" spans="1:5" ht="15" customHeight="1" x14ac:dyDescent="0.3">
      <c r="A4161" t="s">
        <v>13134</v>
      </c>
      <c r="B4161" t="s">
        <v>278</v>
      </c>
      <c r="C4161">
        <v>700</v>
      </c>
      <c r="D4161" t="s">
        <v>13135</v>
      </c>
      <c r="E4161">
        <v>11600000</v>
      </c>
    </row>
    <row r="4162" spans="1:5" ht="15" customHeight="1" x14ac:dyDescent="0.3">
      <c r="A4162" t="s">
        <v>13136</v>
      </c>
      <c r="B4162" t="s">
        <v>2494</v>
      </c>
      <c r="C4162" t="s">
        <v>2531</v>
      </c>
      <c r="D4162" t="s">
        <v>13137</v>
      </c>
      <c r="E4162">
        <v>8900000</v>
      </c>
    </row>
    <row r="4163" spans="1:5" ht="15" customHeight="1" x14ac:dyDescent="0.3">
      <c r="A4163" t="s">
        <v>13138</v>
      </c>
      <c r="B4163" t="s">
        <v>86</v>
      </c>
      <c r="C4163" t="s">
        <v>2793</v>
      </c>
      <c r="D4163" t="s">
        <v>13139</v>
      </c>
      <c r="E4163">
        <v>15500000</v>
      </c>
    </row>
    <row r="4164" spans="1:5" ht="15" customHeight="1" x14ac:dyDescent="0.3">
      <c r="A4164" t="s">
        <v>13140</v>
      </c>
      <c r="B4164" t="s">
        <v>2494</v>
      </c>
      <c r="C4164" t="s">
        <v>2531</v>
      </c>
      <c r="D4164" t="s">
        <v>13137</v>
      </c>
      <c r="E4164">
        <v>8500000</v>
      </c>
    </row>
    <row r="4165" spans="1:5" ht="15" customHeight="1" x14ac:dyDescent="0.3">
      <c r="A4165" t="s">
        <v>13141</v>
      </c>
      <c r="B4165" t="s">
        <v>241</v>
      </c>
      <c r="C4165" t="s">
        <v>269</v>
      </c>
      <c r="D4165" t="s">
        <v>13142</v>
      </c>
      <c r="E4165">
        <v>14300000</v>
      </c>
    </row>
    <row r="4166" spans="1:5" ht="15" customHeight="1" x14ac:dyDescent="0.3">
      <c r="A4166" t="s">
        <v>13143</v>
      </c>
      <c r="B4166" t="s">
        <v>28</v>
      </c>
      <c r="C4166" t="s">
        <v>42</v>
      </c>
      <c r="D4166" t="s">
        <v>13144</v>
      </c>
      <c r="E4166">
        <v>11400000</v>
      </c>
    </row>
    <row r="4167" spans="1:5" ht="15" customHeight="1" x14ac:dyDescent="0.3">
      <c r="A4167" t="s">
        <v>13145</v>
      </c>
      <c r="B4167" t="s">
        <v>2521</v>
      </c>
      <c r="C4167" t="s">
        <v>2522</v>
      </c>
      <c r="D4167" t="s">
        <v>12560</v>
      </c>
      <c r="E4167">
        <v>20200000</v>
      </c>
    </row>
    <row r="4168" spans="1:5" ht="15" customHeight="1" x14ac:dyDescent="0.3">
      <c r="A4168" t="s">
        <v>13146</v>
      </c>
      <c r="B4168" t="s">
        <v>2494</v>
      </c>
      <c r="C4168" t="s">
        <v>2811</v>
      </c>
      <c r="D4168" t="s">
        <v>13147</v>
      </c>
      <c r="E4168">
        <v>12600000</v>
      </c>
    </row>
    <row r="4169" spans="1:5" ht="15" customHeight="1" x14ac:dyDescent="0.3">
      <c r="A4169" t="s">
        <v>13148</v>
      </c>
      <c r="B4169" t="s">
        <v>2494</v>
      </c>
      <c r="C4169" t="s">
        <v>2531</v>
      </c>
      <c r="D4169" t="s">
        <v>13137</v>
      </c>
      <c r="E4169">
        <v>8600000</v>
      </c>
    </row>
    <row r="4170" spans="1:5" ht="15" customHeight="1" x14ac:dyDescent="0.3">
      <c r="A4170" t="s">
        <v>13149</v>
      </c>
      <c r="B4170" t="s">
        <v>300</v>
      </c>
      <c r="C4170" t="s">
        <v>2925</v>
      </c>
      <c r="D4170" t="s">
        <v>13150</v>
      </c>
      <c r="E4170">
        <v>11800000</v>
      </c>
    </row>
    <row r="4171" spans="1:5" ht="15" customHeight="1" x14ac:dyDescent="0.3">
      <c r="A4171" t="s">
        <v>13151</v>
      </c>
      <c r="B4171" t="s">
        <v>14</v>
      </c>
      <c r="C4171" t="s">
        <v>15</v>
      </c>
      <c r="D4171" t="s">
        <v>13152</v>
      </c>
      <c r="E4171">
        <v>8100000</v>
      </c>
    </row>
    <row r="4172" spans="1:5" ht="15" customHeight="1" x14ac:dyDescent="0.3">
      <c r="A4172" t="s">
        <v>13153</v>
      </c>
      <c r="B4172" t="s">
        <v>241</v>
      </c>
      <c r="C4172" t="s">
        <v>2484</v>
      </c>
      <c r="D4172" t="s">
        <v>13154</v>
      </c>
      <c r="E4172">
        <v>12700000</v>
      </c>
    </row>
    <row r="4173" spans="1:5" ht="15" customHeight="1" x14ac:dyDescent="0.3">
      <c r="A4173" t="s">
        <v>13155</v>
      </c>
      <c r="B4173" t="s">
        <v>278</v>
      </c>
      <c r="C4173" t="s">
        <v>7662</v>
      </c>
      <c r="D4173" t="s">
        <v>13156</v>
      </c>
      <c r="E4173">
        <v>55000000</v>
      </c>
    </row>
    <row r="4174" spans="1:5" ht="15" customHeight="1" x14ac:dyDescent="0.3">
      <c r="A4174" t="s">
        <v>13157</v>
      </c>
      <c r="B4174" t="s">
        <v>241</v>
      </c>
      <c r="C4174" t="s">
        <v>2484</v>
      </c>
      <c r="D4174" t="s">
        <v>13154</v>
      </c>
      <c r="E4174">
        <v>12700000</v>
      </c>
    </row>
    <row r="4175" spans="1:5" ht="15" customHeight="1" x14ac:dyDescent="0.3">
      <c r="A4175" t="s">
        <v>13158</v>
      </c>
      <c r="B4175" t="s">
        <v>214</v>
      </c>
      <c r="C4175" t="s">
        <v>3360</v>
      </c>
      <c r="D4175" t="s">
        <v>13159</v>
      </c>
      <c r="E4175">
        <v>15700000</v>
      </c>
    </row>
    <row r="4176" spans="1:5" ht="15" customHeight="1" x14ac:dyDescent="0.3">
      <c r="A4176" t="s">
        <v>13160</v>
      </c>
      <c r="B4176" t="s">
        <v>214</v>
      </c>
      <c r="C4176" t="s">
        <v>2560</v>
      </c>
      <c r="D4176" t="s">
        <v>9741</v>
      </c>
      <c r="E4176">
        <v>21100000</v>
      </c>
    </row>
    <row r="4177" spans="1:5" ht="15" customHeight="1" x14ac:dyDescent="0.3">
      <c r="A4177" t="s">
        <v>13161</v>
      </c>
      <c r="B4177" t="s">
        <v>311</v>
      </c>
      <c r="C4177" t="s">
        <v>13162</v>
      </c>
      <c r="D4177" t="s">
        <v>13163</v>
      </c>
      <c r="E4177">
        <v>33700000</v>
      </c>
    </row>
    <row r="4178" spans="1:5" ht="15" customHeight="1" x14ac:dyDescent="0.3">
      <c r="A4178" t="s">
        <v>13164</v>
      </c>
      <c r="B4178" t="s">
        <v>306</v>
      </c>
      <c r="C4178" t="s">
        <v>2787</v>
      </c>
      <c r="D4178" t="s">
        <v>13165</v>
      </c>
      <c r="E4178">
        <v>18200000</v>
      </c>
    </row>
    <row r="4179" spans="1:5" ht="15" customHeight="1" x14ac:dyDescent="0.3">
      <c r="A4179" t="s">
        <v>13166</v>
      </c>
      <c r="B4179" t="s">
        <v>28</v>
      </c>
      <c r="C4179" t="s">
        <v>2575</v>
      </c>
      <c r="D4179" t="s">
        <v>12924</v>
      </c>
      <c r="E4179">
        <v>7340000</v>
      </c>
    </row>
    <row r="4180" spans="1:5" ht="15" customHeight="1" x14ac:dyDescent="0.3">
      <c r="A4180" t="s">
        <v>13167</v>
      </c>
      <c r="B4180" t="s">
        <v>220</v>
      </c>
      <c r="C4180" t="s">
        <v>223</v>
      </c>
      <c r="D4180" t="s">
        <v>13168</v>
      </c>
      <c r="E4180">
        <v>13000000</v>
      </c>
    </row>
    <row r="4181" spans="1:5" ht="15" customHeight="1" x14ac:dyDescent="0.3">
      <c r="A4181" t="s">
        <v>13169</v>
      </c>
      <c r="B4181" t="s">
        <v>2533</v>
      </c>
      <c r="C4181" t="s">
        <v>2599</v>
      </c>
      <c r="D4181" t="s">
        <v>13170</v>
      </c>
      <c r="E4181">
        <v>10500000</v>
      </c>
    </row>
    <row r="4182" spans="1:5" ht="15" customHeight="1" x14ac:dyDescent="0.3">
      <c r="A4182" t="s">
        <v>13171</v>
      </c>
      <c r="B4182" t="s">
        <v>2498</v>
      </c>
      <c r="C4182" t="s">
        <v>188</v>
      </c>
      <c r="D4182" t="s">
        <v>840</v>
      </c>
      <c r="E4182">
        <v>10000000</v>
      </c>
    </row>
    <row r="4183" spans="1:5" ht="15" customHeight="1" x14ac:dyDescent="0.3">
      <c r="A4183" t="s">
        <v>13172</v>
      </c>
      <c r="B4183" t="s">
        <v>156</v>
      </c>
      <c r="C4183" t="s">
        <v>2707</v>
      </c>
      <c r="D4183" t="s">
        <v>13173</v>
      </c>
      <c r="E4183">
        <v>7000000</v>
      </c>
    </row>
    <row r="4184" spans="1:5" ht="15" customHeight="1" x14ac:dyDescent="0.3">
      <c r="A4184" t="s">
        <v>13174</v>
      </c>
      <c r="B4184" t="s">
        <v>28</v>
      </c>
      <c r="C4184" t="s">
        <v>2547</v>
      </c>
      <c r="D4184" t="s">
        <v>10607</v>
      </c>
      <c r="E4184">
        <v>10500000</v>
      </c>
    </row>
    <row r="4185" spans="1:5" ht="15" customHeight="1" x14ac:dyDescent="0.3">
      <c r="A4185" t="s">
        <v>13175</v>
      </c>
      <c r="B4185" t="s">
        <v>28</v>
      </c>
      <c r="C4185" t="s">
        <v>2496</v>
      </c>
      <c r="D4185" t="s">
        <v>13176</v>
      </c>
      <c r="E4185">
        <v>5790000</v>
      </c>
    </row>
    <row r="4186" spans="1:5" ht="15" customHeight="1" x14ac:dyDescent="0.3">
      <c r="A4186" t="s">
        <v>13177</v>
      </c>
      <c r="B4186" t="s">
        <v>28</v>
      </c>
      <c r="C4186" t="s">
        <v>38</v>
      </c>
      <c r="D4186" t="s">
        <v>13178</v>
      </c>
      <c r="E4186">
        <v>10800000</v>
      </c>
    </row>
    <row r="4187" spans="1:5" ht="15" customHeight="1" x14ac:dyDescent="0.3">
      <c r="A4187" t="s">
        <v>13179</v>
      </c>
      <c r="B4187" t="s">
        <v>220</v>
      </c>
      <c r="C4187" t="s">
        <v>2576</v>
      </c>
      <c r="D4187" t="s">
        <v>13180</v>
      </c>
      <c r="E4187">
        <v>13600000</v>
      </c>
    </row>
    <row r="4188" spans="1:5" ht="15" customHeight="1" x14ac:dyDescent="0.3">
      <c r="A4188" t="s">
        <v>13181</v>
      </c>
      <c r="B4188" t="s">
        <v>2498</v>
      </c>
      <c r="C4188" t="s">
        <v>193</v>
      </c>
      <c r="D4188" t="s">
        <v>13182</v>
      </c>
      <c r="E4188">
        <v>13200000</v>
      </c>
    </row>
    <row r="4189" spans="1:5" ht="15" customHeight="1" x14ac:dyDescent="0.3">
      <c r="A4189" t="s">
        <v>13183</v>
      </c>
      <c r="B4189" t="s">
        <v>241</v>
      </c>
      <c r="C4189" t="s">
        <v>3164</v>
      </c>
      <c r="D4189" t="s">
        <v>13184</v>
      </c>
      <c r="E4189">
        <v>23300000</v>
      </c>
    </row>
    <row r="4190" spans="1:5" ht="15" customHeight="1" x14ac:dyDescent="0.3">
      <c r="A4190" t="s">
        <v>13185</v>
      </c>
      <c r="B4190" t="s">
        <v>156</v>
      </c>
      <c r="C4190" t="s">
        <v>3096</v>
      </c>
      <c r="D4190" t="s">
        <v>11924</v>
      </c>
      <c r="E4190">
        <v>16000000</v>
      </c>
    </row>
    <row r="4191" spans="1:5" ht="15" customHeight="1" x14ac:dyDescent="0.3">
      <c r="A4191" t="s">
        <v>13186</v>
      </c>
      <c r="B4191" t="s">
        <v>2533</v>
      </c>
      <c r="C4191" t="s">
        <v>2582</v>
      </c>
      <c r="D4191" t="s">
        <v>13187</v>
      </c>
      <c r="E4191">
        <v>7240000</v>
      </c>
    </row>
    <row r="4192" spans="1:5" ht="15" customHeight="1" x14ac:dyDescent="0.3">
      <c r="A4192" t="s">
        <v>13188</v>
      </c>
      <c r="B4192" t="s">
        <v>60</v>
      </c>
      <c r="C4192" t="s">
        <v>2837</v>
      </c>
      <c r="D4192" t="s">
        <v>13189</v>
      </c>
      <c r="E4192">
        <v>6250000</v>
      </c>
    </row>
    <row r="4193" spans="1:5" ht="15" customHeight="1" x14ac:dyDescent="0.3">
      <c r="A4193" t="s">
        <v>13190</v>
      </c>
      <c r="B4193" t="s">
        <v>2498</v>
      </c>
      <c r="C4193" t="s">
        <v>188</v>
      </c>
      <c r="D4193" t="s">
        <v>13191</v>
      </c>
      <c r="E4193">
        <v>8700000</v>
      </c>
    </row>
    <row r="4194" spans="1:5" ht="15" customHeight="1" x14ac:dyDescent="0.3">
      <c r="A4194" t="s">
        <v>13192</v>
      </c>
      <c r="B4194" t="s">
        <v>300</v>
      </c>
      <c r="C4194" t="s">
        <v>2653</v>
      </c>
      <c r="D4194" t="s">
        <v>12094</v>
      </c>
      <c r="E4194">
        <v>8500000</v>
      </c>
    </row>
    <row r="4195" spans="1:5" ht="15" customHeight="1" x14ac:dyDescent="0.3">
      <c r="A4195" t="s">
        <v>13193</v>
      </c>
      <c r="B4195" t="s">
        <v>2521</v>
      </c>
      <c r="C4195" t="s">
        <v>2543</v>
      </c>
      <c r="D4195" t="s">
        <v>13194</v>
      </c>
      <c r="E4195">
        <v>8500000</v>
      </c>
    </row>
    <row r="4196" spans="1:5" ht="15" customHeight="1" x14ac:dyDescent="0.3">
      <c r="A4196" t="s">
        <v>13195</v>
      </c>
      <c r="B4196" t="s">
        <v>180</v>
      </c>
      <c r="C4196" t="s">
        <v>4425</v>
      </c>
      <c r="D4196" t="s">
        <v>13196</v>
      </c>
      <c r="E4196">
        <v>8300000</v>
      </c>
    </row>
    <row r="4197" spans="1:5" ht="15" customHeight="1" x14ac:dyDescent="0.3">
      <c r="A4197" t="s">
        <v>13197</v>
      </c>
      <c r="B4197" t="s">
        <v>2493</v>
      </c>
      <c r="C4197" t="s">
        <v>3030</v>
      </c>
      <c r="D4197" t="s">
        <v>13198</v>
      </c>
      <c r="E4197">
        <v>22400000</v>
      </c>
    </row>
    <row r="4198" spans="1:5" ht="15" customHeight="1" x14ac:dyDescent="0.3">
      <c r="A4198" t="s">
        <v>13199</v>
      </c>
      <c r="B4198" t="s">
        <v>28</v>
      </c>
      <c r="C4198" t="s">
        <v>42</v>
      </c>
      <c r="D4198" t="s">
        <v>13200</v>
      </c>
      <c r="E4198">
        <v>10200000</v>
      </c>
    </row>
    <row r="4199" spans="1:5" ht="15" customHeight="1" x14ac:dyDescent="0.3">
      <c r="A4199" t="s">
        <v>13201</v>
      </c>
      <c r="B4199" t="s">
        <v>14</v>
      </c>
      <c r="C4199" t="s">
        <v>2508</v>
      </c>
      <c r="D4199" t="s">
        <v>12764</v>
      </c>
      <c r="E4199">
        <v>8400000</v>
      </c>
    </row>
    <row r="4200" spans="1:5" ht="15" customHeight="1" x14ac:dyDescent="0.3">
      <c r="A4200" t="s">
        <v>13202</v>
      </c>
      <c r="B4200" t="s">
        <v>2549</v>
      </c>
      <c r="C4200" t="s">
        <v>10857</v>
      </c>
      <c r="D4200" t="s">
        <v>13203</v>
      </c>
      <c r="E4200">
        <v>10200000</v>
      </c>
    </row>
    <row r="4201" spans="1:5" ht="15" customHeight="1" x14ac:dyDescent="0.3">
      <c r="A4201" t="s">
        <v>13204</v>
      </c>
      <c r="B4201" t="s">
        <v>28</v>
      </c>
      <c r="C4201" t="s">
        <v>2547</v>
      </c>
      <c r="D4201" t="s">
        <v>13205</v>
      </c>
      <c r="E4201">
        <v>8200000</v>
      </c>
    </row>
  </sheetData>
  <autoFilter ref="A1:F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83"/>
  <sheetViews>
    <sheetView workbookViewId="0"/>
  </sheetViews>
  <sheetFormatPr baseColWidth="10" defaultColWidth="12.6640625" defaultRowHeight="15" customHeight="1" x14ac:dyDescent="0.3"/>
  <cols>
    <col min="1" max="2" width="10.6640625" customWidth="1"/>
    <col min="3" max="3" width="26.88671875" customWidth="1"/>
    <col min="4" max="5" width="14.33203125" customWidth="1"/>
    <col min="6" max="6" width="10.6640625" customWidth="1"/>
    <col min="7" max="7" width="12.109375" customWidth="1"/>
    <col min="8" max="8" width="17.77734375" customWidth="1"/>
    <col min="9" max="26" width="10.6640625" customWidth="1"/>
  </cols>
  <sheetData>
    <row r="1" spans="1:8" ht="13.5" customHeigh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3945</v>
      </c>
      <c r="F1" s="1" t="s">
        <v>5</v>
      </c>
      <c r="G1" s="1" t="s">
        <v>3946</v>
      </c>
      <c r="H1" s="1" t="s">
        <v>3947</v>
      </c>
    </row>
    <row r="2" spans="1:8" ht="13.5" customHeight="1" x14ac:dyDescent="0.3">
      <c r="A2" s="1" t="s">
        <v>3948</v>
      </c>
      <c r="B2" s="1" t="s">
        <v>3948</v>
      </c>
      <c r="C2" s="1" t="s">
        <v>3948</v>
      </c>
      <c r="D2" s="1" t="s">
        <v>3948</v>
      </c>
      <c r="G2" s="1">
        <v>0</v>
      </c>
      <c r="H2" s="1">
        <v>0</v>
      </c>
    </row>
    <row r="3" spans="1:8" ht="13.5" customHeight="1" x14ac:dyDescent="0.3">
      <c r="A3" s="1" t="s">
        <v>2608</v>
      </c>
      <c r="B3" s="1" t="s">
        <v>3216</v>
      </c>
      <c r="C3" s="1" t="s">
        <v>3949</v>
      </c>
      <c r="D3" s="1">
        <v>2019</v>
      </c>
      <c r="E3" s="1" t="str">
        <f t="shared" ref="E3:E257" si="0">CONCATENATE(B3,C3,D3)</f>
        <v>A3A3 HB 1.4 AUT2019</v>
      </c>
      <c r="F3" s="1" t="s">
        <v>1955</v>
      </c>
      <c r="G3" s="1">
        <v>14582000</v>
      </c>
      <c r="H3" s="1">
        <v>15000000</v>
      </c>
    </row>
    <row r="4" spans="1:8" ht="13.5" customHeight="1" x14ac:dyDescent="0.3">
      <c r="A4" s="1" t="s">
        <v>2608</v>
      </c>
      <c r="B4" s="1" t="s">
        <v>3216</v>
      </c>
      <c r="C4" s="1" t="s">
        <v>3950</v>
      </c>
      <c r="D4" s="1">
        <v>2022</v>
      </c>
      <c r="E4" s="1" t="str">
        <f t="shared" si="0"/>
        <v>A3A3 SEDAN 35 TFSI 1.4 AUT2022</v>
      </c>
      <c r="F4" s="1" t="s">
        <v>2374</v>
      </c>
      <c r="G4" s="1">
        <v>22990000</v>
      </c>
      <c r="H4" s="1">
        <v>23800000</v>
      </c>
    </row>
    <row r="5" spans="1:8" ht="13.5" customHeight="1" x14ac:dyDescent="0.3">
      <c r="A5" s="1" t="s">
        <v>2608</v>
      </c>
      <c r="B5" s="1" t="s">
        <v>3951</v>
      </c>
      <c r="C5" s="1" t="s">
        <v>3952</v>
      </c>
      <c r="D5" s="1">
        <v>2023</v>
      </c>
      <c r="E5" s="1" t="str">
        <f t="shared" si="0"/>
        <v>Q2Q2 35 TFSI 1.4 AUT2023</v>
      </c>
      <c r="F5" s="1" t="s">
        <v>1762</v>
      </c>
      <c r="G5" s="1">
        <v>26190000</v>
      </c>
      <c r="H5" s="1">
        <v>22500000</v>
      </c>
    </row>
    <row r="6" spans="1:8" ht="13.5" customHeight="1" x14ac:dyDescent="0.3">
      <c r="A6" s="1" t="s">
        <v>2608</v>
      </c>
      <c r="B6" s="1" t="s">
        <v>3422</v>
      </c>
      <c r="C6" s="1" t="s">
        <v>3953</v>
      </c>
      <c r="D6" s="1">
        <v>2023</v>
      </c>
      <c r="E6" s="1" t="str">
        <f t="shared" si="0"/>
        <v>Q3Q3 35 TFSI 1.4 AUT2023</v>
      </c>
      <c r="F6" s="1" t="s">
        <v>1120</v>
      </c>
      <c r="G6" s="1">
        <v>25990000</v>
      </c>
      <c r="H6" s="1">
        <v>23200000</v>
      </c>
    </row>
    <row r="7" spans="1:8" ht="13.5" customHeight="1" x14ac:dyDescent="0.3">
      <c r="A7" s="1" t="s">
        <v>2608</v>
      </c>
      <c r="B7" s="1" t="s">
        <v>3422</v>
      </c>
      <c r="C7" s="1" t="s">
        <v>3954</v>
      </c>
      <c r="D7" s="1">
        <v>2023</v>
      </c>
      <c r="E7" s="1" t="str">
        <f t="shared" si="0"/>
        <v>Q3Q3 35 TFSI SPORTBACK 1.4 AUT2023</v>
      </c>
      <c r="F7" s="1" t="s">
        <v>1225</v>
      </c>
      <c r="G7" s="1">
        <v>33990000</v>
      </c>
      <c r="H7" s="1">
        <v>29000000</v>
      </c>
    </row>
    <row r="8" spans="1:8" ht="13.5" customHeight="1" x14ac:dyDescent="0.3">
      <c r="A8" s="1" t="s">
        <v>2608</v>
      </c>
      <c r="B8" s="1" t="s">
        <v>3955</v>
      </c>
      <c r="C8" s="1" t="s">
        <v>3956</v>
      </c>
      <c r="D8" s="1">
        <v>2012</v>
      </c>
      <c r="E8" s="1" t="str">
        <f t="shared" si="0"/>
        <v>Q5Q5 TDI 2.02012</v>
      </c>
      <c r="F8" s="1" t="s">
        <v>3957</v>
      </c>
      <c r="G8" s="1">
        <v>11000000</v>
      </c>
      <c r="H8" s="1">
        <v>15000000</v>
      </c>
    </row>
    <row r="9" spans="1:8" ht="13.5" customHeight="1" x14ac:dyDescent="0.3">
      <c r="A9" s="1" t="s">
        <v>2608</v>
      </c>
      <c r="B9" s="1" t="s">
        <v>3955</v>
      </c>
      <c r="C9" s="1" t="s">
        <v>3958</v>
      </c>
      <c r="D9" s="1">
        <v>2020</v>
      </c>
      <c r="E9" s="1" t="str">
        <f t="shared" si="0"/>
        <v>Q5Q5 TFSI 4X4 2.0 AUT2020</v>
      </c>
      <c r="F9" s="1" t="s">
        <v>2242</v>
      </c>
      <c r="G9" s="1">
        <v>25390000</v>
      </c>
      <c r="H9" s="1">
        <v>31300000</v>
      </c>
    </row>
    <row r="10" spans="1:8" ht="13.5" customHeight="1" x14ac:dyDescent="0.3">
      <c r="A10" s="1" t="s">
        <v>2608</v>
      </c>
      <c r="B10" s="1" t="s">
        <v>3955</v>
      </c>
      <c r="C10" s="1" t="s">
        <v>3958</v>
      </c>
      <c r="D10" s="1">
        <v>2020</v>
      </c>
      <c r="E10" s="1" t="str">
        <f t="shared" si="0"/>
        <v>Q5Q5 TFSI 4X4 2.0 AUT2020</v>
      </c>
      <c r="F10" s="1" t="s">
        <v>2433</v>
      </c>
      <c r="G10" s="1">
        <v>23490000</v>
      </c>
      <c r="H10" s="1">
        <v>32000000</v>
      </c>
    </row>
    <row r="11" spans="1:8" ht="13.5" customHeight="1" x14ac:dyDescent="0.3">
      <c r="A11" s="1" t="s">
        <v>2608</v>
      </c>
      <c r="B11" s="1" t="s">
        <v>3959</v>
      </c>
      <c r="C11" s="1" t="s">
        <v>3960</v>
      </c>
      <c r="D11" s="1">
        <v>2019</v>
      </c>
      <c r="E11" s="1" t="str">
        <f t="shared" si="0"/>
        <v>Q7Q7 TDI 4X4 3.0 AUT2019</v>
      </c>
      <c r="F11" s="1" t="s">
        <v>2262</v>
      </c>
      <c r="G11" s="1">
        <v>33490000</v>
      </c>
      <c r="H11" s="1">
        <v>29000000</v>
      </c>
    </row>
    <row r="12" spans="1:8" ht="13.5" customHeight="1" x14ac:dyDescent="0.3">
      <c r="A12" s="1" t="s">
        <v>14</v>
      </c>
      <c r="B12" s="1" t="s">
        <v>14</v>
      </c>
      <c r="C12" s="1" t="s">
        <v>3961</v>
      </c>
      <c r="D12" s="1">
        <v>2019</v>
      </c>
      <c r="E12" s="1" t="str">
        <f t="shared" si="0"/>
        <v>BAICX35 1.52019</v>
      </c>
      <c r="F12" s="1" t="s">
        <v>2437</v>
      </c>
      <c r="G12" s="1">
        <v>7990000</v>
      </c>
      <c r="H12" s="1">
        <v>8800000</v>
      </c>
    </row>
    <row r="13" spans="1:8" ht="13.5" customHeight="1" x14ac:dyDescent="0.3">
      <c r="A13" s="1" t="s">
        <v>14</v>
      </c>
      <c r="B13" s="1" t="s">
        <v>14</v>
      </c>
      <c r="C13" s="1" t="s">
        <v>3961</v>
      </c>
      <c r="D13" s="1">
        <v>2023</v>
      </c>
      <c r="E13" s="1" t="str">
        <f t="shared" si="0"/>
        <v>BAICX35 1.52023</v>
      </c>
      <c r="F13" s="1" t="s">
        <v>744</v>
      </c>
      <c r="G13" s="1">
        <v>7890000</v>
      </c>
      <c r="H13" s="1">
        <v>6500000</v>
      </c>
    </row>
    <row r="14" spans="1:8" ht="13.5" customHeight="1" x14ac:dyDescent="0.3">
      <c r="A14" s="1" t="s">
        <v>14</v>
      </c>
      <c r="B14" s="1" t="s">
        <v>14</v>
      </c>
      <c r="C14" s="1" t="s">
        <v>3962</v>
      </c>
      <c r="D14" s="1">
        <v>2023</v>
      </c>
      <c r="E14" s="1" t="str">
        <f t="shared" si="0"/>
        <v>BAICX55 1.5T2023</v>
      </c>
      <c r="F14" s="1" t="s">
        <v>520</v>
      </c>
      <c r="G14" s="1">
        <v>8690000</v>
      </c>
      <c r="H14" s="1">
        <v>6800000</v>
      </c>
    </row>
    <row r="15" spans="1:8" ht="13.5" customHeight="1" x14ac:dyDescent="0.3">
      <c r="A15" s="1" t="s">
        <v>14</v>
      </c>
      <c r="B15" s="1" t="s">
        <v>14</v>
      </c>
      <c r="C15" s="1" t="s">
        <v>3963</v>
      </c>
      <c r="D15" s="1">
        <v>2021</v>
      </c>
      <c r="E15" s="1" t="str">
        <f t="shared" si="0"/>
        <v>BAICX55 ELITE 1.52021</v>
      </c>
      <c r="F15" s="1" t="s">
        <v>1574</v>
      </c>
      <c r="G15" s="1">
        <v>8990000</v>
      </c>
      <c r="H15" s="1">
        <v>6500000</v>
      </c>
    </row>
    <row r="16" spans="1:8" ht="13.5" customHeight="1" x14ac:dyDescent="0.3">
      <c r="A16" s="1" t="s">
        <v>14</v>
      </c>
      <c r="B16" s="1" t="s">
        <v>2508</v>
      </c>
      <c r="C16" s="1" t="s">
        <v>3964</v>
      </c>
      <c r="D16" s="1">
        <v>2024</v>
      </c>
      <c r="E16" s="1" t="str">
        <f t="shared" si="0"/>
        <v>X55X55 1.5 AUT2024</v>
      </c>
      <c r="F16" s="1" t="s">
        <v>469</v>
      </c>
      <c r="G16" s="1">
        <v>11690000</v>
      </c>
      <c r="H16" s="1">
        <v>10000000</v>
      </c>
    </row>
    <row r="17" spans="1:8" ht="13.5" customHeight="1" x14ac:dyDescent="0.3">
      <c r="A17" s="1" t="s">
        <v>14</v>
      </c>
      <c r="B17" s="1" t="s">
        <v>2508</v>
      </c>
      <c r="C17" s="1" t="s">
        <v>3965</v>
      </c>
      <c r="D17" s="1">
        <v>2024</v>
      </c>
      <c r="E17" s="1" t="str">
        <f t="shared" si="0"/>
        <v>X55X55 TM 1.52024</v>
      </c>
      <c r="F17" s="1" t="s">
        <v>438</v>
      </c>
      <c r="G17" s="1">
        <v>8290000</v>
      </c>
      <c r="H17" s="1">
        <v>6900000</v>
      </c>
    </row>
    <row r="18" spans="1:8" ht="13.5" customHeight="1" x14ac:dyDescent="0.3">
      <c r="A18" s="1" t="s">
        <v>14</v>
      </c>
      <c r="B18" s="1" t="s">
        <v>2508</v>
      </c>
      <c r="C18" s="1" t="s">
        <v>3965</v>
      </c>
      <c r="D18" s="1">
        <v>2024</v>
      </c>
      <c r="E18" s="1" t="str">
        <f t="shared" si="0"/>
        <v>X55X55 TM 1.52024</v>
      </c>
      <c r="F18" s="1" t="s">
        <v>360</v>
      </c>
      <c r="G18" s="1">
        <v>8990000</v>
      </c>
      <c r="H18" s="1">
        <v>7500000</v>
      </c>
    </row>
    <row r="19" spans="1:8" ht="13.5" customHeight="1" x14ac:dyDescent="0.3">
      <c r="A19" s="1" t="s">
        <v>2665</v>
      </c>
      <c r="B19" s="1" t="s">
        <v>3966</v>
      </c>
      <c r="C19" s="1" t="s">
        <v>3967</v>
      </c>
      <c r="D19" s="1">
        <v>2021</v>
      </c>
      <c r="E19" s="1" t="str">
        <f t="shared" si="0"/>
        <v>118118D HB 2.0 AUT2021</v>
      </c>
      <c r="F19" s="1" t="s">
        <v>1033</v>
      </c>
      <c r="G19" s="1">
        <v>20599120</v>
      </c>
      <c r="H19" s="1">
        <v>17500000</v>
      </c>
    </row>
    <row r="20" spans="1:8" ht="13.5" customHeight="1" x14ac:dyDescent="0.3">
      <c r="A20" s="1" t="s">
        <v>2665</v>
      </c>
      <c r="B20" s="1" t="s">
        <v>2665</v>
      </c>
      <c r="C20" s="1" t="s">
        <v>3968</v>
      </c>
      <c r="D20" s="1">
        <v>2013</v>
      </c>
      <c r="E20" s="1" t="str">
        <f t="shared" si="0"/>
        <v>BMW114I BUSINESS 1.62013</v>
      </c>
      <c r="F20" s="1" t="s">
        <v>2467</v>
      </c>
      <c r="G20" s="1">
        <v>11290000</v>
      </c>
      <c r="H20" s="1">
        <v>9762500</v>
      </c>
    </row>
    <row r="21" spans="1:8" ht="13.5" customHeight="1" x14ac:dyDescent="0.3">
      <c r="A21" s="1" t="s">
        <v>2665</v>
      </c>
      <c r="B21" s="1" t="s">
        <v>2665</v>
      </c>
      <c r="C21" s="1" t="s">
        <v>3969</v>
      </c>
      <c r="D21" s="1">
        <v>2022</v>
      </c>
      <c r="E21" s="1" t="str">
        <f t="shared" si="0"/>
        <v>BMW118I HB 1.5 AUT2022</v>
      </c>
      <c r="F21" s="1" t="s">
        <v>2005</v>
      </c>
      <c r="G21" s="1">
        <v>21990000</v>
      </c>
      <c r="H21" s="1">
        <v>21500000</v>
      </c>
    </row>
    <row r="22" spans="1:8" ht="13.5" customHeight="1" x14ac:dyDescent="0.3">
      <c r="A22" s="1" t="s">
        <v>2665</v>
      </c>
      <c r="B22" s="1" t="s">
        <v>2665</v>
      </c>
      <c r="C22" s="1" t="s">
        <v>3970</v>
      </c>
      <c r="D22" s="1">
        <v>2020</v>
      </c>
      <c r="E22" s="1" t="str">
        <f t="shared" si="0"/>
        <v>BMW118I MILLENNIAL 1.5 AUT2020</v>
      </c>
      <c r="F22" s="1" t="s">
        <v>2313</v>
      </c>
      <c r="G22" s="1">
        <v>18590000</v>
      </c>
      <c r="H22" s="1">
        <v>15500000</v>
      </c>
    </row>
    <row r="23" spans="1:8" ht="13.5" customHeight="1" x14ac:dyDescent="0.3">
      <c r="A23" s="1" t="s">
        <v>2665</v>
      </c>
      <c r="B23" s="1" t="s">
        <v>2665</v>
      </c>
      <c r="C23" s="1" t="s">
        <v>3971</v>
      </c>
      <c r="D23" s="1">
        <v>2018</v>
      </c>
      <c r="E23" s="1" t="str">
        <f t="shared" si="0"/>
        <v>BMW318I LCI 1.5 AUT2018</v>
      </c>
      <c r="F23" s="1" t="s">
        <v>2306</v>
      </c>
      <c r="G23" s="1">
        <v>17590000</v>
      </c>
      <c r="H23" s="1">
        <v>14500000</v>
      </c>
    </row>
    <row r="24" spans="1:8" ht="13.5" customHeight="1" x14ac:dyDescent="0.3">
      <c r="A24" s="1" t="s">
        <v>2665</v>
      </c>
      <c r="B24" s="1" t="s">
        <v>2665</v>
      </c>
      <c r="C24" s="1" t="s">
        <v>3972</v>
      </c>
      <c r="D24" s="1">
        <v>2021</v>
      </c>
      <c r="E24" s="1" t="str">
        <f t="shared" si="0"/>
        <v>BMW320 I 2.0 AUT2021</v>
      </c>
      <c r="F24" s="1" t="s">
        <v>2164</v>
      </c>
      <c r="G24" s="1">
        <v>24990000</v>
      </c>
      <c r="H24" s="1">
        <v>21000000</v>
      </c>
    </row>
    <row r="25" spans="1:8" ht="13.5" customHeight="1" x14ac:dyDescent="0.3">
      <c r="A25" s="1" t="s">
        <v>2665</v>
      </c>
      <c r="B25" s="1" t="s">
        <v>2665</v>
      </c>
      <c r="C25" s="1" t="s">
        <v>3973</v>
      </c>
      <c r="D25" s="1">
        <v>2020</v>
      </c>
      <c r="E25" s="1" t="str">
        <f t="shared" si="0"/>
        <v>BMW418I GRAN COUPE 1.5 AUT2020</v>
      </c>
      <c r="F25" s="1" t="s">
        <v>1980</v>
      </c>
      <c r="G25" s="1">
        <v>19167515</v>
      </c>
      <c r="H25" s="1">
        <v>18000000</v>
      </c>
    </row>
    <row r="26" spans="1:8" ht="13.5" customHeight="1" x14ac:dyDescent="0.3">
      <c r="A26" s="1" t="s">
        <v>2665</v>
      </c>
      <c r="B26" s="1" t="s">
        <v>2665</v>
      </c>
      <c r="C26" s="1" t="s">
        <v>3974</v>
      </c>
      <c r="D26" s="1">
        <v>2021</v>
      </c>
      <c r="E26" s="1" t="str">
        <f t="shared" si="0"/>
        <v>BMW420I GRAN COUPE 2.0 AUT2021</v>
      </c>
      <c r="F26" s="1" t="s">
        <v>2209</v>
      </c>
      <c r="G26" s="1">
        <v>28990000</v>
      </c>
      <c r="H26" s="1">
        <v>25000000</v>
      </c>
    </row>
    <row r="27" spans="1:8" ht="13.5" customHeight="1" x14ac:dyDescent="0.3">
      <c r="A27" s="1" t="s">
        <v>2665</v>
      </c>
      <c r="B27" s="1" t="s">
        <v>2665</v>
      </c>
      <c r="C27" s="1" t="s">
        <v>3975</v>
      </c>
      <c r="D27" s="1">
        <v>2020</v>
      </c>
      <c r="E27" s="1" t="str">
        <f t="shared" si="0"/>
        <v>BMWX1 SDRIVE 18D LCI 2.0 AUT2020</v>
      </c>
      <c r="F27" s="1" t="s">
        <v>1978</v>
      </c>
      <c r="G27" s="1">
        <v>25090000</v>
      </c>
      <c r="H27" s="1">
        <v>19700000</v>
      </c>
    </row>
    <row r="28" spans="1:8" ht="13.5" customHeight="1" x14ac:dyDescent="0.3">
      <c r="A28" s="1" t="s">
        <v>2665</v>
      </c>
      <c r="B28" s="1" t="s">
        <v>2665</v>
      </c>
      <c r="C28" s="1" t="s">
        <v>3976</v>
      </c>
      <c r="D28" s="1">
        <v>2021</v>
      </c>
      <c r="E28" s="1" t="str">
        <f t="shared" si="0"/>
        <v>BMWX1 SDRIVE18I LCI 1.5 AUT2021</v>
      </c>
      <c r="F28" s="1" t="s">
        <v>1550</v>
      </c>
      <c r="G28" s="1">
        <v>21990000</v>
      </c>
      <c r="H28" s="1">
        <v>18600000</v>
      </c>
    </row>
    <row r="29" spans="1:8" ht="13.5" customHeight="1" x14ac:dyDescent="0.3">
      <c r="A29" s="1" t="s">
        <v>2665</v>
      </c>
      <c r="B29" s="1" t="s">
        <v>2665</v>
      </c>
      <c r="C29" s="1" t="s">
        <v>3976</v>
      </c>
      <c r="D29" s="1">
        <v>2021</v>
      </c>
      <c r="E29" s="1" t="str">
        <f t="shared" si="0"/>
        <v>BMWX1 SDRIVE18I LCI 1.5 AUT2021</v>
      </c>
      <c r="F29" s="1" t="s">
        <v>1877</v>
      </c>
      <c r="G29" s="1">
        <v>19990000</v>
      </c>
      <c r="H29" s="1">
        <v>19300000</v>
      </c>
    </row>
    <row r="30" spans="1:8" ht="13.5" customHeight="1" x14ac:dyDescent="0.3">
      <c r="A30" s="1" t="s">
        <v>2665</v>
      </c>
      <c r="B30" s="1" t="s">
        <v>2665</v>
      </c>
      <c r="C30" s="1" t="s">
        <v>3977</v>
      </c>
      <c r="D30" s="1">
        <v>2019</v>
      </c>
      <c r="E30" s="1" t="str">
        <f t="shared" si="0"/>
        <v>BMWX3 XDRIVE 20D 4X4 2.0 AT2019</v>
      </c>
      <c r="F30" s="1" t="s">
        <v>2305</v>
      </c>
      <c r="G30" s="1">
        <v>26490000</v>
      </c>
      <c r="H30" s="1">
        <v>19500000</v>
      </c>
    </row>
    <row r="31" spans="1:8" ht="13.5" customHeight="1" x14ac:dyDescent="0.3">
      <c r="A31" s="1" t="s">
        <v>2665</v>
      </c>
      <c r="B31" s="1" t="s">
        <v>2665</v>
      </c>
      <c r="C31" s="1" t="s">
        <v>3978</v>
      </c>
      <c r="D31" s="1">
        <v>2022</v>
      </c>
      <c r="E31" s="1" t="str">
        <f t="shared" si="0"/>
        <v>BMWX3 XDRIVE20D 2.0 AT2022</v>
      </c>
      <c r="F31" s="1" t="s">
        <v>1093</v>
      </c>
      <c r="G31" s="1">
        <v>36990000</v>
      </c>
      <c r="H31" s="1">
        <v>32000000</v>
      </c>
    </row>
    <row r="32" spans="1:8" ht="13.5" customHeight="1" x14ac:dyDescent="0.3">
      <c r="A32" s="1" t="s">
        <v>2665</v>
      </c>
      <c r="B32" s="1" t="s">
        <v>2665</v>
      </c>
      <c r="C32" s="1" t="s">
        <v>3979</v>
      </c>
      <c r="D32" s="1">
        <v>2021</v>
      </c>
      <c r="E32" s="1" t="str">
        <f t="shared" si="0"/>
        <v>BMWX3 XDRIVE30I 4X4 2.0 AUT2021</v>
      </c>
      <c r="F32" s="1" t="s">
        <v>1544</v>
      </c>
      <c r="G32" s="1">
        <v>36000000</v>
      </c>
      <c r="H32" s="1">
        <v>31000000</v>
      </c>
    </row>
    <row r="33" spans="1:8" ht="13.5" customHeight="1" x14ac:dyDescent="0.3">
      <c r="A33" s="1" t="s">
        <v>2665</v>
      </c>
      <c r="B33" s="1" t="s">
        <v>2665</v>
      </c>
      <c r="C33" s="1" t="s">
        <v>3980</v>
      </c>
      <c r="D33" s="1">
        <v>2024</v>
      </c>
      <c r="E33" s="1" t="str">
        <f t="shared" si="0"/>
        <v>BMWX4 XDRIVE 20I 4X4 2.0 AT2024</v>
      </c>
      <c r="F33" s="1" t="s">
        <v>1189</v>
      </c>
      <c r="G33" s="1">
        <v>54790000</v>
      </c>
      <c r="H33" s="1">
        <v>49000000</v>
      </c>
    </row>
    <row r="34" spans="1:8" ht="13.5" customHeight="1" x14ac:dyDescent="0.3">
      <c r="A34" s="1" t="s">
        <v>2665</v>
      </c>
      <c r="B34" s="1" t="s">
        <v>3981</v>
      </c>
      <c r="C34" s="1" t="s">
        <v>3982</v>
      </c>
      <c r="D34" s="1">
        <v>2021</v>
      </c>
      <c r="E34" s="1" t="str">
        <f t="shared" si="0"/>
        <v>X3X3 2.0 AUT2021</v>
      </c>
      <c r="F34" s="1" t="s">
        <v>786</v>
      </c>
      <c r="G34" s="1">
        <v>27890000</v>
      </c>
      <c r="H34" s="1">
        <v>24000000</v>
      </c>
    </row>
    <row r="35" spans="1:8" ht="13.5" customHeight="1" x14ac:dyDescent="0.3">
      <c r="A35" s="1" t="s">
        <v>2665</v>
      </c>
      <c r="B35" s="1" t="s">
        <v>3983</v>
      </c>
      <c r="C35" s="1" t="s">
        <v>3984</v>
      </c>
      <c r="D35" s="1">
        <v>2022</v>
      </c>
      <c r="E35" s="1" t="str">
        <f t="shared" si="0"/>
        <v>X6X6 XDRIVE 30D 4X4 3.0 AUT2022</v>
      </c>
      <c r="F35" s="1" t="s">
        <v>989</v>
      </c>
      <c r="G35" s="1">
        <v>51500000</v>
      </c>
      <c r="H35" s="1">
        <v>57000000</v>
      </c>
    </row>
    <row r="36" spans="1:8" ht="13.5" customHeight="1" x14ac:dyDescent="0.3">
      <c r="A36" s="1" t="s">
        <v>2494</v>
      </c>
      <c r="B36" s="1" t="s">
        <v>3477</v>
      </c>
      <c r="C36" s="1" t="s">
        <v>3985</v>
      </c>
      <c r="D36" s="1">
        <v>2025</v>
      </c>
      <c r="E36" s="1" t="str">
        <f t="shared" si="0"/>
        <v>ALSVINALSVIN 1.5 AT2025</v>
      </c>
      <c r="F36" s="1" t="s">
        <v>639</v>
      </c>
      <c r="G36" s="1">
        <v>9590000</v>
      </c>
      <c r="H36" s="1">
        <v>8000000</v>
      </c>
    </row>
    <row r="37" spans="1:8" ht="13.5" customHeight="1" x14ac:dyDescent="0.3">
      <c r="A37" s="1" t="s">
        <v>2494</v>
      </c>
      <c r="B37" s="1" t="s">
        <v>2494</v>
      </c>
      <c r="C37" s="1" t="s">
        <v>3986</v>
      </c>
      <c r="D37" s="1">
        <v>2022</v>
      </c>
      <c r="E37" s="1" t="str">
        <f t="shared" si="0"/>
        <v>CHANGANALSVIN 1.42022</v>
      </c>
      <c r="F37" s="1" t="s">
        <v>1942</v>
      </c>
      <c r="G37" s="1">
        <v>7790000</v>
      </c>
      <c r="H37" s="1">
        <v>6200000</v>
      </c>
    </row>
    <row r="38" spans="1:8" ht="13.5" customHeight="1" x14ac:dyDescent="0.3">
      <c r="A38" s="1" t="s">
        <v>2494</v>
      </c>
      <c r="B38" s="1" t="s">
        <v>2494</v>
      </c>
      <c r="C38" s="1" t="s">
        <v>3987</v>
      </c>
      <c r="D38" s="1">
        <v>2022</v>
      </c>
      <c r="E38" s="1" t="str">
        <f t="shared" si="0"/>
        <v>CHANGANALSVIN LUXURY 1.42022</v>
      </c>
      <c r="F38" s="1" t="s">
        <v>1229</v>
      </c>
      <c r="G38" s="1">
        <v>6490000</v>
      </c>
      <c r="H38" s="1">
        <v>5300000</v>
      </c>
    </row>
    <row r="39" spans="1:8" ht="13.5" customHeight="1" x14ac:dyDescent="0.3">
      <c r="A39" s="1" t="s">
        <v>2494</v>
      </c>
      <c r="B39" s="1" t="s">
        <v>2494</v>
      </c>
      <c r="C39" s="1" t="s">
        <v>3988</v>
      </c>
      <c r="D39" s="1">
        <v>2020</v>
      </c>
      <c r="E39" s="1" t="str">
        <f t="shared" si="0"/>
        <v>CHANGANCS15 1.52020</v>
      </c>
      <c r="F39" s="1" t="s">
        <v>1866</v>
      </c>
      <c r="G39" s="1">
        <v>7490000</v>
      </c>
      <c r="H39" s="1">
        <v>6000000</v>
      </c>
    </row>
    <row r="40" spans="1:8" ht="13.5" customHeight="1" x14ac:dyDescent="0.3">
      <c r="A40" s="1" t="s">
        <v>2494</v>
      </c>
      <c r="B40" s="1" t="s">
        <v>2494</v>
      </c>
      <c r="C40" s="1" t="s">
        <v>3989</v>
      </c>
      <c r="D40" s="1">
        <v>2021</v>
      </c>
      <c r="E40" s="1" t="str">
        <f t="shared" si="0"/>
        <v>CHANGANCS15 1.5 AUT2021</v>
      </c>
      <c r="F40" s="1" t="s">
        <v>2112</v>
      </c>
      <c r="G40" s="1">
        <v>9990000</v>
      </c>
      <c r="H40" s="1">
        <v>8000000</v>
      </c>
    </row>
    <row r="41" spans="1:8" ht="13.5" customHeight="1" x14ac:dyDescent="0.3">
      <c r="A41" s="1" t="s">
        <v>2494</v>
      </c>
      <c r="B41" s="1" t="s">
        <v>2494</v>
      </c>
      <c r="C41" s="1" t="s">
        <v>3989</v>
      </c>
      <c r="D41" s="1">
        <v>2023</v>
      </c>
      <c r="E41" s="1" t="str">
        <f t="shared" si="0"/>
        <v>CHANGANCS15 1.5 AUT2023</v>
      </c>
      <c r="F41" s="1" t="s">
        <v>1067</v>
      </c>
      <c r="G41" s="1">
        <v>9990000</v>
      </c>
      <c r="H41" s="1">
        <v>8000000</v>
      </c>
    </row>
    <row r="42" spans="1:8" ht="13.5" customHeight="1" x14ac:dyDescent="0.3">
      <c r="A42" s="1" t="s">
        <v>2494</v>
      </c>
      <c r="B42" s="1" t="s">
        <v>2494</v>
      </c>
      <c r="C42" s="1" t="s">
        <v>3990</v>
      </c>
      <c r="D42" s="1">
        <v>2018</v>
      </c>
      <c r="E42" s="1" t="str">
        <f t="shared" si="0"/>
        <v>CHANGANCS15 HB 1.52018</v>
      </c>
      <c r="F42" s="1" t="s">
        <v>492</v>
      </c>
      <c r="G42" s="1">
        <v>5505000</v>
      </c>
      <c r="H42" s="1">
        <v>3700000</v>
      </c>
    </row>
    <row r="43" spans="1:8" ht="13.5" customHeight="1" x14ac:dyDescent="0.3">
      <c r="A43" s="1" t="s">
        <v>2494</v>
      </c>
      <c r="B43" s="1" t="s">
        <v>2494</v>
      </c>
      <c r="C43" s="1" t="s">
        <v>3990</v>
      </c>
      <c r="D43" s="1">
        <v>2020</v>
      </c>
      <c r="E43" s="1" t="str">
        <f t="shared" si="0"/>
        <v>CHANGANCS15 HB 1.52020</v>
      </c>
      <c r="F43" s="1" t="s">
        <v>3991</v>
      </c>
      <c r="G43" s="1">
        <v>8190000</v>
      </c>
      <c r="H43" s="1">
        <v>6300000</v>
      </c>
    </row>
    <row r="44" spans="1:8" ht="13.5" customHeight="1" x14ac:dyDescent="0.3">
      <c r="A44" s="1" t="s">
        <v>2494</v>
      </c>
      <c r="B44" s="1" t="s">
        <v>2494</v>
      </c>
      <c r="C44" s="1" t="s">
        <v>3990</v>
      </c>
      <c r="D44" s="1">
        <v>2022</v>
      </c>
      <c r="E44" s="1" t="str">
        <f t="shared" si="0"/>
        <v>CHANGANCS15 HB 1.52022</v>
      </c>
      <c r="F44" s="1" t="s">
        <v>686</v>
      </c>
      <c r="G44" s="1">
        <v>7590000</v>
      </c>
      <c r="H44" s="1">
        <v>5840000</v>
      </c>
    </row>
    <row r="45" spans="1:8" ht="13.5" customHeight="1" x14ac:dyDescent="0.3">
      <c r="A45" s="1" t="s">
        <v>2494</v>
      </c>
      <c r="B45" s="1" t="s">
        <v>2494</v>
      </c>
      <c r="C45" s="1" t="s">
        <v>3992</v>
      </c>
      <c r="D45" s="1">
        <v>2022</v>
      </c>
      <c r="E45" s="1" t="str">
        <f t="shared" si="0"/>
        <v>CHANGANCS15 LUXURY 1.52022</v>
      </c>
      <c r="F45" s="1" t="s">
        <v>1014</v>
      </c>
      <c r="G45" s="1">
        <v>7990000</v>
      </c>
      <c r="H45" s="1">
        <v>6300000</v>
      </c>
    </row>
    <row r="46" spans="1:8" ht="13.5" customHeight="1" x14ac:dyDescent="0.3">
      <c r="A46" s="1" t="s">
        <v>2494</v>
      </c>
      <c r="B46" s="1" t="s">
        <v>2494</v>
      </c>
      <c r="C46" s="1" t="s">
        <v>3993</v>
      </c>
      <c r="D46" s="1">
        <v>2020</v>
      </c>
      <c r="E46" s="1" t="str">
        <f t="shared" si="0"/>
        <v>CHANGANCS35 LUXURY 1.62020</v>
      </c>
      <c r="F46" s="1" t="s">
        <v>385</v>
      </c>
      <c r="G46" s="1">
        <v>8790000</v>
      </c>
      <c r="H46" s="1">
        <v>6750000</v>
      </c>
    </row>
    <row r="47" spans="1:8" ht="13.5" customHeight="1" x14ac:dyDescent="0.3">
      <c r="A47" s="1" t="s">
        <v>2494</v>
      </c>
      <c r="B47" s="1" t="s">
        <v>2494</v>
      </c>
      <c r="C47" s="1" t="s">
        <v>3994</v>
      </c>
      <c r="D47" s="1">
        <v>2021</v>
      </c>
      <c r="E47" s="1" t="str">
        <f t="shared" si="0"/>
        <v>CHANGANCS35 PLUS TURBO 1.4 AUT2021</v>
      </c>
      <c r="F47" s="1" t="s">
        <v>2136</v>
      </c>
      <c r="G47" s="1">
        <v>12290000</v>
      </c>
      <c r="H47" s="1">
        <v>10000000</v>
      </c>
    </row>
    <row r="48" spans="1:8" ht="13.5" customHeight="1" x14ac:dyDescent="0.3">
      <c r="A48" s="1" t="s">
        <v>2494</v>
      </c>
      <c r="B48" s="1" t="s">
        <v>2494</v>
      </c>
      <c r="C48" s="1" t="s">
        <v>3995</v>
      </c>
      <c r="D48" s="1">
        <v>2019</v>
      </c>
      <c r="E48" s="1" t="str">
        <f t="shared" si="0"/>
        <v>CHANGANCS55 1.52019</v>
      </c>
      <c r="F48" s="1" t="s">
        <v>1308</v>
      </c>
      <c r="G48" s="1">
        <v>8990000</v>
      </c>
      <c r="H48" s="1">
        <v>7500000</v>
      </c>
    </row>
    <row r="49" spans="1:8" ht="13.5" customHeight="1" x14ac:dyDescent="0.3">
      <c r="A49" s="1" t="s">
        <v>2494</v>
      </c>
      <c r="B49" s="1" t="s">
        <v>2494</v>
      </c>
      <c r="C49" s="1" t="s">
        <v>3995</v>
      </c>
      <c r="D49" s="1">
        <v>2020</v>
      </c>
      <c r="E49" s="1" t="str">
        <f t="shared" si="0"/>
        <v>CHANGANCS55 1.52020</v>
      </c>
      <c r="F49" s="1" t="s">
        <v>1315</v>
      </c>
      <c r="G49" s="1">
        <v>8990000</v>
      </c>
      <c r="H49" s="1">
        <v>7000000</v>
      </c>
    </row>
    <row r="50" spans="1:8" ht="13.5" customHeight="1" x14ac:dyDescent="0.3">
      <c r="A50" s="1" t="s">
        <v>2494</v>
      </c>
      <c r="B50" s="1" t="s">
        <v>2494</v>
      </c>
      <c r="C50" s="1" t="s">
        <v>3995</v>
      </c>
      <c r="D50" s="1">
        <v>2020</v>
      </c>
      <c r="E50" s="1" t="str">
        <f t="shared" si="0"/>
        <v>CHANGANCS55 1.52020</v>
      </c>
      <c r="F50" s="1" t="s">
        <v>1132</v>
      </c>
      <c r="G50" s="1">
        <v>8990000</v>
      </c>
      <c r="H50" s="1">
        <v>7000000</v>
      </c>
    </row>
    <row r="51" spans="1:8" ht="13.5" customHeight="1" x14ac:dyDescent="0.3">
      <c r="A51" s="1" t="s">
        <v>2494</v>
      </c>
      <c r="B51" s="1" t="s">
        <v>2494</v>
      </c>
      <c r="C51" s="1" t="s">
        <v>3996</v>
      </c>
      <c r="D51" s="1">
        <v>2018</v>
      </c>
      <c r="E51" s="1" t="str">
        <f t="shared" si="0"/>
        <v>CHANGANCX70 1.62018</v>
      </c>
      <c r="F51" s="1" t="s">
        <v>1474</v>
      </c>
      <c r="G51" s="1">
        <v>6790000</v>
      </c>
      <c r="H51" s="1">
        <v>5740000</v>
      </c>
    </row>
    <row r="52" spans="1:8" ht="13.5" customHeight="1" x14ac:dyDescent="0.3">
      <c r="A52" s="1" t="s">
        <v>2494</v>
      </c>
      <c r="B52" s="1" t="s">
        <v>2494</v>
      </c>
      <c r="C52" s="1" t="s">
        <v>3996</v>
      </c>
      <c r="D52" s="1">
        <v>2018</v>
      </c>
      <c r="E52" s="1" t="str">
        <f t="shared" si="0"/>
        <v>CHANGANCX70 1.62018</v>
      </c>
      <c r="F52" s="1" t="s">
        <v>2184</v>
      </c>
      <c r="G52" s="1">
        <v>7990000</v>
      </c>
      <c r="H52" s="1">
        <v>6200000</v>
      </c>
    </row>
    <row r="53" spans="1:8" ht="13.5" customHeight="1" x14ac:dyDescent="0.3">
      <c r="A53" s="1" t="s">
        <v>2494</v>
      </c>
      <c r="B53" s="1" t="s">
        <v>2494</v>
      </c>
      <c r="C53" s="1" t="s">
        <v>3996</v>
      </c>
      <c r="D53" s="1">
        <v>2019</v>
      </c>
      <c r="E53" s="1" t="str">
        <f t="shared" si="0"/>
        <v>CHANGANCX70 1.62019</v>
      </c>
      <c r="F53" s="1" t="s">
        <v>1573</v>
      </c>
      <c r="G53" s="1">
        <v>8390000</v>
      </c>
      <c r="H53" s="1">
        <v>6975000</v>
      </c>
    </row>
    <row r="54" spans="1:8" ht="13.5" customHeight="1" x14ac:dyDescent="0.3">
      <c r="A54" s="1" t="s">
        <v>2494</v>
      </c>
      <c r="B54" s="1" t="s">
        <v>2494</v>
      </c>
      <c r="C54" s="1" t="s">
        <v>3996</v>
      </c>
      <c r="D54" s="1">
        <v>2020</v>
      </c>
      <c r="E54" s="1" t="str">
        <f t="shared" si="0"/>
        <v>CHANGANCX70 1.62020</v>
      </c>
      <c r="F54" s="1" t="s">
        <v>1685</v>
      </c>
      <c r="G54" s="1">
        <v>9190000</v>
      </c>
      <c r="H54" s="1">
        <v>7500000</v>
      </c>
    </row>
    <row r="55" spans="1:8" ht="13.5" customHeight="1" x14ac:dyDescent="0.3">
      <c r="A55" s="1" t="s">
        <v>2494</v>
      </c>
      <c r="B55" s="1" t="s">
        <v>2494</v>
      </c>
      <c r="C55" s="1" t="s">
        <v>3996</v>
      </c>
      <c r="D55" s="1">
        <v>2022</v>
      </c>
      <c r="E55" s="1" t="str">
        <f t="shared" si="0"/>
        <v>CHANGANCX70 1.62022</v>
      </c>
      <c r="F55" s="1" t="s">
        <v>805</v>
      </c>
      <c r="G55" s="1">
        <v>8790000</v>
      </c>
      <c r="H55" s="1">
        <v>7000000</v>
      </c>
    </row>
    <row r="56" spans="1:8" ht="13.5" customHeight="1" x14ac:dyDescent="0.3">
      <c r="A56" s="1" t="s">
        <v>2494</v>
      </c>
      <c r="B56" s="1" t="s">
        <v>2494</v>
      </c>
      <c r="C56" s="1" t="s">
        <v>3997</v>
      </c>
      <c r="D56" s="1">
        <v>2022</v>
      </c>
      <c r="E56" s="1" t="str">
        <f t="shared" si="0"/>
        <v>CHANGANCX70 ELITE 1.52022</v>
      </c>
      <c r="F56" s="1" t="s">
        <v>550</v>
      </c>
      <c r="G56" s="1">
        <v>8590000</v>
      </c>
      <c r="H56" s="1">
        <v>8000000</v>
      </c>
    </row>
    <row r="57" spans="1:8" ht="13.5" customHeight="1" x14ac:dyDescent="0.3">
      <c r="A57" s="1" t="s">
        <v>2494</v>
      </c>
      <c r="B57" s="1" t="s">
        <v>2494</v>
      </c>
      <c r="C57" s="1" t="s">
        <v>3998</v>
      </c>
      <c r="D57" s="1">
        <v>2020</v>
      </c>
      <c r="E57" s="1" t="str">
        <f t="shared" si="0"/>
        <v>CHANGANCX70 ELITE 1.5 AUT2020</v>
      </c>
      <c r="F57" s="1" t="s">
        <v>626</v>
      </c>
      <c r="G57" s="1">
        <v>8790000</v>
      </c>
      <c r="H57" s="1">
        <v>7600000</v>
      </c>
    </row>
    <row r="58" spans="1:8" ht="13.5" customHeight="1" x14ac:dyDescent="0.3">
      <c r="A58" s="1" t="s">
        <v>2494</v>
      </c>
      <c r="B58" s="1" t="s">
        <v>2494</v>
      </c>
      <c r="C58" s="1" t="s">
        <v>3999</v>
      </c>
      <c r="D58" s="1">
        <v>2020</v>
      </c>
      <c r="E58" s="1" t="str">
        <f t="shared" si="0"/>
        <v>CHANGANCX70 LUXURY 1.62020</v>
      </c>
      <c r="F58" s="1" t="s">
        <v>1166</v>
      </c>
      <c r="G58" s="1">
        <v>8490000</v>
      </c>
      <c r="H58" s="1">
        <v>6600000</v>
      </c>
    </row>
    <row r="59" spans="1:8" ht="13.5" customHeight="1" x14ac:dyDescent="0.3">
      <c r="A59" s="1" t="s">
        <v>2494</v>
      </c>
      <c r="B59" s="1" t="s">
        <v>2494</v>
      </c>
      <c r="C59" s="1" t="s">
        <v>4000</v>
      </c>
      <c r="D59" s="1">
        <v>2021</v>
      </c>
      <c r="E59" s="1" t="str">
        <f t="shared" si="0"/>
        <v>CHANGANCX70 OTTO 1.62021</v>
      </c>
      <c r="F59" s="1" t="s">
        <v>1508</v>
      </c>
      <c r="G59" s="1">
        <v>8990000</v>
      </c>
      <c r="H59" s="1">
        <v>7500000</v>
      </c>
    </row>
    <row r="60" spans="1:8" ht="13.5" customHeight="1" x14ac:dyDescent="0.3">
      <c r="A60" s="1" t="s">
        <v>2494</v>
      </c>
      <c r="B60" s="1" t="s">
        <v>2494</v>
      </c>
      <c r="C60" s="1" t="s">
        <v>4000</v>
      </c>
      <c r="D60" s="1">
        <v>2022</v>
      </c>
      <c r="E60" s="1" t="str">
        <f t="shared" si="0"/>
        <v>CHANGANCX70 OTTO 1.62022</v>
      </c>
      <c r="F60" s="1" t="s">
        <v>1149</v>
      </c>
      <c r="G60" s="1">
        <v>9990000</v>
      </c>
      <c r="H60" s="1">
        <v>8000000</v>
      </c>
    </row>
    <row r="61" spans="1:8" ht="13.5" customHeight="1" x14ac:dyDescent="0.3">
      <c r="A61" s="1" t="s">
        <v>2494</v>
      </c>
      <c r="B61" s="1" t="s">
        <v>2494</v>
      </c>
      <c r="C61" s="1" t="s">
        <v>4001</v>
      </c>
      <c r="D61" s="1">
        <v>2022</v>
      </c>
      <c r="E61" s="1" t="str">
        <f t="shared" si="0"/>
        <v>CHANGANCX70 T 1.5 AUT2022</v>
      </c>
      <c r="F61" s="1" t="s">
        <v>1775</v>
      </c>
      <c r="G61" s="1">
        <v>11390000</v>
      </c>
      <c r="H61" s="1">
        <v>9500000</v>
      </c>
    </row>
    <row r="62" spans="1:8" ht="13.5" customHeight="1" x14ac:dyDescent="0.3">
      <c r="A62" s="1" t="s">
        <v>2494</v>
      </c>
      <c r="B62" s="1" t="s">
        <v>2494</v>
      </c>
      <c r="C62" s="1" t="s">
        <v>4002</v>
      </c>
      <c r="D62" s="1">
        <v>2021</v>
      </c>
      <c r="E62" s="1" t="str">
        <f t="shared" si="0"/>
        <v>CHANGANHUNTER 1.92021</v>
      </c>
      <c r="F62" s="1" t="s">
        <v>1116</v>
      </c>
      <c r="G62" s="1">
        <v>11590000</v>
      </c>
      <c r="H62" s="1">
        <v>9400000</v>
      </c>
    </row>
    <row r="63" spans="1:8" ht="13.5" customHeight="1" x14ac:dyDescent="0.3">
      <c r="A63" s="1" t="s">
        <v>2494</v>
      </c>
      <c r="B63" s="1" t="s">
        <v>2494</v>
      </c>
      <c r="C63" s="1" t="s">
        <v>4003</v>
      </c>
      <c r="D63" s="1">
        <v>2022</v>
      </c>
      <c r="E63" s="1" t="str">
        <f t="shared" si="0"/>
        <v>CHANGANHUNTER LUXURY 1.92022</v>
      </c>
      <c r="F63" s="1" t="s">
        <v>2215</v>
      </c>
      <c r="G63" s="1">
        <v>12990000</v>
      </c>
      <c r="H63" s="1">
        <v>11000000</v>
      </c>
    </row>
    <row r="64" spans="1:8" ht="13.5" customHeight="1" x14ac:dyDescent="0.3">
      <c r="A64" s="1" t="s">
        <v>2494</v>
      </c>
      <c r="B64" s="1" t="s">
        <v>2494</v>
      </c>
      <c r="C64" s="1" t="s">
        <v>4004</v>
      </c>
      <c r="D64" s="1">
        <v>2022</v>
      </c>
      <c r="E64" s="1" t="str">
        <f t="shared" si="0"/>
        <v>CHANGANNEW CS15 ELITE 1.52022</v>
      </c>
      <c r="F64" s="1" t="s">
        <v>1773</v>
      </c>
      <c r="G64" s="1">
        <v>8559650</v>
      </c>
      <c r="H64" s="1">
        <v>7000000</v>
      </c>
    </row>
    <row r="65" spans="1:8" ht="13.5" customHeight="1" x14ac:dyDescent="0.3">
      <c r="A65" s="1" t="s">
        <v>2494</v>
      </c>
      <c r="B65" s="1" t="s">
        <v>2494</v>
      </c>
      <c r="C65" s="1" t="s">
        <v>4005</v>
      </c>
      <c r="D65" s="1">
        <v>2021</v>
      </c>
      <c r="E65" s="1" t="str">
        <f t="shared" si="0"/>
        <v>CHANGANNEW CS15 ELITE HB 1.52021</v>
      </c>
      <c r="F65" s="1" t="s">
        <v>914</v>
      </c>
      <c r="G65" s="1">
        <v>7390000</v>
      </c>
      <c r="H65" s="1">
        <v>6000000</v>
      </c>
    </row>
    <row r="66" spans="1:8" ht="13.5" customHeight="1" x14ac:dyDescent="0.3">
      <c r="A66" s="1" t="s">
        <v>2494</v>
      </c>
      <c r="B66" s="1" t="s">
        <v>2494</v>
      </c>
      <c r="C66" s="1" t="s">
        <v>4006</v>
      </c>
      <c r="D66" s="1">
        <v>2021</v>
      </c>
      <c r="E66" s="1" t="str">
        <f t="shared" si="0"/>
        <v>CHANGANNEW CS15 ELITE HB 1.5 AUT2021</v>
      </c>
      <c r="F66" s="1" t="s">
        <v>1633</v>
      </c>
      <c r="G66" s="1">
        <v>8390000</v>
      </c>
      <c r="H66" s="1">
        <v>7000000</v>
      </c>
    </row>
    <row r="67" spans="1:8" ht="13.5" customHeight="1" x14ac:dyDescent="0.3">
      <c r="A67" s="1" t="s">
        <v>2494</v>
      </c>
      <c r="B67" s="1" t="s">
        <v>2494</v>
      </c>
      <c r="C67" s="1" t="s">
        <v>4007</v>
      </c>
      <c r="D67" s="1">
        <v>2022</v>
      </c>
      <c r="E67" s="1" t="str">
        <f t="shared" si="0"/>
        <v>CHANGANNEW CS35 LUX 1.4 AUT2022</v>
      </c>
      <c r="F67" s="1" t="s">
        <v>844</v>
      </c>
      <c r="G67" s="1">
        <v>10490000</v>
      </c>
      <c r="H67" s="1">
        <v>8600000</v>
      </c>
    </row>
    <row r="68" spans="1:8" ht="13.5" customHeight="1" x14ac:dyDescent="0.3">
      <c r="A68" s="1" t="s">
        <v>2494</v>
      </c>
      <c r="B68" s="1" t="s">
        <v>2494</v>
      </c>
      <c r="C68" s="1" t="s">
        <v>4008</v>
      </c>
      <c r="D68" s="1">
        <v>2022</v>
      </c>
      <c r="E68" s="1" t="str">
        <f t="shared" si="0"/>
        <v>CHANGANUNI T TURBO 1.5 AUT2022</v>
      </c>
      <c r="F68" s="1" t="s">
        <v>1769</v>
      </c>
      <c r="G68" s="1">
        <v>15990000</v>
      </c>
      <c r="H68" s="1">
        <v>14000000</v>
      </c>
    </row>
    <row r="69" spans="1:8" ht="13.5" customHeight="1" x14ac:dyDescent="0.3">
      <c r="A69" s="1" t="s">
        <v>2494</v>
      </c>
      <c r="B69" s="1" t="s">
        <v>2494</v>
      </c>
      <c r="C69" s="1" t="s">
        <v>4008</v>
      </c>
      <c r="D69" s="1">
        <v>2023</v>
      </c>
      <c r="E69" s="1" t="str">
        <f t="shared" si="0"/>
        <v>CHANGANUNI T TURBO 1.5 AUT2023</v>
      </c>
      <c r="F69" s="1" t="s">
        <v>1362</v>
      </c>
      <c r="G69" s="1">
        <v>17590000</v>
      </c>
      <c r="H69" s="1">
        <v>15000000</v>
      </c>
    </row>
    <row r="70" spans="1:8" ht="13.5" customHeight="1" x14ac:dyDescent="0.3">
      <c r="A70" s="1" t="s">
        <v>2494</v>
      </c>
      <c r="B70" s="1" t="s">
        <v>2495</v>
      </c>
      <c r="C70" s="1" t="s">
        <v>4009</v>
      </c>
      <c r="D70" s="1">
        <v>2023</v>
      </c>
      <c r="E70" s="1" t="str">
        <f t="shared" si="0"/>
        <v>CS15CS15 HB 4X2 1.52023</v>
      </c>
      <c r="F70" s="1" t="s">
        <v>420</v>
      </c>
      <c r="G70" s="1">
        <v>8390000</v>
      </c>
      <c r="H70" s="1">
        <v>7000000</v>
      </c>
    </row>
    <row r="71" spans="1:8" ht="13.5" customHeight="1" x14ac:dyDescent="0.3">
      <c r="A71" s="1" t="s">
        <v>2494</v>
      </c>
      <c r="B71" s="1" t="s">
        <v>2495</v>
      </c>
      <c r="C71" s="1" t="s">
        <v>4010</v>
      </c>
      <c r="D71" s="1">
        <v>2022</v>
      </c>
      <c r="E71" s="1" t="str">
        <f t="shared" si="0"/>
        <v>CS15NEW CS15 LUXURY 1.52022</v>
      </c>
      <c r="F71" s="1" t="s">
        <v>388</v>
      </c>
      <c r="G71" s="1">
        <v>7690000</v>
      </c>
      <c r="H71" s="1">
        <v>5700000</v>
      </c>
    </row>
    <row r="72" spans="1:8" ht="13.5" customHeight="1" x14ac:dyDescent="0.3">
      <c r="A72" s="1" t="s">
        <v>2494</v>
      </c>
      <c r="B72" s="1" t="s">
        <v>4011</v>
      </c>
      <c r="C72" s="1" t="s">
        <v>4012</v>
      </c>
      <c r="D72" s="1">
        <v>2025</v>
      </c>
      <c r="E72" s="1" t="str">
        <f t="shared" si="0"/>
        <v>CS35CS35 PLUS 1.4 AUT2025</v>
      </c>
      <c r="F72" s="1" t="s">
        <v>448</v>
      </c>
      <c r="G72" s="1">
        <v>12990000</v>
      </c>
      <c r="H72" s="1">
        <v>10000000</v>
      </c>
    </row>
    <row r="73" spans="1:8" ht="13.5" customHeight="1" x14ac:dyDescent="0.3">
      <c r="A73" s="1" t="s">
        <v>2494</v>
      </c>
      <c r="B73" s="1" t="s">
        <v>4013</v>
      </c>
      <c r="C73" s="1" t="s">
        <v>4014</v>
      </c>
      <c r="D73" s="1">
        <v>2023</v>
      </c>
      <c r="E73" s="1" t="str">
        <f t="shared" si="0"/>
        <v>M201M201 1.22023</v>
      </c>
      <c r="F73" s="1" t="s">
        <v>1038</v>
      </c>
      <c r="G73" s="1">
        <v>6790000</v>
      </c>
      <c r="H73" s="1">
        <v>4800000</v>
      </c>
    </row>
    <row r="74" spans="1:8" ht="13.5" customHeight="1" x14ac:dyDescent="0.3">
      <c r="A74" s="1" t="s">
        <v>2494</v>
      </c>
      <c r="B74" s="1" t="s">
        <v>4013</v>
      </c>
      <c r="C74" s="1" t="s">
        <v>4015</v>
      </c>
      <c r="D74" s="1">
        <v>2025</v>
      </c>
      <c r="E74" s="1" t="str">
        <f t="shared" si="0"/>
        <v>M201MS201 1.22025</v>
      </c>
      <c r="F74" s="1" t="s">
        <v>943</v>
      </c>
      <c r="G74" s="1">
        <v>8390000</v>
      </c>
      <c r="H74" s="1">
        <v>7000000</v>
      </c>
    </row>
    <row r="75" spans="1:8" ht="13.5" customHeight="1" x14ac:dyDescent="0.3">
      <c r="A75" s="1" t="s">
        <v>2494</v>
      </c>
      <c r="B75" s="1" t="s">
        <v>2779</v>
      </c>
      <c r="C75" s="1" t="s">
        <v>4016</v>
      </c>
      <c r="D75" s="1">
        <v>2022</v>
      </c>
      <c r="E75" s="1" t="str">
        <f t="shared" si="0"/>
        <v>UNI-TUNIT LUXURY 1.5 AUT2022</v>
      </c>
      <c r="F75" s="1" t="s">
        <v>734</v>
      </c>
      <c r="G75" s="1">
        <v>13590000</v>
      </c>
      <c r="H75" s="1">
        <v>11500000</v>
      </c>
    </row>
    <row r="76" spans="1:8" ht="13.5" customHeight="1" x14ac:dyDescent="0.3">
      <c r="A76" s="1" t="s">
        <v>28</v>
      </c>
      <c r="B76" s="1" t="s">
        <v>29</v>
      </c>
      <c r="C76" s="1" t="s">
        <v>4017</v>
      </c>
      <c r="D76" s="1">
        <v>2018</v>
      </c>
      <c r="E76" s="1" t="str">
        <f t="shared" si="0"/>
        <v>ARRIZO 3ARRIZO 3 GLS 1.52018</v>
      </c>
      <c r="F76" s="1" t="s">
        <v>2060</v>
      </c>
      <c r="G76" s="1">
        <v>5490000</v>
      </c>
      <c r="H76" s="1">
        <v>4089916</v>
      </c>
    </row>
    <row r="77" spans="1:8" ht="13.5" customHeight="1" x14ac:dyDescent="0.3">
      <c r="A77" s="1" t="s">
        <v>28</v>
      </c>
      <c r="B77" s="1" t="s">
        <v>29</v>
      </c>
      <c r="C77" s="1" t="s">
        <v>4017</v>
      </c>
      <c r="D77" s="1">
        <v>2018</v>
      </c>
      <c r="E77" s="1" t="str">
        <f t="shared" si="0"/>
        <v>ARRIZO 3ARRIZO 3 GLS 1.52018</v>
      </c>
      <c r="F77" s="1" t="s">
        <v>2087</v>
      </c>
      <c r="G77" s="1">
        <v>5700000</v>
      </c>
      <c r="H77" s="1">
        <v>4000000</v>
      </c>
    </row>
    <row r="78" spans="1:8" ht="13.5" customHeight="1" x14ac:dyDescent="0.3">
      <c r="A78" s="1" t="s">
        <v>28</v>
      </c>
      <c r="B78" s="1" t="s">
        <v>29</v>
      </c>
      <c r="C78" s="1" t="s">
        <v>4017</v>
      </c>
      <c r="D78" s="1">
        <v>2019</v>
      </c>
      <c r="E78" s="1" t="str">
        <f t="shared" si="0"/>
        <v>ARRIZO 3ARRIZO 3 GLS 1.52019</v>
      </c>
      <c r="F78" s="1" t="s">
        <v>4018</v>
      </c>
      <c r="G78" s="1">
        <v>6790000</v>
      </c>
      <c r="H78" s="1">
        <v>5000000</v>
      </c>
    </row>
    <row r="79" spans="1:8" ht="13.5" customHeight="1" x14ac:dyDescent="0.3">
      <c r="A79" s="1" t="s">
        <v>28</v>
      </c>
      <c r="B79" s="1" t="s">
        <v>4019</v>
      </c>
      <c r="C79" s="1" t="s">
        <v>4020</v>
      </c>
      <c r="D79" s="1">
        <v>2021</v>
      </c>
      <c r="E79" s="1" t="str">
        <f t="shared" si="0"/>
        <v>ARRIZO 5ARRIZO 5 1.52021</v>
      </c>
      <c r="F79" s="1" t="s">
        <v>1537</v>
      </c>
      <c r="G79" s="1">
        <v>6690000</v>
      </c>
      <c r="H79" s="1">
        <v>5500000</v>
      </c>
    </row>
    <row r="80" spans="1:8" ht="13.5" customHeight="1" x14ac:dyDescent="0.3">
      <c r="A80" s="1" t="s">
        <v>28</v>
      </c>
      <c r="B80" s="1" t="s">
        <v>4019</v>
      </c>
      <c r="C80" s="1" t="s">
        <v>4020</v>
      </c>
      <c r="D80" s="1">
        <v>2021</v>
      </c>
      <c r="E80" s="1" t="str">
        <f t="shared" si="0"/>
        <v>ARRIZO 5ARRIZO 5 1.52021</v>
      </c>
      <c r="F80" s="1" t="s">
        <v>1605</v>
      </c>
      <c r="G80" s="1">
        <v>6090000</v>
      </c>
      <c r="H80" s="1">
        <v>5000000</v>
      </c>
    </row>
    <row r="81" spans="1:8" ht="13.5" customHeight="1" x14ac:dyDescent="0.3">
      <c r="A81" s="1" t="s">
        <v>28</v>
      </c>
      <c r="B81" s="1" t="s">
        <v>4019</v>
      </c>
      <c r="C81" s="1" t="s">
        <v>4020</v>
      </c>
      <c r="D81" s="1">
        <v>2022</v>
      </c>
      <c r="E81" s="1" t="str">
        <f t="shared" si="0"/>
        <v>ARRIZO 5ARRIZO 5 1.52022</v>
      </c>
      <c r="F81" s="1" t="s">
        <v>983</v>
      </c>
      <c r="G81" s="1">
        <v>6990000</v>
      </c>
      <c r="H81" s="1">
        <v>5450000</v>
      </c>
    </row>
    <row r="82" spans="1:8" ht="13.5" customHeight="1" x14ac:dyDescent="0.3">
      <c r="A82" s="1" t="s">
        <v>28</v>
      </c>
      <c r="B82" s="1" t="s">
        <v>4019</v>
      </c>
      <c r="C82" s="1" t="s">
        <v>4021</v>
      </c>
      <c r="D82" s="1">
        <v>2020</v>
      </c>
      <c r="E82" s="1" t="str">
        <f t="shared" si="0"/>
        <v>ARRIZO 5ARRIZO 5 GLS 1.52020</v>
      </c>
      <c r="F82" s="1" t="s">
        <v>1588</v>
      </c>
      <c r="G82" s="1">
        <v>6090000</v>
      </c>
      <c r="H82" s="1">
        <v>5000000</v>
      </c>
    </row>
    <row r="83" spans="1:8" ht="13.5" customHeight="1" x14ac:dyDescent="0.3">
      <c r="A83" s="1" t="s">
        <v>28</v>
      </c>
      <c r="B83" s="1" t="s">
        <v>4022</v>
      </c>
      <c r="C83" s="1" t="s">
        <v>4023</v>
      </c>
      <c r="D83" s="1">
        <v>2015</v>
      </c>
      <c r="E83" s="1" t="str">
        <f t="shared" si="0"/>
        <v>GRAND TIGGOGRAND TIGGO GLS 2.02015</v>
      </c>
      <c r="F83" s="1" t="s">
        <v>2102</v>
      </c>
      <c r="G83" s="1">
        <v>7390000</v>
      </c>
      <c r="H83" s="1">
        <v>5500000</v>
      </c>
    </row>
    <row r="84" spans="1:8" ht="13.5" customHeight="1" x14ac:dyDescent="0.3">
      <c r="A84" s="1" t="s">
        <v>28</v>
      </c>
      <c r="B84" s="1" t="s">
        <v>3174</v>
      </c>
      <c r="C84" s="1" t="s">
        <v>4024</v>
      </c>
      <c r="D84" s="1">
        <v>2021</v>
      </c>
      <c r="E84" s="1" t="str">
        <f t="shared" si="0"/>
        <v>K60K60 GLS 1.52021</v>
      </c>
      <c r="F84" s="1" t="s">
        <v>2430</v>
      </c>
      <c r="G84" s="1">
        <v>10490000</v>
      </c>
      <c r="H84" s="1">
        <v>9800000</v>
      </c>
    </row>
    <row r="85" spans="1:8" ht="13.5" customHeight="1" x14ac:dyDescent="0.3">
      <c r="A85" s="1" t="s">
        <v>28</v>
      </c>
      <c r="B85" s="1" t="s">
        <v>2496</v>
      </c>
      <c r="C85" s="1" t="s">
        <v>4025</v>
      </c>
      <c r="D85" s="1">
        <v>2019</v>
      </c>
      <c r="E85" s="1" t="str">
        <f t="shared" si="0"/>
        <v>TIGGO 2TIGGO 2 1.52019</v>
      </c>
      <c r="F85" s="1" t="s">
        <v>1376</v>
      </c>
      <c r="G85" s="1">
        <v>6990000</v>
      </c>
      <c r="H85" s="1">
        <v>5800000</v>
      </c>
    </row>
    <row r="86" spans="1:8" ht="13.5" customHeight="1" x14ac:dyDescent="0.3">
      <c r="A86" s="1" t="s">
        <v>28</v>
      </c>
      <c r="B86" s="1" t="s">
        <v>2496</v>
      </c>
      <c r="C86" s="1" t="s">
        <v>4025</v>
      </c>
      <c r="D86" s="1">
        <v>2019</v>
      </c>
      <c r="E86" s="1" t="str">
        <f t="shared" si="0"/>
        <v>TIGGO 2TIGGO 2 1.52019</v>
      </c>
      <c r="F86" s="1" t="s">
        <v>1741</v>
      </c>
      <c r="G86" s="1">
        <v>6290000</v>
      </c>
      <c r="H86" s="1">
        <v>4800000</v>
      </c>
    </row>
    <row r="87" spans="1:8" ht="13.5" customHeight="1" x14ac:dyDescent="0.3">
      <c r="A87" s="1" t="s">
        <v>28</v>
      </c>
      <c r="B87" s="1" t="s">
        <v>2496</v>
      </c>
      <c r="C87" s="1" t="s">
        <v>4025</v>
      </c>
      <c r="D87" s="1">
        <v>2021</v>
      </c>
      <c r="E87" s="1" t="str">
        <f t="shared" si="0"/>
        <v>TIGGO 2TIGGO 2 1.52021</v>
      </c>
      <c r="F87" s="1" t="s">
        <v>1095</v>
      </c>
      <c r="G87" s="1">
        <v>6790000</v>
      </c>
      <c r="H87" s="1">
        <v>5200000</v>
      </c>
    </row>
    <row r="88" spans="1:8" ht="13.5" customHeight="1" x14ac:dyDescent="0.3">
      <c r="A88" s="1" t="s">
        <v>28</v>
      </c>
      <c r="B88" s="1" t="s">
        <v>2496</v>
      </c>
      <c r="C88" s="1" t="s">
        <v>4025</v>
      </c>
      <c r="D88" s="1">
        <v>2021</v>
      </c>
      <c r="E88" s="1" t="str">
        <f t="shared" si="0"/>
        <v>TIGGO 2TIGGO 2 1.52021</v>
      </c>
      <c r="F88" s="1" t="s">
        <v>1901</v>
      </c>
      <c r="G88" s="1">
        <v>8100000</v>
      </c>
      <c r="H88" s="1">
        <v>6300000</v>
      </c>
    </row>
    <row r="89" spans="1:8" ht="13.5" customHeight="1" x14ac:dyDescent="0.3">
      <c r="A89" s="1" t="s">
        <v>28</v>
      </c>
      <c r="B89" s="1" t="s">
        <v>2496</v>
      </c>
      <c r="C89" s="1" t="s">
        <v>4025</v>
      </c>
      <c r="D89" s="1">
        <v>2021</v>
      </c>
      <c r="E89" s="1" t="str">
        <f t="shared" si="0"/>
        <v>TIGGO 2TIGGO 2 1.52021</v>
      </c>
      <c r="F89" s="1" t="s">
        <v>1798</v>
      </c>
      <c r="G89" s="1">
        <v>6827515</v>
      </c>
      <c r="H89" s="1">
        <v>6000000</v>
      </c>
    </row>
    <row r="90" spans="1:8" ht="13.5" customHeight="1" x14ac:dyDescent="0.3">
      <c r="A90" s="1" t="s">
        <v>28</v>
      </c>
      <c r="B90" s="1" t="s">
        <v>2496</v>
      </c>
      <c r="C90" s="1" t="s">
        <v>4025</v>
      </c>
      <c r="D90" s="1">
        <v>2021</v>
      </c>
      <c r="E90" s="1" t="str">
        <f t="shared" si="0"/>
        <v>TIGGO 2TIGGO 2 1.52021</v>
      </c>
      <c r="F90" s="1" t="s">
        <v>1747</v>
      </c>
      <c r="G90" s="1">
        <v>7990000</v>
      </c>
      <c r="H90" s="1">
        <v>6000000</v>
      </c>
    </row>
    <row r="91" spans="1:8" ht="13.5" customHeight="1" x14ac:dyDescent="0.3">
      <c r="A91" s="1" t="s">
        <v>28</v>
      </c>
      <c r="B91" s="1" t="s">
        <v>2496</v>
      </c>
      <c r="C91" s="1" t="s">
        <v>4025</v>
      </c>
      <c r="D91" s="1">
        <v>2021</v>
      </c>
      <c r="E91" s="1" t="str">
        <f t="shared" si="0"/>
        <v>TIGGO 2TIGGO 2 1.52021</v>
      </c>
      <c r="F91" s="1" t="s">
        <v>955</v>
      </c>
      <c r="G91" s="1">
        <v>6490000</v>
      </c>
      <c r="H91" s="1">
        <v>5100000</v>
      </c>
    </row>
    <row r="92" spans="1:8" ht="13.5" customHeight="1" x14ac:dyDescent="0.3">
      <c r="A92" s="1" t="s">
        <v>28</v>
      </c>
      <c r="B92" s="1" t="s">
        <v>2496</v>
      </c>
      <c r="C92" s="1" t="s">
        <v>4025</v>
      </c>
      <c r="D92" s="1">
        <v>2022</v>
      </c>
      <c r="E92" s="1" t="str">
        <f t="shared" si="0"/>
        <v>TIGGO 2TIGGO 2 1.52022</v>
      </c>
      <c r="F92" s="1" t="s">
        <v>526</v>
      </c>
      <c r="G92" s="1">
        <v>6890000</v>
      </c>
      <c r="H92" s="1">
        <v>5500000</v>
      </c>
    </row>
    <row r="93" spans="1:8" ht="13.5" customHeight="1" x14ac:dyDescent="0.3">
      <c r="A93" s="1" t="s">
        <v>28</v>
      </c>
      <c r="B93" s="1" t="s">
        <v>2496</v>
      </c>
      <c r="C93" s="1" t="s">
        <v>4025</v>
      </c>
      <c r="D93" s="1">
        <v>2022</v>
      </c>
      <c r="E93" s="1" t="str">
        <f t="shared" si="0"/>
        <v>TIGGO 2TIGGO 2 1.52022</v>
      </c>
      <c r="F93" s="1" t="s">
        <v>2129</v>
      </c>
      <c r="G93" s="1">
        <v>7290000</v>
      </c>
      <c r="H93" s="1">
        <v>6400000</v>
      </c>
    </row>
    <row r="94" spans="1:8" ht="13.5" customHeight="1" x14ac:dyDescent="0.3">
      <c r="A94" s="1" t="s">
        <v>28</v>
      </c>
      <c r="B94" s="1" t="s">
        <v>2496</v>
      </c>
      <c r="C94" s="1" t="s">
        <v>4025</v>
      </c>
      <c r="D94" s="1">
        <v>2022</v>
      </c>
      <c r="E94" s="1" t="str">
        <f t="shared" si="0"/>
        <v>TIGGO 2TIGGO 2 1.52022</v>
      </c>
      <c r="F94" s="1" t="s">
        <v>1391</v>
      </c>
      <c r="G94" s="1">
        <v>7990000</v>
      </c>
      <c r="H94" s="1">
        <v>6000000</v>
      </c>
    </row>
    <row r="95" spans="1:8" ht="13.5" customHeight="1" x14ac:dyDescent="0.3">
      <c r="A95" s="1" t="s">
        <v>28</v>
      </c>
      <c r="B95" s="1" t="s">
        <v>2496</v>
      </c>
      <c r="C95" s="1" t="s">
        <v>4025</v>
      </c>
      <c r="D95" s="1">
        <v>2022</v>
      </c>
      <c r="E95" s="1" t="str">
        <f t="shared" si="0"/>
        <v>TIGGO 2TIGGO 2 1.52022</v>
      </c>
      <c r="F95" s="1" t="s">
        <v>454</v>
      </c>
      <c r="G95" s="1">
        <v>7990000</v>
      </c>
      <c r="H95" s="1">
        <v>6600000</v>
      </c>
    </row>
    <row r="96" spans="1:8" ht="13.5" customHeight="1" x14ac:dyDescent="0.3">
      <c r="A96" s="1" t="s">
        <v>28</v>
      </c>
      <c r="B96" s="1" t="s">
        <v>2496</v>
      </c>
      <c r="C96" s="1" t="s">
        <v>4025</v>
      </c>
      <c r="D96" s="1">
        <v>2022</v>
      </c>
      <c r="E96" s="1" t="str">
        <f t="shared" si="0"/>
        <v>TIGGO 2TIGGO 2 1.52022</v>
      </c>
      <c r="F96" s="1" t="s">
        <v>749</v>
      </c>
      <c r="G96" s="1">
        <v>6690000</v>
      </c>
      <c r="H96" s="1">
        <v>5350000</v>
      </c>
    </row>
    <row r="97" spans="1:8" ht="13.5" customHeight="1" x14ac:dyDescent="0.3">
      <c r="A97" s="1" t="s">
        <v>28</v>
      </c>
      <c r="B97" s="1" t="s">
        <v>2496</v>
      </c>
      <c r="C97" s="1" t="s">
        <v>4025</v>
      </c>
      <c r="D97" s="1">
        <v>2022</v>
      </c>
      <c r="E97" s="1" t="str">
        <f t="shared" si="0"/>
        <v>TIGGO 2TIGGO 2 1.52022</v>
      </c>
      <c r="F97" s="1" t="s">
        <v>830</v>
      </c>
      <c r="G97" s="1">
        <v>8390000</v>
      </c>
      <c r="H97" s="1">
        <v>7000000</v>
      </c>
    </row>
    <row r="98" spans="1:8" ht="13.5" customHeight="1" x14ac:dyDescent="0.3">
      <c r="A98" s="1" t="s">
        <v>28</v>
      </c>
      <c r="B98" s="1" t="s">
        <v>2496</v>
      </c>
      <c r="C98" s="1" t="s">
        <v>4025</v>
      </c>
      <c r="D98" s="1">
        <v>2023</v>
      </c>
      <c r="E98" s="1" t="str">
        <f t="shared" si="0"/>
        <v>TIGGO 2TIGGO 2 1.52023</v>
      </c>
      <c r="F98" s="1" t="s">
        <v>1102</v>
      </c>
      <c r="G98" s="1">
        <v>8390000</v>
      </c>
      <c r="H98" s="1">
        <v>7000000</v>
      </c>
    </row>
    <row r="99" spans="1:8" ht="13.5" customHeight="1" x14ac:dyDescent="0.3">
      <c r="A99" s="1" t="s">
        <v>28</v>
      </c>
      <c r="B99" s="1" t="s">
        <v>2496</v>
      </c>
      <c r="C99" s="1" t="s">
        <v>4026</v>
      </c>
      <c r="D99" s="1">
        <v>2019</v>
      </c>
      <c r="E99" s="1" t="str">
        <f t="shared" si="0"/>
        <v>TIGGO 2TIGGO 2 GL 1.52019</v>
      </c>
      <c r="F99" s="1" t="s">
        <v>1829</v>
      </c>
      <c r="G99" s="1">
        <v>5990000</v>
      </c>
      <c r="H99" s="1">
        <v>4800000</v>
      </c>
    </row>
    <row r="100" spans="1:8" ht="13.5" customHeight="1" x14ac:dyDescent="0.3">
      <c r="A100" s="1" t="s">
        <v>28</v>
      </c>
      <c r="B100" s="1" t="s">
        <v>2496</v>
      </c>
      <c r="C100" s="1" t="s">
        <v>4027</v>
      </c>
      <c r="D100" s="1">
        <v>2018</v>
      </c>
      <c r="E100" s="1" t="str">
        <f t="shared" si="0"/>
        <v>TIGGO 2TIGGO 2 GLS 1.52018</v>
      </c>
      <c r="F100" s="1" t="s">
        <v>1611</v>
      </c>
      <c r="G100" s="1">
        <v>6690000</v>
      </c>
      <c r="H100" s="1">
        <v>5474790</v>
      </c>
    </row>
    <row r="101" spans="1:8" ht="13.5" customHeight="1" x14ac:dyDescent="0.3">
      <c r="A101" s="1" t="s">
        <v>28</v>
      </c>
      <c r="B101" s="1" t="s">
        <v>2496</v>
      </c>
      <c r="C101" s="1" t="s">
        <v>4027</v>
      </c>
      <c r="D101" s="1">
        <v>2019</v>
      </c>
      <c r="E101" s="1" t="str">
        <f t="shared" si="0"/>
        <v>TIGGO 2TIGGO 2 GLS 1.52019</v>
      </c>
      <c r="F101" s="1" t="s">
        <v>1607</v>
      </c>
      <c r="G101" s="1">
        <v>6690000</v>
      </c>
      <c r="H101" s="1">
        <v>5500000</v>
      </c>
    </row>
    <row r="102" spans="1:8" ht="13.5" customHeight="1" x14ac:dyDescent="0.3">
      <c r="A102" s="1" t="s">
        <v>28</v>
      </c>
      <c r="B102" s="1" t="s">
        <v>2496</v>
      </c>
      <c r="C102" s="1" t="s">
        <v>4027</v>
      </c>
      <c r="D102" s="1">
        <v>2019</v>
      </c>
      <c r="E102" s="1" t="str">
        <f t="shared" si="0"/>
        <v>TIGGO 2TIGGO 2 GLS 1.52019</v>
      </c>
      <c r="F102" s="1" t="s">
        <v>1715</v>
      </c>
      <c r="G102" s="1">
        <v>6514620</v>
      </c>
      <c r="H102" s="1">
        <v>5350000</v>
      </c>
    </row>
    <row r="103" spans="1:8" ht="13.5" customHeight="1" x14ac:dyDescent="0.3">
      <c r="A103" s="1" t="s">
        <v>28</v>
      </c>
      <c r="B103" s="1" t="s">
        <v>2496</v>
      </c>
      <c r="C103" s="1" t="s">
        <v>4027</v>
      </c>
      <c r="D103" s="1">
        <v>2020</v>
      </c>
      <c r="E103" s="1" t="str">
        <f t="shared" si="0"/>
        <v>TIGGO 2TIGGO 2 GLS 1.52020</v>
      </c>
      <c r="F103" s="1" t="s">
        <v>1165</v>
      </c>
      <c r="G103" s="1">
        <v>6990000</v>
      </c>
      <c r="H103" s="1">
        <v>5300000</v>
      </c>
    </row>
    <row r="104" spans="1:8" ht="13.5" customHeight="1" x14ac:dyDescent="0.3">
      <c r="A104" s="1" t="s">
        <v>28</v>
      </c>
      <c r="B104" s="1" t="s">
        <v>2496</v>
      </c>
      <c r="C104" s="1" t="s">
        <v>4027</v>
      </c>
      <c r="D104" s="1">
        <v>2021</v>
      </c>
      <c r="E104" s="1" t="str">
        <f t="shared" si="0"/>
        <v>TIGGO 2TIGGO 2 GLS 1.52021</v>
      </c>
      <c r="F104" s="1" t="s">
        <v>862</v>
      </c>
      <c r="G104" s="1">
        <v>7290000</v>
      </c>
      <c r="H104" s="1">
        <v>5800000</v>
      </c>
    </row>
    <row r="105" spans="1:8" ht="13.5" customHeight="1" x14ac:dyDescent="0.3">
      <c r="A105" s="1" t="s">
        <v>28</v>
      </c>
      <c r="B105" s="1" t="s">
        <v>2496</v>
      </c>
      <c r="C105" s="1" t="s">
        <v>4028</v>
      </c>
      <c r="D105" s="1">
        <v>2022</v>
      </c>
      <c r="E105" s="1" t="str">
        <f t="shared" si="0"/>
        <v>TIGGO 2TIGGO 2 GLS 1.5 AUT2022</v>
      </c>
      <c r="F105" s="1" t="s">
        <v>642</v>
      </c>
      <c r="G105" s="1">
        <v>8290000</v>
      </c>
      <c r="H105" s="1">
        <v>6600000</v>
      </c>
    </row>
    <row r="106" spans="1:8" ht="13.5" customHeight="1" x14ac:dyDescent="0.3">
      <c r="A106" s="1" t="s">
        <v>28</v>
      </c>
      <c r="B106" s="1" t="s">
        <v>2496</v>
      </c>
      <c r="C106" s="1" t="s">
        <v>4029</v>
      </c>
      <c r="D106" s="1">
        <v>2021</v>
      </c>
      <c r="E106" s="1" t="str">
        <f t="shared" si="0"/>
        <v>TIGGO 2TIGGO 2 GLS CVT 1.5 AUT2021</v>
      </c>
      <c r="F106" s="1" t="s">
        <v>1334</v>
      </c>
      <c r="G106" s="1">
        <v>8690000</v>
      </c>
      <c r="H106" s="1">
        <v>7200000</v>
      </c>
    </row>
    <row r="107" spans="1:8" ht="13.5" customHeight="1" x14ac:dyDescent="0.3">
      <c r="A107" s="1" t="s">
        <v>28</v>
      </c>
      <c r="B107" s="1" t="s">
        <v>2496</v>
      </c>
      <c r="C107" s="1" t="s">
        <v>4029</v>
      </c>
      <c r="D107" s="1">
        <v>2021</v>
      </c>
      <c r="E107" s="1" t="str">
        <f t="shared" si="0"/>
        <v>TIGGO 2TIGGO 2 GLS CVT 1.5 AUT2021</v>
      </c>
      <c r="F107" s="1" t="s">
        <v>1390</v>
      </c>
      <c r="G107" s="1">
        <v>8790000</v>
      </c>
      <c r="H107" s="1">
        <v>7300000</v>
      </c>
    </row>
    <row r="108" spans="1:8" ht="13.5" customHeight="1" x14ac:dyDescent="0.3">
      <c r="A108" s="1" t="s">
        <v>28</v>
      </c>
      <c r="B108" s="1" t="s">
        <v>2496</v>
      </c>
      <c r="C108" s="1" t="s">
        <v>4029</v>
      </c>
      <c r="D108" s="1">
        <v>2022</v>
      </c>
      <c r="E108" s="1" t="str">
        <f t="shared" si="0"/>
        <v>TIGGO 2TIGGO 2 GLS CVT 1.5 AUT2022</v>
      </c>
      <c r="F108" s="1" t="s">
        <v>2290</v>
      </c>
      <c r="G108" s="1">
        <v>9990000</v>
      </c>
      <c r="H108" s="1">
        <v>8500000</v>
      </c>
    </row>
    <row r="109" spans="1:8" ht="13.5" customHeight="1" x14ac:dyDescent="0.3">
      <c r="A109" s="1" t="s">
        <v>28</v>
      </c>
      <c r="B109" s="1" t="s">
        <v>2496</v>
      </c>
      <c r="C109" s="1" t="s">
        <v>4029</v>
      </c>
      <c r="D109" s="1">
        <v>2023</v>
      </c>
      <c r="E109" s="1" t="str">
        <f t="shared" si="0"/>
        <v>TIGGO 2TIGGO 2 GLS CVT 1.5 AUT2023</v>
      </c>
      <c r="F109" s="1" t="s">
        <v>1886</v>
      </c>
      <c r="G109" s="1">
        <v>8790000</v>
      </c>
      <c r="H109" s="1">
        <v>7100000</v>
      </c>
    </row>
    <row r="110" spans="1:8" ht="13.5" customHeight="1" x14ac:dyDescent="0.3">
      <c r="A110" s="1" t="s">
        <v>28</v>
      </c>
      <c r="B110" s="1" t="s">
        <v>2496</v>
      </c>
      <c r="C110" s="1" t="s">
        <v>4029</v>
      </c>
      <c r="D110" s="1">
        <v>2023</v>
      </c>
      <c r="E110" s="1" t="str">
        <f t="shared" si="0"/>
        <v>TIGGO 2TIGGO 2 GLS CVT 1.5 AUT2023</v>
      </c>
      <c r="F110" s="1" t="s">
        <v>2148</v>
      </c>
      <c r="G110" s="1">
        <v>9990000</v>
      </c>
      <c r="H110" s="1">
        <v>8990000</v>
      </c>
    </row>
    <row r="111" spans="1:8" ht="13.5" customHeight="1" x14ac:dyDescent="0.3">
      <c r="A111" s="1" t="s">
        <v>28</v>
      </c>
      <c r="B111" s="1" t="s">
        <v>2496</v>
      </c>
      <c r="C111" s="1" t="s">
        <v>4029</v>
      </c>
      <c r="D111" s="1">
        <v>2023</v>
      </c>
      <c r="E111" s="1" t="str">
        <f t="shared" si="0"/>
        <v>TIGGO 2TIGGO 2 GLS CVT 1.5 AUT2023</v>
      </c>
      <c r="F111" s="1" t="s">
        <v>606</v>
      </c>
      <c r="G111" s="1">
        <v>8790000</v>
      </c>
      <c r="H111" s="1">
        <v>7000000</v>
      </c>
    </row>
    <row r="112" spans="1:8" ht="13.5" customHeight="1" x14ac:dyDescent="0.3">
      <c r="A112" s="1" t="s">
        <v>28</v>
      </c>
      <c r="B112" s="1" t="s">
        <v>2496</v>
      </c>
      <c r="C112" s="1" t="s">
        <v>4029</v>
      </c>
      <c r="D112" s="1">
        <v>2023</v>
      </c>
      <c r="E112" s="1" t="str">
        <f t="shared" si="0"/>
        <v>TIGGO 2TIGGO 2 GLS CVT 1.5 AUT2023</v>
      </c>
      <c r="F112" s="1" t="s">
        <v>451</v>
      </c>
      <c r="G112" s="1">
        <v>9190000</v>
      </c>
      <c r="H112" s="1">
        <v>7500000</v>
      </c>
    </row>
    <row r="113" spans="1:8" ht="13.5" customHeight="1" x14ac:dyDescent="0.3">
      <c r="A113" s="1" t="s">
        <v>28</v>
      </c>
      <c r="B113" s="1" t="s">
        <v>2496</v>
      </c>
      <c r="C113" s="1" t="s">
        <v>4029</v>
      </c>
      <c r="D113" s="1">
        <v>2024</v>
      </c>
      <c r="E113" s="1" t="str">
        <f t="shared" si="0"/>
        <v>TIGGO 2TIGGO 2 GLS CVT 1.5 AUT2024</v>
      </c>
      <c r="F113" s="1" t="s">
        <v>417</v>
      </c>
      <c r="G113" s="1">
        <v>8347530</v>
      </c>
      <c r="H113" s="1">
        <v>8100000</v>
      </c>
    </row>
    <row r="114" spans="1:8" ht="13.5" customHeight="1" x14ac:dyDescent="0.3">
      <c r="A114" s="1" t="s">
        <v>28</v>
      </c>
      <c r="B114" s="1" t="s">
        <v>2496</v>
      </c>
      <c r="C114" s="1" t="s">
        <v>4030</v>
      </c>
      <c r="D114" s="1">
        <v>2021</v>
      </c>
      <c r="E114" s="1" t="str">
        <f t="shared" si="0"/>
        <v>TIGGO 2TIGGO 2 GLS MT 1.52021</v>
      </c>
      <c r="F114" s="1" t="s">
        <v>925</v>
      </c>
      <c r="G114" s="1">
        <v>6990000</v>
      </c>
      <c r="H114" s="1">
        <v>5900000</v>
      </c>
    </row>
    <row r="115" spans="1:8" ht="13.5" customHeight="1" x14ac:dyDescent="0.3">
      <c r="A115" s="1" t="s">
        <v>28</v>
      </c>
      <c r="B115" s="1" t="s">
        <v>2496</v>
      </c>
      <c r="C115" s="1" t="s">
        <v>4030</v>
      </c>
      <c r="D115" s="1">
        <v>2021</v>
      </c>
      <c r="E115" s="1" t="str">
        <f t="shared" si="0"/>
        <v>TIGGO 2TIGGO 2 GLS MT 1.52021</v>
      </c>
      <c r="F115" s="1" t="s">
        <v>1788</v>
      </c>
      <c r="G115" s="1">
        <v>7490000</v>
      </c>
      <c r="H115" s="1">
        <v>5300000</v>
      </c>
    </row>
    <row r="116" spans="1:8" ht="13.5" customHeight="1" x14ac:dyDescent="0.3">
      <c r="A116" s="1" t="s">
        <v>28</v>
      </c>
      <c r="B116" s="1" t="s">
        <v>2496</v>
      </c>
      <c r="C116" s="1" t="s">
        <v>4030</v>
      </c>
      <c r="D116" s="1">
        <v>2022</v>
      </c>
      <c r="E116" s="1" t="str">
        <f t="shared" si="0"/>
        <v>TIGGO 2TIGGO 2 GLS MT 1.52022</v>
      </c>
      <c r="F116" s="1" t="s">
        <v>333</v>
      </c>
      <c r="G116" s="1">
        <v>7490000</v>
      </c>
      <c r="H116" s="1">
        <v>6150000</v>
      </c>
    </row>
    <row r="117" spans="1:8" ht="13.5" customHeight="1" x14ac:dyDescent="0.3">
      <c r="A117" s="1" t="s">
        <v>28</v>
      </c>
      <c r="B117" s="1" t="s">
        <v>2496</v>
      </c>
      <c r="C117" s="1" t="s">
        <v>4030</v>
      </c>
      <c r="D117" s="1">
        <v>2022</v>
      </c>
      <c r="E117" s="1" t="str">
        <f t="shared" si="0"/>
        <v>TIGGO 2TIGGO 2 GLS MT 1.52022</v>
      </c>
      <c r="F117" s="1" t="s">
        <v>379</v>
      </c>
      <c r="G117" s="1">
        <v>7490000</v>
      </c>
      <c r="H117" s="1">
        <v>6000000</v>
      </c>
    </row>
    <row r="118" spans="1:8" ht="13.5" customHeight="1" x14ac:dyDescent="0.3">
      <c r="A118" s="1" t="s">
        <v>28</v>
      </c>
      <c r="B118" s="1" t="s">
        <v>2496</v>
      </c>
      <c r="C118" s="1" t="s">
        <v>4030</v>
      </c>
      <c r="D118" s="1">
        <v>2023</v>
      </c>
      <c r="E118" s="1" t="str">
        <f t="shared" si="0"/>
        <v>TIGGO 2TIGGO 2 GLS MT 1.52023</v>
      </c>
      <c r="F118" s="1" t="s">
        <v>528</v>
      </c>
      <c r="G118" s="1">
        <v>7890000</v>
      </c>
      <c r="H118" s="1">
        <v>6500000</v>
      </c>
    </row>
    <row r="119" spans="1:8" ht="13.5" customHeight="1" x14ac:dyDescent="0.3">
      <c r="A119" s="1" t="s">
        <v>28</v>
      </c>
      <c r="B119" s="1" t="s">
        <v>2496</v>
      </c>
      <c r="C119" s="1" t="s">
        <v>4030</v>
      </c>
      <c r="D119" s="1">
        <v>2023</v>
      </c>
      <c r="E119" s="1" t="str">
        <f t="shared" si="0"/>
        <v>TIGGO 2TIGGO 2 GLS MT 1.52023</v>
      </c>
      <c r="F119" s="1" t="s">
        <v>342</v>
      </c>
      <c r="G119" s="1">
        <v>8289000</v>
      </c>
      <c r="H119" s="1">
        <v>6550000</v>
      </c>
    </row>
    <row r="120" spans="1:8" ht="13.5" customHeight="1" x14ac:dyDescent="0.3">
      <c r="A120" s="1" t="s">
        <v>28</v>
      </c>
      <c r="B120" s="1" t="s">
        <v>2496</v>
      </c>
      <c r="C120" s="1" t="s">
        <v>4030</v>
      </c>
      <c r="D120" s="1">
        <v>2023</v>
      </c>
      <c r="E120" s="1" t="str">
        <f t="shared" si="0"/>
        <v>TIGGO 2TIGGO 2 GLS MT 1.52023</v>
      </c>
      <c r="F120" s="1" t="s">
        <v>905</v>
      </c>
      <c r="G120" s="1">
        <v>7990000</v>
      </c>
      <c r="H120" s="1">
        <v>6600000</v>
      </c>
    </row>
    <row r="121" spans="1:8" ht="13.5" customHeight="1" x14ac:dyDescent="0.3">
      <c r="A121" s="1" t="s">
        <v>28</v>
      </c>
      <c r="B121" s="1" t="s">
        <v>2496</v>
      </c>
      <c r="C121" s="1" t="s">
        <v>4030</v>
      </c>
      <c r="D121" s="1">
        <v>2024</v>
      </c>
      <c r="E121" s="1" t="str">
        <f t="shared" si="0"/>
        <v>TIGGO 2TIGGO 2 GLS MT 1.52024</v>
      </c>
      <c r="F121" s="1" t="s">
        <v>530</v>
      </c>
      <c r="G121" s="1">
        <v>9590000</v>
      </c>
      <c r="H121" s="1">
        <v>8000000</v>
      </c>
    </row>
    <row r="122" spans="1:8" ht="13.5" customHeight="1" x14ac:dyDescent="0.3">
      <c r="A122" s="1" t="s">
        <v>28</v>
      </c>
      <c r="B122" s="1" t="s">
        <v>2496</v>
      </c>
      <c r="C122" s="1" t="s">
        <v>4031</v>
      </c>
      <c r="D122" s="1">
        <v>2018</v>
      </c>
      <c r="E122" s="1" t="str">
        <f t="shared" si="0"/>
        <v>TIGGO 2TIGGO 2 GLX 1.52018</v>
      </c>
      <c r="F122" s="1" t="s">
        <v>2100</v>
      </c>
      <c r="G122" s="1">
        <v>7390000</v>
      </c>
      <c r="H122" s="1">
        <v>5500000</v>
      </c>
    </row>
    <row r="123" spans="1:8" ht="13.5" customHeight="1" x14ac:dyDescent="0.3">
      <c r="A123" s="1" t="s">
        <v>28</v>
      </c>
      <c r="B123" s="1" t="s">
        <v>2496</v>
      </c>
      <c r="C123" s="1" t="s">
        <v>4031</v>
      </c>
      <c r="D123" s="1">
        <v>2018</v>
      </c>
      <c r="E123" s="1" t="str">
        <f t="shared" si="0"/>
        <v>TIGGO 2TIGGO 2 GLX 1.52018</v>
      </c>
      <c r="F123" s="1" t="s">
        <v>1566</v>
      </c>
      <c r="G123" s="1">
        <v>5490000</v>
      </c>
      <c r="H123" s="1">
        <v>4500000</v>
      </c>
    </row>
    <row r="124" spans="1:8" ht="13.5" customHeight="1" x14ac:dyDescent="0.3">
      <c r="A124" s="1" t="s">
        <v>28</v>
      </c>
      <c r="B124" s="1" t="s">
        <v>2496</v>
      </c>
      <c r="C124" s="1" t="s">
        <v>4031</v>
      </c>
      <c r="D124" s="1">
        <v>2019</v>
      </c>
      <c r="E124" s="1" t="str">
        <f t="shared" si="0"/>
        <v>TIGGO 2TIGGO 2 GLX 1.52019</v>
      </c>
      <c r="F124" s="1" t="s">
        <v>511</v>
      </c>
      <c r="G124" s="1">
        <v>7290000</v>
      </c>
      <c r="H124" s="1">
        <v>4500000</v>
      </c>
    </row>
    <row r="125" spans="1:8" ht="13.5" customHeight="1" x14ac:dyDescent="0.3">
      <c r="A125" s="1" t="s">
        <v>28</v>
      </c>
      <c r="B125" s="1" t="s">
        <v>2496</v>
      </c>
      <c r="C125" s="1" t="s">
        <v>4031</v>
      </c>
      <c r="D125" s="1">
        <v>2021</v>
      </c>
      <c r="E125" s="1" t="str">
        <f t="shared" si="0"/>
        <v>TIGGO 2TIGGO 2 GLX 1.52021</v>
      </c>
      <c r="F125" s="1" t="s">
        <v>346</v>
      </c>
      <c r="G125" s="1">
        <v>6790000</v>
      </c>
      <c r="H125" s="1">
        <v>5400000</v>
      </c>
    </row>
    <row r="126" spans="1:8" ht="13.5" customHeight="1" x14ac:dyDescent="0.3">
      <c r="A126" s="1" t="s">
        <v>28</v>
      </c>
      <c r="B126" s="1" t="s">
        <v>2496</v>
      </c>
      <c r="C126" s="1" t="s">
        <v>4031</v>
      </c>
      <c r="D126" s="1">
        <v>2021</v>
      </c>
      <c r="E126" s="1" t="str">
        <f t="shared" si="0"/>
        <v>TIGGO 2TIGGO 2 GLX 1.52021</v>
      </c>
      <c r="F126" s="1" t="s">
        <v>2104</v>
      </c>
      <c r="G126" s="1">
        <v>7490000</v>
      </c>
      <c r="H126" s="1">
        <v>6000000</v>
      </c>
    </row>
    <row r="127" spans="1:8" ht="13.5" customHeight="1" x14ac:dyDescent="0.3">
      <c r="A127" s="1" t="s">
        <v>28</v>
      </c>
      <c r="B127" s="1" t="s">
        <v>2496</v>
      </c>
      <c r="C127" s="1" t="s">
        <v>4031</v>
      </c>
      <c r="D127" s="1">
        <v>2021</v>
      </c>
      <c r="E127" s="1" t="str">
        <f t="shared" si="0"/>
        <v>TIGGO 2TIGGO 2 GLX 1.52021</v>
      </c>
      <c r="F127" s="1" t="s">
        <v>1819</v>
      </c>
      <c r="G127" s="1">
        <v>7290000</v>
      </c>
      <c r="H127" s="1">
        <v>5392348</v>
      </c>
    </row>
    <row r="128" spans="1:8" ht="13.5" customHeight="1" x14ac:dyDescent="0.3">
      <c r="A128" s="1" t="s">
        <v>28</v>
      </c>
      <c r="B128" s="1" t="s">
        <v>2496</v>
      </c>
      <c r="C128" s="1" t="s">
        <v>4032</v>
      </c>
      <c r="D128" s="1">
        <v>2022</v>
      </c>
      <c r="E128" s="1" t="str">
        <f t="shared" si="0"/>
        <v>TIGGO 2TIGGO 2 PRO GLS MT 1.52022</v>
      </c>
      <c r="F128" s="1" t="s">
        <v>2421</v>
      </c>
      <c r="G128" s="1">
        <v>9990000</v>
      </c>
      <c r="H128" s="1">
        <v>10200000</v>
      </c>
    </row>
    <row r="129" spans="1:8" ht="13.5" customHeight="1" x14ac:dyDescent="0.3">
      <c r="A129" s="1" t="s">
        <v>28</v>
      </c>
      <c r="B129" s="1" t="s">
        <v>2496</v>
      </c>
      <c r="C129" s="1" t="s">
        <v>4032</v>
      </c>
      <c r="D129" s="1">
        <v>2023</v>
      </c>
      <c r="E129" s="1" t="str">
        <f t="shared" si="0"/>
        <v>TIGGO 2TIGGO 2 PRO GLS MT 1.52023</v>
      </c>
      <c r="F129" s="1" t="s">
        <v>579</v>
      </c>
      <c r="G129" s="1">
        <v>8090560</v>
      </c>
      <c r="H129" s="1">
        <v>6800000</v>
      </c>
    </row>
    <row r="130" spans="1:8" ht="13.5" customHeight="1" x14ac:dyDescent="0.3">
      <c r="A130" s="1" t="s">
        <v>28</v>
      </c>
      <c r="B130" s="1" t="s">
        <v>2575</v>
      </c>
      <c r="C130" s="1" t="s">
        <v>4033</v>
      </c>
      <c r="D130" s="1">
        <v>2024</v>
      </c>
      <c r="E130" s="1" t="str">
        <f t="shared" si="0"/>
        <v>TIGGO 2 PROFL GLS 1.52024</v>
      </c>
      <c r="F130" s="1" t="s">
        <v>689</v>
      </c>
      <c r="G130" s="1">
        <v>10390000</v>
      </c>
      <c r="H130" s="1">
        <v>9000000</v>
      </c>
    </row>
    <row r="131" spans="1:8" ht="13.5" customHeight="1" x14ac:dyDescent="0.3">
      <c r="A131" s="1" t="s">
        <v>28</v>
      </c>
      <c r="B131" s="1" t="s">
        <v>2575</v>
      </c>
      <c r="C131" s="1" t="s">
        <v>4034</v>
      </c>
      <c r="D131" s="1">
        <v>2021</v>
      </c>
      <c r="E131" s="1" t="str">
        <f t="shared" si="0"/>
        <v>TIGGO 2 PROTIGGO 2 GLS CVT PRO 1.5 AUT2021</v>
      </c>
      <c r="F131" s="1" t="s">
        <v>1739</v>
      </c>
      <c r="G131" s="1">
        <v>16380000</v>
      </c>
      <c r="H131" s="1">
        <v>13600000</v>
      </c>
    </row>
    <row r="132" spans="1:8" ht="13.5" customHeight="1" x14ac:dyDescent="0.3">
      <c r="A132" s="1" t="s">
        <v>28</v>
      </c>
      <c r="B132" s="1" t="s">
        <v>2575</v>
      </c>
      <c r="C132" s="1" t="s">
        <v>4034</v>
      </c>
      <c r="D132" s="1">
        <v>2022</v>
      </c>
      <c r="E132" s="1" t="str">
        <f t="shared" si="0"/>
        <v>TIGGO 2 PROTIGGO 2 GLS CVT PRO 1.5 AUT2022</v>
      </c>
      <c r="F132" s="1" t="s">
        <v>669</v>
      </c>
      <c r="G132" s="1">
        <v>7890000</v>
      </c>
      <c r="H132" s="1">
        <v>6450000</v>
      </c>
    </row>
    <row r="133" spans="1:8" ht="13.5" customHeight="1" x14ac:dyDescent="0.3">
      <c r="A133" s="1" t="s">
        <v>28</v>
      </c>
      <c r="B133" s="1" t="s">
        <v>2575</v>
      </c>
      <c r="C133" s="1" t="s">
        <v>4034</v>
      </c>
      <c r="D133" s="1">
        <v>2024</v>
      </c>
      <c r="E133" s="1" t="str">
        <f t="shared" si="0"/>
        <v>TIGGO 2 PROTIGGO 2 GLS CVT PRO 1.5 AUT2024</v>
      </c>
      <c r="F133" s="1" t="s">
        <v>973</v>
      </c>
      <c r="G133" s="1">
        <v>9490000</v>
      </c>
      <c r="H133" s="1">
        <v>7600000</v>
      </c>
    </row>
    <row r="134" spans="1:8" ht="13.5" customHeight="1" x14ac:dyDescent="0.3">
      <c r="A134" s="1" t="s">
        <v>28</v>
      </c>
      <c r="B134" s="1" t="s">
        <v>2575</v>
      </c>
      <c r="C134" s="1" t="s">
        <v>4034</v>
      </c>
      <c r="D134" s="1">
        <v>2024</v>
      </c>
      <c r="E134" s="1" t="str">
        <f t="shared" si="0"/>
        <v>TIGGO 2 PROTIGGO 2 GLS CVT PRO 1.5 AUT2024</v>
      </c>
      <c r="F134" s="1" t="s">
        <v>1570</v>
      </c>
      <c r="G134" s="1">
        <v>10990000</v>
      </c>
      <c r="H134" s="1">
        <v>10000000</v>
      </c>
    </row>
    <row r="135" spans="1:8" ht="13.5" customHeight="1" x14ac:dyDescent="0.3">
      <c r="A135" s="1" t="s">
        <v>28</v>
      </c>
      <c r="B135" s="1" t="s">
        <v>2575</v>
      </c>
      <c r="C135" s="1" t="s">
        <v>4032</v>
      </c>
      <c r="D135" s="1">
        <v>2021</v>
      </c>
      <c r="E135" s="1" t="str">
        <f t="shared" si="0"/>
        <v>TIGGO 2 PROTIGGO 2 PRO GLS MT 1.52021</v>
      </c>
      <c r="F135" s="1" t="s">
        <v>2197</v>
      </c>
      <c r="G135" s="1">
        <v>8990000</v>
      </c>
      <c r="H135" s="1">
        <v>7000000</v>
      </c>
    </row>
    <row r="136" spans="1:8" ht="13.5" customHeight="1" x14ac:dyDescent="0.3">
      <c r="A136" s="1" t="s">
        <v>28</v>
      </c>
      <c r="B136" s="1" t="s">
        <v>2575</v>
      </c>
      <c r="C136" s="1" t="s">
        <v>4032</v>
      </c>
      <c r="D136" s="1">
        <v>2021</v>
      </c>
      <c r="E136" s="1" t="str">
        <f t="shared" si="0"/>
        <v>TIGGO 2 PROTIGGO 2 PRO GLS MT 1.52021</v>
      </c>
      <c r="F136" s="1" t="s">
        <v>664</v>
      </c>
      <c r="G136" s="1">
        <v>7290000</v>
      </c>
      <c r="H136" s="1">
        <v>5700000</v>
      </c>
    </row>
    <row r="137" spans="1:8" ht="13.5" customHeight="1" x14ac:dyDescent="0.3">
      <c r="A137" s="1" t="s">
        <v>28</v>
      </c>
      <c r="B137" s="1" t="s">
        <v>2575</v>
      </c>
      <c r="C137" s="1" t="s">
        <v>4032</v>
      </c>
      <c r="D137" s="1">
        <v>2023</v>
      </c>
      <c r="E137" s="1" t="str">
        <f t="shared" si="0"/>
        <v>TIGGO 2 PROTIGGO 2 PRO GLS MT 1.52023</v>
      </c>
      <c r="F137" s="1" t="s">
        <v>1311</v>
      </c>
      <c r="G137" s="1">
        <v>8690000</v>
      </c>
      <c r="H137" s="1">
        <v>7200000</v>
      </c>
    </row>
    <row r="138" spans="1:8" ht="13.5" customHeight="1" x14ac:dyDescent="0.3">
      <c r="A138" s="1" t="s">
        <v>28</v>
      </c>
      <c r="B138" s="1" t="s">
        <v>2575</v>
      </c>
      <c r="C138" s="1" t="s">
        <v>4032</v>
      </c>
      <c r="D138" s="1">
        <v>2023</v>
      </c>
      <c r="E138" s="1" t="str">
        <f t="shared" si="0"/>
        <v>TIGGO 2 PROTIGGO 2 PRO GLS MT 1.52023</v>
      </c>
      <c r="F138" s="1" t="s">
        <v>369</v>
      </c>
      <c r="G138" s="1">
        <v>8190000</v>
      </c>
      <c r="H138" s="1">
        <v>5500000</v>
      </c>
    </row>
    <row r="139" spans="1:8" ht="13.5" customHeight="1" x14ac:dyDescent="0.3">
      <c r="A139" s="1" t="s">
        <v>28</v>
      </c>
      <c r="B139" s="1" t="s">
        <v>2575</v>
      </c>
      <c r="C139" s="1" t="s">
        <v>4032</v>
      </c>
      <c r="D139" s="1">
        <v>2023</v>
      </c>
      <c r="E139" s="1" t="str">
        <f t="shared" si="0"/>
        <v>TIGGO 2 PROTIGGO 2 PRO GLS MT 1.52023</v>
      </c>
      <c r="F139" s="1" t="s">
        <v>837</v>
      </c>
      <c r="G139" s="1">
        <v>8290000</v>
      </c>
      <c r="H139" s="1">
        <v>6800000</v>
      </c>
    </row>
    <row r="140" spans="1:8" ht="13.5" customHeight="1" x14ac:dyDescent="0.3">
      <c r="A140" s="1" t="s">
        <v>28</v>
      </c>
      <c r="B140" s="1" t="s">
        <v>2575</v>
      </c>
      <c r="C140" s="1" t="s">
        <v>4032</v>
      </c>
      <c r="D140" s="1">
        <v>2024</v>
      </c>
      <c r="E140" s="1" t="str">
        <f t="shared" si="0"/>
        <v>TIGGO 2 PROTIGGO 2 PRO GLS MT 1.52024</v>
      </c>
      <c r="F140" s="1" t="s">
        <v>1757</v>
      </c>
      <c r="G140" s="1">
        <v>7990000</v>
      </c>
      <c r="H140" s="1">
        <v>8990000</v>
      </c>
    </row>
    <row r="141" spans="1:8" ht="13.5" customHeight="1" x14ac:dyDescent="0.3">
      <c r="A141" s="1" t="s">
        <v>28</v>
      </c>
      <c r="B141" s="1" t="s">
        <v>2575</v>
      </c>
      <c r="C141" s="1" t="s">
        <v>4032</v>
      </c>
      <c r="D141" s="1">
        <v>2024</v>
      </c>
      <c r="E141" s="1" t="str">
        <f t="shared" si="0"/>
        <v>TIGGO 2 PROTIGGO 2 PRO GLS MT 1.52024</v>
      </c>
      <c r="F141" s="1" t="s">
        <v>382</v>
      </c>
      <c r="G141" s="1">
        <v>8590000</v>
      </c>
      <c r="H141" s="1">
        <v>7000000</v>
      </c>
    </row>
    <row r="142" spans="1:8" ht="13.5" customHeight="1" x14ac:dyDescent="0.3">
      <c r="A142" s="1" t="s">
        <v>28</v>
      </c>
      <c r="B142" s="1" t="s">
        <v>2575</v>
      </c>
      <c r="C142" s="1" t="s">
        <v>4035</v>
      </c>
      <c r="D142" s="1">
        <v>2022</v>
      </c>
      <c r="E142" s="1" t="str">
        <f t="shared" si="0"/>
        <v>TIGGO 2 PROTIGGO 2 PRO GLX CVT 1.0 AUT2022</v>
      </c>
      <c r="F142" s="1" t="s">
        <v>806</v>
      </c>
      <c r="G142" s="1">
        <v>8990000</v>
      </c>
      <c r="H142" s="1">
        <v>7400000</v>
      </c>
    </row>
    <row r="143" spans="1:8" ht="13.5" customHeight="1" x14ac:dyDescent="0.3">
      <c r="A143" s="1" t="s">
        <v>28</v>
      </c>
      <c r="B143" s="1" t="s">
        <v>2575</v>
      </c>
      <c r="C143" s="1" t="s">
        <v>4035</v>
      </c>
      <c r="D143" s="1">
        <v>2022</v>
      </c>
      <c r="E143" s="1" t="str">
        <f t="shared" si="0"/>
        <v>TIGGO 2 PROTIGGO 2 PRO GLX CVT 1.0 AUT2022</v>
      </c>
      <c r="F143" s="1" t="s">
        <v>2193</v>
      </c>
      <c r="G143" s="1">
        <v>9490000</v>
      </c>
      <c r="H143" s="1">
        <v>8000000</v>
      </c>
    </row>
    <row r="144" spans="1:8" ht="13.5" customHeight="1" x14ac:dyDescent="0.3">
      <c r="A144" s="1" t="s">
        <v>28</v>
      </c>
      <c r="B144" s="1" t="s">
        <v>2575</v>
      </c>
      <c r="C144" s="1" t="s">
        <v>4035</v>
      </c>
      <c r="D144" s="1">
        <v>2023</v>
      </c>
      <c r="E144" s="1" t="str">
        <f t="shared" si="0"/>
        <v>TIGGO 2 PROTIGGO 2 PRO GLX CVT 1.0 AUT2023</v>
      </c>
      <c r="F144" s="1" t="s">
        <v>525</v>
      </c>
      <c r="G144" s="1">
        <v>8390000</v>
      </c>
      <c r="H144" s="1">
        <v>7000000</v>
      </c>
    </row>
    <row r="145" spans="1:8" ht="13.5" customHeight="1" x14ac:dyDescent="0.3">
      <c r="A145" s="1" t="s">
        <v>28</v>
      </c>
      <c r="B145" s="1" t="s">
        <v>31</v>
      </c>
      <c r="C145" s="1" t="s">
        <v>32</v>
      </c>
      <c r="D145" s="1">
        <v>2021</v>
      </c>
      <c r="E145" s="1" t="str">
        <f t="shared" si="0"/>
        <v>TIGGO 3TIGGO 3 1.52021</v>
      </c>
      <c r="F145" s="1" t="s">
        <v>2149</v>
      </c>
      <c r="G145" s="1">
        <v>9390000</v>
      </c>
      <c r="H145" s="1">
        <v>7500000</v>
      </c>
    </row>
    <row r="146" spans="1:8" ht="13.5" customHeight="1" x14ac:dyDescent="0.3">
      <c r="A146" s="1" t="s">
        <v>28</v>
      </c>
      <c r="B146" s="1" t="s">
        <v>31</v>
      </c>
      <c r="C146" s="1" t="s">
        <v>32</v>
      </c>
      <c r="D146" s="1">
        <v>2021</v>
      </c>
      <c r="E146" s="1" t="str">
        <f t="shared" si="0"/>
        <v>TIGGO 3TIGGO 3 1.52021</v>
      </c>
      <c r="F146" s="1" t="s">
        <v>2081</v>
      </c>
      <c r="G146" s="1">
        <v>10990000</v>
      </c>
      <c r="H146" s="1">
        <v>9000000</v>
      </c>
    </row>
    <row r="147" spans="1:8" ht="13.5" customHeight="1" x14ac:dyDescent="0.3">
      <c r="A147" s="1" t="s">
        <v>28</v>
      </c>
      <c r="B147" s="1" t="s">
        <v>31</v>
      </c>
      <c r="C147" s="1" t="s">
        <v>32</v>
      </c>
      <c r="D147" s="1">
        <v>2021</v>
      </c>
      <c r="E147" s="1" t="str">
        <f t="shared" si="0"/>
        <v>TIGGO 3TIGGO 3 1.52021</v>
      </c>
      <c r="F147" s="1" t="s">
        <v>34</v>
      </c>
      <c r="G147" s="1">
        <v>8190000</v>
      </c>
      <c r="H147" s="1">
        <v>6200000</v>
      </c>
    </row>
    <row r="148" spans="1:8" ht="13.5" customHeight="1" x14ac:dyDescent="0.3">
      <c r="A148" s="1" t="s">
        <v>28</v>
      </c>
      <c r="B148" s="1" t="s">
        <v>31</v>
      </c>
      <c r="C148" s="1" t="s">
        <v>32</v>
      </c>
      <c r="D148" s="1">
        <v>2021</v>
      </c>
      <c r="E148" s="1" t="str">
        <f t="shared" si="0"/>
        <v>TIGGO 3TIGGO 3 1.52021</v>
      </c>
      <c r="F148" s="1" t="s">
        <v>761</v>
      </c>
      <c r="G148" s="1">
        <v>7590000</v>
      </c>
      <c r="H148" s="1">
        <v>6100000</v>
      </c>
    </row>
    <row r="149" spans="1:8" ht="13.5" customHeight="1" x14ac:dyDescent="0.3">
      <c r="A149" s="1" t="s">
        <v>28</v>
      </c>
      <c r="B149" s="1" t="s">
        <v>31</v>
      </c>
      <c r="C149" s="1" t="s">
        <v>32</v>
      </c>
      <c r="D149" s="1">
        <v>2021</v>
      </c>
      <c r="E149" s="1" t="str">
        <f t="shared" si="0"/>
        <v>TIGGO 3TIGGO 3 1.52021</v>
      </c>
      <c r="F149" s="1" t="s">
        <v>1646</v>
      </c>
      <c r="G149" s="1">
        <v>8890000</v>
      </c>
      <c r="H149" s="1">
        <v>7400000</v>
      </c>
    </row>
    <row r="150" spans="1:8" ht="13.5" customHeight="1" x14ac:dyDescent="0.3">
      <c r="A150" s="1" t="s">
        <v>28</v>
      </c>
      <c r="B150" s="1" t="s">
        <v>31</v>
      </c>
      <c r="C150" s="1" t="s">
        <v>32</v>
      </c>
      <c r="D150" s="1">
        <v>2022</v>
      </c>
      <c r="E150" s="1" t="str">
        <f t="shared" si="0"/>
        <v>TIGGO 3TIGGO 3 1.52022</v>
      </c>
      <c r="F150" s="1" t="s">
        <v>1453</v>
      </c>
      <c r="G150" s="1">
        <v>9990000</v>
      </c>
      <c r="H150" s="1">
        <v>8000000</v>
      </c>
    </row>
    <row r="151" spans="1:8" ht="13.5" customHeight="1" x14ac:dyDescent="0.3">
      <c r="A151" s="1" t="s">
        <v>28</v>
      </c>
      <c r="B151" s="1" t="s">
        <v>31</v>
      </c>
      <c r="C151" s="1" t="s">
        <v>32</v>
      </c>
      <c r="D151" s="1">
        <v>2022</v>
      </c>
      <c r="E151" s="1" t="str">
        <f t="shared" si="0"/>
        <v>TIGGO 3TIGGO 3 1.52022</v>
      </c>
      <c r="F151" s="1" t="s">
        <v>1755</v>
      </c>
      <c r="G151" s="1">
        <v>7990000</v>
      </c>
      <c r="H151" s="1">
        <v>6000000</v>
      </c>
    </row>
    <row r="152" spans="1:8" ht="13.5" customHeight="1" x14ac:dyDescent="0.3">
      <c r="A152" s="1" t="s">
        <v>28</v>
      </c>
      <c r="B152" s="1" t="s">
        <v>31</v>
      </c>
      <c r="C152" s="1" t="s">
        <v>32</v>
      </c>
      <c r="D152" s="1">
        <v>2022</v>
      </c>
      <c r="E152" s="1" t="str">
        <f t="shared" si="0"/>
        <v>TIGGO 3TIGGO 3 1.52022</v>
      </c>
      <c r="F152" s="1" t="s">
        <v>1459</v>
      </c>
      <c r="G152" s="1">
        <v>9690000</v>
      </c>
      <c r="H152" s="1">
        <v>7800000</v>
      </c>
    </row>
    <row r="153" spans="1:8" ht="13.5" customHeight="1" x14ac:dyDescent="0.3">
      <c r="A153" s="1" t="s">
        <v>28</v>
      </c>
      <c r="B153" s="1" t="s">
        <v>31</v>
      </c>
      <c r="C153" s="1" t="s">
        <v>32</v>
      </c>
      <c r="D153" s="1">
        <v>2022</v>
      </c>
      <c r="E153" s="1" t="str">
        <f t="shared" si="0"/>
        <v>TIGGO 3TIGGO 3 1.52022</v>
      </c>
      <c r="F153" s="1" t="s">
        <v>2382</v>
      </c>
      <c r="G153" s="1">
        <v>11890000</v>
      </c>
      <c r="H153" s="1">
        <v>10000000</v>
      </c>
    </row>
    <row r="154" spans="1:8" ht="13.5" customHeight="1" x14ac:dyDescent="0.3">
      <c r="A154" s="1" t="s">
        <v>28</v>
      </c>
      <c r="B154" s="1" t="s">
        <v>31</v>
      </c>
      <c r="C154" s="1" t="s">
        <v>32</v>
      </c>
      <c r="D154" s="1">
        <v>2022</v>
      </c>
      <c r="E154" s="1" t="str">
        <f t="shared" si="0"/>
        <v>TIGGO 3TIGGO 3 1.52022</v>
      </c>
      <c r="F154" s="1" t="s">
        <v>1185</v>
      </c>
      <c r="G154" s="1">
        <v>8490000</v>
      </c>
      <c r="H154" s="1">
        <v>7000000</v>
      </c>
    </row>
    <row r="155" spans="1:8" ht="13.5" customHeight="1" x14ac:dyDescent="0.3">
      <c r="A155" s="1" t="s">
        <v>28</v>
      </c>
      <c r="B155" s="1" t="s">
        <v>31</v>
      </c>
      <c r="C155" s="1" t="s">
        <v>32</v>
      </c>
      <c r="D155" s="1">
        <v>2022</v>
      </c>
      <c r="E155" s="1" t="str">
        <f t="shared" si="0"/>
        <v>TIGGO 3TIGGO 3 1.52022</v>
      </c>
      <c r="F155" s="1" t="s">
        <v>1836</v>
      </c>
      <c r="G155" s="1">
        <v>9117650</v>
      </c>
      <c r="H155" s="1">
        <v>7500000</v>
      </c>
    </row>
    <row r="156" spans="1:8" ht="13.5" customHeight="1" x14ac:dyDescent="0.3">
      <c r="A156" s="1" t="s">
        <v>28</v>
      </c>
      <c r="B156" s="1" t="s">
        <v>31</v>
      </c>
      <c r="C156" s="1" t="s">
        <v>32</v>
      </c>
      <c r="D156" s="1">
        <v>2022</v>
      </c>
      <c r="E156" s="1" t="str">
        <f t="shared" si="0"/>
        <v>TIGGO 3TIGGO 3 1.52022</v>
      </c>
      <c r="F156" s="1" t="s">
        <v>722</v>
      </c>
      <c r="G156" s="1">
        <v>8690000</v>
      </c>
      <c r="H156" s="1">
        <v>7200000</v>
      </c>
    </row>
    <row r="157" spans="1:8" ht="13.5" customHeight="1" x14ac:dyDescent="0.3">
      <c r="A157" s="1" t="s">
        <v>28</v>
      </c>
      <c r="B157" s="1" t="s">
        <v>31</v>
      </c>
      <c r="C157" s="1" t="s">
        <v>32</v>
      </c>
      <c r="D157" s="1">
        <v>2022</v>
      </c>
      <c r="E157" s="1" t="str">
        <f t="shared" si="0"/>
        <v>TIGGO 3TIGGO 3 1.52022</v>
      </c>
      <c r="F157" s="1" t="s">
        <v>932</v>
      </c>
      <c r="G157" s="1">
        <v>8490000</v>
      </c>
      <c r="H157" s="1">
        <v>6800000</v>
      </c>
    </row>
    <row r="158" spans="1:8" ht="13.5" customHeight="1" x14ac:dyDescent="0.3">
      <c r="A158" s="1" t="s">
        <v>28</v>
      </c>
      <c r="B158" s="1" t="s">
        <v>31</v>
      </c>
      <c r="C158" s="1" t="s">
        <v>32</v>
      </c>
      <c r="D158" s="1">
        <v>2022</v>
      </c>
      <c r="E158" s="1" t="str">
        <f t="shared" si="0"/>
        <v>TIGGO 3TIGGO 3 1.52022</v>
      </c>
      <c r="F158" s="1" t="s">
        <v>877</v>
      </c>
      <c r="G158" s="1">
        <v>7990000</v>
      </c>
      <c r="H158" s="1">
        <v>6600000</v>
      </c>
    </row>
    <row r="159" spans="1:8" ht="13.5" customHeight="1" x14ac:dyDescent="0.3">
      <c r="A159" s="1" t="s">
        <v>28</v>
      </c>
      <c r="B159" s="1" t="s">
        <v>31</v>
      </c>
      <c r="C159" s="1" t="s">
        <v>32</v>
      </c>
      <c r="D159" s="1">
        <v>2022</v>
      </c>
      <c r="E159" s="1" t="str">
        <f t="shared" si="0"/>
        <v>TIGGO 3TIGGO 3 1.52022</v>
      </c>
      <c r="F159" s="1" t="s">
        <v>834</v>
      </c>
      <c r="G159" s="1">
        <v>8690000</v>
      </c>
      <c r="H159" s="1">
        <v>7200000</v>
      </c>
    </row>
    <row r="160" spans="1:8" ht="13.5" customHeight="1" x14ac:dyDescent="0.3">
      <c r="A160" s="1" t="s">
        <v>28</v>
      </c>
      <c r="B160" s="1" t="s">
        <v>31</v>
      </c>
      <c r="C160" s="1" t="s">
        <v>4036</v>
      </c>
      <c r="D160" s="1">
        <v>2021</v>
      </c>
      <c r="E160" s="1" t="str">
        <f t="shared" si="0"/>
        <v>TIGGO 3TIGGO 3 CVT 1.5L AUT2021</v>
      </c>
      <c r="F160" s="1" t="s">
        <v>1674</v>
      </c>
      <c r="G160" s="1">
        <v>8950000</v>
      </c>
      <c r="H160" s="1">
        <v>7487395</v>
      </c>
    </row>
    <row r="161" spans="1:8" ht="13.5" customHeight="1" x14ac:dyDescent="0.3">
      <c r="A161" s="1" t="s">
        <v>28</v>
      </c>
      <c r="B161" s="1" t="s">
        <v>31</v>
      </c>
      <c r="C161" s="1" t="s">
        <v>4036</v>
      </c>
      <c r="D161" s="1">
        <v>2021</v>
      </c>
      <c r="E161" s="1" t="str">
        <f t="shared" si="0"/>
        <v>TIGGO 3TIGGO 3 CVT 1.5L AUT2021</v>
      </c>
      <c r="F161" s="1" t="s">
        <v>1479</v>
      </c>
      <c r="G161" s="1">
        <v>8990000</v>
      </c>
      <c r="H161" s="1">
        <v>7500000</v>
      </c>
    </row>
    <row r="162" spans="1:8" ht="13.5" customHeight="1" x14ac:dyDescent="0.3">
      <c r="A162" s="1" t="s">
        <v>28</v>
      </c>
      <c r="B162" s="1" t="s">
        <v>31</v>
      </c>
      <c r="C162" s="1" t="s">
        <v>4036</v>
      </c>
      <c r="D162" s="1">
        <v>2022</v>
      </c>
      <c r="E162" s="1" t="str">
        <f t="shared" si="0"/>
        <v>TIGGO 3TIGGO 3 CVT 1.5L AUT2022</v>
      </c>
      <c r="F162" s="1" t="s">
        <v>1363</v>
      </c>
      <c r="G162" s="1">
        <v>9990000</v>
      </c>
      <c r="H162" s="1">
        <v>8500000</v>
      </c>
    </row>
    <row r="163" spans="1:8" ht="13.5" customHeight="1" x14ac:dyDescent="0.3">
      <c r="A163" s="1" t="s">
        <v>28</v>
      </c>
      <c r="B163" s="1" t="s">
        <v>31</v>
      </c>
      <c r="C163" s="1" t="s">
        <v>4036</v>
      </c>
      <c r="D163" s="1">
        <v>2023</v>
      </c>
      <c r="E163" s="1" t="str">
        <f t="shared" si="0"/>
        <v>TIGGO 3TIGGO 3 CVT 1.5L AUT2023</v>
      </c>
      <c r="F163" s="1" t="s">
        <v>1804</v>
      </c>
      <c r="G163" s="1">
        <v>11990000</v>
      </c>
      <c r="H163" s="1">
        <v>10000000</v>
      </c>
    </row>
    <row r="164" spans="1:8" ht="13.5" customHeight="1" x14ac:dyDescent="0.3">
      <c r="A164" s="1" t="s">
        <v>28</v>
      </c>
      <c r="B164" s="1" t="s">
        <v>31</v>
      </c>
      <c r="C164" s="1" t="s">
        <v>4037</v>
      </c>
      <c r="D164" s="1">
        <v>2020</v>
      </c>
      <c r="E164" s="1" t="str">
        <f t="shared" si="0"/>
        <v>TIGGO 3TIGGO 3 GL 1.52020</v>
      </c>
      <c r="F164" s="1" t="s">
        <v>2207</v>
      </c>
      <c r="G164" s="1">
        <v>7190000</v>
      </c>
      <c r="H164" s="1">
        <v>6000000</v>
      </c>
    </row>
    <row r="165" spans="1:8" ht="13.5" customHeight="1" x14ac:dyDescent="0.3">
      <c r="A165" s="1" t="s">
        <v>28</v>
      </c>
      <c r="B165" s="1" t="s">
        <v>31</v>
      </c>
      <c r="C165" s="1" t="s">
        <v>4038</v>
      </c>
      <c r="D165" s="1">
        <v>2020</v>
      </c>
      <c r="E165" s="1" t="str">
        <f t="shared" si="0"/>
        <v>TIGGO 3TIGGO 3 GLS 1.52020</v>
      </c>
      <c r="F165" s="1" t="s">
        <v>936</v>
      </c>
      <c r="G165" s="1">
        <v>7590000</v>
      </c>
      <c r="H165" s="1">
        <v>6300000</v>
      </c>
    </row>
    <row r="166" spans="1:8" ht="13.5" customHeight="1" x14ac:dyDescent="0.3">
      <c r="A166" s="1" t="s">
        <v>28</v>
      </c>
      <c r="B166" s="1" t="s">
        <v>31</v>
      </c>
      <c r="C166" s="1" t="s">
        <v>4038</v>
      </c>
      <c r="D166" s="1">
        <v>2020</v>
      </c>
      <c r="E166" s="1" t="str">
        <f t="shared" si="0"/>
        <v>TIGGO 3TIGGO 3 GLS 1.52020</v>
      </c>
      <c r="F166" s="1" t="s">
        <v>913</v>
      </c>
      <c r="G166" s="1">
        <v>7690000</v>
      </c>
      <c r="H166" s="1">
        <v>6100000</v>
      </c>
    </row>
    <row r="167" spans="1:8" ht="13.5" customHeight="1" x14ac:dyDescent="0.3">
      <c r="A167" s="1" t="s">
        <v>28</v>
      </c>
      <c r="B167" s="1" t="s">
        <v>31</v>
      </c>
      <c r="C167" s="1" t="s">
        <v>4038</v>
      </c>
      <c r="D167" s="1">
        <v>2020</v>
      </c>
      <c r="E167" s="1" t="str">
        <f t="shared" si="0"/>
        <v>TIGGO 3TIGGO 3 GLS 1.52020</v>
      </c>
      <c r="F167" s="1" t="s">
        <v>1662</v>
      </c>
      <c r="G167" s="1">
        <v>7190000</v>
      </c>
      <c r="H167" s="1">
        <v>5700000</v>
      </c>
    </row>
    <row r="168" spans="1:8" ht="13.5" customHeight="1" x14ac:dyDescent="0.3">
      <c r="A168" s="1" t="s">
        <v>28</v>
      </c>
      <c r="B168" s="1" t="s">
        <v>31</v>
      </c>
      <c r="C168" s="1" t="s">
        <v>4038</v>
      </c>
      <c r="D168" s="1">
        <v>2021</v>
      </c>
      <c r="E168" s="1" t="str">
        <f t="shared" si="0"/>
        <v>TIGGO 3TIGGO 3 GLS 1.52021</v>
      </c>
      <c r="F168" s="1" t="s">
        <v>615</v>
      </c>
      <c r="G168" s="1">
        <v>7890000</v>
      </c>
      <c r="H168" s="1">
        <v>6400000</v>
      </c>
    </row>
    <row r="169" spans="1:8" ht="13.5" customHeight="1" x14ac:dyDescent="0.3">
      <c r="A169" s="1" t="s">
        <v>28</v>
      </c>
      <c r="B169" s="1" t="s">
        <v>31</v>
      </c>
      <c r="C169" s="1" t="s">
        <v>4039</v>
      </c>
      <c r="D169" s="1">
        <v>2019</v>
      </c>
      <c r="E169" s="1" t="str">
        <f t="shared" si="0"/>
        <v>TIGGO 3TIGGO 3 GLX 1.62019</v>
      </c>
      <c r="F169" s="1" t="s">
        <v>1071</v>
      </c>
      <c r="G169" s="1">
        <v>6990000</v>
      </c>
      <c r="H169" s="1">
        <v>5350000</v>
      </c>
    </row>
    <row r="170" spans="1:8" ht="13.5" customHeight="1" x14ac:dyDescent="0.3">
      <c r="A170" s="1" t="s">
        <v>28</v>
      </c>
      <c r="B170" s="1" t="s">
        <v>35</v>
      </c>
      <c r="C170" s="1" t="s">
        <v>4040</v>
      </c>
      <c r="D170" s="1">
        <v>2022</v>
      </c>
      <c r="E170" s="1" t="str">
        <f t="shared" si="0"/>
        <v>TIGGO 3 PROTIGGO 3 PRO GLS 1.52022</v>
      </c>
      <c r="F170" s="1" t="s">
        <v>858</v>
      </c>
      <c r="G170" s="1">
        <v>8490000</v>
      </c>
      <c r="H170" s="1">
        <v>7000000</v>
      </c>
    </row>
    <row r="171" spans="1:8" ht="13.5" customHeight="1" x14ac:dyDescent="0.3">
      <c r="A171" s="1" t="s">
        <v>28</v>
      </c>
      <c r="B171" s="1" t="s">
        <v>35</v>
      </c>
      <c r="C171" s="1" t="s">
        <v>4040</v>
      </c>
      <c r="D171" s="1">
        <v>2023</v>
      </c>
      <c r="E171" s="1" t="str">
        <f t="shared" si="0"/>
        <v>TIGGO 3 PROTIGGO 3 PRO GLS 1.52023</v>
      </c>
      <c r="F171" s="1" t="s">
        <v>4041</v>
      </c>
      <c r="G171" s="1">
        <v>11990000</v>
      </c>
      <c r="H171" s="1">
        <v>10000000</v>
      </c>
    </row>
    <row r="172" spans="1:8" ht="13.5" customHeight="1" x14ac:dyDescent="0.3">
      <c r="A172" s="1" t="s">
        <v>28</v>
      </c>
      <c r="B172" s="1" t="s">
        <v>35</v>
      </c>
      <c r="C172" s="1" t="s">
        <v>36</v>
      </c>
      <c r="D172" s="1">
        <v>2023</v>
      </c>
      <c r="E172" s="1" t="str">
        <f t="shared" si="0"/>
        <v>TIGGO 3 PROTIGGO 3 PRO GLS 1.5 AUT2023</v>
      </c>
      <c r="F172" s="1" t="s">
        <v>597</v>
      </c>
      <c r="G172" s="1">
        <v>20780000</v>
      </c>
      <c r="H172" s="1">
        <v>17450000</v>
      </c>
    </row>
    <row r="173" spans="1:8" ht="13.5" customHeight="1" x14ac:dyDescent="0.3">
      <c r="A173" s="1" t="s">
        <v>28</v>
      </c>
      <c r="B173" s="1" t="s">
        <v>35</v>
      </c>
      <c r="C173" s="1" t="s">
        <v>4042</v>
      </c>
      <c r="D173" s="1">
        <v>2023</v>
      </c>
      <c r="E173" s="1" t="str">
        <f t="shared" si="0"/>
        <v>TIGGO 3 PROTIGGO 3 PRO GLX 1.5 AUT2023</v>
      </c>
      <c r="F173" s="1" t="s">
        <v>1205</v>
      </c>
      <c r="G173" s="1">
        <v>11490000</v>
      </c>
      <c r="H173" s="1">
        <v>9500000</v>
      </c>
    </row>
    <row r="174" spans="1:8" ht="13.5" customHeight="1" x14ac:dyDescent="0.3">
      <c r="A174" s="1" t="s">
        <v>28</v>
      </c>
      <c r="B174" s="1" t="s">
        <v>4043</v>
      </c>
      <c r="C174" s="1" t="s">
        <v>4044</v>
      </c>
      <c r="D174" s="1">
        <v>2018</v>
      </c>
      <c r="E174" s="1" t="str">
        <f t="shared" si="0"/>
        <v>TIGGO 4TIGGO 4 GLS 2.02018</v>
      </c>
      <c r="F174" s="1" t="s">
        <v>1085</v>
      </c>
      <c r="G174" s="1">
        <v>6990000</v>
      </c>
      <c r="H174" s="1">
        <v>4700000</v>
      </c>
    </row>
    <row r="175" spans="1:8" ht="13.5" customHeight="1" x14ac:dyDescent="0.3">
      <c r="A175" s="1" t="s">
        <v>28</v>
      </c>
      <c r="B175" s="1" t="s">
        <v>2670</v>
      </c>
      <c r="C175" s="1" t="s">
        <v>4045</v>
      </c>
      <c r="D175" s="1">
        <v>2021</v>
      </c>
      <c r="E175" s="1" t="str">
        <f t="shared" si="0"/>
        <v>TIGGO 7TIGGO 7 GLX 1.5 AUT2021</v>
      </c>
      <c r="F175" s="1" t="s">
        <v>1146</v>
      </c>
      <c r="G175" s="1">
        <v>25730000</v>
      </c>
      <c r="H175" s="1">
        <v>21200000</v>
      </c>
    </row>
    <row r="176" spans="1:8" ht="13.5" customHeight="1" x14ac:dyDescent="0.3">
      <c r="A176" s="1" t="s">
        <v>28</v>
      </c>
      <c r="B176" s="1" t="s">
        <v>2670</v>
      </c>
      <c r="C176" s="1" t="s">
        <v>4046</v>
      </c>
      <c r="D176" s="1">
        <v>2021</v>
      </c>
      <c r="E176" s="1" t="str">
        <f t="shared" si="0"/>
        <v>TIGGO 7TIGGO 7 TURBO 1.52021</v>
      </c>
      <c r="F176" s="1" t="s">
        <v>2401</v>
      </c>
      <c r="G176" s="1">
        <v>12490000</v>
      </c>
      <c r="H176" s="1">
        <v>13500000</v>
      </c>
    </row>
    <row r="177" spans="1:8" ht="13.5" customHeight="1" x14ac:dyDescent="0.3">
      <c r="A177" s="1" t="s">
        <v>28</v>
      </c>
      <c r="B177" s="1" t="s">
        <v>38</v>
      </c>
      <c r="C177" s="1" t="s">
        <v>4047</v>
      </c>
      <c r="D177" s="1">
        <v>2021</v>
      </c>
      <c r="E177" s="1" t="str">
        <f t="shared" si="0"/>
        <v>TIGGO 7 PROTIGGO 7 GLS CVT PRO 1.5 AUT2021</v>
      </c>
      <c r="F177" s="1" t="s">
        <v>1767</v>
      </c>
      <c r="G177" s="1">
        <v>12190000</v>
      </c>
      <c r="H177" s="1">
        <v>10000000</v>
      </c>
    </row>
    <row r="178" spans="1:8" ht="13.5" customHeight="1" x14ac:dyDescent="0.3">
      <c r="A178" s="1" t="s">
        <v>28</v>
      </c>
      <c r="B178" s="1" t="s">
        <v>38</v>
      </c>
      <c r="C178" s="1" t="s">
        <v>4047</v>
      </c>
      <c r="D178" s="1">
        <v>2021</v>
      </c>
      <c r="E178" s="1" t="str">
        <f t="shared" si="0"/>
        <v>TIGGO 7 PROTIGGO 7 GLS CVT PRO 1.5 AUT2021</v>
      </c>
      <c r="F178" s="1" t="s">
        <v>1231</v>
      </c>
      <c r="G178" s="1">
        <v>11890000</v>
      </c>
      <c r="H178" s="1">
        <v>10000000</v>
      </c>
    </row>
    <row r="179" spans="1:8" ht="13.5" customHeight="1" x14ac:dyDescent="0.3">
      <c r="A179" s="1" t="s">
        <v>28</v>
      </c>
      <c r="B179" s="1" t="s">
        <v>38</v>
      </c>
      <c r="C179" s="1" t="s">
        <v>4047</v>
      </c>
      <c r="D179" s="1">
        <v>2022</v>
      </c>
      <c r="E179" s="1" t="str">
        <f t="shared" si="0"/>
        <v>TIGGO 7 PROTIGGO 7 GLS CVT PRO 1.5 AUT2022</v>
      </c>
      <c r="F179" s="1" t="s">
        <v>799</v>
      </c>
      <c r="G179" s="1">
        <v>11170000</v>
      </c>
      <c r="H179" s="1">
        <v>9400000</v>
      </c>
    </row>
    <row r="180" spans="1:8" ht="13.5" customHeight="1" x14ac:dyDescent="0.3">
      <c r="A180" s="1" t="s">
        <v>28</v>
      </c>
      <c r="B180" s="1" t="s">
        <v>38</v>
      </c>
      <c r="C180" s="1" t="s">
        <v>4047</v>
      </c>
      <c r="D180" s="1">
        <v>2023</v>
      </c>
      <c r="E180" s="1" t="str">
        <f t="shared" si="0"/>
        <v>TIGGO 7 PROTIGGO 7 GLS CVT PRO 1.5 AUT2023</v>
      </c>
      <c r="F180" s="1" t="s">
        <v>431</v>
      </c>
      <c r="G180" s="1">
        <v>12390000</v>
      </c>
      <c r="H180" s="1">
        <v>10500000</v>
      </c>
    </row>
    <row r="181" spans="1:8" ht="13.5" customHeight="1" x14ac:dyDescent="0.3">
      <c r="A181" s="1" t="s">
        <v>28</v>
      </c>
      <c r="B181" s="1" t="s">
        <v>38</v>
      </c>
      <c r="C181" s="1" t="s">
        <v>4047</v>
      </c>
      <c r="D181" s="1">
        <v>2024</v>
      </c>
      <c r="E181" s="1" t="str">
        <f t="shared" si="0"/>
        <v>TIGGO 7 PROTIGGO 7 GLS CVT PRO 1.5 AUT2024</v>
      </c>
      <c r="F181" s="1" t="s">
        <v>1540</v>
      </c>
      <c r="G181" s="1">
        <v>13590000</v>
      </c>
      <c r="H181" s="1">
        <v>11482757</v>
      </c>
    </row>
    <row r="182" spans="1:8" ht="13.5" customHeight="1" x14ac:dyDescent="0.3">
      <c r="A182" s="1" t="s">
        <v>28</v>
      </c>
      <c r="B182" s="1" t="s">
        <v>38</v>
      </c>
      <c r="C182" s="1" t="s">
        <v>4047</v>
      </c>
      <c r="D182" s="1">
        <v>2024</v>
      </c>
      <c r="E182" s="1" t="str">
        <f t="shared" si="0"/>
        <v>TIGGO 7 PROTIGGO 7 GLS CVT PRO 1.5 AUT2024</v>
      </c>
      <c r="F182" s="1" t="s">
        <v>940</v>
      </c>
      <c r="G182" s="1">
        <v>14790000</v>
      </c>
      <c r="H182" s="1">
        <v>12400000</v>
      </c>
    </row>
    <row r="183" spans="1:8" ht="13.5" customHeight="1" x14ac:dyDescent="0.3">
      <c r="A183" s="1" t="s">
        <v>28</v>
      </c>
      <c r="B183" s="1" t="s">
        <v>38</v>
      </c>
      <c r="C183" s="1" t="s">
        <v>4047</v>
      </c>
      <c r="D183" s="1">
        <v>2025</v>
      </c>
      <c r="E183" s="1" t="str">
        <f t="shared" si="0"/>
        <v>TIGGO 7 PROTIGGO 7 GLS CVT PRO 1.5 AUT2025</v>
      </c>
      <c r="F183" s="1" t="s">
        <v>758</v>
      </c>
      <c r="G183" s="1">
        <v>14790000</v>
      </c>
      <c r="H183" s="1">
        <v>12500000</v>
      </c>
    </row>
    <row r="184" spans="1:8" ht="13.5" customHeight="1" x14ac:dyDescent="0.3">
      <c r="A184" s="1" t="s">
        <v>28</v>
      </c>
      <c r="B184" s="1" t="s">
        <v>38</v>
      </c>
      <c r="C184" s="1" t="s">
        <v>39</v>
      </c>
      <c r="D184" s="1">
        <v>2021</v>
      </c>
      <c r="E184" s="1" t="str">
        <f t="shared" si="0"/>
        <v>TIGGO 7 PROTIGGO 7 GLX CVT PRO 1.5 AUT2021</v>
      </c>
      <c r="F184" s="1" t="s">
        <v>1958</v>
      </c>
      <c r="G184" s="1">
        <v>13990000</v>
      </c>
      <c r="H184" s="1">
        <v>11500000</v>
      </c>
    </row>
    <row r="185" spans="1:8" ht="13.5" customHeight="1" x14ac:dyDescent="0.3">
      <c r="A185" s="1" t="s">
        <v>28</v>
      </c>
      <c r="B185" s="1" t="s">
        <v>38</v>
      </c>
      <c r="C185" s="1" t="s">
        <v>39</v>
      </c>
      <c r="D185" s="1">
        <v>2021</v>
      </c>
      <c r="E185" s="1" t="str">
        <f t="shared" si="0"/>
        <v>TIGGO 7 PROTIGGO 7 GLX CVT PRO 1.5 AUT2021</v>
      </c>
      <c r="F185" s="1" t="s">
        <v>1998</v>
      </c>
      <c r="G185" s="1">
        <v>13490000</v>
      </c>
      <c r="H185" s="1">
        <v>11000000</v>
      </c>
    </row>
    <row r="186" spans="1:8" ht="13.5" customHeight="1" x14ac:dyDescent="0.3">
      <c r="A186" s="1" t="s">
        <v>28</v>
      </c>
      <c r="B186" s="1" t="s">
        <v>38</v>
      </c>
      <c r="C186" s="1" t="s">
        <v>39</v>
      </c>
      <c r="D186" s="1">
        <v>2021</v>
      </c>
      <c r="E186" s="1" t="str">
        <f t="shared" si="0"/>
        <v>TIGGO 7 PROTIGGO 7 GLX CVT PRO 1.5 AUT2021</v>
      </c>
      <c r="F186" s="1" t="s">
        <v>1864</v>
      </c>
      <c r="G186" s="1">
        <v>12990000</v>
      </c>
      <c r="H186" s="1">
        <v>10700000</v>
      </c>
    </row>
    <row r="187" spans="1:8" ht="13.5" customHeight="1" x14ac:dyDescent="0.3">
      <c r="A187" s="1" t="s">
        <v>28</v>
      </c>
      <c r="B187" s="1" t="s">
        <v>38</v>
      </c>
      <c r="C187" s="1" t="s">
        <v>39</v>
      </c>
      <c r="D187" s="1">
        <v>2022</v>
      </c>
      <c r="E187" s="1" t="str">
        <f t="shared" si="0"/>
        <v>TIGGO 7 PROTIGGO 7 GLX CVT PRO 1.5 AUT2022</v>
      </c>
      <c r="F187" s="1" t="s">
        <v>1048</v>
      </c>
      <c r="G187" s="1">
        <v>12990000</v>
      </c>
      <c r="H187" s="1">
        <v>10500000</v>
      </c>
    </row>
    <row r="188" spans="1:8" ht="13.5" customHeight="1" x14ac:dyDescent="0.3">
      <c r="A188" s="1" t="s">
        <v>28</v>
      </c>
      <c r="B188" s="1" t="s">
        <v>38</v>
      </c>
      <c r="C188" s="1" t="s">
        <v>39</v>
      </c>
      <c r="D188" s="1">
        <v>2022</v>
      </c>
      <c r="E188" s="1" t="str">
        <f t="shared" si="0"/>
        <v>TIGGO 7 PROTIGGO 7 GLX CVT PRO 1.5 AUT2022</v>
      </c>
      <c r="F188" s="1" t="s">
        <v>577</v>
      </c>
      <c r="G188" s="1">
        <v>11590000</v>
      </c>
      <c r="H188" s="1">
        <v>10000000</v>
      </c>
    </row>
    <row r="189" spans="1:8" ht="13.5" customHeight="1" x14ac:dyDescent="0.3">
      <c r="A189" s="1" t="s">
        <v>28</v>
      </c>
      <c r="B189" s="1" t="s">
        <v>38</v>
      </c>
      <c r="C189" s="1" t="s">
        <v>39</v>
      </c>
      <c r="D189" s="1">
        <v>2022</v>
      </c>
      <c r="E189" s="1" t="str">
        <f t="shared" si="0"/>
        <v>TIGGO 7 PROTIGGO 7 GLX CVT PRO 1.5 AUT2022</v>
      </c>
      <c r="F189" s="1" t="s">
        <v>1110</v>
      </c>
      <c r="G189" s="1">
        <v>11790000</v>
      </c>
      <c r="H189" s="1">
        <v>10000000</v>
      </c>
    </row>
    <row r="190" spans="1:8" ht="13.5" customHeight="1" x14ac:dyDescent="0.3">
      <c r="A190" s="1" t="s">
        <v>28</v>
      </c>
      <c r="B190" s="1" t="s">
        <v>38</v>
      </c>
      <c r="C190" s="1" t="s">
        <v>39</v>
      </c>
      <c r="D190" s="1">
        <v>2022</v>
      </c>
      <c r="E190" s="1" t="str">
        <f t="shared" si="0"/>
        <v>TIGGO 7 PROTIGGO 7 GLX CVT PRO 1.5 AUT2022</v>
      </c>
      <c r="F190" s="1" t="s">
        <v>723</v>
      </c>
      <c r="G190" s="1">
        <v>11990000</v>
      </c>
      <c r="H190" s="1">
        <v>9650000</v>
      </c>
    </row>
    <row r="191" spans="1:8" ht="13.5" customHeight="1" x14ac:dyDescent="0.3">
      <c r="A191" s="1" t="s">
        <v>28</v>
      </c>
      <c r="B191" s="1" t="s">
        <v>38</v>
      </c>
      <c r="C191" s="1" t="s">
        <v>39</v>
      </c>
      <c r="D191" s="1">
        <v>2022</v>
      </c>
      <c r="E191" s="1" t="str">
        <f t="shared" si="0"/>
        <v>TIGGO 7 PROTIGGO 7 GLX CVT PRO 1.5 AUT2022</v>
      </c>
      <c r="F191" s="1" t="s">
        <v>2351</v>
      </c>
      <c r="G191" s="1">
        <v>15990000</v>
      </c>
      <c r="H191" s="1">
        <v>14000000</v>
      </c>
    </row>
    <row r="192" spans="1:8" ht="13.5" customHeight="1" x14ac:dyDescent="0.3">
      <c r="A192" s="1" t="s">
        <v>28</v>
      </c>
      <c r="B192" s="1" t="s">
        <v>38</v>
      </c>
      <c r="C192" s="1" t="s">
        <v>39</v>
      </c>
      <c r="D192" s="1">
        <v>2022</v>
      </c>
      <c r="E192" s="1" t="str">
        <f t="shared" si="0"/>
        <v>TIGGO 7 PROTIGGO 7 GLX CVT PRO 1.5 AUT2022</v>
      </c>
      <c r="F192" s="1" t="s">
        <v>2292</v>
      </c>
      <c r="G192" s="1">
        <v>15590000</v>
      </c>
      <c r="H192" s="1">
        <v>13000000</v>
      </c>
    </row>
    <row r="193" spans="1:8" ht="13.5" customHeight="1" x14ac:dyDescent="0.3">
      <c r="A193" s="1" t="s">
        <v>28</v>
      </c>
      <c r="B193" s="1" t="s">
        <v>38</v>
      </c>
      <c r="C193" s="1" t="s">
        <v>39</v>
      </c>
      <c r="D193" s="1">
        <v>2022</v>
      </c>
      <c r="E193" s="1" t="str">
        <f t="shared" si="0"/>
        <v>TIGGO 7 PROTIGGO 7 GLX CVT PRO 1.5 AUT2022</v>
      </c>
      <c r="F193" s="1" t="s">
        <v>2399</v>
      </c>
      <c r="G193" s="1">
        <v>15990000</v>
      </c>
      <c r="H193" s="1">
        <v>14179318</v>
      </c>
    </row>
    <row r="194" spans="1:8" ht="13.5" customHeight="1" x14ac:dyDescent="0.3">
      <c r="A194" s="1" t="s">
        <v>28</v>
      </c>
      <c r="B194" s="1" t="s">
        <v>38</v>
      </c>
      <c r="C194" s="1" t="s">
        <v>39</v>
      </c>
      <c r="D194" s="1">
        <v>2022</v>
      </c>
      <c r="E194" s="1" t="str">
        <f t="shared" si="0"/>
        <v>TIGGO 7 PROTIGGO 7 GLX CVT PRO 1.5 AUT2022</v>
      </c>
      <c r="F194" s="1" t="s">
        <v>982</v>
      </c>
      <c r="G194" s="1">
        <v>12490000</v>
      </c>
      <c r="H194" s="1">
        <v>10500000</v>
      </c>
    </row>
    <row r="195" spans="1:8" ht="13.5" customHeight="1" x14ac:dyDescent="0.3">
      <c r="A195" s="1" t="s">
        <v>28</v>
      </c>
      <c r="B195" s="1" t="s">
        <v>38</v>
      </c>
      <c r="C195" s="1" t="s">
        <v>39</v>
      </c>
      <c r="D195" s="1">
        <v>2022</v>
      </c>
      <c r="E195" s="1" t="str">
        <f t="shared" si="0"/>
        <v>TIGGO 7 PROTIGGO 7 GLX CVT PRO 1.5 AUT2022</v>
      </c>
      <c r="F195" s="1" t="s">
        <v>991</v>
      </c>
      <c r="G195" s="1">
        <v>12590000</v>
      </c>
      <c r="H195" s="1">
        <v>10800000</v>
      </c>
    </row>
    <row r="196" spans="1:8" ht="13.5" customHeight="1" x14ac:dyDescent="0.3">
      <c r="A196" s="1" t="s">
        <v>28</v>
      </c>
      <c r="B196" s="1" t="s">
        <v>38</v>
      </c>
      <c r="C196" s="1" t="s">
        <v>39</v>
      </c>
      <c r="D196" s="1">
        <v>2022</v>
      </c>
      <c r="E196" s="1" t="str">
        <f t="shared" si="0"/>
        <v>TIGGO 7 PROTIGGO 7 GLX CVT PRO 1.5 AUT2022</v>
      </c>
      <c r="F196" s="1" t="s">
        <v>2370</v>
      </c>
      <c r="G196" s="1">
        <v>15990000</v>
      </c>
      <c r="H196" s="1">
        <v>18500000</v>
      </c>
    </row>
    <row r="197" spans="1:8" ht="13.5" customHeight="1" x14ac:dyDescent="0.3">
      <c r="A197" s="1" t="s">
        <v>28</v>
      </c>
      <c r="B197" s="1" t="s">
        <v>38</v>
      </c>
      <c r="C197" s="1" t="s">
        <v>39</v>
      </c>
      <c r="D197" s="1">
        <v>2023</v>
      </c>
      <c r="E197" s="1" t="str">
        <f t="shared" si="0"/>
        <v>TIGGO 7 PROTIGGO 7 GLX CVT PRO 1.5 AUT2023</v>
      </c>
      <c r="F197" s="1" t="s">
        <v>3400</v>
      </c>
      <c r="G197" s="1">
        <v>15000000</v>
      </c>
      <c r="H197" s="1">
        <v>16200000</v>
      </c>
    </row>
    <row r="198" spans="1:8" ht="13.5" customHeight="1" x14ac:dyDescent="0.3">
      <c r="A198" s="1" t="s">
        <v>28</v>
      </c>
      <c r="B198" s="1" t="s">
        <v>38</v>
      </c>
      <c r="C198" s="1" t="s">
        <v>39</v>
      </c>
      <c r="D198" s="1">
        <v>2023</v>
      </c>
      <c r="E198" s="1" t="str">
        <f t="shared" si="0"/>
        <v>TIGGO 7 PROTIGGO 7 GLX CVT PRO 1.5 AUT2023</v>
      </c>
      <c r="F198" s="1" t="s">
        <v>1989</v>
      </c>
      <c r="G198" s="1">
        <v>16490000</v>
      </c>
      <c r="H198" s="1">
        <v>14500000</v>
      </c>
    </row>
    <row r="199" spans="1:8" ht="13.5" customHeight="1" x14ac:dyDescent="0.3">
      <c r="A199" s="1" t="s">
        <v>28</v>
      </c>
      <c r="B199" s="1" t="s">
        <v>38</v>
      </c>
      <c r="C199" s="1" t="s">
        <v>39</v>
      </c>
      <c r="D199" s="1">
        <v>2023</v>
      </c>
      <c r="E199" s="1" t="str">
        <f t="shared" si="0"/>
        <v>TIGGO 7 PROTIGGO 7 GLX CVT PRO 1.5 AUT2023</v>
      </c>
      <c r="F199" s="1" t="s">
        <v>428</v>
      </c>
      <c r="G199" s="1">
        <v>12990000</v>
      </c>
      <c r="H199" s="1">
        <v>10700000</v>
      </c>
    </row>
    <row r="200" spans="1:8" ht="13.5" customHeight="1" x14ac:dyDescent="0.3">
      <c r="A200" s="1" t="s">
        <v>28</v>
      </c>
      <c r="B200" s="1" t="s">
        <v>38</v>
      </c>
      <c r="C200" s="1" t="s">
        <v>39</v>
      </c>
      <c r="D200" s="1">
        <v>2023</v>
      </c>
      <c r="E200" s="1" t="str">
        <f t="shared" si="0"/>
        <v>TIGGO 7 PROTIGGO 7 GLX CVT PRO 1.5 AUT2023</v>
      </c>
      <c r="F200" s="1" t="s">
        <v>358</v>
      </c>
      <c r="G200" s="1">
        <v>12290000</v>
      </c>
      <c r="H200" s="1">
        <v>11000000</v>
      </c>
    </row>
    <row r="201" spans="1:8" ht="13.5" customHeight="1" x14ac:dyDescent="0.3">
      <c r="A201" s="1" t="s">
        <v>28</v>
      </c>
      <c r="B201" s="1" t="s">
        <v>38</v>
      </c>
      <c r="C201" s="1" t="s">
        <v>39</v>
      </c>
      <c r="D201" s="1">
        <v>2023</v>
      </c>
      <c r="E201" s="1" t="str">
        <f t="shared" si="0"/>
        <v>TIGGO 7 PROTIGGO 7 GLX CVT PRO 1.5 AUT2023</v>
      </c>
      <c r="F201" s="1" t="s">
        <v>1854</v>
      </c>
      <c r="G201" s="1">
        <v>13500000</v>
      </c>
      <c r="H201" s="1">
        <v>12500000</v>
      </c>
    </row>
    <row r="202" spans="1:8" ht="13.5" customHeight="1" x14ac:dyDescent="0.3">
      <c r="A202" s="1" t="s">
        <v>28</v>
      </c>
      <c r="B202" s="1" t="s">
        <v>38</v>
      </c>
      <c r="C202" s="1" t="s">
        <v>39</v>
      </c>
      <c r="D202" s="1">
        <v>2023</v>
      </c>
      <c r="E202" s="1" t="str">
        <f t="shared" si="0"/>
        <v>TIGGO 7 PROTIGGO 7 GLX CVT PRO 1.5 AUT2023</v>
      </c>
      <c r="F202" s="1" t="s">
        <v>1614</v>
      </c>
      <c r="G202" s="1">
        <v>13590000</v>
      </c>
      <c r="H202" s="1">
        <v>11500000</v>
      </c>
    </row>
    <row r="203" spans="1:8" ht="13.5" customHeight="1" x14ac:dyDescent="0.3">
      <c r="A203" s="1" t="s">
        <v>28</v>
      </c>
      <c r="B203" s="1" t="s">
        <v>38</v>
      </c>
      <c r="C203" s="1" t="s">
        <v>39</v>
      </c>
      <c r="D203" s="1">
        <v>2024</v>
      </c>
      <c r="E203" s="1" t="str">
        <f t="shared" si="0"/>
        <v>TIGGO 7 PROTIGGO 7 GLX CVT PRO 1.5 AUT2024</v>
      </c>
      <c r="F203" s="1" t="s">
        <v>539</v>
      </c>
      <c r="G203" s="1">
        <v>12500000</v>
      </c>
      <c r="H203" s="1">
        <v>12000000</v>
      </c>
    </row>
    <row r="204" spans="1:8" ht="13.5" customHeight="1" x14ac:dyDescent="0.3">
      <c r="A204" s="1" t="s">
        <v>28</v>
      </c>
      <c r="B204" s="1" t="s">
        <v>42</v>
      </c>
      <c r="C204" s="1" t="s">
        <v>43</v>
      </c>
      <c r="D204" s="1">
        <v>2021</v>
      </c>
      <c r="E204" s="1" t="str">
        <f t="shared" si="0"/>
        <v>TIGGO 8TIGGO 8 1.52021</v>
      </c>
      <c r="F204" s="1" t="s">
        <v>633</v>
      </c>
      <c r="G204" s="1">
        <v>20880000</v>
      </c>
      <c r="H204" s="1">
        <v>18790000</v>
      </c>
    </row>
    <row r="205" spans="1:8" ht="13.5" customHeight="1" x14ac:dyDescent="0.3">
      <c r="A205" s="1" t="s">
        <v>28</v>
      </c>
      <c r="B205" s="1" t="s">
        <v>42</v>
      </c>
      <c r="C205" s="1" t="s">
        <v>43</v>
      </c>
      <c r="D205" s="1">
        <v>2021</v>
      </c>
      <c r="E205" s="1" t="str">
        <f t="shared" si="0"/>
        <v>TIGGO 8TIGGO 8 1.52021</v>
      </c>
      <c r="F205" s="1" t="s">
        <v>1414</v>
      </c>
      <c r="G205" s="1">
        <v>11990000</v>
      </c>
      <c r="H205" s="1">
        <v>9300000</v>
      </c>
    </row>
    <row r="206" spans="1:8" ht="13.5" customHeight="1" x14ac:dyDescent="0.3">
      <c r="A206" s="1" t="s">
        <v>28</v>
      </c>
      <c r="B206" s="1" t="s">
        <v>42</v>
      </c>
      <c r="C206" s="1" t="s">
        <v>43</v>
      </c>
      <c r="D206" s="1">
        <v>2021</v>
      </c>
      <c r="E206" s="1" t="str">
        <f t="shared" si="0"/>
        <v>TIGGO 8TIGGO 8 1.52021</v>
      </c>
      <c r="F206" s="1" t="s">
        <v>372</v>
      </c>
      <c r="G206" s="1">
        <v>11290000</v>
      </c>
      <c r="H206" s="1">
        <v>9000000</v>
      </c>
    </row>
    <row r="207" spans="1:8" ht="13.5" customHeight="1" x14ac:dyDescent="0.3">
      <c r="A207" s="1" t="s">
        <v>28</v>
      </c>
      <c r="B207" s="1" t="s">
        <v>42</v>
      </c>
      <c r="C207" s="1" t="s">
        <v>43</v>
      </c>
      <c r="D207" s="1">
        <v>2021</v>
      </c>
      <c r="E207" s="1" t="str">
        <f t="shared" si="0"/>
        <v>TIGGO 8TIGGO 8 1.52021</v>
      </c>
      <c r="F207" s="1" t="s">
        <v>1712</v>
      </c>
      <c r="G207" s="1">
        <v>11690000</v>
      </c>
      <c r="H207" s="1">
        <v>9900000</v>
      </c>
    </row>
    <row r="208" spans="1:8" ht="13.5" customHeight="1" x14ac:dyDescent="0.3">
      <c r="A208" s="1" t="s">
        <v>28</v>
      </c>
      <c r="B208" s="1" t="s">
        <v>42</v>
      </c>
      <c r="C208" s="1" t="s">
        <v>43</v>
      </c>
      <c r="D208" s="1">
        <v>2022</v>
      </c>
      <c r="E208" s="1" t="str">
        <f t="shared" si="0"/>
        <v>TIGGO 8TIGGO 8 1.52022</v>
      </c>
      <c r="F208" s="1" t="s">
        <v>1805</v>
      </c>
      <c r="G208" s="1">
        <v>11690000</v>
      </c>
      <c r="H208" s="1">
        <v>9415966</v>
      </c>
    </row>
    <row r="209" spans="1:8" ht="13.5" customHeight="1" x14ac:dyDescent="0.3">
      <c r="A209" s="1" t="s">
        <v>28</v>
      </c>
      <c r="B209" s="1" t="s">
        <v>42</v>
      </c>
      <c r="C209" s="1" t="s">
        <v>43</v>
      </c>
      <c r="D209" s="1">
        <v>2022</v>
      </c>
      <c r="E209" s="1" t="str">
        <f t="shared" si="0"/>
        <v>TIGGO 8TIGGO 8 1.52022</v>
      </c>
      <c r="F209" s="1" t="s">
        <v>1477</v>
      </c>
      <c r="G209" s="1">
        <v>12090000</v>
      </c>
      <c r="H209" s="1">
        <v>10200000</v>
      </c>
    </row>
    <row r="210" spans="1:8" ht="13.5" customHeight="1" x14ac:dyDescent="0.3">
      <c r="A210" s="1" t="s">
        <v>28</v>
      </c>
      <c r="B210" s="1" t="s">
        <v>42</v>
      </c>
      <c r="C210" s="1" t="s">
        <v>43</v>
      </c>
      <c r="D210" s="1">
        <v>2022</v>
      </c>
      <c r="E210" s="1" t="str">
        <f t="shared" si="0"/>
        <v>TIGGO 8TIGGO 8 1.52022</v>
      </c>
      <c r="F210" s="1" t="s">
        <v>1680</v>
      </c>
      <c r="G210" s="1">
        <v>11990000</v>
      </c>
      <c r="H210" s="1">
        <v>9700000</v>
      </c>
    </row>
    <row r="211" spans="1:8" ht="13.5" customHeight="1" x14ac:dyDescent="0.3">
      <c r="A211" s="1" t="s">
        <v>28</v>
      </c>
      <c r="B211" s="1" t="s">
        <v>42</v>
      </c>
      <c r="C211" s="1" t="s">
        <v>43</v>
      </c>
      <c r="D211" s="1">
        <v>2022</v>
      </c>
      <c r="E211" s="1" t="str">
        <f t="shared" si="0"/>
        <v>TIGGO 8TIGGO 8 1.52022</v>
      </c>
      <c r="F211" s="1" t="s">
        <v>1162</v>
      </c>
      <c r="G211" s="1">
        <v>11990000</v>
      </c>
      <c r="H211" s="1">
        <v>9000000</v>
      </c>
    </row>
    <row r="212" spans="1:8" ht="13.5" customHeight="1" x14ac:dyDescent="0.3">
      <c r="A212" s="1" t="s">
        <v>28</v>
      </c>
      <c r="B212" s="1" t="s">
        <v>42</v>
      </c>
      <c r="C212" s="1" t="s">
        <v>43</v>
      </c>
      <c r="D212" s="1">
        <v>2023</v>
      </c>
      <c r="E212" s="1" t="str">
        <f t="shared" si="0"/>
        <v>TIGGO 8TIGGO 8 1.52023</v>
      </c>
      <c r="F212" s="1" t="s">
        <v>779</v>
      </c>
      <c r="G212" s="1">
        <v>24640000</v>
      </c>
      <c r="H212" s="1">
        <v>21000000</v>
      </c>
    </row>
    <row r="213" spans="1:8" ht="13.5" customHeight="1" x14ac:dyDescent="0.3">
      <c r="A213" s="1" t="s">
        <v>28</v>
      </c>
      <c r="B213" s="1" t="s">
        <v>42</v>
      </c>
      <c r="C213" s="1" t="s">
        <v>43</v>
      </c>
      <c r="D213" s="1">
        <v>2024</v>
      </c>
      <c r="E213" s="1" t="str">
        <f t="shared" si="0"/>
        <v>TIGGO 8TIGGO 8 1.52024</v>
      </c>
      <c r="F213" s="1" t="s">
        <v>471</v>
      </c>
      <c r="G213" s="1">
        <v>13690000</v>
      </c>
      <c r="H213" s="1">
        <v>11500000</v>
      </c>
    </row>
    <row r="214" spans="1:8" ht="13.5" customHeight="1" x14ac:dyDescent="0.3">
      <c r="A214" s="1" t="s">
        <v>28</v>
      </c>
      <c r="B214" s="1" t="s">
        <v>42</v>
      </c>
      <c r="C214" s="1" t="s">
        <v>4048</v>
      </c>
      <c r="D214" s="1">
        <v>2021</v>
      </c>
      <c r="E214" s="1" t="str">
        <f t="shared" si="0"/>
        <v>TIGGO 8TIGGO 8 1.5 AUT2021</v>
      </c>
      <c r="F214" s="1" t="s">
        <v>1731</v>
      </c>
      <c r="G214" s="1">
        <v>12990000</v>
      </c>
      <c r="H214" s="1">
        <v>11000000</v>
      </c>
    </row>
    <row r="215" spans="1:8" ht="13.5" customHeight="1" x14ac:dyDescent="0.3">
      <c r="A215" s="1" t="s">
        <v>28</v>
      </c>
      <c r="B215" s="1" t="s">
        <v>42</v>
      </c>
      <c r="C215" s="1" t="s">
        <v>4048</v>
      </c>
      <c r="D215" s="1">
        <v>2021</v>
      </c>
      <c r="E215" s="1" t="str">
        <f t="shared" si="0"/>
        <v>TIGGO 8TIGGO 8 1.5 AUT2021</v>
      </c>
      <c r="F215" s="1" t="s">
        <v>961</v>
      </c>
      <c r="G215" s="1">
        <v>10990000</v>
      </c>
      <c r="H215" s="1">
        <v>9300000</v>
      </c>
    </row>
    <row r="216" spans="1:8" ht="13.5" customHeight="1" x14ac:dyDescent="0.3">
      <c r="A216" s="1" t="s">
        <v>28</v>
      </c>
      <c r="B216" s="1" t="s">
        <v>42</v>
      </c>
      <c r="C216" s="1" t="s">
        <v>4048</v>
      </c>
      <c r="D216" s="1">
        <v>2021</v>
      </c>
      <c r="E216" s="1" t="str">
        <f t="shared" si="0"/>
        <v>TIGGO 8TIGGO 8 1.5 AUT2021</v>
      </c>
      <c r="F216" s="1" t="s">
        <v>494</v>
      </c>
      <c r="G216" s="1">
        <v>11690000</v>
      </c>
      <c r="H216" s="1">
        <v>9000000</v>
      </c>
    </row>
    <row r="217" spans="1:8" ht="13.5" customHeight="1" x14ac:dyDescent="0.3">
      <c r="A217" s="1" t="s">
        <v>28</v>
      </c>
      <c r="B217" s="1" t="s">
        <v>42</v>
      </c>
      <c r="C217" s="1" t="s">
        <v>4048</v>
      </c>
      <c r="D217" s="1">
        <v>2021</v>
      </c>
      <c r="E217" s="1" t="str">
        <f t="shared" si="0"/>
        <v>TIGGO 8TIGGO 8 1.5 AUT2021</v>
      </c>
      <c r="F217" s="1" t="s">
        <v>871</v>
      </c>
      <c r="G217" s="1">
        <v>12290000</v>
      </c>
      <c r="H217" s="1">
        <v>9500000</v>
      </c>
    </row>
    <row r="218" spans="1:8" ht="13.5" customHeight="1" x14ac:dyDescent="0.3">
      <c r="A218" s="1" t="s">
        <v>28</v>
      </c>
      <c r="B218" s="1" t="s">
        <v>42</v>
      </c>
      <c r="C218" s="1" t="s">
        <v>4048</v>
      </c>
      <c r="D218" s="1">
        <v>2021</v>
      </c>
      <c r="E218" s="1" t="str">
        <f t="shared" si="0"/>
        <v>TIGGO 8TIGGO 8 1.5 AUT2021</v>
      </c>
      <c r="F218" s="1" t="s">
        <v>415</v>
      </c>
      <c r="G218" s="1">
        <v>11990000</v>
      </c>
      <c r="H218" s="1">
        <v>9600000</v>
      </c>
    </row>
    <row r="219" spans="1:8" ht="13.5" customHeight="1" x14ac:dyDescent="0.3">
      <c r="A219" s="1" t="s">
        <v>28</v>
      </c>
      <c r="B219" s="1" t="s">
        <v>42</v>
      </c>
      <c r="C219" s="1" t="s">
        <v>4048</v>
      </c>
      <c r="D219" s="1">
        <v>2021</v>
      </c>
      <c r="E219" s="1" t="str">
        <f t="shared" si="0"/>
        <v>TIGGO 8TIGGO 8 1.5 AUT2021</v>
      </c>
      <c r="F219" s="1" t="s">
        <v>1338</v>
      </c>
      <c r="G219" s="1">
        <v>12490000</v>
      </c>
      <c r="H219" s="1">
        <v>10500000</v>
      </c>
    </row>
    <row r="220" spans="1:8" ht="13.5" customHeight="1" x14ac:dyDescent="0.3">
      <c r="A220" s="1" t="s">
        <v>28</v>
      </c>
      <c r="B220" s="1" t="s">
        <v>42</v>
      </c>
      <c r="C220" s="1" t="s">
        <v>4049</v>
      </c>
      <c r="D220" s="1">
        <v>2020</v>
      </c>
      <c r="E220" s="1" t="str">
        <f t="shared" si="0"/>
        <v>TIGGO 8TIGGO 8 GLS 1.52020</v>
      </c>
      <c r="F220" s="1" t="s">
        <v>1517</v>
      </c>
      <c r="G220" s="1">
        <v>10690000</v>
      </c>
      <c r="H220" s="1">
        <v>9500000</v>
      </c>
    </row>
    <row r="221" spans="1:8" ht="13.5" customHeight="1" x14ac:dyDescent="0.3">
      <c r="A221" s="1" t="s">
        <v>28</v>
      </c>
      <c r="B221" s="1" t="s">
        <v>2490</v>
      </c>
      <c r="C221" s="1" t="s">
        <v>4050</v>
      </c>
      <c r="D221" s="1">
        <v>2022</v>
      </c>
      <c r="E221" s="1" t="str">
        <f t="shared" si="0"/>
        <v>TIGGO 8 PROTIGGO 8 PRO GLX DCT 1.6 AUT2022</v>
      </c>
      <c r="F221" s="1" t="s">
        <v>1106</v>
      </c>
      <c r="G221" s="1">
        <v>13990000</v>
      </c>
      <c r="H221" s="1">
        <v>12000000</v>
      </c>
    </row>
    <row r="222" spans="1:8" ht="13.5" customHeight="1" x14ac:dyDescent="0.3">
      <c r="A222" s="1" t="s">
        <v>28</v>
      </c>
      <c r="B222" s="1" t="s">
        <v>2490</v>
      </c>
      <c r="C222" s="1" t="s">
        <v>4050</v>
      </c>
      <c r="D222" s="1">
        <v>2023</v>
      </c>
      <c r="E222" s="1" t="str">
        <f t="shared" si="0"/>
        <v>TIGGO 8 PROTIGGO 8 PRO GLX DCT 1.6 AUT2023</v>
      </c>
      <c r="F222" s="1" t="s">
        <v>541</v>
      </c>
      <c r="G222" s="1">
        <v>13690000</v>
      </c>
      <c r="H222" s="1">
        <v>12000000</v>
      </c>
    </row>
    <row r="223" spans="1:8" ht="13.5" customHeight="1" x14ac:dyDescent="0.3">
      <c r="A223" s="1" t="s">
        <v>28</v>
      </c>
      <c r="B223" s="1" t="s">
        <v>2490</v>
      </c>
      <c r="C223" s="1" t="s">
        <v>4050</v>
      </c>
      <c r="D223" s="1">
        <v>2023</v>
      </c>
      <c r="E223" s="1" t="str">
        <f t="shared" si="0"/>
        <v>TIGGO 8 PROTIGGO 8 PRO GLX DCT 1.6 AUT2023</v>
      </c>
      <c r="F223" s="1" t="s">
        <v>1156</v>
      </c>
      <c r="G223" s="1">
        <v>15790000</v>
      </c>
      <c r="H223" s="1">
        <v>16500000</v>
      </c>
    </row>
    <row r="224" spans="1:8" ht="13.5" customHeight="1" x14ac:dyDescent="0.3">
      <c r="A224" s="1" t="s">
        <v>28</v>
      </c>
      <c r="B224" s="1" t="s">
        <v>2490</v>
      </c>
      <c r="C224" s="1" t="s">
        <v>4050</v>
      </c>
      <c r="D224" s="1">
        <v>2023</v>
      </c>
      <c r="E224" s="1" t="str">
        <f t="shared" si="0"/>
        <v>TIGGO 8 PROTIGGO 8 PRO GLX DCT 1.6 AUT2023</v>
      </c>
      <c r="F224" s="1" t="s">
        <v>473</v>
      </c>
      <c r="G224" s="1">
        <v>13890000</v>
      </c>
      <c r="H224" s="1">
        <v>11800000</v>
      </c>
    </row>
    <row r="225" spans="1:8" ht="13.5" customHeight="1" x14ac:dyDescent="0.3">
      <c r="A225" s="1" t="s">
        <v>28</v>
      </c>
      <c r="B225" s="1" t="s">
        <v>2490</v>
      </c>
      <c r="C225" s="1" t="s">
        <v>4051</v>
      </c>
      <c r="D225" s="1">
        <v>2023</v>
      </c>
      <c r="E225" s="1" t="str">
        <f t="shared" si="0"/>
        <v>TIGGO 8 PROTIGGO 8 PRO MAX 4X4 2.0 AUT2023</v>
      </c>
      <c r="F225" s="1" t="s">
        <v>853</v>
      </c>
      <c r="G225" s="1">
        <v>12390000</v>
      </c>
      <c r="H225" s="1">
        <v>10750000</v>
      </c>
    </row>
    <row r="226" spans="1:8" ht="13.5" customHeight="1" x14ac:dyDescent="0.3">
      <c r="A226" s="1" t="s">
        <v>45</v>
      </c>
      <c r="B226" s="1" t="s">
        <v>46</v>
      </c>
      <c r="C226" s="1" t="s">
        <v>4052</v>
      </c>
      <c r="D226" s="1">
        <v>2021</v>
      </c>
      <c r="E226" s="1" t="str">
        <f t="shared" si="0"/>
        <v>CAPTIVACAPTIVA 1.52021</v>
      </c>
      <c r="F226" s="1" t="s">
        <v>1527</v>
      </c>
      <c r="G226" s="1">
        <v>29980000</v>
      </c>
      <c r="H226" s="1">
        <v>25000000</v>
      </c>
    </row>
    <row r="227" spans="1:8" ht="13.5" customHeight="1" x14ac:dyDescent="0.3">
      <c r="A227" s="1" t="s">
        <v>45</v>
      </c>
      <c r="B227" s="1" t="s">
        <v>46</v>
      </c>
      <c r="C227" s="1" t="s">
        <v>4053</v>
      </c>
      <c r="D227" s="1">
        <v>2022</v>
      </c>
      <c r="E227" s="1" t="str">
        <f t="shared" si="0"/>
        <v>CAPTIVACAPTIVA 1.5 AT2022</v>
      </c>
      <c r="F227" s="1" t="s">
        <v>691</v>
      </c>
      <c r="G227" s="1">
        <v>12990000</v>
      </c>
      <c r="H227" s="1">
        <v>10500000</v>
      </c>
    </row>
    <row r="228" spans="1:8" ht="13.5" customHeight="1" x14ac:dyDescent="0.3">
      <c r="A228" s="1" t="s">
        <v>45</v>
      </c>
      <c r="B228" s="1" t="s">
        <v>46</v>
      </c>
      <c r="C228" s="1" t="s">
        <v>4053</v>
      </c>
      <c r="D228" s="1">
        <v>2022</v>
      </c>
      <c r="E228" s="1" t="str">
        <f t="shared" si="0"/>
        <v>CAPTIVACAPTIVA 1.5 AT2022</v>
      </c>
      <c r="F228" s="1" t="s">
        <v>1807</v>
      </c>
      <c r="G228" s="1">
        <v>14390000</v>
      </c>
      <c r="H228" s="1">
        <v>11800000</v>
      </c>
    </row>
    <row r="229" spans="1:8" ht="13.5" customHeight="1" x14ac:dyDescent="0.3">
      <c r="A229" s="1" t="s">
        <v>45</v>
      </c>
      <c r="B229" s="1" t="s">
        <v>46</v>
      </c>
      <c r="C229" s="1" t="s">
        <v>4053</v>
      </c>
      <c r="D229" s="1">
        <v>2022</v>
      </c>
      <c r="E229" s="1" t="str">
        <f t="shared" si="0"/>
        <v>CAPTIVACAPTIVA 1.5 AT2022</v>
      </c>
      <c r="F229" s="1" t="s">
        <v>340</v>
      </c>
      <c r="G229" s="1">
        <v>13490000</v>
      </c>
      <c r="H229" s="1">
        <v>11000000</v>
      </c>
    </row>
    <row r="230" spans="1:8" ht="13.5" customHeight="1" x14ac:dyDescent="0.3">
      <c r="A230" s="1" t="s">
        <v>45</v>
      </c>
      <c r="B230" s="1" t="s">
        <v>46</v>
      </c>
      <c r="C230" s="1" t="s">
        <v>4054</v>
      </c>
      <c r="D230" s="1">
        <v>2022</v>
      </c>
      <c r="E230" s="1" t="str">
        <f t="shared" si="0"/>
        <v>CAPTIVACAPTIVA 1.5 AUT2022</v>
      </c>
      <c r="F230" s="1" t="s">
        <v>1435</v>
      </c>
      <c r="G230" s="1">
        <v>15990000</v>
      </c>
      <c r="H230" s="1">
        <v>11900000</v>
      </c>
    </row>
    <row r="231" spans="1:8" ht="13.5" customHeight="1" x14ac:dyDescent="0.3">
      <c r="A231" s="1" t="s">
        <v>45</v>
      </c>
      <c r="B231" s="1" t="s">
        <v>46</v>
      </c>
      <c r="C231" s="1" t="s">
        <v>47</v>
      </c>
      <c r="D231" s="1">
        <v>2017</v>
      </c>
      <c r="E231" s="1" t="str">
        <f t="shared" si="0"/>
        <v>CAPTIVACAPTIVA LS 2.4 AT2017</v>
      </c>
      <c r="F231" s="1" t="s">
        <v>48</v>
      </c>
      <c r="G231" s="1">
        <v>9590000</v>
      </c>
      <c r="H231" s="1">
        <v>7300000</v>
      </c>
    </row>
    <row r="232" spans="1:8" ht="13.5" customHeight="1" x14ac:dyDescent="0.3">
      <c r="A232" s="1" t="s">
        <v>45</v>
      </c>
      <c r="B232" s="1" t="s">
        <v>46</v>
      </c>
      <c r="C232" s="1" t="s">
        <v>47</v>
      </c>
      <c r="D232" s="1">
        <v>2018</v>
      </c>
      <c r="E232" s="1" t="str">
        <f t="shared" si="0"/>
        <v>CAPTIVACAPTIVA LS 2.4 AT2018</v>
      </c>
      <c r="F232" s="1" t="s">
        <v>788</v>
      </c>
      <c r="G232" s="1">
        <v>9990000</v>
      </c>
      <c r="H232" s="1">
        <v>8150000</v>
      </c>
    </row>
    <row r="233" spans="1:8" ht="13.5" customHeight="1" x14ac:dyDescent="0.3">
      <c r="A233" s="1" t="s">
        <v>45</v>
      </c>
      <c r="B233" s="1" t="s">
        <v>46</v>
      </c>
      <c r="C233" s="1" t="s">
        <v>4055</v>
      </c>
      <c r="D233" s="1">
        <v>2021</v>
      </c>
      <c r="E233" s="1" t="str">
        <f t="shared" si="0"/>
        <v>CAPTIVACAPTIVA LT 1.5 AUT2021</v>
      </c>
      <c r="F233" s="1" t="s">
        <v>396</v>
      </c>
      <c r="G233" s="1">
        <v>11990000</v>
      </c>
      <c r="H233" s="1">
        <v>9400000</v>
      </c>
    </row>
    <row r="234" spans="1:8" ht="13.5" customHeight="1" x14ac:dyDescent="0.3">
      <c r="A234" s="1" t="s">
        <v>45</v>
      </c>
      <c r="B234" s="1" t="s">
        <v>46</v>
      </c>
      <c r="C234" s="1" t="s">
        <v>4056</v>
      </c>
      <c r="D234" s="1">
        <v>2022</v>
      </c>
      <c r="E234" s="1" t="str">
        <f t="shared" si="0"/>
        <v>CAPTIVACAPTIVA MT6 1.52022</v>
      </c>
      <c r="F234" s="1" t="s">
        <v>1893</v>
      </c>
      <c r="G234" s="1">
        <v>14690000</v>
      </c>
      <c r="H234" s="1">
        <v>12000000</v>
      </c>
    </row>
    <row r="235" spans="1:8" ht="13.5" customHeight="1" x14ac:dyDescent="0.3">
      <c r="A235" s="1" t="s">
        <v>45</v>
      </c>
      <c r="B235" s="1" t="s">
        <v>46</v>
      </c>
      <c r="C235" s="1" t="s">
        <v>4056</v>
      </c>
      <c r="D235" s="1">
        <v>2024</v>
      </c>
      <c r="E235" s="1" t="str">
        <f t="shared" si="0"/>
        <v>CAPTIVACAPTIVA MT6 1.52024</v>
      </c>
      <c r="F235" s="1" t="s">
        <v>898</v>
      </c>
      <c r="G235" s="1">
        <v>16990000</v>
      </c>
      <c r="H235" s="1">
        <v>14100000</v>
      </c>
    </row>
    <row r="236" spans="1:8" ht="13.5" customHeight="1" x14ac:dyDescent="0.3">
      <c r="A236" s="1" t="s">
        <v>45</v>
      </c>
      <c r="B236" s="1" t="s">
        <v>46</v>
      </c>
      <c r="C236" s="1" t="s">
        <v>4057</v>
      </c>
      <c r="D236" s="1">
        <v>2022</v>
      </c>
      <c r="E236" s="1" t="str">
        <f t="shared" si="0"/>
        <v>CAPTIVACAPTIVA MT6 4X2 1.52022</v>
      </c>
      <c r="F236" s="1" t="s">
        <v>391</v>
      </c>
      <c r="G236" s="1">
        <v>12290000</v>
      </c>
      <c r="H236" s="1">
        <v>9000000</v>
      </c>
    </row>
    <row r="237" spans="1:8" ht="13.5" customHeight="1" x14ac:dyDescent="0.3">
      <c r="A237" s="1" t="s">
        <v>45</v>
      </c>
      <c r="B237" s="1" t="s">
        <v>46</v>
      </c>
      <c r="C237" s="1" t="s">
        <v>4058</v>
      </c>
      <c r="D237" s="1">
        <v>2020</v>
      </c>
      <c r="E237" s="1" t="str">
        <f t="shared" si="0"/>
        <v>CAPTIVACAPTIVA OTTO 1.52020</v>
      </c>
      <c r="F237" s="1" t="s">
        <v>2033</v>
      </c>
      <c r="G237" s="1">
        <v>14990000</v>
      </c>
      <c r="H237" s="1">
        <v>11000000</v>
      </c>
    </row>
    <row r="238" spans="1:8" ht="13.5" customHeight="1" x14ac:dyDescent="0.3">
      <c r="A238" s="1" t="s">
        <v>45</v>
      </c>
      <c r="B238" s="1" t="s">
        <v>46</v>
      </c>
      <c r="C238" s="1" t="s">
        <v>4059</v>
      </c>
      <c r="D238" s="1">
        <v>2019</v>
      </c>
      <c r="E238" s="1" t="str">
        <f t="shared" si="0"/>
        <v>CAPTIVACAPTIVA PREMIER 1.52019</v>
      </c>
      <c r="F238" s="1" t="s">
        <v>1458</v>
      </c>
      <c r="G238" s="1">
        <v>11990000</v>
      </c>
      <c r="H238" s="1">
        <v>9700000</v>
      </c>
    </row>
    <row r="239" spans="1:8" ht="13.5" customHeight="1" x14ac:dyDescent="0.3">
      <c r="A239" s="1" t="s">
        <v>45</v>
      </c>
      <c r="B239" s="1" t="s">
        <v>46</v>
      </c>
      <c r="C239" s="1" t="s">
        <v>4059</v>
      </c>
      <c r="D239" s="1">
        <v>2019</v>
      </c>
      <c r="E239" s="1" t="str">
        <f t="shared" si="0"/>
        <v>CAPTIVACAPTIVA PREMIER 1.52019</v>
      </c>
      <c r="F239" s="1" t="s">
        <v>2000</v>
      </c>
      <c r="G239" s="1">
        <v>11990000</v>
      </c>
      <c r="H239" s="1">
        <v>9700000</v>
      </c>
    </row>
    <row r="240" spans="1:8" ht="13.5" customHeight="1" x14ac:dyDescent="0.3">
      <c r="A240" s="1" t="s">
        <v>45</v>
      </c>
      <c r="B240" s="1" t="s">
        <v>2903</v>
      </c>
      <c r="C240" s="1" t="s">
        <v>4060</v>
      </c>
      <c r="D240" s="1">
        <v>2020</v>
      </c>
      <c r="E240" s="1" t="str">
        <f t="shared" si="0"/>
        <v>COLORADOCOLORADO 4WD 2.8 AUT2020</v>
      </c>
      <c r="F240" s="1" t="s">
        <v>2139</v>
      </c>
      <c r="G240" s="1">
        <v>26390000</v>
      </c>
      <c r="H240" s="1">
        <v>22000000</v>
      </c>
    </row>
    <row r="241" spans="1:8" ht="13.5" customHeight="1" x14ac:dyDescent="0.3">
      <c r="A241" s="1" t="s">
        <v>45</v>
      </c>
      <c r="B241" s="1" t="s">
        <v>2903</v>
      </c>
      <c r="C241" s="1" t="s">
        <v>4061</v>
      </c>
      <c r="D241" s="1">
        <v>2022</v>
      </c>
      <c r="E241" s="1" t="str">
        <f t="shared" si="0"/>
        <v>COLORADOCOLORADO DCAB 4X4 2.82022</v>
      </c>
      <c r="F241" s="1" t="s">
        <v>1711</v>
      </c>
      <c r="G241" s="1">
        <v>21585120</v>
      </c>
      <c r="H241" s="1">
        <v>18000000</v>
      </c>
    </row>
    <row r="242" spans="1:8" ht="13.5" customHeight="1" x14ac:dyDescent="0.3">
      <c r="A242" s="1" t="s">
        <v>45</v>
      </c>
      <c r="B242" s="1" t="s">
        <v>2903</v>
      </c>
      <c r="C242" s="1" t="s">
        <v>4062</v>
      </c>
      <c r="D242" s="1">
        <v>2022</v>
      </c>
      <c r="E242" s="1" t="str">
        <f t="shared" si="0"/>
        <v>COLORADOCOLORADO DCAB 4X4 2.8 AT2022</v>
      </c>
      <c r="F242" s="1" t="s">
        <v>1832</v>
      </c>
      <c r="G242" s="1">
        <v>26990000</v>
      </c>
      <c r="H242" s="1">
        <v>22000000</v>
      </c>
    </row>
    <row r="243" spans="1:8" ht="13.5" customHeight="1" x14ac:dyDescent="0.3">
      <c r="A243" s="1" t="s">
        <v>45</v>
      </c>
      <c r="B243" s="1" t="s">
        <v>2903</v>
      </c>
      <c r="C243" s="1" t="s">
        <v>4062</v>
      </c>
      <c r="D243" s="1">
        <v>2023</v>
      </c>
      <c r="E243" s="1" t="str">
        <f t="shared" si="0"/>
        <v>COLORADOCOLORADO DCAB 4X4 2.8 AT2023</v>
      </c>
      <c r="F243" s="1" t="s">
        <v>1395</v>
      </c>
      <c r="G243" s="1">
        <v>19990000</v>
      </c>
      <c r="H243" s="1">
        <v>23800000</v>
      </c>
    </row>
    <row r="244" spans="1:8" ht="13.5" customHeight="1" x14ac:dyDescent="0.3">
      <c r="A244" s="1" t="s">
        <v>45</v>
      </c>
      <c r="B244" s="1" t="s">
        <v>2903</v>
      </c>
      <c r="C244" s="1" t="s">
        <v>4063</v>
      </c>
      <c r="D244" s="1">
        <v>2022</v>
      </c>
      <c r="E244" s="1" t="str">
        <f t="shared" si="0"/>
        <v>COLORADOCOLORADO II LS 2.82022</v>
      </c>
      <c r="F244" s="1" t="s">
        <v>797</v>
      </c>
      <c r="G244" s="1">
        <v>20290000</v>
      </c>
      <c r="H244" s="1">
        <v>17000000</v>
      </c>
    </row>
    <row r="245" spans="1:8" ht="13.5" customHeight="1" x14ac:dyDescent="0.3">
      <c r="A245" s="1" t="s">
        <v>45</v>
      </c>
      <c r="B245" s="1" t="s">
        <v>4064</v>
      </c>
      <c r="C245" s="1" t="s">
        <v>4065</v>
      </c>
      <c r="D245" s="1">
        <v>2020</v>
      </c>
      <c r="E245" s="1" t="str">
        <f t="shared" si="0"/>
        <v>EQUINOXEQUINOX FWD 1.5 AUT2020</v>
      </c>
      <c r="F245" s="1" t="s">
        <v>1532</v>
      </c>
      <c r="G245" s="1">
        <v>11990000</v>
      </c>
      <c r="H245" s="1">
        <v>10000000</v>
      </c>
    </row>
    <row r="246" spans="1:8" ht="13.5" customHeight="1" x14ac:dyDescent="0.3">
      <c r="A246" s="1" t="s">
        <v>45</v>
      </c>
      <c r="B246" s="1" t="s">
        <v>2764</v>
      </c>
      <c r="C246" s="1" t="s">
        <v>4066</v>
      </c>
      <c r="D246" s="1">
        <v>2021</v>
      </c>
      <c r="E246" s="1" t="str">
        <f t="shared" si="0"/>
        <v>GROOVEGROOVE 1.52021</v>
      </c>
      <c r="F246" s="1" t="s">
        <v>920</v>
      </c>
      <c r="G246" s="1">
        <v>8490000</v>
      </c>
      <c r="H246" s="1">
        <v>6700000</v>
      </c>
    </row>
    <row r="247" spans="1:8" ht="13.5" customHeight="1" x14ac:dyDescent="0.3">
      <c r="A247" s="1" t="s">
        <v>45</v>
      </c>
      <c r="B247" s="1" t="s">
        <v>2764</v>
      </c>
      <c r="C247" s="1" t="s">
        <v>4066</v>
      </c>
      <c r="D247" s="1">
        <v>2021</v>
      </c>
      <c r="E247" s="1" t="str">
        <f t="shared" si="0"/>
        <v>GROOVEGROOVE 1.52021</v>
      </c>
      <c r="F247" s="1" t="s">
        <v>2226</v>
      </c>
      <c r="G247" s="1">
        <v>11990000</v>
      </c>
      <c r="H247" s="1">
        <v>10000000</v>
      </c>
    </row>
    <row r="248" spans="1:8" ht="13.5" customHeight="1" x14ac:dyDescent="0.3">
      <c r="A248" s="1" t="s">
        <v>45</v>
      </c>
      <c r="B248" s="1" t="s">
        <v>2764</v>
      </c>
      <c r="C248" s="1" t="s">
        <v>4066</v>
      </c>
      <c r="D248" s="1">
        <v>2021</v>
      </c>
      <c r="E248" s="1" t="str">
        <f t="shared" si="0"/>
        <v>GROOVEGROOVE 1.52021</v>
      </c>
      <c r="F248" s="1" t="s">
        <v>1472</v>
      </c>
      <c r="G248" s="1">
        <v>10090000</v>
      </c>
      <c r="H248" s="1">
        <v>8500000</v>
      </c>
    </row>
    <row r="249" spans="1:8" ht="13.5" customHeight="1" x14ac:dyDescent="0.3">
      <c r="A249" s="1" t="s">
        <v>45</v>
      </c>
      <c r="B249" s="1" t="s">
        <v>2764</v>
      </c>
      <c r="C249" s="1" t="s">
        <v>4066</v>
      </c>
      <c r="D249" s="1">
        <v>2021</v>
      </c>
      <c r="E249" s="1" t="str">
        <f t="shared" si="0"/>
        <v>GROOVEGROOVE 1.52021</v>
      </c>
      <c r="F249" s="1" t="s">
        <v>1323</v>
      </c>
      <c r="G249" s="1">
        <v>10690000</v>
      </c>
      <c r="H249" s="1">
        <v>8000000</v>
      </c>
    </row>
    <row r="250" spans="1:8" ht="13.5" customHeight="1" x14ac:dyDescent="0.3">
      <c r="A250" s="1" t="s">
        <v>45</v>
      </c>
      <c r="B250" s="1" t="s">
        <v>2764</v>
      </c>
      <c r="C250" s="1" t="s">
        <v>4066</v>
      </c>
      <c r="D250" s="1">
        <v>2021</v>
      </c>
      <c r="E250" s="1" t="str">
        <f t="shared" si="0"/>
        <v>GROOVEGROOVE 1.52021</v>
      </c>
      <c r="F250" s="1" t="s">
        <v>638</v>
      </c>
      <c r="G250" s="1">
        <v>9290000</v>
      </c>
      <c r="H250" s="1">
        <v>7300000</v>
      </c>
    </row>
    <row r="251" spans="1:8" ht="13.5" customHeight="1" x14ac:dyDescent="0.3">
      <c r="A251" s="1" t="s">
        <v>45</v>
      </c>
      <c r="B251" s="1" t="s">
        <v>2764</v>
      </c>
      <c r="C251" s="1" t="s">
        <v>4066</v>
      </c>
      <c r="D251" s="1">
        <v>2022</v>
      </c>
      <c r="E251" s="1" t="str">
        <f t="shared" si="0"/>
        <v>GROOVEGROOVE 1.52022</v>
      </c>
      <c r="F251" s="1" t="s">
        <v>894</v>
      </c>
      <c r="G251" s="1">
        <v>8990000</v>
      </c>
      <c r="H251" s="1">
        <v>7500000</v>
      </c>
    </row>
    <row r="252" spans="1:8" ht="13.5" customHeight="1" x14ac:dyDescent="0.3">
      <c r="A252" s="1" t="s">
        <v>45</v>
      </c>
      <c r="B252" s="1" t="s">
        <v>2764</v>
      </c>
      <c r="C252" s="1" t="s">
        <v>4066</v>
      </c>
      <c r="D252" s="1">
        <v>2022</v>
      </c>
      <c r="E252" s="1" t="str">
        <f t="shared" si="0"/>
        <v>GROOVEGROOVE 1.52022</v>
      </c>
      <c r="F252" s="1" t="s">
        <v>994</v>
      </c>
      <c r="G252" s="1">
        <v>9690000</v>
      </c>
      <c r="H252" s="1">
        <v>8000000</v>
      </c>
    </row>
    <row r="253" spans="1:8" ht="13.5" customHeight="1" x14ac:dyDescent="0.3">
      <c r="A253" s="1" t="s">
        <v>45</v>
      </c>
      <c r="B253" s="1" t="s">
        <v>2764</v>
      </c>
      <c r="C253" s="1" t="s">
        <v>4066</v>
      </c>
      <c r="D253" s="1">
        <v>2023</v>
      </c>
      <c r="E253" s="1" t="str">
        <f t="shared" si="0"/>
        <v>GROOVEGROOVE 1.52023</v>
      </c>
      <c r="F253" s="1" t="s">
        <v>628</v>
      </c>
      <c r="G253" s="1">
        <v>10690000</v>
      </c>
      <c r="H253" s="1">
        <v>8800000</v>
      </c>
    </row>
    <row r="254" spans="1:8" ht="13.5" customHeight="1" x14ac:dyDescent="0.3">
      <c r="A254" s="1" t="s">
        <v>45</v>
      </c>
      <c r="B254" s="1" t="s">
        <v>2764</v>
      </c>
      <c r="C254" s="1" t="s">
        <v>4066</v>
      </c>
      <c r="D254" s="1">
        <v>2023</v>
      </c>
      <c r="E254" s="1" t="str">
        <f t="shared" si="0"/>
        <v>GROOVEGROOVE 1.52023</v>
      </c>
      <c r="F254" s="1" t="s">
        <v>1600</v>
      </c>
      <c r="G254" s="1">
        <v>11690000</v>
      </c>
      <c r="H254" s="1">
        <v>9478403</v>
      </c>
    </row>
    <row r="255" spans="1:8" ht="13.5" customHeight="1" x14ac:dyDescent="0.3">
      <c r="A255" s="1" t="s">
        <v>45</v>
      </c>
      <c r="B255" s="1" t="s">
        <v>2764</v>
      </c>
      <c r="C255" s="1" t="s">
        <v>4066</v>
      </c>
      <c r="D255" s="1">
        <v>2023</v>
      </c>
      <c r="E255" s="1" t="str">
        <f t="shared" si="0"/>
        <v>GROOVEGROOVE 1.52023</v>
      </c>
      <c r="F255" s="1" t="s">
        <v>410</v>
      </c>
      <c r="G255" s="1">
        <v>10990000</v>
      </c>
      <c r="H255" s="1">
        <v>8500000</v>
      </c>
    </row>
    <row r="256" spans="1:8" ht="13.5" customHeight="1" x14ac:dyDescent="0.3">
      <c r="A256" s="1" t="s">
        <v>45</v>
      </c>
      <c r="B256" s="1" t="s">
        <v>2764</v>
      </c>
      <c r="C256" s="1" t="s">
        <v>4066</v>
      </c>
      <c r="D256" s="1">
        <v>2023</v>
      </c>
      <c r="E256" s="1" t="str">
        <f t="shared" si="0"/>
        <v>GROOVEGROOVE 1.52023</v>
      </c>
      <c r="F256" s="1" t="s">
        <v>776</v>
      </c>
      <c r="G256" s="1">
        <v>10390000</v>
      </c>
      <c r="H256" s="1">
        <v>8620000</v>
      </c>
    </row>
    <row r="257" spans="1:8" ht="13.5" customHeight="1" x14ac:dyDescent="0.3">
      <c r="A257" s="1" t="s">
        <v>45</v>
      </c>
      <c r="B257" s="1" t="s">
        <v>2764</v>
      </c>
      <c r="C257" s="1" t="s">
        <v>4067</v>
      </c>
      <c r="D257" s="1">
        <v>2025</v>
      </c>
      <c r="E257" s="1" t="str">
        <f t="shared" si="0"/>
        <v>GROOVEGROOVE LTZ 1.52025</v>
      </c>
      <c r="F257" s="1" t="s">
        <v>599</v>
      </c>
      <c r="G257" s="1">
        <v>11190000</v>
      </c>
      <c r="H257" s="1">
        <v>9300000</v>
      </c>
    </row>
    <row r="258" spans="1:8" ht="13.5" customHeight="1" x14ac:dyDescent="0.3">
      <c r="A258" s="1" t="s">
        <v>45</v>
      </c>
      <c r="B258" s="1" t="s">
        <v>2540</v>
      </c>
      <c r="C258" s="1" t="s">
        <v>4068</v>
      </c>
      <c r="D258" s="1">
        <v>2020</v>
      </c>
      <c r="E258" s="1" t="str">
        <f t="shared" ref="E258:E512" si="1">CONCATENATE(B258,C258,D258)</f>
        <v>ONIXONIX HB 1.42020</v>
      </c>
      <c r="F258" s="1" t="s">
        <v>1279</v>
      </c>
      <c r="G258" s="1">
        <v>7290000</v>
      </c>
      <c r="H258" s="1">
        <v>6000000</v>
      </c>
    </row>
    <row r="259" spans="1:8" ht="13.5" customHeight="1" x14ac:dyDescent="0.3">
      <c r="A259" s="1" t="s">
        <v>45</v>
      </c>
      <c r="B259" s="1" t="s">
        <v>2540</v>
      </c>
      <c r="C259" s="1" t="s">
        <v>4069</v>
      </c>
      <c r="D259" s="1">
        <v>2023</v>
      </c>
      <c r="E259" s="1" t="str">
        <f t="shared" si="1"/>
        <v>ONIXONIX HB PREMIER 1.0 AUT2023</v>
      </c>
      <c r="F259" s="1" t="s">
        <v>1091</v>
      </c>
      <c r="G259" s="1">
        <v>12390000</v>
      </c>
      <c r="H259" s="1">
        <v>10350000</v>
      </c>
    </row>
    <row r="260" spans="1:8" ht="13.5" customHeight="1" x14ac:dyDescent="0.3">
      <c r="A260" s="1" t="s">
        <v>45</v>
      </c>
      <c r="B260" s="1" t="s">
        <v>2540</v>
      </c>
      <c r="C260" s="1" t="s">
        <v>4070</v>
      </c>
      <c r="D260" s="1">
        <v>2023</v>
      </c>
      <c r="E260" s="1" t="str">
        <f t="shared" si="1"/>
        <v>ONIXONIX HB RS 1.0T2023</v>
      </c>
      <c r="F260" s="1" t="s">
        <v>1799</v>
      </c>
      <c r="G260" s="1">
        <v>12090620</v>
      </c>
      <c r="H260" s="1">
        <v>10000000</v>
      </c>
    </row>
    <row r="261" spans="1:8" ht="13.5" customHeight="1" x14ac:dyDescent="0.3">
      <c r="A261" s="1" t="s">
        <v>45</v>
      </c>
      <c r="B261" s="1" t="s">
        <v>2540</v>
      </c>
      <c r="C261" s="1" t="s">
        <v>4070</v>
      </c>
      <c r="D261" s="1">
        <v>2023</v>
      </c>
      <c r="E261" s="1" t="str">
        <f t="shared" si="1"/>
        <v>ONIXONIX HB RS 1.0T2023</v>
      </c>
      <c r="F261" s="1" t="s">
        <v>503</v>
      </c>
      <c r="G261" s="1">
        <v>9690000</v>
      </c>
      <c r="H261" s="1">
        <v>8000000</v>
      </c>
    </row>
    <row r="262" spans="1:8" ht="13.5" customHeight="1" x14ac:dyDescent="0.3">
      <c r="A262" s="1" t="s">
        <v>45</v>
      </c>
      <c r="B262" s="1" t="s">
        <v>2540</v>
      </c>
      <c r="C262" s="1" t="s">
        <v>4071</v>
      </c>
      <c r="D262" s="1">
        <v>2019</v>
      </c>
      <c r="E262" s="1" t="str">
        <f t="shared" si="1"/>
        <v>ONIXONIX LTZ 1.42019</v>
      </c>
      <c r="F262" s="1" t="s">
        <v>1518</v>
      </c>
      <c r="G262" s="1">
        <v>7990000</v>
      </c>
      <c r="H262" s="1">
        <v>5500000</v>
      </c>
    </row>
    <row r="263" spans="1:8" ht="13.5" customHeight="1" x14ac:dyDescent="0.3">
      <c r="A263" s="1" t="s">
        <v>45</v>
      </c>
      <c r="B263" s="1" t="s">
        <v>2540</v>
      </c>
      <c r="C263" s="1" t="s">
        <v>4072</v>
      </c>
      <c r="D263" s="1">
        <v>2021</v>
      </c>
      <c r="E263" s="1" t="str">
        <f t="shared" si="1"/>
        <v>ONIXONIX NB LT 1.0T2021</v>
      </c>
      <c r="F263" s="1" t="s">
        <v>1332</v>
      </c>
      <c r="G263" s="1">
        <v>7657120</v>
      </c>
      <c r="H263" s="1">
        <v>5900000</v>
      </c>
    </row>
    <row r="264" spans="1:8" ht="13.5" customHeight="1" x14ac:dyDescent="0.3">
      <c r="A264" s="1" t="s">
        <v>45</v>
      </c>
      <c r="B264" s="1" t="s">
        <v>2540</v>
      </c>
      <c r="C264" s="1" t="s">
        <v>4073</v>
      </c>
      <c r="D264" s="1">
        <v>2022</v>
      </c>
      <c r="E264" s="1" t="str">
        <f t="shared" si="1"/>
        <v>ONIXONIX NB PREMIER 1.0T AUT2022</v>
      </c>
      <c r="F264" s="1" t="s">
        <v>2086</v>
      </c>
      <c r="G264" s="1">
        <v>11490000</v>
      </c>
      <c r="H264" s="1">
        <v>10300000</v>
      </c>
    </row>
    <row r="265" spans="1:8" ht="13.5" customHeight="1" x14ac:dyDescent="0.3">
      <c r="A265" s="1" t="s">
        <v>45</v>
      </c>
      <c r="B265" s="1" t="s">
        <v>4074</v>
      </c>
      <c r="C265" s="1" t="s">
        <v>4075</v>
      </c>
      <c r="D265" s="1">
        <v>2015</v>
      </c>
      <c r="E265" s="1" t="str">
        <f t="shared" si="1"/>
        <v>ORLANDOORLANDO LS 2.02015</v>
      </c>
      <c r="F265" s="1" t="s">
        <v>4076</v>
      </c>
      <c r="G265" s="1">
        <v>6490000</v>
      </c>
      <c r="H265" s="1">
        <v>11372100</v>
      </c>
    </row>
    <row r="266" spans="1:8" ht="13.5" customHeight="1" x14ac:dyDescent="0.3">
      <c r="A266" s="1" t="s">
        <v>45</v>
      </c>
      <c r="B266" s="1" t="s">
        <v>3061</v>
      </c>
      <c r="C266" s="1" t="s">
        <v>4077</v>
      </c>
      <c r="D266" s="1">
        <v>2020</v>
      </c>
      <c r="E266" s="1" t="str">
        <f t="shared" si="1"/>
        <v>PRISMAPRISMA 1.42020</v>
      </c>
      <c r="F266" s="1" t="s">
        <v>1610</v>
      </c>
      <c r="G266" s="1">
        <v>7190000</v>
      </c>
      <c r="H266" s="1">
        <v>6100000</v>
      </c>
    </row>
    <row r="267" spans="1:8" ht="13.5" customHeight="1" x14ac:dyDescent="0.3">
      <c r="A267" s="1" t="s">
        <v>45</v>
      </c>
      <c r="B267" s="1" t="s">
        <v>3061</v>
      </c>
      <c r="C267" s="1" t="s">
        <v>4078</v>
      </c>
      <c r="D267" s="1">
        <v>2018</v>
      </c>
      <c r="E267" s="1" t="str">
        <f t="shared" si="1"/>
        <v>PRISMAPRISMA LTZ 1.42018</v>
      </c>
      <c r="F267" s="1" t="s">
        <v>2208</v>
      </c>
      <c r="G267" s="1">
        <v>6990000</v>
      </c>
      <c r="H267" s="1">
        <v>5750000</v>
      </c>
    </row>
    <row r="268" spans="1:8" ht="13.5" customHeight="1" x14ac:dyDescent="0.3">
      <c r="A268" s="1" t="s">
        <v>45</v>
      </c>
      <c r="B268" s="1" t="s">
        <v>3061</v>
      </c>
      <c r="C268" s="1" t="s">
        <v>4078</v>
      </c>
      <c r="D268" s="1">
        <v>2018</v>
      </c>
      <c r="E268" s="1" t="str">
        <f t="shared" si="1"/>
        <v>PRISMAPRISMA LTZ 1.42018</v>
      </c>
      <c r="F268" s="1" t="s">
        <v>2094</v>
      </c>
      <c r="G268" s="1">
        <v>6690000</v>
      </c>
      <c r="H268" s="1">
        <v>4400000</v>
      </c>
    </row>
    <row r="269" spans="1:8" ht="13.5" customHeight="1" x14ac:dyDescent="0.3">
      <c r="A269" s="1" t="s">
        <v>45</v>
      </c>
      <c r="B269" s="1" t="s">
        <v>2822</v>
      </c>
      <c r="C269" s="1" t="s">
        <v>4079</v>
      </c>
      <c r="D269" s="1">
        <v>2018</v>
      </c>
      <c r="E269" s="1" t="str">
        <f t="shared" si="1"/>
        <v>SAILSAIL 1.52018</v>
      </c>
      <c r="F269" s="1" t="s">
        <v>1679</v>
      </c>
      <c r="G269" s="1">
        <v>5990000</v>
      </c>
      <c r="H269" s="1">
        <v>4900000</v>
      </c>
    </row>
    <row r="270" spans="1:8" ht="13.5" customHeight="1" x14ac:dyDescent="0.3">
      <c r="A270" s="1" t="s">
        <v>45</v>
      </c>
      <c r="B270" s="1" t="s">
        <v>2822</v>
      </c>
      <c r="C270" s="1" t="s">
        <v>4079</v>
      </c>
      <c r="D270" s="1">
        <v>2021</v>
      </c>
      <c r="E270" s="1" t="str">
        <f t="shared" si="1"/>
        <v>SAILSAIL 1.52021</v>
      </c>
      <c r="F270" s="1" t="s">
        <v>960</v>
      </c>
      <c r="G270" s="1">
        <v>6390000</v>
      </c>
      <c r="H270" s="1">
        <v>4500000</v>
      </c>
    </row>
    <row r="271" spans="1:8" ht="13.5" customHeight="1" x14ac:dyDescent="0.3">
      <c r="A271" s="1" t="s">
        <v>45</v>
      </c>
      <c r="B271" s="1" t="s">
        <v>2822</v>
      </c>
      <c r="C271" s="1" t="s">
        <v>4079</v>
      </c>
      <c r="D271" s="1">
        <v>2021</v>
      </c>
      <c r="E271" s="1" t="str">
        <f t="shared" si="1"/>
        <v>SAILSAIL 1.52021</v>
      </c>
      <c r="F271" s="1" t="s">
        <v>2167</v>
      </c>
      <c r="G271" s="1">
        <v>8990000</v>
      </c>
      <c r="H271" s="1">
        <v>7100000</v>
      </c>
    </row>
    <row r="272" spans="1:8" ht="13.5" customHeight="1" x14ac:dyDescent="0.3">
      <c r="A272" s="1" t="s">
        <v>45</v>
      </c>
      <c r="B272" s="1" t="s">
        <v>2822</v>
      </c>
      <c r="C272" s="1" t="s">
        <v>4079</v>
      </c>
      <c r="D272" s="1">
        <v>2021</v>
      </c>
      <c r="E272" s="1" t="str">
        <f t="shared" si="1"/>
        <v>SAILSAIL 1.52021</v>
      </c>
      <c r="F272" s="1" t="s">
        <v>2411</v>
      </c>
      <c r="G272" s="1">
        <v>9990000</v>
      </c>
      <c r="H272" s="1">
        <v>8500000</v>
      </c>
    </row>
    <row r="273" spans="1:8" ht="13.5" customHeight="1" x14ac:dyDescent="0.3">
      <c r="A273" s="1" t="s">
        <v>45</v>
      </c>
      <c r="B273" s="1" t="s">
        <v>2822</v>
      </c>
      <c r="C273" s="1" t="s">
        <v>4079</v>
      </c>
      <c r="D273" s="1">
        <v>2022</v>
      </c>
      <c r="E273" s="1" t="str">
        <f t="shared" si="1"/>
        <v>SAILSAIL 1.52022</v>
      </c>
      <c r="F273" s="1" t="s">
        <v>1296</v>
      </c>
      <c r="G273" s="1">
        <v>8390000</v>
      </c>
      <c r="H273" s="1">
        <v>7000000</v>
      </c>
    </row>
    <row r="274" spans="1:8" ht="13.5" customHeight="1" x14ac:dyDescent="0.3">
      <c r="A274" s="1" t="s">
        <v>45</v>
      </c>
      <c r="B274" s="1" t="s">
        <v>2822</v>
      </c>
      <c r="C274" s="1" t="s">
        <v>4079</v>
      </c>
      <c r="D274" s="1">
        <v>2023</v>
      </c>
      <c r="E274" s="1" t="str">
        <f t="shared" si="1"/>
        <v>SAILSAIL 1.52023</v>
      </c>
      <c r="F274" s="1" t="s">
        <v>783</v>
      </c>
      <c r="G274" s="1">
        <v>7890000</v>
      </c>
      <c r="H274" s="1">
        <v>6500000</v>
      </c>
    </row>
    <row r="275" spans="1:8" ht="13.5" customHeight="1" x14ac:dyDescent="0.3">
      <c r="A275" s="1" t="s">
        <v>45</v>
      </c>
      <c r="B275" s="1" t="s">
        <v>2822</v>
      </c>
      <c r="C275" s="1" t="s">
        <v>4079</v>
      </c>
      <c r="D275" s="1">
        <v>2023</v>
      </c>
      <c r="E275" s="1" t="str">
        <f t="shared" si="1"/>
        <v>SAILSAIL 1.52023</v>
      </c>
      <c r="F275" s="1" t="s">
        <v>718</v>
      </c>
      <c r="G275" s="1">
        <v>8790000</v>
      </c>
      <c r="H275" s="1">
        <v>7300000</v>
      </c>
    </row>
    <row r="276" spans="1:8" ht="13.5" customHeight="1" x14ac:dyDescent="0.3">
      <c r="A276" s="1" t="s">
        <v>45</v>
      </c>
      <c r="B276" s="1" t="s">
        <v>2822</v>
      </c>
      <c r="C276" s="1" t="s">
        <v>4080</v>
      </c>
      <c r="D276" s="1">
        <v>2024</v>
      </c>
      <c r="E276" s="1" t="str">
        <f t="shared" si="1"/>
        <v>SAILSAIL HB 1.5 AUT2024</v>
      </c>
      <c r="F276" s="1" t="s">
        <v>668</v>
      </c>
      <c r="G276" s="1">
        <v>10690000</v>
      </c>
      <c r="H276" s="1">
        <v>8750000</v>
      </c>
    </row>
    <row r="277" spans="1:8" ht="13.5" customHeight="1" x14ac:dyDescent="0.3">
      <c r="A277" s="1" t="s">
        <v>45</v>
      </c>
      <c r="B277" s="1" t="s">
        <v>2822</v>
      </c>
      <c r="C277" s="1" t="s">
        <v>4080</v>
      </c>
      <c r="D277" s="1">
        <v>2025</v>
      </c>
      <c r="E277" s="1" t="str">
        <f t="shared" si="1"/>
        <v>SAILSAIL HB 1.5 AUT2025</v>
      </c>
      <c r="F277" s="1" t="s">
        <v>552</v>
      </c>
      <c r="G277" s="1">
        <v>11890000</v>
      </c>
      <c r="H277" s="1">
        <v>10000000</v>
      </c>
    </row>
    <row r="278" spans="1:8" ht="13.5" customHeight="1" x14ac:dyDescent="0.3">
      <c r="A278" s="1" t="s">
        <v>45</v>
      </c>
      <c r="B278" s="1" t="s">
        <v>2822</v>
      </c>
      <c r="C278" s="1" t="s">
        <v>4081</v>
      </c>
      <c r="D278" s="1">
        <v>2024</v>
      </c>
      <c r="E278" s="1" t="str">
        <f t="shared" si="1"/>
        <v>SAILSAIL NB CVT 1.52024</v>
      </c>
      <c r="F278" s="1" t="s">
        <v>465</v>
      </c>
      <c r="G278" s="1">
        <v>10890000</v>
      </c>
      <c r="H278" s="1">
        <v>10000000</v>
      </c>
    </row>
    <row r="279" spans="1:8" ht="13.5" customHeight="1" x14ac:dyDescent="0.3">
      <c r="A279" s="1" t="s">
        <v>45</v>
      </c>
      <c r="B279" s="1" t="s">
        <v>49</v>
      </c>
      <c r="C279" s="1" t="s">
        <v>4082</v>
      </c>
      <c r="D279" s="1">
        <v>2022</v>
      </c>
      <c r="E279" s="1" t="str">
        <f t="shared" si="1"/>
        <v>SILVERADOSILVERADO CC DCAB 4X4 5.3 AUT2022</v>
      </c>
      <c r="F279" s="1" t="s">
        <v>419</v>
      </c>
      <c r="G279" s="1">
        <v>33390000</v>
      </c>
      <c r="H279" s="1">
        <v>27600000</v>
      </c>
    </row>
    <row r="280" spans="1:8" ht="13.5" customHeight="1" x14ac:dyDescent="0.3">
      <c r="A280" s="1" t="s">
        <v>45</v>
      </c>
      <c r="B280" s="1" t="s">
        <v>49</v>
      </c>
      <c r="C280" s="1" t="s">
        <v>50</v>
      </c>
      <c r="D280" s="1">
        <v>2022</v>
      </c>
      <c r="E280" s="1" t="str">
        <f t="shared" si="1"/>
        <v>SILVERADOSILVERADO CC LTZ 4X4 3.0 AUT2022</v>
      </c>
      <c r="F280" s="1" t="s">
        <v>1902</v>
      </c>
      <c r="G280" s="1">
        <v>49890000</v>
      </c>
      <c r="H280" s="1">
        <v>43000000</v>
      </c>
    </row>
    <row r="281" spans="1:8" ht="13.5" customHeight="1" x14ac:dyDescent="0.3">
      <c r="A281" s="1" t="s">
        <v>45</v>
      </c>
      <c r="B281" s="1" t="s">
        <v>49</v>
      </c>
      <c r="C281" s="1" t="s">
        <v>50</v>
      </c>
      <c r="D281" s="1">
        <v>2023</v>
      </c>
      <c r="E281" s="1" t="str">
        <f t="shared" si="1"/>
        <v>SILVERADOSILVERADO CC LTZ 4X4 3.0 AUT2023</v>
      </c>
      <c r="F281" s="1" t="s">
        <v>51</v>
      </c>
      <c r="G281" s="1">
        <v>107490000</v>
      </c>
      <c r="H281" s="1">
        <v>98000000</v>
      </c>
    </row>
    <row r="282" spans="1:8" ht="13.5" customHeight="1" x14ac:dyDescent="0.3">
      <c r="A282" s="1" t="s">
        <v>45</v>
      </c>
      <c r="B282" s="1" t="s">
        <v>49</v>
      </c>
      <c r="C282" s="1" t="s">
        <v>4083</v>
      </c>
      <c r="D282" s="1">
        <v>2017</v>
      </c>
      <c r="E282" s="1" t="str">
        <f t="shared" si="1"/>
        <v>SILVERADOSILVERADO DCAB LT 4WD 5.3 AUT2017</v>
      </c>
      <c r="F282" s="1" t="s">
        <v>1946</v>
      </c>
      <c r="G282" s="1">
        <v>18500000</v>
      </c>
      <c r="H282" s="1">
        <v>18100000</v>
      </c>
    </row>
    <row r="283" spans="1:8" ht="13.5" customHeight="1" x14ac:dyDescent="0.3">
      <c r="A283" s="1" t="s">
        <v>45</v>
      </c>
      <c r="B283" s="1" t="s">
        <v>49</v>
      </c>
      <c r="C283" s="1" t="s">
        <v>4084</v>
      </c>
      <c r="D283" s="1">
        <v>2020</v>
      </c>
      <c r="E283" s="1" t="str">
        <f t="shared" si="1"/>
        <v>SILVERADOSILVERADO LT 4X4 5.3 AUT2020</v>
      </c>
      <c r="F283" s="1" t="s">
        <v>1961</v>
      </c>
      <c r="G283" s="1">
        <v>32990000</v>
      </c>
      <c r="H283" s="1">
        <v>27000000</v>
      </c>
    </row>
    <row r="284" spans="1:8" ht="13.5" customHeight="1" x14ac:dyDescent="0.3">
      <c r="A284" s="1" t="s">
        <v>45</v>
      </c>
      <c r="B284" s="1" t="s">
        <v>49</v>
      </c>
      <c r="C284" s="1" t="s">
        <v>4085</v>
      </c>
      <c r="D284" s="1">
        <v>2019</v>
      </c>
      <c r="E284" s="1" t="str">
        <f t="shared" si="1"/>
        <v>SILVERADOSILVERADO LTZ 4WD 5.32019</v>
      </c>
      <c r="F284" s="1" t="s">
        <v>2422</v>
      </c>
      <c r="G284" s="1">
        <v>31990000</v>
      </c>
      <c r="H284" s="1">
        <v>31000000</v>
      </c>
    </row>
    <row r="285" spans="1:8" ht="13.5" customHeight="1" x14ac:dyDescent="0.3">
      <c r="A285" s="1" t="s">
        <v>45</v>
      </c>
      <c r="B285" s="1" t="s">
        <v>49</v>
      </c>
      <c r="C285" s="1" t="s">
        <v>4086</v>
      </c>
      <c r="D285" s="1">
        <v>2018</v>
      </c>
      <c r="E285" s="1" t="str">
        <f t="shared" si="1"/>
        <v>SILVERADOSILVERADO LTZ 5.32018</v>
      </c>
      <c r="F285" s="1" t="s">
        <v>872</v>
      </c>
      <c r="G285" s="1">
        <v>21990000</v>
      </c>
      <c r="H285" s="1">
        <v>18000000</v>
      </c>
    </row>
    <row r="286" spans="1:8" ht="13.5" customHeight="1" x14ac:dyDescent="0.3">
      <c r="A286" s="1" t="s">
        <v>45</v>
      </c>
      <c r="B286" s="1" t="s">
        <v>4087</v>
      </c>
      <c r="C286" s="1" t="s">
        <v>4088</v>
      </c>
      <c r="D286" s="1">
        <v>2020</v>
      </c>
      <c r="E286" s="1" t="str">
        <f t="shared" si="1"/>
        <v>SPARKSPARK DOHC 1.22020</v>
      </c>
      <c r="F286" s="1" t="s">
        <v>1355</v>
      </c>
      <c r="G286" s="1">
        <v>5890000</v>
      </c>
      <c r="H286" s="1">
        <v>4500000</v>
      </c>
    </row>
    <row r="287" spans="1:8" ht="13.5" customHeight="1" x14ac:dyDescent="0.3">
      <c r="A287" s="1" t="s">
        <v>45</v>
      </c>
      <c r="B287" s="1" t="s">
        <v>4087</v>
      </c>
      <c r="C287" s="1" t="s">
        <v>4088</v>
      </c>
      <c r="D287" s="1">
        <v>2021</v>
      </c>
      <c r="E287" s="1" t="str">
        <f t="shared" si="1"/>
        <v>SPARKSPARK DOHC 1.22021</v>
      </c>
      <c r="F287" s="1" t="s">
        <v>2251</v>
      </c>
      <c r="G287" s="1">
        <v>7690000</v>
      </c>
      <c r="H287" s="1">
        <v>6500000</v>
      </c>
    </row>
    <row r="288" spans="1:8" ht="13.5" customHeight="1" x14ac:dyDescent="0.3">
      <c r="A288" s="1" t="s">
        <v>45</v>
      </c>
      <c r="B288" s="1" t="s">
        <v>4087</v>
      </c>
      <c r="C288" s="1" t="s">
        <v>4089</v>
      </c>
      <c r="D288" s="1">
        <v>2016</v>
      </c>
      <c r="E288" s="1" t="str">
        <f t="shared" si="1"/>
        <v>SPARKSPARK GT LT 1.22016</v>
      </c>
      <c r="F288" s="1" t="s">
        <v>432</v>
      </c>
      <c r="G288" s="1">
        <v>4815310</v>
      </c>
      <c r="H288" s="1">
        <v>2700000</v>
      </c>
    </row>
    <row r="289" spans="1:8" ht="13.5" customHeight="1" x14ac:dyDescent="0.3">
      <c r="A289" s="1" t="s">
        <v>45</v>
      </c>
      <c r="B289" s="1" t="s">
        <v>52</v>
      </c>
      <c r="C289" s="1" t="s">
        <v>53</v>
      </c>
      <c r="D289" s="1">
        <v>2021</v>
      </c>
      <c r="E289" s="1" t="str">
        <f t="shared" si="1"/>
        <v>SPINSPIN 1.82021</v>
      </c>
      <c r="F289" s="1" t="s">
        <v>625</v>
      </c>
      <c r="G289" s="1">
        <v>9182310</v>
      </c>
      <c r="H289" s="1">
        <v>7450000</v>
      </c>
    </row>
    <row r="290" spans="1:8" ht="13.5" customHeight="1" x14ac:dyDescent="0.3">
      <c r="A290" s="1" t="s">
        <v>45</v>
      </c>
      <c r="B290" s="1" t="s">
        <v>55</v>
      </c>
      <c r="C290" s="1" t="s">
        <v>4090</v>
      </c>
      <c r="D290" s="1">
        <v>2019</v>
      </c>
      <c r="E290" s="1" t="str">
        <f t="shared" si="1"/>
        <v>TAHOETAHOE LT 4WD 5.32019</v>
      </c>
      <c r="F290" s="1" t="s">
        <v>1115</v>
      </c>
      <c r="G290" s="1">
        <v>26990000</v>
      </c>
      <c r="H290" s="1">
        <v>23500000</v>
      </c>
    </row>
    <row r="291" spans="1:8" ht="13.5" customHeight="1" x14ac:dyDescent="0.3">
      <c r="A291" s="1" t="s">
        <v>45</v>
      </c>
      <c r="B291" s="1" t="s">
        <v>55</v>
      </c>
      <c r="C291" s="1" t="s">
        <v>4091</v>
      </c>
      <c r="D291" s="1">
        <v>2017</v>
      </c>
      <c r="E291" s="1" t="str">
        <f t="shared" si="1"/>
        <v>TAHOETAHOE LT SU 4WD 5.3 AUT2017</v>
      </c>
      <c r="F291" s="1" t="s">
        <v>1490</v>
      </c>
      <c r="G291" s="1">
        <v>23190000</v>
      </c>
      <c r="H291" s="1">
        <v>21700000</v>
      </c>
    </row>
    <row r="292" spans="1:8" ht="13.5" customHeight="1" x14ac:dyDescent="0.3">
      <c r="A292" s="1" t="s">
        <v>45</v>
      </c>
      <c r="B292" s="1" t="s">
        <v>57</v>
      </c>
      <c r="C292" s="1" t="s">
        <v>58</v>
      </c>
      <c r="D292" s="1">
        <v>2021</v>
      </c>
      <c r="E292" s="1" t="str">
        <f t="shared" si="1"/>
        <v>TRACKERTRACKER 1.2T2021</v>
      </c>
      <c r="F292" s="1" t="s">
        <v>2054</v>
      </c>
      <c r="G292" s="1">
        <v>11590000</v>
      </c>
      <c r="H292" s="1">
        <v>9900000</v>
      </c>
    </row>
    <row r="293" spans="1:8" ht="13.5" customHeight="1" x14ac:dyDescent="0.3">
      <c r="A293" s="1" t="s">
        <v>45</v>
      </c>
      <c r="B293" s="1" t="s">
        <v>57</v>
      </c>
      <c r="C293" s="1" t="s">
        <v>58</v>
      </c>
      <c r="D293" s="1">
        <v>2021</v>
      </c>
      <c r="E293" s="1" t="str">
        <f t="shared" si="1"/>
        <v>TRACKERTRACKER 1.2T2021</v>
      </c>
      <c r="F293" s="1" t="s">
        <v>1370</v>
      </c>
      <c r="G293" s="1">
        <v>11290000</v>
      </c>
      <c r="H293" s="1">
        <v>9500000</v>
      </c>
    </row>
    <row r="294" spans="1:8" ht="13.5" customHeight="1" x14ac:dyDescent="0.3">
      <c r="A294" s="1" t="s">
        <v>45</v>
      </c>
      <c r="B294" s="1" t="s">
        <v>57</v>
      </c>
      <c r="C294" s="1" t="s">
        <v>58</v>
      </c>
      <c r="D294" s="1">
        <v>2022</v>
      </c>
      <c r="E294" s="1" t="str">
        <f t="shared" si="1"/>
        <v>TRACKERTRACKER 1.2T2022</v>
      </c>
      <c r="F294" s="1" t="s">
        <v>434</v>
      </c>
      <c r="G294" s="1">
        <v>11490000</v>
      </c>
      <c r="H294" s="1">
        <v>8800000</v>
      </c>
    </row>
    <row r="295" spans="1:8" ht="13.5" customHeight="1" x14ac:dyDescent="0.3">
      <c r="A295" s="1" t="s">
        <v>45</v>
      </c>
      <c r="B295" s="1" t="s">
        <v>57</v>
      </c>
      <c r="C295" s="1" t="s">
        <v>58</v>
      </c>
      <c r="D295" s="1">
        <v>2022</v>
      </c>
      <c r="E295" s="1" t="str">
        <f t="shared" si="1"/>
        <v>TRACKERTRACKER 1.2T2022</v>
      </c>
      <c r="F295" s="1" t="s">
        <v>743</v>
      </c>
      <c r="G295" s="1">
        <v>10690000</v>
      </c>
      <c r="H295" s="1">
        <v>9000000</v>
      </c>
    </row>
    <row r="296" spans="1:8" ht="13.5" customHeight="1" x14ac:dyDescent="0.3">
      <c r="A296" s="1" t="s">
        <v>45</v>
      </c>
      <c r="B296" s="1" t="s">
        <v>57</v>
      </c>
      <c r="C296" s="1" t="s">
        <v>58</v>
      </c>
      <c r="D296" s="1">
        <v>2022</v>
      </c>
      <c r="E296" s="1" t="str">
        <f t="shared" si="1"/>
        <v>TRACKERTRACKER 1.2T2022</v>
      </c>
      <c r="F296" s="1" t="s">
        <v>826</v>
      </c>
      <c r="G296" s="1">
        <v>11290000</v>
      </c>
      <c r="H296" s="1">
        <v>8800000</v>
      </c>
    </row>
    <row r="297" spans="1:8" ht="13.5" customHeight="1" x14ac:dyDescent="0.3">
      <c r="A297" s="1" t="s">
        <v>45</v>
      </c>
      <c r="B297" s="1" t="s">
        <v>57</v>
      </c>
      <c r="C297" s="1" t="s">
        <v>58</v>
      </c>
      <c r="D297" s="1">
        <v>2022</v>
      </c>
      <c r="E297" s="1" t="str">
        <f t="shared" si="1"/>
        <v>TRACKERTRACKER 1.2T2022</v>
      </c>
      <c r="F297" s="1" t="s">
        <v>59</v>
      </c>
      <c r="G297" s="1">
        <v>11690000</v>
      </c>
      <c r="H297" s="1">
        <v>9300000</v>
      </c>
    </row>
    <row r="298" spans="1:8" ht="13.5" customHeight="1" x14ac:dyDescent="0.3">
      <c r="A298" s="1" t="s">
        <v>45</v>
      </c>
      <c r="B298" s="1" t="s">
        <v>57</v>
      </c>
      <c r="C298" s="1" t="s">
        <v>58</v>
      </c>
      <c r="D298" s="1">
        <v>2022</v>
      </c>
      <c r="E298" s="1" t="str">
        <f t="shared" si="1"/>
        <v>TRACKERTRACKER 1.2T2022</v>
      </c>
      <c r="F298" s="1" t="s">
        <v>1349</v>
      </c>
      <c r="G298" s="1">
        <v>11762810</v>
      </c>
      <c r="H298" s="1">
        <v>10000000</v>
      </c>
    </row>
    <row r="299" spans="1:8" ht="13.5" customHeight="1" x14ac:dyDescent="0.3">
      <c r="A299" s="1" t="s">
        <v>45</v>
      </c>
      <c r="B299" s="1" t="s">
        <v>57</v>
      </c>
      <c r="C299" s="1" t="s">
        <v>4092</v>
      </c>
      <c r="D299" s="1">
        <v>2021</v>
      </c>
      <c r="E299" s="1" t="str">
        <f t="shared" si="1"/>
        <v>TRACKERTRACKER 1.2T AUT2021</v>
      </c>
      <c r="F299" s="1" t="s">
        <v>1049</v>
      </c>
      <c r="G299" s="1">
        <v>12590000</v>
      </c>
      <c r="H299" s="1">
        <v>10200000</v>
      </c>
    </row>
    <row r="300" spans="1:8" ht="13.5" customHeight="1" x14ac:dyDescent="0.3">
      <c r="A300" s="1" t="s">
        <v>45</v>
      </c>
      <c r="B300" s="1" t="s">
        <v>57</v>
      </c>
      <c r="C300" s="1" t="s">
        <v>4092</v>
      </c>
      <c r="D300" s="1">
        <v>2022</v>
      </c>
      <c r="E300" s="1" t="str">
        <f t="shared" si="1"/>
        <v>TRACKERTRACKER 1.2T AUT2022</v>
      </c>
      <c r="F300" s="1" t="s">
        <v>381</v>
      </c>
      <c r="G300" s="1">
        <v>12790000</v>
      </c>
      <c r="H300" s="1">
        <v>10200000</v>
      </c>
    </row>
    <row r="301" spans="1:8" ht="13.5" customHeight="1" x14ac:dyDescent="0.3">
      <c r="A301" s="1" t="s">
        <v>45</v>
      </c>
      <c r="B301" s="1" t="s">
        <v>57</v>
      </c>
      <c r="C301" s="1" t="s">
        <v>4092</v>
      </c>
      <c r="D301" s="1">
        <v>2022</v>
      </c>
      <c r="E301" s="1" t="str">
        <f t="shared" si="1"/>
        <v>TRACKERTRACKER 1.2T AUT2022</v>
      </c>
      <c r="F301" s="1" t="s">
        <v>556</v>
      </c>
      <c r="G301" s="1">
        <v>12190000</v>
      </c>
      <c r="H301" s="1">
        <v>10200000</v>
      </c>
    </row>
    <row r="302" spans="1:8" ht="13.5" customHeight="1" x14ac:dyDescent="0.3">
      <c r="A302" s="1" t="s">
        <v>45</v>
      </c>
      <c r="B302" s="1" t="s">
        <v>57</v>
      </c>
      <c r="C302" s="1" t="s">
        <v>4093</v>
      </c>
      <c r="D302" s="1">
        <v>2019</v>
      </c>
      <c r="E302" s="1" t="str">
        <f t="shared" si="1"/>
        <v>TRACKERTRACKER 1.82019</v>
      </c>
      <c r="F302" s="1" t="s">
        <v>1314</v>
      </c>
      <c r="G302" s="1">
        <v>8647880</v>
      </c>
      <c r="H302" s="1">
        <v>6500000</v>
      </c>
    </row>
    <row r="303" spans="1:8" ht="13.5" customHeight="1" x14ac:dyDescent="0.3">
      <c r="A303" s="1" t="s">
        <v>45</v>
      </c>
      <c r="B303" s="1" t="s">
        <v>57</v>
      </c>
      <c r="C303" s="1" t="s">
        <v>4094</v>
      </c>
      <c r="D303" s="1">
        <v>2019</v>
      </c>
      <c r="E303" s="1" t="str">
        <f t="shared" si="1"/>
        <v>TRACKERTRACKER AWD 1.8 AUT2019</v>
      </c>
      <c r="F303" s="1" t="s">
        <v>1701</v>
      </c>
      <c r="G303" s="1">
        <v>10690000</v>
      </c>
      <c r="H303" s="1">
        <v>9000000</v>
      </c>
    </row>
    <row r="304" spans="1:8" ht="13.5" customHeight="1" x14ac:dyDescent="0.3">
      <c r="A304" s="1" t="s">
        <v>45</v>
      </c>
      <c r="B304" s="1" t="s">
        <v>57</v>
      </c>
      <c r="C304" s="1" t="s">
        <v>4095</v>
      </c>
      <c r="D304" s="1">
        <v>2020</v>
      </c>
      <c r="E304" s="1" t="str">
        <f t="shared" si="1"/>
        <v>TRACKERTRACKER II FWD 1,82020</v>
      </c>
      <c r="F304" s="1" t="s">
        <v>1583</v>
      </c>
      <c r="G304" s="1">
        <v>9590000</v>
      </c>
      <c r="H304" s="1">
        <v>8000000</v>
      </c>
    </row>
    <row r="305" spans="1:8" ht="13.5" customHeight="1" x14ac:dyDescent="0.3">
      <c r="A305" s="1" t="s">
        <v>45</v>
      </c>
      <c r="B305" s="1" t="s">
        <v>57</v>
      </c>
      <c r="C305" s="1" t="s">
        <v>4095</v>
      </c>
      <c r="D305" s="1">
        <v>2020</v>
      </c>
      <c r="E305" s="1" t="str">
        <f t="shared" si="1"/>
        <v>TRACKERTRACKER II FWD 1,82020</v>
      </c>
      <c r="F305" s="1" t="s">
        <v>1480</v>
      </c>
      <c r="G305" s="1">
        <v>9862620</v>
      </c>
      <c r="H305" s="1">
        <v>8500000</v>
      </c>
    </row>
    <row r="306" spans="1:8" ht="13.5" customHeight="1" x14ac:dyDescent="0.3">
      <c r="A306" s="1" t="s">
        <v>45</v>
      </c>
      <c r="B306" s="1" t="s">
        <v>57</v>
      </c>
      <c r="C306" s="1" t="s">
        <v>4096</v>
      </c>
      <c r="D306" s="1">
        <v>2020</v>
      </c>
      <c r="E306" s="1" t="str">
        <f t="shared" si="1"/>
        <v>TRACKERTRACKER II FWD 1.82020</v>
      </c>
      <c r="F306" s="1" t="s">
        <v>2218</v>
      </c>
      <c r="G306" s="1">
        <v>11290000</v>
      </c>
      <c r="H306" s="1">
        <v>9700000</v>
      </c>
    </row>
    <row r="307" spans="1:8" ht="13.5" customHeight="1" x14ac:dyDescent="0.3">
      <c r="A307" s="1" t="s">
        <v>45</v>
      </c>
      <c r="B307" s="1" t="s">
        <v>57</v>
      </c>
      <c r="C307" s="1" t="s">
        <v>4097</v>
      </c>
      <c r="D307" s="1">
        <v>2019</v>
      </c>
      <c r="E307" s="1" t="str">
        <f t="shared" si="1"/>
        <v>TRACKERTRACKER II LS 1.82019</v>
      </c>
      <c r="F307" s="1" t="s">
        <v>1378</v>
      </c>
      <c r="G307" s="1">
        <v>8490000</v>
      </c>
      <c r="H307" s="1">
        <v>7000000</v>
      </c>
    </row>
    <row r="308" spans="1:8" ht="13.5" customHeight="1" x14ac:dyDescent="0.3">
      <c r="A308" s="1" t="s">
        <v>45</v>
      </c>
      <c r="B308" s="1" t="s">
        <v>57</v>
      </c>
      <c r="C308" s="1" t="s">
        <v>4098</v>
      </c>
      <c r="D308" s="1">
        <v>2017</v>
      </c>
      <c r="E308" s="1" t="str">
        <f t="shared" si="1"/>
        <v>TRACKERTRACKER LS 1.82017</v>
      </c>
      <c r="F308" s="1" t="s">
        <v>2452</v>
      </c>
      <c r="G308" s="1">
        <v>6990000</v>
      </c>
      <c r="H308" s="1">
        <v>10500000</v>
      </c>
    </row>
    <row r="309" spans="1:8" ht="13.5" customHeight="1" x14ac:dyDescent="0.3">
      <c r="A309" s="1" t="s">
        <v>45</v>
      </c>
      <c r="B309" s="1" t="s">
        <v>57</v>
      </c>
      <c r="C309" s="1" t="s">
        <v>4099</v>
      </c>
      <c r="D309" s="1">
        <v>2018</v>
      </c>
      <c r="E309" s="1" t="str">
        <f t="shared" si="1"/>
        <v>TRACKERTRACKER LT 1.82018</v>
      </c>
      <c r="F309" s="1" t="s">
        <v>2125</v>
      </c>
      <c r="G309" s="1">
        <v>10390000</v>
      </c>
      <c r="H309" s="1">
        <v>8400000</v>
      </c>
    </row>
    <row r="310" spans="1:8" ht="13.5" customHeight="1" x14ac:dyDescent="0.3">
      <c r="A310" s="1" t="s">
        <v>45</v>
      </c>
      <c r="B310" s="1" t="s">
        <v>2932</v>
      </c>
      <c r="C310" s="1" t="s">
        <v>4100</v>
      </c>
      <c r="D310" s="1">
        <v>2021</v>
      </c>
      <c r="E310" s="1" t="str">
        <f t="shared" si="1"/>
        <v>TRAILBLAZERTRAILBLAZER 4X4 2.8 AUT2021</v>
      </c>
      <c r="F310" s="1" t="s">
        <v>2147</v>
      </c>
      <c r="G310" s="1">
        <v>19990000</v>
      </c>
      <c r="H310" s="1">
        <v>21500000</v>
      </c>
    </row>
    <row r="311" spans="1:8" ht="13.5" customHeight="1" x14ac:dyDescent="0.3">
      <c r="A311" s="1" t="s">
        <v>45</v>
      </c>
      <c r="B311" s="1" t="s">
        <v>2932</v>
      </c>
      <c r="C311" s="1" t="s">
        <v>4101</v>
      </c>
      <c r="D311" s="1">
        <v>2019</v>
      </c>
      <c r="E311" s="1" t="str">
        <f t="shared" si="1"/>
        <v>TRAILBLAZERTRAILBLAZER LTZ AWD 2.8 AUT2019</v>
      </c>
      <c r="F311" s="1" t="s">
        <v>645</v>
      </c>
      <c r="G311" s="1">
        <v>16190000</v>
      </c>
      <c r="H311" s="1">
        <v>13650000</v>
      </c>
    </row>
    <row r="312" spans="1:8" ht="13.5" customHeight="1" x14ac:dyDescent="0.3">
      <c r="A312" s="1" t="s">
        <v>45</v>
      </c>
      <c r="B312" s="1" t="s">
        <v>2555</v>
      </c>
      <c r="C312" s="1" t="s">
        <v>4102</v>
      </c>
      <c r="D312" s="1">
        <v>2023</v>
      </c>
      <c r="E312" s="1" t="str">
        <f t="shared" si="1"/>
        <v>TRAVERSENG TRAVERSE AWD 3.6 AUT2023</v>
      </c>
      <c r="F312" s="1" t="s">
        <v>963</v>
      </c>
      <c r="G312" s="1">
        <v>34990000</v>
      </c>
      <c r="H312" s="1">
        <v>30000000</v>
      </c>
    </row>
    <row r="313" spans="1:8" ht="13.5" customHeight="1" x14ac:dyDescent="0.3">
      <c r="A313" s="1" t="s">
        <v>45</v>
      </c>
      <c r="B313" s="1" t="s">
        <v>2555</v>
      </c>
      <c r="C313" s="1" t="s">
        <v>4103</v>
      </c>
      <c r="D313" s="1">
        <v>2022</v>
      </c>
      <c r="E313" s="1" t="str">
        <f t="shared" si="1"/>
        <v>TRAVERSENG TRAVERSE FWD 3.6 AUT2022</v>
      </c>
      <c r="F313" s="1" t="s">
        <v>480</v>
      </c>
      <c r="G313" s="1">
        <v>26990000</v>
      </c>
      <c r="H313" s="1">
        <v>24000000</v>
      </c>
    </row>
    <row r="314" spans="1:8" ht="13.5" customHeight="1" x14ac:dyDescent="0.3">
      <c r="A314" s="1" t="s">
        <v>45</v>
      </c>
      <c r="B314" s="1" t="s">
        <v>2555</v>
      </c>
      <c r="C314" s="1" t="s">
        <v>4103</v>
      </c>
      <c r="D314" s="1">
        <v>2022</v>
      </c>
      <c r="E314" s="1" t="str">
        <f t="shared" si="1"/>
        <v>TRAVERSENG TRAVERSE FWD 3.6 AUT2022</v>
      </c>
      <c r="F314" s="1" t="s">
        <v>1131</v>
      </c>
      <c r="G314" s="1">
        <v>28790000</v>
      </c>
      <c r="H314" s="1">
        <v>25800000</v>
      </c>
    </row>
    <row r="315" spans="1:8" ht="13.5" customHeight="1" x14ac:dyDescent="0.3">
      <c r="A315" s="1" t="s">
        <v>60</v>
      </c>
      <c r="B315" s="1" t="s">
        <v>3326</v>
      </c>
      <c r="C315" s="1" t="s">
        <v>4104</v>
      </c>
      <c r="D315" s="1">
        <v>2024</v>
      </c>
      <c r="E315" s="1" t="str">
        <f t="shared" si="1"/>
        <v>BERLINGOBERLINGO MULTISPACE BLUEHDI XL 1.52024</v>
      </c>
      <c r="F315" s="1" t="s">
        <v>1587</v>
      </c>
      <c r="G315" s="1">
        <v>17490000</v>
      </c>
      <c r="H315" s="1">
        <v>16500000</v>
      </c>
    </row>
    <row r="316" spans="1:8" ht="13.5" customHeight="1" x14ac:dyDescent="0.3">
      <c r="A316" s="1" t="s">
        <v>60</v>
      </c>
      <c r="B316" s="1" t="s">
        <v>61</v>
      </c>
      <c r="C316" s="1" t="s">
        <v>4105</v>
      </c>
      <c r="D316" s="1">
        <v>2017</v>
      </c>
      <c r="E316" s="1" t="str">
        <f t="shared" si="1"/>
        <v>C3C3 1.22017</v>
      </c>
      <c r="F316" s="1" t="s">
        <v>2367</v>
      </c>
      <c r="G316" s="1">
        <v>9290000</v>
      </c>
      <c r="H316" s="1">
        <v>8000000</v>
      </c>
    </row>
    <row r="317" spans="1:8" ht="13.5" customHeight="1" x14ac:dyDescent="0.3">
      <c r="A317" s="1" t="s">
        <v>60</v>
      </c>
      <c r="B317" s="1" t="s">
        <v>61</v>
      </c>
      <c r="C317" s="1" t="s">
        <v>4105</v>
      </c>
      <c r="D317" s="1">
        <v>2021</v>
      </c>
      <c r="E317" s="1" t="str">
        <f t="shared" si="1"/>
        <v>C3C3 1.22021</v>
      </c>
      <c r="F317" s="1" t="s">
        <v>596</v>
      </c>
      <c r="G317" s="1">
        <v>8190000</v>
      </c>
      <c r="H317" s="1">
        <v>7000000</v>
      </c>
    </row>
    <row r="318" spans="1:8" ht="13.5" customHeight="1" x14ac:dyDescent="0.3">
      <c r="A318" s="1" t="s">
        <v>60</v>
      </c>
      <c r="B318" s="1" t="s">
        <v>61</v>
      </c>
      <c r="C318" s="1" t="s">
        <v>62</v>
      </c>
      <c r="D318" s="1">
        <v>2019</v>
      </c>
      <c r="E318" s="1" t="str">
        <f t="shared" si="1"/>
        <v>C3C3 AIRCROSS 1.2 AUT2019</v>
      </c>
      <c r="F318" s="1" t="s">
        <v>64</v>
      </c>
      <c r="G318" s="1">
        <v>8300000</v>
      </c>
      <c r="H318" s="1">
        <v>6300000</v>
      </c>
    </row>
    <row r="319" spans="1:8" ht="13.5" customHeight="1" x14ac:dyDescent="0.3">
      <c r="A319" s="1" t="s">
        <v>60</v>
      </c>
      <c r="B319" s="1" t="s">
        <v>61</v>
      </c>
      <c r="C319" s="1" t="s">
        <v>4106</v>
      </c>
      <c r="D319" s="1">
        <v>2020</v>
      </c>
      <c r="E319" s="1" t="str">
        <f t="shared" si="1"/>
        <v>C3C3 AIRCROSS 1.52020</v>
      </c>
      <c r="F319" s="1" t="s">
        <v>2385</v>
      </c>
      <c r="G319" s="1">
        <v>14990000</v>
      </c>
      <c r="H319" s="1">
        <v>13000000</v>
      </c>
    </row>
    <row r="320" spans="1:8" ht="13.5" customHeight="1" x14ac:dyDescent="0.3">
      <c r="A320" s="1" t="s">
        <v>60</v>
      </c>
      <c r="B320" s="1" t="s">
        <v>61</v>
      </c>
      <c r="C320" s="1" t="s">
        <v>4107</v>
      </c>
      <c r="D320" s="1">
        <v>2020</v>
      </c>
      <c r="E320" s="1" t="str">
        <f t="shared" si="1"/>
        <v>C3C3 AIRCROSS HDI HB 1.52020</v>
      </c>
      <c r="F320" s="1" t="s">
        <v>2265</v>
      </c>
      <c r="G320" s="1">
        <v>14290000</v>
      </c>
      <c r="H320" s="1">
        <v>12000000</v>
      </c>
    </row>
    <row r="321" spans="1:8" ht="13.5" customHeight="1" x14ac:dyDescent="0.3">
      <c r="A321" s="1" t="s">
        <v>60</v>
      </c>
      <c r="B321" s="1" t="s">
        <v>61</v>
      </c>
      <c r="C321" s="1" t="s">
        <v>4107</v>
      </c>
      <c r="D321" s="1">
        <v>2021</v>
      </c>
      <c r="E321" s="1" t="str">
        <f t="shared" si="1"/>
        <v>C3C3 AIRCROSS HDI HB 1.52021</v>
      </c>
      <c r="F321" s="1" t="s">
        <v>1882</v>
      </c>
      <c r="G321" s="1">
        <v>12000000</v>
      </c>
      <c r="H321" s="1">
        <v>10000000</v>
      </c>
    </row>
    <row r="322" spans="1:8" ht="13.5" customHeight="1" x14ac:dyDescent="0.3">
      <c r="A322" s="1" t="s">
        <v>60</v>
      </c>
      <c r="B322" s="1" t="s">
        <v>61</v>
      </c>
      <c r="C322" s="1" t="s">
        <v>4108</v>
      </c>
      <c r="D322" s="1">
        <v>2020</v>
      </c>
      <c r="E322" s="1" t="str">
        <f t="shared" si="1"/>
        <v>C3C3 HDI 1.52020</v>
      </c>
      <c r="F322" s="1" t="s">
        <v>1416</v>
      </c>
      <c r="G322" s="1">
        <v>8500000</v>
      </c>
      <c r="H322" s="1">
        <v>7000000</v>
      </c>
    </row>
    <row r="323" spans="1:8" ht="13.5" customHeight="1" x14ac:dyDescent="0.3">
      <c r="A323" s="1" t="s">
        <v>60</v>
      </c>
      <c r="B323" s="1" t="s">
        <v>61</v>
      </c>
      <c r="C323" s="1" t="s">
        <v>4109</v>
      </c>
      <c r="D323" s="1">
        <v>2024</v>
      </c>
      <c r="E323" s="1" t="str">
        <f t="shared" si="1"/>
        <v>C3C3 PURETECH 4X2 1.22024</v>
      </c>
      <c r="F323" s="1" t="s">
        <v>742</v>
      </c>
      <c r="G323" s="1">
        <v>8415000</v>
      </c>
      <c r="H323" s="1">
        <v>7600000</v>
      </c>
    </row>
    <row r="324" spans="1:8" ht="13.5" customHeight="1" x14ac:dyDescent="0.3">
      <c r="A324" s="1" t="s">
        <v>60</v>
      </c>
      <c r="B324" s="1" t="s">
        <v>2854</v>
      </c>
      <c r="C324" s="1" t="s">
        <v>4110</v>
      </c>
      <c r="D324" s="1">
        <v>2022</v>
      </c>
      <c r="E324" s="1" t="str">
        <f t="shared" si="1"/>
        <v>C4C4 1.2 AT2022</v>
      </c>
      <c r="F324" s="1" t="s">
        <v>627</v>
      </c>
      <c r="G324" s="1">
        <v>14990000</v>
      </c>
      <c r="H324" s="1">
        <v>12500000</v>
      </c>
    </row>
    <row r="325" spans="1:8" ht="13.5" customHeight="1" x14ac:dyDescent="0.3">
      <c r="A325" s="1" t="s">
        <v>60</v>
      </c>
      <c r="B325" s="1" t="s">
        <v>2854</v>
      </c>
      <c r="C325" s="1" t="s">
        <v>4110</v>
      </c>
      <c r="D325" s="1">
        <v>2023</v>
      </c>
      <c r="E325" s="1" t="str">
        <f t="shared" si="1"/>
        <v>C4C4 1.2 AT2023</v>
      </c>
      <c r="F325" s="1" t="s">
        <v>424</v>
      </c>
      <c r="G325" s="1">
        <v>14790000</v>
      </c>
      <c r="H325" s="1">
        <v>12650000</v>
      </c>
    </row>
    <row r="326" spans="1:8" ht="13.5" customHeight="1" x14ac:dyDescent="0.3">
      <c r="A326" s="1" t="s">
        <v>60</v>
      </c>
      <c r="B326" s="1" t="s">
        <v>2854</v>
      </c>
      <c r="C326" s="1" t="s">
        <v>4110</v>
      </c>
      <c r="D326" s="1">
        <v>2025</v>
      </c>
      <c r="E326" s="1" t="str">
        <f t="shared" si="1"/>
        <v>C4C4 1.2 AT2025</v>
      </c>
      <c r="F326" s="1" t="s">
        <v>789</v>
      </c>
      <c r="G326" s="1">
        <v>18990000</v>
      </c>
      <c r="H326" s="1">
        <v>16500000</v>
      </c>
    </row>
    <row r="327" spans="1:8" ht="13.5" customHeight="1" x14ac:dyDescent="0.3">
      <c r="A327" s="1" t="s">
        <v>60</v>
      </c>
      <c r="B327" s="1" t="s">
        <v>2854</v>
      </c>
      <c r="C327" s="1" t="s">
        <v>4111</v>
      </c>
      <c r="D327" s="1">
        <v>2025</v>
      </c>
      <c r="E327" s="1" t="str">
        <f t="shared" si="1"/>
        <v>C4C4 1.5 AUT2025</v>
      </c>
      <c r="G327" s="1">
        <v>17990000</v>
      </c>
      <c r="H327" s="1">
        <v>0</v>
      </c>
    </row>
    <row r="328" spans="1:8" ht="13.5" customHeight="1" x14ac:dyDescent="0.3">
      <c r="A328" s="1" t="s">
        <v>60</v>
      </c>
      <c r="B328" s="1" t="s">
        <v>2854</v>
      </c>
      <c r="C328" s="1" t="s">
        <v>4111</v>
      </c>
      <c r="D328" s="1">
        <v>2025</v>
      </c>
      <c r="E328" s="1" t="str">
        <f t="shared" si="1"/>
        <v>C4C4 1.5 AUT2025</v>
      </c>
      <c r="F328" s="1" t="s">
        <v>406</v>
      </c>
      <c r="G328" s="1">
        <v>17990000</v>
      </c>
      <c r="H328" s="1">
        <v>14500000</v>
      </c>
    </row>
    <row r="329" spans="1:8" ht="13.5" customHeight="1" x14ac:dyDescent="0.3">
      <c r="A329" s="1" t="s">
        <v>60</v>
      </c>
      <c r="B329" s="1" t="s">
        <v>2854</v>
      </c>
      <c r="C329" s="1" t="s">
        <v>4112</v>
      </c>
      <c r="D329" s="1">
        <v>2010</v>
      </c>
      <c r="E329" s="1" t="str">
        <f t="shared" si="1"/>
        <v>C4C4 1.62010</v>
      </c>
      <c r="F329" s="1" t="s">
        <v>2458</v>
      </c>
      <c r="G329" s="1">
        <v>2000000</v>
      </c>
      <c r="H329" s="1">
        <v>3600000</v>
      </c>
    </row>
    <row r="330" spans="1:8" ht="13.5" customHeight="1" x14ac:dyDescent="0.3">
      <c r="A330" s="1" t="s">
        <v>60</v>
      </c>
      <c r="B330" s="1" t="s">
        <v>2854</v>
      </c>
      <c r="C330" s="1" t="s">
        <v>4113</v>
      </c>
      <c r="D330" s="1">
        <v>2016</v>
      </c>
      <c r="E330" s="1" t="str">
        <f t="shared" si="1"/>
        <v>C4C4 CACTUS HDI 1.62016</v>
      </c>
      <c r="F330" s="1" t="s">
        <v>2297</v>
      </c>
      <c r="G330" s="1">
        <v>9690000</v>
      </c>
      <c r="H330" s="1">
        <v>8000000</v>
      </c>
    </row>
    <row r="331" spans="1:8" ht="13.5" customHeight="1" x14ac:dyDescent="0.3">
      <c r="A331" s="1" t="s">
        <v>60</v>
      </c>
      <c r="B331" s="1" t="s">
        <v>2854</v>
      </c>
      <c r="C331" s="1" t="s">
        <v>4114</v>
      </c>
      <c r="D331" s="1">
        <v>2016</v>
      </c>
      <c r="E331" s="1" t="str">
        <f t="shared" si="1"/>
        <v>C4C4 HDI 1.62016</v>
      </c>
      <c r="F331" s="1" t="s">
        <v>2255</v>
      </c>
      <c r="G331" s="1">
        <v>8490000</v>
      </c>
      <c r="H331" s="1">
        <v>7000000</v>
      </c>
    </row>
    <row r="332" spans="1:8" ht="13.5" customHeight="1" x14ac:dyDescent="0.3">
      <c r="A332" s="1" t="s">
        <v>60</v>
      </c>
      <c r="B332" s="1" t="s">
        <v>65</v>
      </c>
      <c r="C332" s="1" t="s">
        <v>66</v>
      </c>
      <c r="D332" s="1">
        <v>2019</v>
      </c>
      <c r="E332" s="1" t="str">
        <f t="shared" si="1"/>
        <v>C5C5 AIRCROSS 1.5 AUT2019</v>
      </c>
      <c r="G332" s="1">
        <v>16490000</v>
      </c>
      <c r="H332" s="1">
        <v>0</v>
      </c>
    </row>
    <row r="333" spans="1:8" ht="13.5" customHeight="1" x14ac:dyDescent="0.3">
      <c r="A333" s="1" t="s">
        <v>60</v>
      </c>
      <c r="B333" s="1" t="s">
        <v>65</v>
      </c>
      <c r="C333" s="1" t="s">
        <v>66</v>
      </c>
      <c r="D333" s="1">
        <v>2019</v>
      </c>
      <c r="E333" s="1" t="str">
        <f t="shared" si="1"/>
        <v>C5C5 AIRCROSS 1.5 AUT2019</v>
      </c>
      <c r="F333" s="1" t="s">
        <v>2171</v>
      </c>
      <c r="G333" s="1">
        <v>27980000</v>
      </c>
      <c r="H333" s="1">
        <v>29800000</v>
      </c>
    </row>
    <row r="334" spans="1:8" ht="13.5" customHeight="1" x14ac:dyDescent="0.3">
      <c r="A334" s="1" t="s">
        <v>60</v>
      </c>
      <c r="B334" s="1" t="s">
        <v>65</v>
      </c>
      <c r="C334" s="1" t="s">
        <v>66</v>
      </c>
      <c r="D334" s="1">
        <v>2020</v>
      </c>
      <c r="E334" s="1" t="str">
        <f t="shared" si="1"/>
        <v>C5C5 AIRCROSS 1.5 AUT2020</v>
      </c>
      <c r="F334" s="1" t="s">
        <v>67</v>
      </c>
      <c r="G334" s="1">
        <v>14190000</v>
      </c>
      <c r="H334" s="1">
        <v>12000000</v>
      </c>
    </row>
    <row r="335" spans="1:8" ht="13.5" customHeight="1" x14ac:dyDescent="0.3">
      <c r="A335" s="1" t="s">
        <v>60</v>
      </c>
      <c r="B335" s="1" t="s">
        <v>65</v>
      </c>
      <c r="C335" s="1" t="s">
        <v>4115</v>
      </c>
      <c r="D335" s="1">
        <v>2020</v>
      </c>
      <c r="E335" s="1" t="str">
        <f t="shared" si="1"/>
        <v>C5C5 AIRCROSS BHDI 1.5 AUT2020</v>
      </c>
      <c r="F335" s="1" t="s">
        <v>2384</v>
      </c>
      <c r="G335" s="1">
        <v>21990000</v>
      </c>
      <c r="H335" s="1">
        <v>21330300</v>
      </c>
    </row>
    <row r="336" spans="1:8" ht="13.5" customHeight="1" x14ac:dyDescent="0.3">
      <c r="A336" s="1" t="s">
        <v>60</v>
      </c>
      <c r="B336" s="1" t="s">
        <v>65</v>
      </c>
      <c r="C336" s="1" t="s">
        <v>4116</v>
      </c>
      <c r="D336" s="1">
        <v>2022</v>
      </c>
      <c r="E336" s="1" t="str">
        <f t="shared" si="1"/>
        <v>C5C5 AIRCROSS BLUEHDI 1.5 AUT2022</v>
      </c>
      <c r="F336" s="1" t="s">
        <v>1199</v>
      </c>
      <c r="G336" s="1">
        <v>18090000</v>
      </c>
      <c r="H336" s="1">
        <v>15500000</v>
      </c>
    </row>
    <row r="337" spans="1:8" ht="13.5" customHeight="1" x14ac:dyDescent="0.3">
      <c r="A337" s="1" t="s">
        <v>60</v>
      </c>
      <c r="B337" s="1" t="s">
        <v>65</v>
      </c>
      <c r="C337" s="1" t="s">
        <v>4117</v>
      </c>
      <c r="D337" s="1">
        <v>2024</v>
      </c>
      <c r="E337" s="1" t="str">
        <f t="shared" si="1"/>
        <v>C5C5 AIRCROSS CVA8 STT 1.5 AUT2024</v>
      </c>
      <c r="F337" s="1" t="s">
        <v>482</v>
      </c>
      <c r="G337" s="1">
        <v>19150000</v>
      </c>
      <c r="H337" s="1">
        <v>16750000</v>
      </c>
    </row>
    <row r="338" spans="1:8" ht="13.5" customHeight="1" x14ac:dyDescent="0.3">
      <c r="A338" s="1" t="s">
        <v>60</v>
      </c>
      <c r="B338" s="1" t="s">
        <v>3150</v>
      </c>
      <c r="C338" s="1" t="s">
        <v>4118</v>
      </c>
      <c r="D338" s="1">
        <v>2018</v>
      </c>
      <c r="E338" s="1" t="str">
        <f t="shared" si="1"/>
        <v>C-ELYSEEC ELYSEE 1.22018</v>
      </c>
      <c r="F338" s="1" t="s">
        <v>445</v>
      </c>
      <c r="G338" s="1">
        <v>6100000</v>
      </c>
      <c r="H338" s="1">
        <v>4900000</v>
      </c>
    </row>
    <row r="339" spans="1:8" ht="13.5" customHeight="1" x14ac:dyDescent="0.3">
      <c r="A339" s="1" t="s">
        <v>60</v>
      </c>
      <c r="B339" s="1" t="s">
        <v>3150</v>
      </c>
      <c r="C339" s="1" t="s">
        <v>4119</v>
      </c>
      <c r="D339" s="1">
        <v>2017</v>
      </c>
      <c r="E339" s="1" t="str">
        <f t="shared" si="1"/>
        <v>C-ELYSEEC ELYSEE 1.62017</v>
      </c>
      <c r="F339" s="1" t="s">
        <v>1945</v>
      </c>
      <c r="G339" s="1">
        <v>5590000</v>
      </c>
      <c r="H339" s="1">
        <v>5000000</v>
      </c>
    </row>
    <row r="340" spans="1:8" ht="13.5" customHeight="1" x14ac:dyDescent="0.3">
      <c r="A340" s="1" t="s">
        <v>60</v>
      </c>
      <c r="B340" s="1" t="s">
        <v>4120</v>
      </c>
      <c r="C340" s="1" t="s">
        <v>4121</v>
      </c>
      <c r="D340" s="1">
        <v>2022</v>
      </c>
      <c r="E340" s="1" t="str">
        <f t="shared" si="1"/>
        <v>SPACETOURERBUSINEES HDI 2.02022</v>
      </c>
      <c r="F340" s="1" t="s">
        <v>1359</v>
      </c>
      <c r="G340" s="1">
        <v>20390000</v>
      </c>
      <c r="H340" s="1">
        <v>17500000</v>
      </c>
    </row>
    <row r="341" spans="1:8" ht="13.5" customHeight="1" x14ac:dyDescent="0.3">
      <c r="A341" s="1" t="s">
        <v>4122</v>
      </c>
      <c r="B341" s="1" t="s">
        <v>4123</v>
      </c>
      <c r="C341" s="1" t="s">
        <v>4124</v>
      </c>
      <c r="D341" s="1">
        <v>2021</v>
      </c>
      <c r="E341" s="1" t="str">
        <f t="shared" si="1"/>
        <v>JOYEARJOYEAR SX5 1.62021</v>
      </c>
      <c r="F341" s="1" t="s">
        <v>1244</v>
      </c>
      <c r="G341" s="1">
        <v>7746004</v>
      </c>
      <c r="H341" s="1">
        <v>6500000</v>
      </c>
    </row>
    <row r="342" spans="1:8" ht="13.5" customHeight="1" x14ac:dyDescent="0.3">
      <c r="A342" s="1" t="s">
        <v>4125</v>
      </c>
      <c r="B342" s="1" t="s">
        <v>4126</v>
      </c>
      <c r="C342" s="1" t="s">
        <v>4127</v>
      </c>
      <c r="D342" s="1">
        <v>2021</v>
      </c>
      <c r="E342" s="1" t="str">
        <f t="shared" si="1"/>
        <v>AX4AX4 LUXURY 1.6 AUT2021</v>
      </c>
      <c r="F342" s="1" t="s">
        <v>1097</v>
      </c>
      <c r="G342" s="1">
        <v>7990000</v>
      </c>
      <c r="H342" s="1">
        <v>5700000</v>
      </c>
    </row>
    <row r="343" spans="1:8" ht="13.5" customHeight="1" x14ac:dyDescent="0.3">
      <c r="A343" s="1" t="s">
        <v>4125</v>
      </c>
      <c r="B343" s="1" t="s">
        <v>4123</v>
      </c>
      <c r="C343" s="1" t="s">
        <v>4124</v>
      </c>
      <c r="D343" s="1">
        <v>2022</v>
      </c>
      <c r="E343" s="1" t="str">
        <f t="shared" si="1"/>
        <v>JOYEARJOYEAR SX5 1.62022</v>
      </c>
      <c r="F343" s="1" t="s">
        <v>1682</v>
      </c>
      <c r="G343" s="1">
        <v>7850000</v>
      </c>
      <c r="H343" s="1">
        <v>6500000</v>
      </c>
    </row>
    <row r="344" spans="1:8" ht="13.5" customHeight="1" x14ac:dyDescent="0.3">
      <c r="A344" s="1" t="s">
        <v>4125</v>
      </c>
      <c r="B344" s="1" t="s">
        <v>4128</v>
      </c>
      <c r="C344" s="1" t="s">
        <v>4129</v>
      </c>
      <c r="D344" s="1">
        <v>2025</v>
      </c>
      <c r="E344" s="1" t="str">
        <f t="shared" si="1"/>
        <v>T5LT5L LUX 1.82025</v>
      </c>
      <c r="F344" s="1" t="s">
        <v>509</v>
      </c>
      <c r="G344" s="1">
        <v>11990000</v>
      </c>
      <c r="H344" s="1">
        <v>10700000</v>
      </c>
    </row>
    <row r="345" spans="1:8" ht="13.5" customHeight="1" x14ac:dyDescent="0.3">
      <c r="A345" s="1" t="s">
        <v>68</v>
      </c>
      <c r="B345" s="1" t="s">
        <v>4130</v>
      </c>
      <c r="C345" s="1" t="s">
        <v>4131</v>
      </c>
      <c r="D345" s="1">
        <v>2024</v>
      </c>
      <c r="E345" s="1" t="str">
        <f t="shared" si="1"/>
        <v>500500 1.5 CVT2024</v>
      </c>
      <c r="F345" s="1" t="s">
        <v>1875</v>
      </c>
      <c r="G345" s="1">
        <v>9990000</v>
      </c>
      <c r="H345" s="1">
        <v>9500000</v>
      </c>
    </row>
    <row r="346" spans="1:8" ht="13.5" customHeight="1" x14ac:dyDescent="0.3">
      <c r="A346" s="1" t="s">
        <v>68</v>
      </c>
      <c r="B346" s="1" t="s">
        <v>4130</v>
      </c>
      <c r="C346" s="1" t="s">
        <v>4132</v>
      </c>
      <c r="D346" s="1">
        <v>2024</v>
      </c>
      <c r="E346" s="1" t="str">
        <f t="shared" si="1"/>
        <v>500500 4X2 1.52024</v>
      </c>
      <c r="F346" s="1" t="s">
        <v>1483</v>
      </c>
      <c r="G346" s="1">
        <v>11190000</v>
      </c>
      <c r="H346" s="1">
        <v>9400000</v>
      </c>
    </row>
    <row r="347" spans="1:8" ht="13.5" customHeight="1" x14ac:dyDescent="0.3">
      <c r="A347" s="1" t="s">
        <v>68</v>
      </c>
      <c r="B347" s="1" t="s">
        <v>4130</v>
      </c>
      <c r="C347" s="1" t="s">
        <v>4133</v>
      </c>
      <c r="D347" s="1">
        <v>2022</v>
      </c>
      <c r="E347" s="1" t="str">
        <f t="shared" si="1"/>
        <v>500SUV 500 1.52022</v>
      </c>
      <c r="F347" s="1" t="s">
        <v>1856</v>
      </c>
      <c r="G347" s="1">
        <v>7990000</v>
      </c>
      <c r="H347" s="1">
        <v>7200000</v>
      </c>
    </row>
    <row r="348" spans="1:8" ht="13.5" customHeight="1" x14ac:dyDescent="0.3">
      <c r="A348" s="1" t="s">
        <v>68</v>
      </c>
      <c r="B348" s="1" t="s">
        <v>4130</v>
      </c>
      <c r="C348" s="1" t="s">
        <v>4133</v>
      </c>
      <c r="D348" s="1">
        <v>2022</v>
      </c>
      <c r="E348" s="1" t="str">
        <f t="shared" si="1"/>
        <v>500SUV 500 1.52022</v>
      </c>
      <c r="F348" s="1" t="s">
        <v>2271</v>
      </c>
      <c r="G348" s="1">
        <v>9200000</v>
      </c>
      <c r="H348" s="1">
        <v>8000000</v>
      </c>
    </row>
    <row r="349" spans="1:8" ht="13.5" customHeight="1" x14ac:dyDescent="0.3">
      <c r="A349" s="1" t="s">
        <v>68</v>
      </c>
      <c r="B349" s="1" t="s">
        <v>4130</v>
      </c>
      <c r="C349" s="1" t="s">
        <v>4133</v>
      </c>
      <c r="D349" s="1">
        <v>2022</v>
      </c>
      <c r="E349" s="1" t="str">
        <f t="shared" si="1"/>
        <v>500SUV 500 1.52022</v>
      </c>
      <c r="F349" s="1" t="s">
        <v>809</v>
      </c>
      <c r="G349" s="1">
        <v>7990000</v>
      </c>
      <c r="H349" s="1">
        <v>6100000</v>
      </c>
    </row>
    <row r="350" spans="1:8" ht="13.5" customHeight="1" x14ac:dyDescent="0.3">
      <c r="A350" s="1" t="s">
        <v>68</v>
      </c>
      <c r="B350" s="1" t="s">
        <v>4130</v>
      </c>
      <c r="C350" s="1" t="s">
        <v>4133</v>
      </c>
      <c r="D350" s="1">
        <v>2022</v>
      </c>
      <c r="E350" s="1" t="str">
        <f t="shared" si="1"/>
        <v>500SUV 500 1.52022</v>
      </c>
      <c r="F350" s="1" t="s">
        <v>1160</v>
      </c>
      <c r="G350" s="1">
        <v>15980000</v>
      </c>
      <c r="H350" s="1">
        <v>13400000</v>
      </c>
    </row>
    <row r="351" spans="1:8" ht="13.5" customHeight="1" x14ac:dyDescent="0.3">
      <c r="A351" s="1" t="s">
        <v>68</v>
      </c>
      <c r="B351" s="1" t="s">
        <v>4134</v>
      </c>
      <c r="C351" s="1" t="s">
        <v>4135</v>
      </c>
      <c r="D351" s="1">
        <v>2020</v>
      </c>
      <c r="E351" s="1" t="str">
        <f t="shared" si="1"/>
        <v>560560 1.82020</v>
      </c>
      <c r="F351" s="1" t="s">
        <v>2326</v>
      </c>
      <c r="G351" s="1">
        <v>7990000</v>
      </c>
      <c r="H351" s="1">
        <v>6500000</v>
      </c>
    </row>
    <row r="352" spans="1:8" ht="13.5" customHeight="1" x14ac:dyDescent="0.3">
      <c r="A352" s="1" t="s">
        <v>68</v>
      </c>
      <c r="B352" s="1" t="s">
        <v>4134</v>
      </c>
      <c r="C352" s="1" t="s">
        <v>4135</v>
      </c>
      <c r="D352" s="1">
        <v>2020</v>
      </c>
      <c r="E352" s="1" t="str">
        <f t="shared" si="1"/>
        <v>560560 1.82020</v>
      </c>
      <c r="F352" s="1" t="s">
        <v>2173</v>
      </c>
      <c r="G352" s="1">
        <v>7990000</v>
      </c>
      <c r="H352" s="1">
        <v>6700000</v>
      </c>
    </row>
    <row r="353" spans="1:8" ht="13.5" customHeight="1" x14ac:dyDescent="0.3">
      <c r="A353" s="1" t="s">
        <v>68</v>
      </c>
      <c r="B353" s="1" t="s">
        <v>4134</v>
      </c>
      <c r="C353" s="1" t="s">
        <v>69</v>
      </c>
      <c r="D353" s="1">
        <v>2021</v>
      </c>
      <c r="E353" s="1" t="str">
        <f t="shared" si="1"/>
        <v>560SUV 560 1.82021</v>
      </c>
      <c r="F353" s="1" t="s">
        <v>1666</v>
      </c>
      <c r="G353" s="1">
        <v>7850000</v>
      </c>
      <c r="H353" s="1">
        <v>6500000</v>
      </c>
    </row>
    <row r="354" spans="1:8" ht="13.5" customHeight="1" x14ac:dyDescent="0.3">
      <c r="A354" s="1" t="s">
        <v>68</v>
      </c>
      <c r="B354" s="1" t="s">
        <v>4134</v>
      </c>
      <c r="C354" s="1" t="s">
        <v>69</v>
      </c>
      <c r="D354" s="1">
        <v>2022</v>
      </c>
      <c r="E354" s="1" t="str">
        <f t="shared" si="1"/>
        <v>560SUV 560 1.82022</v>
      </c>
      <c r="F354" s="1" t="s">
        <v>604</v>
      </c>
      <c r="G354" s="1">
        <v>9590000</v>
      </c>
      <c r="H354" s="1">
        <v>8000000</v>
      </c>
    </row>
    <row r="355" spans="1:8" ht="13.5" customHeight="1" x14ac:dyDescent="0.3">
      <c r="A355" s="1" t="s">
        <v>68</v>
      </c>
      <c r="B355" s="1" t="s">
        <v>4134</v>
      </c>
      <c r="C355" s="1" t="s">
        <v>69</v>
      </c>
      <c r="D355" s="1">
        <v>2023</v>
      </c>
      <c r="E355" s="1" t="str">
        <f t="shared" si="1"/>
        <v>560SUV 560 1.82023</v>
      </c>
      <c r="F355" s="1" t="s">
        <v>1223</v>
      </c>
      <c r="G355" s="1">
        <v>9890000</v>
      </c>
      <c r="H355" s="1">
        <v>8000000</v>
      </c>
    </row>
    <row r="356" spans="1:8" ht="13.5" customHeight="1" x14ac:dyDescent="0.3">
      <c r="A356" s="1" t="s">
        <v>68</v>
      </c>
      <c r="B356" s="1" t="s">
        <v>4134</v>
      </c>
      <c r="C356" s="1" t="s">
        <v>69</v>
      </c>
      <c r="D356" s="1">
        <v>2023</v>
      </c>
      <c r="E356" s="1" t="str">
        <f t="shared" si="1"/>
        <v>560SUV 560 1.82023</v>
      </c>
      <c r="F356" s="1" t="s">
        <v>1944</v>
      </c>
      <c r="G356" s="1">
        <v>11590000</v>
      </c>
      <c r="H356" s="1">
        <v>8979855</v>
      </c>
    </row>
    <row r="357" spans="1:8" ht="13.5" customHeight="1" x14ac:dyDescent="0.3">
      <c r="A357" s="1" t="s">
        <v>68</v>
      </c>
      <c r="B357" s="1" t="s">
        <v>4134</v>
      </c>
      <c r="C357" s="1" t="s">
        <v>69</v>
      </c>
      <c r="D357" s="1">
        <v>2023</v>
      </c>
      <c r="E357" s="1" t="str">
        <f t="shared" si="1"/>
        <v>560SUV 560 1.82023</v>
      </c>
      <c r="F357" s="1" t="s">
        <v>1914</v>
      </c>
      <c r="G357" s="1">
        <v>11100000</v>
      </c>
      <c r="H357" s="1">
        <v>9000000</v>
      </c>
    </row>
    <row r="358" spans="1:8" ht="13.5" customHeight="1" x14ac:dyDescent="0.3">
      <c r="A358" s="1" t="s">
        <v>68</v>
      </c>
      <c r="B358" s="1" t="s">
        <v>4134</v>
      </c>
      <c r="C358" s="1" t="s">
        <v>71</v>
      </c>
      <c r="D358" s="1">
        <v>2023</v>
      </c>
      <c r="E358" s="1" t="str">
        <f t="shared" si="1"/>
        <v>560SUV 560 4X2 1.82023</v>
      </c>
      <c r="F358" s="1" t="s">
        <v>703</v>
      </c>
      <c r="G358" s="1">
        <v>9990000</v>
      </c>
      <c r="H358" s="1">
        <v>7900000</v>
      </c>
    </row>
    <row r="359" spans="1:8" ht="13.5" customHeight="1" x14ac:dyDescent="0.3">
      <c r="A359" s="1" t="s">
        <v>68</v>
      </c>
      <c r="B359" s="1" t="s">
        <v>4134</v>
      </c>
      <c r="C359" s="1" t="s">
        <v>71</v>
      </c>
      <c r="D359" s="1">
        <v>2023</v>
      </c>
      <c r="E359" s="1" t="str">
        <f t="shared" si="1"/>
        <v>560SUV 560 4X2 1.82023</v>
      </c>
      <c r="F359" s="1" t="s">
        <v>72</v>
      </c>
      <c r="G359" s="1">
        <v>9990000</v>
      </c>
      <c r="H359" s="1">
        <v>8700000</v>
      </c>
    </row>
    <row r="360" spans="1:8" ht="13.5" customHeight="1" x14ac:dyDescent="0.3">
      <c r="A360" s="1" t="s">
        <v>68</v>
      </c>
      <c r="B360" s="1" t="s">
        <v>4134</v>
      </c>
      <c r="C360" s="1" t="s">
        <v>71</v>
      </c>
      <c r="D360" s="1">
        <v>2024</v>
      </c>
      <c r="E360" s="1" t="str">
        <f t="shared" si="1"/>
        <v>560SUV 560 4X2 1.82024</v>
      </c>
      <c r="F360" s="1" t="s">
        <v>802</v>
      </c>
      <c r="G360" s="1">
        <v>10790000</v>
      </c>
      <c r="H360" s="1">
        <v>9000000</v>
      </c>
    </row>
    <row r="361" spans="1:8" ht="13.5" customHeight="1" x14ac:dyDescent="0.3">
      <c r="A361" s="1" t="s">
        <v>68</v>
      </c>
      <c r="B361" s="1" t="s">
        <v>4134</v>
      </c>
      <c r="C361" s="1" t="s">
        <v>71</v>
      </c>
      <c r="D361" s="1">
        <v>2024</v>
      </c>
      <c r="E361" s="1" t="str">
        <f t="shared" si="1"/>
        <v>560SUV 560 4X2 1.82024</v>
      </c>
      <c r="F361" s="1" t="s">
        <v>1009</v>
      </c>
      <c r="G361" s="1">
        <v>11990000</v>
      </c>
      <c r="H361" s="1">
        <v>10300000</v>
      </c>
    </row>
    <row r="362" spans="1:8" ht="13.5" customHeight="1" x14ac:dyDescent="0.3">
      <c r="A362" s="1" t="s">
        <v>68</v>
      </c>
      <c r="B362" s="1" t="s">
        <v>4134</v>
      </c>
      <c r="C362" s="1" t="s">
        <v>73</v>
      </c>
      <c r="D362" s="1">
        <v>2023</v>
      </c>
      <c r="E362" s="1" t="str">
        <f t="shared" si="1"/>
        <v>560SUV 560 OTTO 1.82023</v>
      </c>
      <c r="F362" s="1" t="s">
        <v>1981</v>
      </c>
      <c r="G362" s="1">
        <v>9290000</v>
      </c>
      <c r="H362" s="1">
        <v>8872689</v>
      </c>
    </row>
    <row r="363" spans="1:8" ht="13.5" customHeight="1" x14ac:dyDescent="0.3">
      <c r="A363" s="1" t="s">
        <v>68</v>
      </c>
      <c r="B363" s="1" t="s">
        <v>4134</v>
      </c>
      <c r="C363" s="1" t="s">
        <v>73</v>
      </c>
      <c r="D363" s="1">
        <v>2023</v>
      </c>
      <c r="E363" s="1" t="str">
        <f t="shared" si="1"/>
        <v>560SUV 560 OTTO 1.82023</v>
      </c>
      <c r="F363" s="1" t="s">
        <v>1871</v>
      </c>
      <c r="G363" s="1">
        <v>9290000</v>
      </c>
      <c r="H363" s="1">
        <v>7500000</v>
      </c>
    </row>
    <row r="364" spans="1:8" ht="13.5" customHeight="1" x14ac:dyDescent="0.3">
      <c r="A364" s="1" t="s">
        <v>68</v>
      </c>
      <c r="B364" s="1" t="s">
        <v>4134</v>
      </c>
      <c r="C364" s="1" t="s">
        <v>73</v>
      </c>
      <c r="D364" s="1">
        <v>2023</v>
      </c>
      <c r="E364" s="1" t="str">
        <f t="shared" si="1"/>
        <v>560SUV 560 OTTO 1.82023</v>
      </c>
      <c r="F364" s="1" t="s">
        <v>384</v>
      </c>
      <c r="G364" s="1">
        <v>8990000</v>
      </c>
      <c r="H364" s="1">
        <v>7000000</v>
      </c>
    </row>
    <row r="365" spans="1:8" ht="13.5" customHeight="1" x14ac:dyDescent="0.3">
      <c r="A365" s="1" t="s">
        <v>68</v>
      </c>
      <c r="B365" s="1" t="s">
        <v>4134</v>
      </c>
      <c r="C365" s="1" t="s">
        <v>73</v>
      </c>
      <c r="D365" s="1">
        <v>2023</v>
      </c>
      <c r="E365" s="1" t="str">
        <f t="shared" si="1"/>
        <v>560SUV 560 OTTO 1.82023</v>
      </c>
      <c r="F365" s="1" t="s">
        <v>1352</v>
      </c>
      <c r="G365" s="1">
        <v>9590000</v>
      </c>
      <c r="H365" s="1">
        <v>8000000</v>
      </c>
    </row>
    <row r="366" spans="1:8" ht="13.5" customHeight="1" x14ac:dyDescent="0.3">
      <c r="A366" s="1" t="s">
        <v>68</v>
      </c>
      <c r="B366" s="1" t="s">
        <v>4136</v>
      </c>
      <c r="C366" s="1" t="s">
        <v>4137</v>
      </c>
      <c r="D366" s="1">
        <v>2018</v>
      </c>
      <c r="E366" s="1" t="str">
        <f t="shared" si="1"/>
        <v>580580 1.52018</v>
      </c>
      <c r="F366" s="1" t="s">
        <v>4138</v>
      </c>
      <c r="G366" s="1">
        <v>8990000</v>
      </c>
      <c r="H366" s="1">
        <v>8500000</v>
      </c>
    </row>
    <row r="367" spans="1:8" ht="13.5" customHeight="1" x14ac:dyDescent="0.3">
      <c r="A367" s="1" t="s">
        <v>68</v>
      </c>
      <c r="B367" s="1" t="s">
        <v>4136</v>
      </c>
      <c r="C367" s="1" t="s">
        <v>4139</v>
      </c>
      <c r="D367" s="1">
        <v>2018</v>
      </c>
      <c r="E367" s="1" t="str">
        <f t="shared" si="1"/>
        <v>580580 1.82018</v>
      </c>
      <c r="F367" s="1" t="s">
        <v>2319</v>
      </c>
      <c r="G367" s="1">
        <v>7990000</v>
      </c>
      <c r="H367" s="1">
        <v>6000000</v>
      </c>
    </row>
    <row r="368" spans="1:8" ht="13.5" customHeight="1" x14ac:dyDescent="0.3">
      <c r="A368" s="1" t="s">
        <v>68</v>
      </c>
      <c r="B368" s="1" t="s">
        <v>4136</v>
      </c>
      <c r="C368" s="1" t="s">
        <v>4140</v>
      </c>
      <c r="D368" s="1">
        <v>2018</v>
      </c>
      <c r="E368" s="1" t="str">
        <f t="shared" si="1"/>
        <v>580580 LUXURY 1.52018</v>
      </c>
      <c r="F368" s="1" t="s">
        <v>326</v>
      </c>
      <c r="G368" s="1">
        <v>7594310</v>
      </c>
      <c r="H368" s="1">
        <v>5200000</v>
      </c>
    </row>
    <row r="369" spans="1:8" ht="13.5" customHeight="1" x14ac:dyDescent="0.3">
      <c r="A369" s="1" t="s">
        <v>68</v>
      </c>
      <c r="B369" s="1" t="s">
        <v>4136</v>
      </c>
      <c r="C369" s="1" t="s">
        <v>4141</v>
      </c>
      <c r="D369" s="1">
        <v>2022</v>
      </c>
      <c r="E369" s="1" t="str">
        <f t="shared" si="1"/>
        <v>580SUV GLORY 580 1.52022</v>
      </c>
      <c r="F369" s="1" t="s">
        <v>1167</v>
      </c>
      <c r="G369" s="1">
        <v>9500000</v>
      </c>
      <c r="H369" s="1">
        <v>7900000</v>
      </c>
    </row>
    <row r="370" spans="1:8" ht="13.5" customHeight="1" x14ac:dyDescent="0.3">
      <c r="A370" s="1" t="s">
        <v>68</v>
      </c>
      <c r="B370" s="1" t="s">
        <v>4136</v>
      </c>
      <c r="C370" s="1" t="s">
        <v>75</v>
      </c>
      <c r="D370" s="1">
        <v>2021</v>
      </c>
      <c r="E370" s="1" t="str">
        <f t="shared" si="1"/>
        <v>580SUV GLORY 580 1.82021</v>
      </c>
      <c r="F370" s="1" t="s">
        <v>2080</v>
      </c>
      <c r="G370" s="1">
        <v>9990000</v>
      </c>
      <c r="H370" s="1">
        <v>8000000</v>
      </c>
    </row>
    <row r="371" spans="1:8" ht="13.5" customHeight="1" x14ac:dyDescent="0.3">
      <c r="A371" s="1" t="s">
        <v>68</v>
      </c>
      <c r="B371" s="1" t="s">
        <v>4136</v>
      </c>
      <c r="C371" s="1" t="s">
        <v>75</v>
      </c>
      <c r="D371" s="1">
        <v>2022</v>
      </c>
      <c r="E371" s="1" t="str">
        <f t="shared" si="1"/>
        <v>580SUV GLORY 580 1.82022</v>
      </c>
      <c r="F371" s="1" t="s">
        <v>1069</v>
      </c>
      <c r="G371" s="1">
        <v>9490000</v>
      </c>
      <c r="H371" s="1">
        <v>7800000</v>
      </c>
    </row>
    <row r="372" spans="1:8" ht="13.5" customHeight="1" x14ac:dyDescent="0.3">
      <c r="A372" s="1" t="s">
        <v>68</v>
      </c>
      <c r="B372" s="1" t="s">
        <v>4136</v>
      </c>
      <c r="C372" s="1" t="s">
        <v>75</v>
      </c>
      <c r="D372" s="1">
        <v>2022</v>
      </c>
      <c r="E372" s="1" t="str">
        <f t="shared" si="1"/>
        <v>580SUV GLORY 580 1.82022</v>
      </c>
      <c r="F372" s="1" t="s">
        <v>1908</v>
      </c>
      <c r="G372" s="1">
        <v>10490000</v>
      </c>
      <c r="H372" s="1">
        <v>8300000</v>
      </c>
    </row>
    <row r="373" spans="1:8" ht="13.5" customHeight="1" x14ac:dyDescent="0.3">
      <c r="A373" s="1" t="s">
        <v>68</v>
      </c>
      <c r="B373" s="1" t="s">
        <v>4136</v>
      </c>
      <c r="C373" s="1" t="s">
        <v>75</v>
      </c>
      <c r="D373" s="1">
        <v>2022</v>
      </c>
      <c r="E373" s="1" t="str">
        <f t="shared" si="1"/>
        <v>580SUV GLORY 580 1.82022</v>
      </c>
      <c r="F373" s="1" t="s">
        <v>1361</v>
      </c>
      <c r="G373" s="1">
        <v>9890000</v>
      </c>
      <c r="H373" s="1">
        <v>8000000</v>
      </c>
    </row>
    <row r="374" spans="1:8" ht="13.5" customHeight="1" x14ac:dyDescent="0.3">
      <c r="A374" s="1" t="s">
        <v>68</v>
      </c>
      <c r="B374" s="1" t="s">
        <v>4136</v>
      </c>
      <c r="C374" s="1" t="s">
        <v>75</v>
      </c>
      <c r="D374" s="1">
        <v>2023</v>
      </c>
      <c r="E374" s="1" t="str">
        <f t="shared" si="1"/>
        <v>580SUV GLORY 580 1.82023</v>
      </c>
      <c r="F374" s="1" t="s">
        <v>1235</v>
      </c>
      <c r="G374" s="1">
        <v>11290000</v>
      </c>
      <c r="H374" s="1">
        <v>9500000</v>
      </c>
    </row>
    <row r="375" spans="1:8" ht="13.5" customHeight="1" x14ac:dyDescent="0.3">
      <c r="A375" s="1" t="s">
        <v>68</v>
      </c>
      <c r="B375" s="1" t="s">
        <v>4136</v>
      </c>
      <c r="C375" s="1" t="s">
        <v>75</v>
      </c>
      <c r="D375" s="1">
        <v>2023</v>
      </c>
      <c r="E375" s="1" t="str">
        <f t="shared" si="1"/>
        <v>580SUV GLORY 580 1.82023</v>
      </c>
      <c r="F375" s="1" t="s">
        <v>1245</v>
      </c>
      <c r="G375" s="1">
        <v>11490000</v>
      </c>
      <c r="H375" s="1">
        <v>9650000</v>
      </c>
    </row>
    <row r="376" spans="1:8" ht="13.5" customHeight="1" x14ac:dyDescent="0.3">
      <c r="A376" s="1" t="s">
        <v>68</v>
      </c>
      <c r="B376" s="1" t="s">
        <v>4136</v>
      </c>
      <c r="C376" s="1" t="s">
        <v>75</v>
      </c>
      <c r="D376" s="1">
        <v>2023</v>
      </c>
      <c r="E376" s="1" t="str">
        <f t="shared" si="1"/>
        <v>580SUV GLORY 580 1.82023</v>
      </c>
      <c r="F376" s="1" t="s">
        <v>1449</v>
      </c>
      <c r="G376" s="1">
        <v>10490000</v>
      </c>
      <c r="H376" s="1">
        <v>10000000</v>
      </c>
    </row>
    <row r="377" spans="1:8" ht="13.5" customHeight="1" x14ac:dyDescent="0.3">
      <c r="A377" s="1" t="s">
        <v>68</v>
      </c>
      <c r="B377" s="1" t="s">
        <v>4136</v>
      </c>
      <c r="C377" s="1" t="s">
        <v>75</v>
      </c>
      <c r="D377" s="1">
        <v>2023</v>
      </c>
      <c r="E377" s="1" t="str">
        <f t="shared" si="1"/>
        <v>580SUV GLORY 580 1.82023</v>
      </c>
      <c r="F377" s="1" t="s">
        <v>796</v>
      </c>
      <c r="G377" s="1">
        <v>10790000</v>
      </c>
      <c r="H377" s="1">
        <v>8000000</v>
      </c>
    </row>
    <row r="378" spans="1:8" ht="13.5" customHeight="1" x14ac:dyDescent="0.3">
      <c r="A378" s="1" t="s">
        <v>68</v>
      </c>
      <c r="B378" s="1" t="s">
        <v>4136</v>
      </c>
      <c r="C378" s="1" t="s">
        <v>75</v>
      </c>
      <c r="D378" s="1">
        <v>2023</v>
      </c>
      <c r="E378" s="1" t="str">
        <f t="shared" si="1"/>
        <v>580SUV GLORY 580 1.82023</v>
      </c>
      <c r="F378" s="1" t="s">
        <v>647</v>
      </c>
      <c r="G378" s="1">
        <v>9900000</v>
      </c>
      <c r="H378" s="1">
        <v>9000000</v>
      </c>
    </row>
    <row r="379" spans="1:8" ht="13.5" customHeight="1" x14ac:dyDescent="0.3">
      <c r="A379" s="1" t="s">
        <v>68</v>
      </c>
      <c r="B379" s="1" t="s">
        <v>4142</v>
      </c>
      <c r="C379" s="1" t="s">
        <v>4143</v>
      </c>
      <c r="D379" s="1">
        <v>2024</v>
      </c>
      <c r="E379" s="1" t="str">
        <f t="shared" si="1"/>
        <v>CARGOCARGO VAN C25 1.32024</v>
      </c>
      <c r="F379" s="1" t="s">
        <v>657</v>
      </c>
      <c r="G379" s="1">
        <v>6990000</v>
      </c>
      <c r="H379" s="1">
        <v>5800000</v>
      </c>
    </row>
    <row r="380" spans="1:8" ht="13.5" customHeight="1" x14ac:dyDescent="0.3">
      <c r="A380" s="1" t="s">
        <v>68</v>
      </c>
      <c r="B380" s="1" t="s">
        <v>4142</v>
      </c>
      <c r="C380" s="1" t="s">
        <v>4144</v>
      </c>
      <c r="D380" s="1">
        <v>2022</v>
      </c>
      <c r="E380" s="1" t="str">
        <f t="shared" si="1"/>
        <v>CARGOCARGO VAN C35 1.52022</v>
      </c>
      <c r="F380" s="1" t="s">
        <v>4145</v>
      </c>
      <c r="G380" s="1">
        <v>10265960</v>
      </c>
      <c r="H380" s="1">
        <v>12000000</v>
      </c>
    </row>
    <row r="381" spans="1:8" ht="13.5" customHeight="1" x14ac:dyDescent="0.3">
      <c r="A381" s="1" t="s">
        <v>68</v>
      </c>
      <c r="B381" s="1" t="s">
        <v>68</v>
      </c>
      <c r="C381" s="1" t="s">
        <v>78</v>
      </c>
      <c r="D381" s="1">
        <v>2014</v>
      </c>
      <c r="E381" s="1" t="str">
        <f t="shared" si="1"/>
        <v>DFSKCARGO BOX XL 1.32014</v>
      </c>
      <c r="G381" s="1">
        <v>3990000</v>
      </c>
      <c r="H381" s="1">
        <v>0</v>
      </c>
    </row>
    <row r="382" spans="1:8" ht="13.5" customHeight="1" x14ac:dyDescent="0.3">
      <c r="A382" s="1" t="s">
        <v>68</v>
      </c>
      <c r="B382" s="1" t="s">
        <v>68</v>
      </c>
      <c r="C382" s="1" t="s">
        <v>78</v>
      </c>
      <c r="D382" s="1">
        <v>2014</v>
      </c>
      <c r="E382" s="1" t="str">
        <f t="shared" si="1"/>
        <v>DFSKCARGO BOX XL 1.32014</v>
      </c>
      <c r="F382" s="1" t="s">
        <v>4146</v>
      </c>
      <c r="G382" s="1">
        <v>3990000</v>
      </c>
      <c r="H382" s="1">
        <v>4331719</v>
      </c>
    </row>
    <row r="383" spans="1:8" ht="13.5" customHeight="1" x14ac:dyDescent="0.3">
      <c r="A383" s="1" t="s">
        <v>68</v>
      </c>
      <c r="B383" s="1" t="s">
        <v>79</v>
      </c>
      <c r="C383" s="1" t="s">
        <v>4147</v>
      </c>
      <c r="D383" s="1">
        <v>2024</v>
      </c>
      <c r="E383" s="1" t="str">
        <f t="shared" si="1"/>
        <v>PICK UP D1D1 COMFORT 2.32024</v>
      </c>
      <c r="F383" s="1" t="s">
        <v>1852</v>
      </c>
      <c r="G383" s="1">
        <v>13990000</v>
      </c>
      <c r="H383" s="1">
        <v>14500000</v>
      </c>
    </row>
    <row r="384" spans="1:8" ht="13.5" customHeight="1" x14ac:dyDescent="0.3">
      <c r="A384" s="1" t="s">
        <v>68</v>
      </c>
      <c r="B384" s="1" t="s">
        <v>79</v>
      </c>
      <c r="C384" s="1" t="s">
        <v>80</v>
      </c>
      <c r="D384" s="1">
        <v>2024</v>
      </c>
      <c r="E384" s="1" t="str">
        <f t="shared" si="1"/>
        <v>PICK UP D1D1 LUXURY 4X4 2.32024</v>
      </c>
      <c r="F384" s="1" t="s">
        <v>767</v>
      </c>
      <c r="G384" s="1">
        <v>16490000</v>
      </c>
      <c r="H384" s="1">
        <v>13750000</v>
      </c>
    </row>
    <row r="385" spans="1:8" ht="13.5" customHeight="1" x14ac:dyDescent="0.3">
      <c r="A385" s="1" t="s">
        <v>68</v>
      </c>
      <c r="B385" s="1" t="s">
        <v>2568</v>
      </c>
      <c r="C385" s="1" t="s">
        <v>4148</v>
      </c>
      <c r="D385" s="1">
        <v>2026</v>
      </c>
      <c r="E385" s="1" t="str">
        <f t="shared" si="1"/>
        <v>TRUCKTRUCK CS C21 1.32026</v>
      </c>
      <c r="F385" s="1" t="s">
        <v>355</v>
      </c>
      <c r="G385" s="1">
        <v>7690000</v>
      </c>
      <c r="H385" s="1">
        <v>6500000</v>
      </c>
    </row>
    <row r="386" spans="1:8" ht="13.5" customHeight="1" x14ac:dyDescent="0.3">
      <c r="A386" s="1" t="s">
        <v>68</v>
      </c>
      <c r="B386" s="1" t="s">
        <v>2568</v>
      </c>
      <c r="C386" s="1" t="s">
        <v>4149</v>
      </c>
      <c r="D386" s="1">
        <v>2025</v>
      </c>
      <c r="E386" s="1" t="str">
        <f t="shared" si="1"/>
        <v>TRUCKTRUCK DC 1.02025</v>
      </c>
      <c r="F386" s="1" t="s">
        <v>667</v>
      </c>
      <c r="G386" s="1">
        <v>6990000</v>
      </c>
      <c r="H386" s="1">
        <v>0</v>
      </c>
    </row>
    <row r="387" spans="1:8" ht="13.5" customHeight="1" x14ac:dyDescent="0.3">
      <c r="A387" s="1" t="s">
        <v>68</v>
      </c>
      <c r="B387" s="1" t="s">
        <v>2568</v>
      </c>
      <c r="C387" s="1" t="s">
        <v>4150</v>
      </c>
      <c r="D387" s="1">
        <v>2024</v>
      </c>
      <c r="E387" s="1" t="str">
        <f t="shared" si="1"/>
        <v>TRUCKTRUCK DC 1.32024</v>
      </c>
      <c r="F387" s="1" t="s">
        <v>1059</v>
      </c>
      <c r="G387" s="1">
        <v>6810000</v>
      </c>
      <c r="H387" s="1">
        <v>5500000</v>
      </c>
    </row>
    <row r="388" spans="1:8" ht="13.5" customHeight="1" x14ac:dyDescent="0.3">
      <c r="A388" s="1" t="s">
        <v>68</v>
      </c>
      <c r="B388" s="1" t="s">
        <v>2568</v>
      </c>
      <c r="C388" s="1" t="s">
        <v>4151</v>
      </c>
      <c r="D388" s="1">
        <v>2023</v>
      </c>
      <c r="E388" s="1" t="str">
        <f t="shared" si="1"/>
        <v>TRUCKTRUCK SERIE C DCAB 1.52023</v>
      </c>
      <c r="F388" s="1" t="s">
        <v>810</v>
      </c>
      <c r="G388" s="1">
        <v>6490000</v>
      </c>
      <c r="H388" s="1">
        <v>5000000</v>
      </c>
    </row>
    <row r="389" spans="1:8" ht="13.5" customHeight="1" x14ac:dyDescent="0.3">
      <c r="A389" s="1" t="s">
        <v>4152</v>
      </c>
      <c r="B389" s="1" t="s">
        <v>4152</v>
      </c>
      <c r="C389" s="1" t="s">
        <v>4153</v>
      </c>
      <c r="D389" s="1">
        <v>2016</v>
      </c>
      <c r="E389" s="1" t="str">
        <f t="shared" si="1"/>
        <v>DODGENEW RAM1500 SLT SPORT 4X4 5.7 AUT2016</v>
      </c>
      <c r="F389" s="1" t="s">
        <v>2395</v>
      </c>
      <c r="G389" s="1">
        <v>17000000</v>
      </c>
      <c r="H389" s="1">
        <v>20400000</v>
      </c>
    </row>
    <row r="390" spans="1:8" ht="13.5" customHeight="1" x14ac:dyDescent="0.3">
      <c r="A390" s="1" t="s">
        <v>4152</v>
      </c>
      <c r="B390" s="1" t="s">
        <v>4152</v>
      </c>
      <c r="C390" s="1" t="s">
        <v>4154</v>
      </c>
      <c r="D390" s="1">
        <v>2017</v>
      </c>
      <c r="E390" s="1" t="str">
        <f t="shared" si="1"/>
        <v>DODGERAM1500 LARAMIE 4X4 5.72017</v>
      </c>
      <c r="F390" s="1" t="s">
        <v>2089</v>
      </c>
      <c r="G390" s="1">
        <v>26490000</v>
      </c>
      <c r="H390" s="1">
        <v>24700000</v>
      </c>
    </row>
    <row r="391" spans="1:8" ht="13.5" customHeight="1" x14ac:dyDescent="0.3">
      <c r="A391" s="1" t="s">
        <v>4152</v>
      </c>
      <c r="B391" s="1" t="s">
        <v>4155</v>
      </c>
      <c r="C391" s="1" t="s">
        <v>4156</v>
      </c>
      <c r="D391" s="1">
        <v>2011</v>
      </c>
      <c r="E391" s="1" t="str">
        <f t="shared" si="1"/>
        <v>DURANGONEW DURANGO CITADEL AWD 5.72011</v>
      </c>
      <c r="F391" s="1" t="s">
        <v>4157</v>
      </c>
      <c r="G391" s="1">
        <v>4750000</v>
      </c>
      <c r="H391" s="1">
        <v>11000000</v>
      </c>
    </row>
    <row r="392" spans="1:8" ht="13.5" customHeight="1" x14ac:dyDescent="0.3">
      <c r="A392" s="1" t="s">
        <v>4152</v>
      </c>
      <c r="B392" s="1" t="s">
        <v>4158</v>
      </c>
      <c r="C392" s="1" t="s">
        <v>4159</v>
      </c>
      <c r="D392" s="1">
        <v>2016</v>
      </c>
      <c r="E392" s="1" t="str">
        <f t="shared" si="1"/>
        <v>JOURNEYJOURNEY 2.4 AUT2016</v>
      </c>
      <c r="F392" s="1" t="s">
        <v>2093</v>
      </c>
      <c r="G392" s="1">
        <v>11090000</v>
      </c>
      <c r="H392" s="1">
        <v>10000000</v>
      </c>
    </row>
    <row r="393" spans="1:8" ht="13.5" customHeight="1" x14ac:dyDescent="0.3">
      <c r="A393" s="1" t="s">
        <v>4152</v>
      </c>
      <c r="B393" s="1" t="s">
        <v>278</v>
      </c>
      <c r="C393" s="1" t="s">
        <v>4154</v>
      </c>
      <c r="D393" s="1">
        <v>2018</v>
      </c>
      <c r="E393" s="1" t="str">
        <f t="shared" si="1"/>
        <v>RAMRAM1500 LARAMIE 4X4 5.72018</v>
      </c>
      <c r="F393" s="1" t="s">
        <v>2466</v>
      </c>
      <c r="G393" s="1">
        <v>29290000</v>
      </c>
      <c r="H393" s="1">
        <v>26000000</v>
      </c>
    </row>
    <row r="394" spans="1:8" ht="13.5" customHeight="1" x14ac:dyDescent="0.3">
      <c r="A394" s="1" t="s">
        <v>2511</v>
      </c>
      <c r="B394" s="1" t="s">
        <v>2511</v>
      </c>
      <c r="C394" s="1" t="s">
        <v>4160</v>
      </c>
      <c r="D394" s="1">
        <v>2022</v>
      </c>
      <c r="E394" s="1" t="str">
        <f t="shared" si="1"/>
        <v>DONGFENGDF6 4WD 2.52022</v>
      </c>
      <c r="F394" s="1" t="s">
        <v>1436</v>
      </c>
      <c r="G394" s="1">
        <v>9074620</v>
      </c>
      <c r="H394" s="1">
        <v>7500000</v>
      </c>
    </row>
    <row r="395" spans="1:8" ht="13.5" customHeight="1" x14ac:dyDescent="0.3">
      <c r="A395" s="1" t="s">
        <v>2511</v>
      </c>
      <c r="B395" s="1" t="s">
        <v>2511</v>
      </c>
      <c r="C395" s="1" t="s">
        <v>4160</v>
      </c>
      <c r="D395" s="1">
        <v>2023</v>
      </c>
      <c r="E395" s="1" t="str">
        <f t="shared" si="1"/>
        <v>DONGFENGDF6 4WD 2.52023</v>
      </c>
      <c r="F395" s="1" t="s">
        <v>458</v>
      </c>
      <c r="G395" s="1">
        <v>11990000</v>
      </c>
      <c r="H395" s="1">
        <v>9200000</v>
      </c>
    </row>
    <row r="396" spans="1:8" ht="13.5" customHeight="1" x14ac:dyDescent="0.3">
      <c r="A396" s="1" t="s">
        <v>2511</v>
      </c>
      <c r="B396" s="1" t="s">
        <v>2511</v>
      </c>
      <c r="C396" s="1" t="s">
        <v>4161</v>
      </c>
      <c r="D396" s="1">
        <v>2023</v>
      </c>
      <c r="E396" s="1" t="str">
        <f t="shared" si="1"/>
        <v>DONGFENGDF6 D CAB GL 4X4 2.52023</v>
      </c>
      <c r="F396" s="1" t="s">
        <v>775</v>
      </c>
      <c r="G396" s="1">
        <v>11990000</v>
      </c>
      <c r="H396" s="1">
        <v>10000000</v>
      </c>
    </row>
    <row r="397" spans="1:8" ht="13.5" customHeight="1" x14ac:dyDescent="0.3">
      <c r="A397" s="1" t="s">
        <v>2796</v>
      </c>
      <c r="B397" s="1" t="s">
        <v>4162</v>
      </c>
      <c r="C397" s="1" t="s">
        <v>4163</v>
      </c>
      <c r="D397" s="1">
        <v>2021</v>
      </c>
      <c r="E397" s="1" t="str">
        <f t="shared" si="1"/>
        <v>DS7DS7 CROSSBACK BLUEHDI 2.0 AUT2021</v>
      </c>
      <c r="F397" s="1" t="s">
        <v>1137</v>
      </c>
      <c r="G397" s="1">
        <v>16500000</v>
      </c>
      <c r="H397" s="1">
        <v>15000000</v>
      </c>
    </row>
    <row r="398" spans="1:8" ht="13.5" customHeight="1" x14ac:dyDescent="0.3">
      <c r="A398" s="1" t="s">
        <v>82</v>
      </c>
      <c r="B398" s="1" t="s">
        <v>2493</v>
      </c>
      <c r="C398" s="1" t="s">
        <v>4164</v>
      </c>
      <c r="D398" s="1">
        <v>2024</v>
      </c>
      <c r="E398" s="1" t="str">
        <f t="shared" si="1"/>
        <v>EXEEDEXEED VX 2.0T DCT UNLIMITED AWD2024</v>
      </c>
      <c r="F398" s="1" t="s">
        <v>1843</v>
      </c>
      <c r="G398" s="1">
        <v>25990000</v>
      </c>
      <c r="H398" s="1">
        <v>24000000</v>
      </c>
    </row>
    <row r="399" spans="1:8" ht="13.5" customHeight="1" x14ac:dyDescent="0.3">
      <c r="A399" s="1" t="s">
        <v>82</v>
      </c>
      <c r="B399" s="1" t="s">
        <v>2493</v>
      </c>
      <c r="C399" s="1" t="s">
        <v>4165</v>
      </c>
      <c r="D399" s="1">
        <v>2022</v>
      </c>
      <c r="E399" s="1" t="str">
        <f t="shared" si="1"/>
        <v>EXEEDLX UNLTD 1.5 AUT2022</v>
      </c>
      <c r="F399" s="1" t="s">
        <v>1546</v>
      </c>
      <c r="G399" s="1">
        <v>16790000</v>
      </c>
      <c r="H399" s="1">
        <v>14500000</v>
      </c>
    </row>
    <row r="400" spans="1:8" ht="13.5" customHeight="1" x14ac:dyDescent="0.3">
      <c r="A400" s="1" t="s">
        <v>82</v>
      </c>
      <c r="B400" s="1" t="s">
        <v>83</v>
      </c>
      <c r="C400" s="1" t="s">
        <v>84</v>
      </c>
      <c r="D400" s="1">
        <v>2024</v>
      </c>
      <c r="E400" s="1" t="str">
        <f t="shared" si="1"/>
        <v>LXLX ADVANCED 1.5 AUT2024</v>
      </c>
      <c r="F400" s="1" t="s">
        <v>493</v>
      </c>
      <c r="G400" s="1">
        <v>14840000</v>
      </c>
      <c r="H400" s="1">
        <v>13500000</v>
      </c>
    </row>
    <row r="401" spans="1:8" ht="13.5" customHeight="1" x14ac:dyDescent="0.3">
      <c r="A401" s="1" t="s">
        <v>82</v>
      </c>
      <c r="B401" s="1" t="s">
        <v>2574</v>
      </c>
      <c r="C401" s="1" t="s">
        <v>4166</v>
      </c>
      <c r="D401" s="1">
        <v>2023</v>
      </c>
      <c r="E401" s="1" t="str">
        <f t="shared" si="1"/>
        <v>TXLTXL DCT UNLIMITED 2.0 AUT2023</v>
      </c>
      <c r="F401" s="1" t="s">
        <v>608</v>
      </c>
      <c r="G401" s="1">
        <v>16990000</v>
      </c>
      <c r="H401" s="1">
        <v>17800000</v>
      </c>
    </row>
    <row r="402" spans="1:8" ht="13.5" customHeight="1" x14ac:dyDescent="0.3">
      <c r="A402" s="1" t="s">
        <v>2526</v>
      </c>
      <c r="B402" s="1" t="s">
        <v>4167</v>
      </c>
      <c r="C402" s="1" t="s">
        <v>4168</v>
      </c>
      <c r="D402" s="1">
        <v>2019</v>
      </c>
      <c r="E402" s="1" t="str">
        <f t="shared" si="1"/>
        <v>500X500X CROSS 4X4 1.4 AUT2019</v>
      </c>
      <c r="F402" s="1" t="s">
        <v>2244</v>
      </c>
      <c r="G402" s="1">
        <v>14990000</v>
      </c>
      <c r="H402" s="1">
        <v>12990000</v>
      </c>
    </row>
    <row r="403" spans="1:8" ht="13.5" customHeight="1" x14ac:dyDescent="0.3">
      <c r="A403" s="1" t="s">
        <v>2526</v>
      </c>
      <c r="B403" s="1" t="s">
        <v>4167</v>
      </c>
      <c r="C403" s="1" t="s">
        <v>4168</v>
      </c>
      <c r="D403" s="1">
        <v>2019</v>
      </c>
      <c r="E403" s="1" t="str">
        <f t="shared" si="1"/>
        <v>500X500X CROSS 4X4 1.4 AUT2019</v>
      </c>
      <c r="F403" s="1" t="s">
        <v>1594</v>
      </c>
      <c r="G403" s="1">
        <v>11290000</v>
      </c>
      <c r="H403" s="1">
        <v>9500000</v>
      </c>
    </row>
    <row r="404" spans="1:8" ht="13.5" customHeight="1" x14ac:dyDescent="0.3">
      <c r="A404" s="1" t="s">
        <v>2526</v>
      </c>
      <c r="B404" s="1" t="s">
        <v>2527</v>
      </c>
      <c r="C404" s="1" t="s">
        <v>4169</v>
      </c>
      <c r="D404" s="1">
        <v>2022</v>
      </c>
      <c r="E404" s="1" t="str">
        <f t="shared" si="1"/>
        <v>ARGOARGO TREKKING HATCHBACK 1.32022</v>
      </c>
      <c r="F404" s="1" t="s">
        <v>622</v>
      </c>
      <c r="G404" s="1">
        <v>9300000</v>
      </c>
      <c r="H404" s="1">
        <v>6450000</v>
      </c>
    </row>
    <row r="405" spans="1:8" ht="13.5" customHeight="1" x14ac:dyDescent="0.3">
      <c r="A405" s="1" t="s">
        <v>2526</v>
      </c>
      <c r="B405" s="1" t="s">
        <v>4170</v>
      </c>
      <c r="C405" s="1" t="s">
        <v>4171</v>
      </c>
      <c r="D405" s="1">
        <v>2019</v>
      </c>
      <c r="E405" s="1" t="str">
        <f t="shared" si="1"/>
        <v>CRONOSCRONOS DRIVE 1.3 MT2019</v>
      </c>
      <c r="F405" s="1" t="s">
        <v>1609</v>
      </c>
      <c r="G405" s="1">
        <v>6790000</v>
      </c>
      <c r="H405" s="1">
        <v>5487395</v>
      </c>
    </row>
    <row r="406" spans="1:8" ht="13.5" customHeight="1" x14ac:dyDescent="0.3">
      <c r="A406" s="1" t="s">
        <v>2526</v>
      </c>
      <c r="B406" s="1" t="s">
        <v>4170</v>
      </c>
      <c r="C406" s="1" t="s">
        <v>4172</v>
      </c>
      <c r="D406" s="1">
        <v>2022</v>
      </c>
      <c r="E406" s="1" t="str">
        <f t="shared" si="1"/>
        <v>CRONOSCRONOS DRIVE 1.8 AUT2022</v>
      </c>
      <c r="F406" s="1" t="s">
        <v>2222</v>
      </c>
      <c r="G406" s="1">
        <v>10590000</v>
      </c>
      <c r="H406" s="1">
        <v>9000000</v>
      </c>
    </row>
    <row r="407" spans="1:8" ht="13.5" customHeight="1" x14ac:dyDescent="0.3">
      <c r="A407" s="1" t="s">
        <v>2526</v>
      </c>
      <c r="B407" s="1" t="s">
        <v>3329</v>
      </c>
      <c r="C407" s="1" t="s">
        <v>4173</v>
      </c>
      <c r="D407" s="1">
        <v>2025</v>
      </c>
      <c r="E407" s="1" t="str">
        <f t="shared" si="1"/>
        <v>PULSEPULSE HB MT 1.32025</v>
      </c>
      <c r="F407" s="1" t="s">
        <v>944</v>
      </c>
      <c r="G407" s="1">
        <v>12590000</v>
      </c>
      <c r="H407" s="1">
        <v>10800000</v>
      </c>
    </row>
    <row r="408" spans="1:8" ht="13.5" customHeight="1" x14ac:dyDescent="0.3">
      <c r="A408" s="1" t="s">
        <v>2526</v>
      </c>
      <c r="B408" s="1" t="s">
        <v>3329</v>
      </c>
      <c r="C408" s="1" t="s">
        <v>4174</v>
      </c>
      <c r="D408" s="1">
        <v>2022</v>
      </c>
      <c r="E408" s="1" t="str">
        <f t="shared" si="1"/>
        <v>PULSEPULSE IMPETUS TF200 1.0 AUT2022</v>
      </c>
      <c r="G408" s="1">
        <v>13490000</v>
      </c>
      <c r="H408" s="1">
        <v>0</v>
      </c>
    </row>
    <row r="409" spans="1:8" ht="13.5" customHeight="1" x14ac:dyDescent="0.3">
      <c r="A409" s="1" t="s">
        <v>2526</v>
      </c>
      <c r="B409" s="1" t="s">
        <v>3329</v>
      </c>
      <c r="C409" s="1" t="s">
        <v>4174</v>
      </c>
      <c r="D409" s="1">
        <v>2022</v>
      </c>
      <c r="E409" s="1" t="str">
        <f t="shared" si="1"/>
        <v>PULSEPULSE IMPETUS TF200 1.0 AUT2022</v>
      </c>
      <c r="F409" s="1" t="s">
        <v>2432</v>
      </c>
      <c r="G409" s="1">
        <v>12990000</v>
      </c>
      <c r="H409" s="1">
        <v>19900000</v>
      </c>
    </row>
    <row r="410" spans="1:8" ht="13.5" customHeight="1" x14ac:dyDescent="0.3">
      <c r="A410" s="1" t="s">
        <v>2526</v>
      </c>
      <c r="B410" s="1" t="s">
        <v>4175</v>
      </c>
      <c r="C410" s="1" t="s">
        <v>4176</v>
      </c>
      <c r="D410" s="1">
        <v>2020</v>
      </c>
      <c r="E410" s="1" t="str">
        <f t="shared" si="1"/>
        <v>QUBOQUBO DYNAMIC 1.42020</v>
      </c>
      <c r="F410" s="1" t="s">
        <v>2165</v>
      </c>
      <c r="G410" s="1">
        <v>8490000</v>
      </c>
      <c r="H410" s="1">
        <v>8000000</v>
      </c>
    </row>
    <row r="411" spans="1:8" ht="13.5" customHeight="1" x14ac:dyDescent="0.3">
      <c r="A411" s="1" t="s">
        <v>2526</v>
      </c>
      <c r="B411" s="1" t="s">
        <v>4177</v>
      </c>
      <c r="C411" s="1" t="s">
        <v>4178</v>
      </c>
      <c r="D411" s="1">
        <v>2016</v>
      </c>
      <c r="E411" s="1" t="str">
        <f t="shared" si="1"/>
        <v>UNO WAYUNO WAY 1.42016</v>
      </c>
      <c r="F411" s="1" t="s">
        <v>1569</v>
      </c>
      <c r="G411" s="1">
        <v>4990000</v>
      </c>
      <c r="H411" s="1">
        <v>3800000</v>
      </c>
    </row>
    <row r="412" spans="1:8" ht="13.5" customHeight="1" x14ac:dyDescent="0.3">
      <c r="A412" s="1" t="s">
        <v>2526</v>
      </c>
      <c r="B412" s="1" t="s">
        <v>4177</v>
      </c>
      <c r="C412" s="1" t="s">
        <v>4178</v>
      </c>
      <c r="D412" s="1">
        <v>2017</v>
      </c>
      <c r="E412" s="1" t="str">
        <f t="shared" si="1"/>
        <v>UNO WAYUNO WAY 1.42017</v>
      </c>
      <c r="F412" s="1" t="s">
        <v>2352</v>
      </c>
      <c r="G412" s="1">
        <v>5990000</v>
      </c>
      <c r="H412" s="1">
        <v>5100000</v>
      </c>
    </row>
    <row r="413" spans="1:8" ht="13.5" customHeight="1" x14ac:dyDescent="0.3">
      <c r="A413" s="1" t="s">
        <v>2526</v>
      </c>
      <c r="B413" s="1" t="s">
        <v>4177</v>
      </c>
      <c r="C413" s="1" t="s">
        <v>4179</v>
      </c>
      <c r="D413" s="1">
        <v>2018</v>
      </c>
      <c r="E413" s="1" t="str">
        <f t="shared" si="1"/>
        <v>UNO WAYUNO WAY EVO 1.32018</v>
      </c>
      <c r="F413" s="1" t="s">
        <v>2325</v>
      </c>
      <c r="G413" s="1">
        <v>6790000</v>
      </c>
      <c r="H413" s="1">
        <v>5500000</v>
      </c>
    </row>
    <row r="414" spans="1:8" ht="13.5" customHeight="1" x14ac:dyDescent="0.3">
      <c r="A414" s="1" t="s">
        <v>2526</v>
      </c>
      <c r="B414" s="1" t="s">
        <v>4177</v>
      </c>
      <c r="C414" s="1" t="s">
        <v>4180</v>
      </c>
      <c r="D414" s="1">
        <v>2017</v>
      </c>
      <c r="E414" s="1" t="str">
        <f t="shared" si="1"/>
        <v>UNO WAYUNO WAY EVO 1.42017</v>
      </c>
      <c r="F414" s="1" t="s">
        <v>1592</v>
      </c>
      <c r="G414" s="1">
        <v>7090000</v>
      </c>
      <c r="H414" s="1">
        <v>5000000</v>
      </c>
    </row>
    <row r="415" spans="1:8" ht="13.5" customHeight="1" x14ac:dyDescent="0.3">
      <c r="A415" s="1" t="s">
        <v>2526</v>
      </c>
      <c r="B415" s="1" t="s">
        <v>4177</v>
      </c>
      <c r="C415" s="1" t="s">
        <v>4180</v>
      </c>
      <c r="D415" s="1">
        <v>2020</v>
      </c>
      <c r="E415" s="1" t="str">
        <f t="shared" si="1"/>
        <v>UNO WAYUNO WAY EVO 1.42020</v>
      </c>
      <c r="F415" s="1" t="s">
        <v>1425</v>
      </c>
      <c r="G415" s="1">
        <v>5990000</v>
      </c>
      <c r="H415" s="1">
        <v>4850000</v>
      </c>
    </row>
    <row r="416" spans="1:8" ht="13.5" customHeight="1" x14ac:dyDescent="0.3">
      <c r="A416" s="1" t="s">
        <v>2526</v>
      </c>
      <c r="B416" s="1" t="s">
        <v>4177</v>
      </c>
      <c r="C416" s="1" t="s">
        <v>4181</v>
      </c>
      <c r="D416" s="1">
        <v>2018</v>
      </c>
      <c r="E416" s="1" t="str">
        <f t="shared" si="1"/>
        <v>UNO WAYUNO WAY EVO FL 1.32018</v>
      </c>
      <c r="F416" s="1" t="s">
        <v>1917</v>
      </c>
      <c r="G416" s="1">
        <v>4990000</v>
      </c>
      <c r="H416" s="1">
        <v>4000000</v>
      </c>
    </row>
    <row r="417" spans="1:8" ht="13.5" customHeight="1" x14ac:dyDescent="0.3">
      <c r="A417" s="1" t="s">
        <v>86</v>
      </c>
      <c r="B417" s="1" t="s">
        <v>87</v>
      </c>
      <c r="C417" s="1" t="s">
        <v>4182</v>
      </c>
      <c r="D417" s="1">
        <v>2023</v>
      </c>
      <c r="E417" s="1" t="str">
        <f t="shared" si="1"/>
        <v>BRONCOBRONCO SPORT 4X4 1.5 AUT2023</v>
      </c>
      <c r="F417" s="1" t="s">
        <v>423</v>
      </c>
      <c r="G417" s="1">
        <v>20990000</v>
      </c>
      <c r="H417" s="1">
        <v>18300000</v>
      </c>
    </row>
    <row r="418" spans="1:8" ht="13.5" customHeight="1" x14ac:dyDescent="0.3">
      <c r="A418" s="1" t="s">
        <v>86</v>
      </c>
      <c r="B418" s="1" t="s">
        <v>87</v>
      </c>
      <c r="C418" s="1" t="s">
        <v>4182</v>
      </c>
      <c r="D418" s="1">
        <v>2023</v>
      </c>
      <c r="E418" s="1" t="str">
        <f t="shared" si="1"/>
        <v>BRONCOBRONCO SPORT 4X4 1.5 AUT2023</v>
      </c>
      <c r="F418" s="1" t="s">
        <v>551</v>
      </c>
      <c r="G418" s="1">
        <v>21690000</v>
      </c>
      <c r="H418" s="1">
        <v>18500000</v>
      </c>
    </row>
    <row r="419" spans="1:8" ht="13.5" customHeight="1" x14ac:dyDescent="0.3">
      <c r="A419" s="1" t="s">
        <v>86</v>
      </c>
      <c r="B419" s="1" t="s">
        <v>87</v>
      </c>
      <c r="C419" s="1" t="s">
        <v>4182</v>
      </c>
      <c r="D419" s="1">
        <v>2024</v>
      </c>
      <c r="E419" s="1" t="str">
        <f t="shared" si="1"/>
        <v>BRONCOBRONCO SPORT 4X4 1.5 AUT2024</v>
      </c>
      <c r="F419" s="1" t="s">
        <v>1140</v>
      </c>
      <c r="G419" s="1">
        <v>23990000</v>
      </c>
      <c r="H419" s="1">
        <v>21000000</v>
      </c>
    </row>
    <row r="420" spans="1:8" ht="13.5" customHeight="1" x14ac:dyDescent="0.3">
      <c r="A420" s="1" t="s">
        <v>86</v>
      </c>
      <c r="B420" s="1" t="s">
        <v>87</v>
      </c>
      <c r="C420" s="1" t="s">
        <v>88</v>
      </c>
      <c r="D420" s="1">
        <v>2022</v>
      </c>
      <c r="E420" s="1" t="str">
        <f t="shared" si="1"/>
        <v>BRONCOBRONCO SPORT WILDTRAK 4X4 2.0 AUT2022</v>
      </c>
      <c r="F420" s="1" t="s">
        <v>2298</v>
      </c>
      <c r="G420" s="1">
        <v>31790000</v>
      </c>
      <c r="H420" s="1">
        <v>28000000</v>
      </c>
    </row>
    <row r="421" spans="1:8" ht="13.5" customHeight="1" x14ac:dyDescent="0.3">
      <c r="A421" s="1" t="s">
        <v>86</v>
      </c>
      <c r="B421" s="1" t="s">
        <v>87</v>
      </c>
      <c r="C421" s="1" t="s">
        <v>88</v>
      </c>
      <c r="D421" s="1">
        <v>2023</v>
      </c>
      <c r="E421" s="1" t="str">
        <f t="shared" si="1"/>
        <v>BRONCOBRONCO SPORT WILDTRAK 4X4 2.0 AUT2023</v>
      </c>
      <c r="F421" s="1" t="s">
        <v>1278</v>
      </c>
      <c r="G421" s="1">
        <v>25325000</v>
      </c>
      <c r="H421" s="1">
        <v>22000000</v>
      </c>
    </row>
    <row r="422" spans="1:8" ht="13.5" customHeight="1" x14ac:dyDescent="0.3">
      <c r="A422" s="1" t="s">
        <v>86</v>
      </c>
      <c r="B422" s="1" t="s">
        <v>87</v>
      </c>
      <c r="C422" s="1" t="s">
        <v>4183</v>
      </c>
      <c r="D422" s="1">
        <v>2024</v>
      </c>
      <c r="E422" s="1" t="str">
        <f t="shared" si="1"/>
        <v>BRONCOBRONCO WILDTRAK 4X4 2.7 AUT2024</v>
      </c>
      <c r="F422" s="1" t="s">
        <v>1086</v>
      </c>
      <c r="G422" s="1">
        <v>53990000</v>
      </c>
      <c r="H422" s="1">
        <v>47000000</v>
      </c>
    </row>
    <row r="423" spans="1:8" ht="13.5" customHeight="1" x14ac:dyDescent="0.3">
      <c r="A423" s="1" t="s">
        <v>86</v>
      </c>
      <c r="B423" s="1" t="s">
        <v>90</v>
      </c>
      <c r="C423" s="1" t="s">
        <v>4184</v>
      </c>
      <c r="D423" s="1">
        <v>2018</v>
      </c>
      <c r="E423" s="1" t="str">
        <f t="shared" si="1"/>
        <v>ECOSPORTECOSPORT 1.52018</v>
      </c>
      <c r="F423" s="1" t="s">
        <v>2429</v>
      </c>
      <c r="G423" s="1">
        <v>12490000</v>
      </c>
      <c r="H423" s="1">
        <v>9900000</v>
      </c>
    </row>
    <row r="424" spans="1:8" ht="13.5" customHeight="1" x14ac:dyDescent="0.3">
      <c r="A424" s="1" t="s">
        <v>86</v>
      </c>
      <c r="B424" s="1" t="s">
        <v>90</v>
      </c>
      <c r="C424" s="1" t="s">
        <v>4184</v>
      </c>
      <c r="D424" s="1">
        <v>2018</v>
      </c>
      <c r="E424" s="1" t="str">
        <f t="shared" si="1"/>
        <v>ECOSPORTECOSPORT 1.52018</v>
      </c>
      <c r="F424" s="1" t="s">
        <v>2182</v>
      </c>
      <c r="G424" s="1">
        <v>10290000</v>
      </c>
      <c r="H424" s="1">
        <v>9000000</v>
      </c>
    </row>
    <row r="425" spans="1:8" ht="13.5" customHeight="1" x14ac:dyDescent="0.3">
      <c r="A425" s="1" t="s">
        <v>86</v>
      </c>
      <c r="B425" s="1" t="s">
        <v>90</v>
      </c>
      <c r="C425" s="1" t="s">
        <v>4184</v>
      </c>
      <c r="D425" s="1">
        <v>2019</v>
      </c>
      <c r="E425" s="1" t="str">
        <f t="shared" si="1"/>
        <v>ECOSPORTECOSPORT 1.52019</v>
      </c>
      <c r="F425" s="1" t="s">
        <v>1752</v>
      </c>
      <c r="G425" s="1">
        <v>8387720</v>
      </c>
      <c r="H425" s="1">
        <v>7000000</v>
      </c>
    </row>
    <row r="426" spans="1:8" ht="13.5" customHeight="1" x14ac:dyDescent="0.3">
      <c r="A426" s="1" t="s">
        <v>86</v>
      </c>
      <c r="B426" s="1" t="s">
        <v>90</v>
      </c>
      <c r="C426" s="1" t="s">
        <v>4184</v>
      </c>
      <c r="D426" s="1">
        <v>2019</v>
      </c>
      <c r="E426" s="1" t="str">
        <f t="shared" si="1"/>
        <v>ECOSPORTECOSPORT 1.52019</v>
      </c>
      <c r="F426" s="1" t="s">
        <v>1689</v>
      </c>
      <c r="G426" s="1">
        <v>8990000</v>
      </c>
      <c r="H426" s="1">
        <v>7500000</v>
      </c>
    </row>
    <row r="427" spans="1:8" ht="13.5" customHeight="1" x14ac:dyDescent="0.3">
      <c r="A427" s="1" t="s">
        <v>86</v>
      </c>
      <c r="B427" s="1" t="s">
        <v>90</v>
      </c>
      <c r="C427" s="1" t="s">
        <v>4184</v>
      </c>
      <c r="D427" s="1">
        <v>2019</v>
      </c>
      <c r="E427" s="1" t="str">
        <f t="shared" si="1"/>
        <v>ECOSPORTECOSPORT 1.52019</v>
      </c>
      <c r="F427" s="1" t="s">
        <v>2413</v>
      </c>
      <c r="G427" s="1">
        <v>10990000</v>
      </c>
      <c r="H427" s="1">
        <v>12700000</v>
      </c>
    </row>
    <row r="428" spans="1:8" ht="13.5" customHeight="1" x14ac:dyDescent="0.3">
      <c r="A428" s="1" t="s">
        <v>86</v>
      </c>
      <c r="B428" s="1" t="s">
        <v>90</v>
      </c>
      <c r="C428" s="1" t="s">
        <v>4184</v>
      </c>
      <c r="D428" s="1">
        <v>2019</v>
      </c>
      <c r="E428" s="1" t="str">
        <f t="shared" si="1"/>
        <v>ECOSPORTECOSPORT 1.52019</v>
      </c>
      <c r="F428" s="1" t="s">
        <v>2336</v>
      </c>
      <c r="G428" s="1">
        <v>9989610</v>
      </c>
      <c r="H428" s="1">
        <v>7700000</v>
      </c>
    </row>
    <row r="429" spans="1:8" ht="13.5" customHeight="1" x14ac:dyDescent="0.3">
      <c r="A429" s="1" t="s">
        <v>86</v>
      </c>
      <c r="B429" s="1" t="s">
        <v>90</v>
      </c>
      <c r="C429" s="1" t="s">
        <v>4184</v>
      </c>
      <c r="D429" s="1">
        <v>2019</v>
      </c>
      <c r="E429" s="1" t="str">
        <f t="shared" si="1"/>
        <v>ECOSPORTECOSPORT 1.52019</v>
      </c>
      <c r="F429" s="1" t="s">
        <v>2013</v>
      </c>
      <c r="G429" s="1">
        <v>9990000</v>
      </c>
      <c r="H429" s="1">
        <v>7200000</v>
      </c>
    </row>
    <row r="430" spans="1:8" ht="13.5" customHeight="1" x14ac:dyDescent="0.3">
      <c r="A430" s="1" t="s">
        <v>86</v>
      </c>
      <c r="B430" s="1" t="s">
        <v>90</v>
      </c>
      <c r="C430" s="1" t="s">
        <v>4184</v>
      </c>
      <c r="D430" s="1">
        <v>2019</v>
      </c>
      <c r="E430" s="1" t="str">
        <f t="shared" si="1"/>
        <v>ECOSPORTECOSPORT 1.52019</v>
      </c>
      <c r="F430" s="1" t="s">
        <v>2006</v>
      </c>
      <c r="G430" s="1">
        <v>7990000</v>
      </c>
      <c r="H430" s="1">
        <v>5900000</v>
      </c>
    </row>
    <row r="431" spans="1:8" ht="13.5" customHeight="1" x14ac:dyDescent="0.3">
      <c r="A431" s="1" t="s">
        <v>86</v>
      </c>
      <c r="B431" s="1" t="s">
        <v>90</v>
      </c>
      <c r="C431" s="1" t="s">
        <v>4184</v>
      </c>
      <c r="D431" s="1">
        <v>2019</v>
      </c>
      <c r="E431" s="1" t="str">
        <f t="shared" si="1"/>
        <v>ECOSPORTECOSPORT 1.52019</v>
      </c>
      <c r="F431" s="1" t="s">
        <v>827</v>
      </c>
      <c r="G431" s="1">
        <v>9290000</v>
      </c>
      <c r="H431" s="1">
        <v>7200000</v>
      </c>
    </row>
    <row r="432" spans="1:8" ht="13.5" customHeight="1" x14ac:dyDescent="0.3">
      <c r="A432" s="1" t="s">
        <v>86</v>
      </c>
      <c r="B432" s="1" t="s">
        <v>90</v>
      </c>
      <c r="C432" s="1" t="s">
        <v>4184</v>
      </c>
      <c r="D432" s="1">
        <v>2020</v>
      </c>
      <c r="E432" s="1" t="str">
        <f t="shared" si="1"/>
        <v>ECOSPORTECOSPORT 1.52020</v>
      </c>
      <c r="F432" s="1" t="s">
        <v>2347</v>
      </c>
      <c r="G432" s="1">
        <v>9989610</v>
      </c>
      <c r="H432" s="1">
        <v>8700000</v>
      </c>
    </row>
    <row r="433" spans="1:8" ht="13.5" customHeight="1" x14ac:dyDescent="0.3">
      <c r="A433" s="1" t="s">
        <v>86</v>
      </c>
      <c r="B433" s="1" t="s">
        <v>90</v>
      </c>
      <c r="C433" s="1" t="s">
        <v>4184</v>
      </c>
      <c r="D433" s="1">
        <v>2020</v>
      </c>
      <c r="E433" s="1" t="str">
        <f t="shared" si="1"/>
        <v>ECOSPORTECOSPORT 1.52020</v>
      </c>
      <c r="F433" s="1" t="s">
        <v>632</v>
      </c>
      <c r="G433" s="1">
        <v>10290000</v>
      </c>
      <c r="H433" s="1">
        <v>8000000</v>
      </c>
    </row>
    <row r="434" spans="1:8" ht="13.5" customHeight="1" x14ac:dyDescent="0.3">
      <c r="A434" s="1" t="s">
        <v>86</v>
      </c>
      <c r="B434" s="1" t="s">
        <v>90</v>
      </c>
      <c r="C434" s="1" t="s">
        <v>4184</v>
      </c>
      <c r="D434" s="1">
        <v>2020</v>
      </c>
      <c r="E434" s="1" t="str">
        <f t="shared" si="1"/>
        <v>ECOSPORTECOSPORT 1.52020</v>
      </c>
      <c r="F434" s="1" t="s">
        <v>813</v>
      </c>
      <c r="G434" s="1">
        <v>9190000</v>
      </c>
      <c r="H434" s="1">
        <v>7300000</v>
      </c>
    </row>
    <row r="435" spans="1:8" ht="13.5" customHeight="1" x14ac:dyDescent="0.3">
      <c r="A435" s="1" t="s">
        <v>86</v>
      </c>
      <c r="B435" s="1" t="s">
        <v>90</v>
      </c>
      <c r="C435" s="1" t="s">
        <v>4184</v>
      </c>
      <c r="D435" s="1">
        <v>2020</v>
      </c>
      <c r="E435" s="1" t="str">
        <f t="shared" si="1"/>
        <v>ECOSPORTECOSPORT 1.52020</v>
      </c>
      <c r="F435" s="1" t="s">
        <v>2020</v>
      </c>
      <c r="G435" s="1">
        <v>10590000</v>
      </c>
      <c r="H435" s="1">
        <v>8300000</v>
      </c>
    </row>
    <row r="436" spans="1:8" ht="13.5" customHeight="1" x14ac:dyDescent="0.3">
      <c r="A436" s="1" t="s">
        <v>86</v>
      </c>
      <c r="B436" s="1" t="s">
        <v>90</v>
      </c>
      <c r="C436" s="1" t="s">
        <v>4184</v>
      </c>
      <c r="D436" s="1">
        <v>2021</v>
      </c>
      <c r="E436" s="1" t="str">
        <f t="shared" si="1"/>
        <v>ECOSPORTECOSPORT 1.52021</v>
      </c>
      <c r="F436" s="1" t="s">
        <v>764</v>
      </c>
      <c r="G436" s="1">
        <v>9590000</v>
      </c>
      <c r="H436" s="1">
        <v>8000000</v>
      </c>
    </row>
    <row r="437" spans="1:8" ht="13.5" customHeight="1" x14ac:dyDescent="0.3">
      <c r="A437" s="1" t="s">
        <v>86</v>
      </c>
      <c r="B437" s="1" t="s">
        <v>90</v>
      </c>
      <c r="C437" s="1" t="s">
        <v>4185</v>
      </c>
      <c r="D437" s="1">
        <v>2018</v>
      </c>
      <c r="E437" s="1" t="str">
        <f t="shared" si="1"/>
        <v>ECOSPORTECOSPORT 1.5 AUT2018</v>
      </c>
      <c r="F437" s="1" t="s">
        <v>2191</v>
      </c>
      <c r="G437" s="1">
        <v>8790000</v>
      </c>
      <c r="H437" s="1">
        <v>7000000</v>
      </c>
    </row>
    <row r="438" spans="1:8" ht="13.5" customHeight="1" x14ac:dyDescent="0.3">
      <c r="A438" s="1" t="s">
        <v>86</v>
      </c>
      <c r="B438" s="1" t="s">
        <v>90</v>
      </c>
      <c r="C438" s="1" t="s">
        <v>4185</v>
      </c>
      <c r="D438" s="1">
        <v>2020</v>
      </c>
      <c r="E438" s="1" t="str">
        <f t="shared" si="1"/>
        <v>ECOSPORTECOSPORT 1.5 AUT2020</v>
      </c>
      <c r="F438" s="1" t="s">
        <v>2398</v>
      </c>
      <c r="G438" s="1">
        <v>11990000</v>
      </c>
      <c r="H438" s="1">
        <v>12100000</v>
      </c>
    </row>
    <row r="439" spans="1:8" ht="13.5" customHeight="1" x14ac:dyDescent="0.3">
      <c r="A439" s="1" t="s">
        <v>86</v>
      </c>
      <c r="B439" s="1" t="s">
        <v>90</v>
      </c>
      <c r="C439" s="1" t="s">
        <v>4185</v>
      </c>
      <c r="D439" s="1">
        <v>2022</v>
      </c>
      <c r="E439" s="1" t="str">
        <f t="shared" si="1"/>
        <v>ECOSPORTECOSPORT 1.5 AUT2022</v>
      </c>
      <c r="F439" s="1" t="s">
        <v>2410</v>
      </c>
      <c r="G439" s="1">
        <v>12990000</v>
      </c>
      <c r="H439" s="1">
        <v>14178992</v>
      </c>
    </row>
    <row r="440" spans="1:8" ht="13.5" customHeight="1" x14ac:dyDescent="0.3">
      <c r="A440" s="1" t="s">
        <v>86</v>
      </c>
      <c r="B440" s="1" t="s">
        <v>90</v>
      </c>
      <c r="C440" s="1" t="s">
        <v>4185</v>
      </c>
      <c r="D440" s="1">
        <v>2022</v>
      </c>
      <c r="E440" s="1" t="str">
        <f t="shared" si="1"/>
        <v>ECOSPORTECOSPORT 1.5 AUT2022</v>
      </c>
      <c r="F440" s="1" t="s">
        <v>1510</v>
      </c>
      <c r="G440" s="1">
        <v>13110000</v>
      </c>
      <c r="H440" s="1">
        <v>11000000</v>
      </c>
    </row>
    <row r="441" spans="1:8" ht="13.5" customHeight="1" x14ac:dyDescent="0.3">
      <c r="A441" s="1" t="s">
        <v>86</v>
      </c>
      <c r="B441" s="1" t="s">
        <v>90</v>
      </c>
      <c r="C441" s="1" t="s">
        <v>4186</v>
      </c>
      <c r="D441" s="1">
        <v>2016</v>
      </c>
      <c r="E441" s="1" t="str">
        <f t="shared" si="1"/>
        <v>ECOSPORTECOSPORT 1.62016</v>
      </c>
      <c r="F441" s="1" t="s">
        <v>1967</v>
      </c>
      <c r="G441" s="1">
        <v>7290000</v>
      </c>
      <c r="H441" s="1">
        <v>5500000</v>
      </c>
    </row>
    <row r="442" spans="1:8" ht="13.5" customHeight="1" x14ac:dyDescent="0.3">
      <c r="A442" s="1" t="s">
        <v>86</v>
      </c>
      <c r="B442" s="1" t="s">
        <v>90</v>
      </c>
      <c r="C442" s="1" t="s">
        <v>4186</v>
      </c>
      <c r="D442" s="1">
        <v>2016</v>
      </c>
      <c r="E442" s="1" t="str">
        <f t="shared" si="1"/>
        <v>ECOSPORTECOSPORT 1.62016</v>
      </c>
      <c r="F442" s="1" t="s">
        <v>2402</v>
      </c>
      <c r="G442" s="1">
        <v>7990000</v>
      </c>
      <c r="H442" s="1">
        <v>8900000</v>
      </c>
    </row>
    <row r="443" spans="1:8" ht="13.5" customHeight="1" x14ac:dyDescent="0.3">
      <c r="A443" s="1" t="s">
        <v>86</v>
      </c>
      <c r="B443" s="1" t="s">
        <v>90</v>
      </c>
      <c r="C443" s="1" t="s">
        <v>4187</v>
      </c>
      <c r="D443" s="1">
        <v>2019</v>
      </c>
      <c r="E443" s="1" t="str">
        <f t="shared" si="1"/>
        <v>ECOSPORTECOSPORT 2.0 AUT2019</v>
      </c>
      <c r="F443" s="1" t="s">
        <v>2387</v>
      </c>
      <c r="G443" s="1">
        <v>11990000</v>
      </c>
      <c r="H443" s="1">
        <v>13000000</v>
      </c>
    </row>
    <row r="444" spans="1:8" ht="13.5" customHeight="1" x14ac:dyDescent="0.3">
      <c r="A444" s="1" t="s">
        <v>86</v>
      </c>
      <c r="B444" s="1" t="s">
        <v>90</v>
      </c>
      <c r="C444" s="1" t="s">
        <v>91</v>
      </c>
      <c r="D444" s="1">
        <v>2018</v>
      </c>
      <c r="E444" s="1" t="str">
        <f t="shared" si="1"/>
        <v>ECOSPORTECOSPORT FREESTYLE 1.52018</v>
      </c>
      <c r="G444" s="1">
        <v>7890000</v>
      </c>
      <c r="H444" s="1">
        <v>0</v>
      </c>
    </row>
    <row r="445" spans="1:8" ht="13.5" customHeight="1" x14ac:dyDescent="0.3">
      <c r="A445" s="1" t="s">
        <v>86</v>
      </c>
      <c r="B445" s="1" t="s">
        <v>90</v>
      </c>
      <c r="C445" s="1" t="s">
        <v>91</v>
      </c>
      <c r="D445" s="1">
        <v>2018</v>
      </c>
      <c r="E445" s="1" t="str">
        <f t="shared" si="1"/>
        <v>ECOSPORTECOSPORT FREESTYLE 1.52018</v>
      </c>
      <c r="F445" s="1" t="s">
        <v>1066</v>
      </c>
      <c r="G445" s="1">
        <v>6950000</v>
      </c>
      <c r="H445" s="1">
        <v>5800000</v>
      </c>
    </row>
    <row r="446" spans="1:8" ht="13.5" customHeight="1" x14ac:dyDescent="0.3">
      <c r="A446" s="1" t="s">
        <v>86</v>
      </c>
      <c r="B446" s="1" t="s">
        <v>90</v>
      </c>
      <c r="C446" s="1" t="s">
        <v>91</v>
      </c>
      <c r="D446" s="1">
        <v>2019</v>
      </c>
      <c r="E446" s="1" t="str">
        <f t="shared" si="1"/>
        <v>ECOSPORTECOSPORT FREESTYLE 1.52019</v>
      </c>
      <c r="F446" s="1" t="s">
        <v>952</v>
      </c>
      <c r="G446" s="1">
        <v>8490000</v>
      </c>
      <c r="H446" s="1">
        <v>6000000</v>
      </c>
    </row>
    <row r="447" spans="1:8" ht="13.5" customHeight="1" x14ac:dyDescent="0.3">
      <c r="A447" s="1" t="s">
        <v>86</v>
      </c>
      <c r="B447" s="1" t="s">
        <v>90</v>
      </c>
      <c r="C447" s="1" t="s">
        <v>91</v>
      </c>
      <c r="D447" s="1">
        <v>2019</v>
      </c>
      <c r="E447" s="1" t="str">
        <f t="shared" si="1"/>
        <v>ECOSPORTECOSPORT FREESTYLE 1.52019</v>
      </c>
      <c r="F447" s="1" t="s">
        <v>1900</v>
      </c>
      <c r="G447" s="1">
        <v>9290000</v>
      </c>
      <c r="H447" s="1">
        <v>7983193</v>
      </c>
    </row>
    <row r="448" spans="1:8" ht="13.5" customHeight="1" x14ac:dyDescent="0.3">
      <c r="A448" s="1" t="s">
        <v>86</v>
      </c>
      <c r="B448" s="1" t="s">
        <v>90</v>
      </c>
      <c r="C448" s="1" t="s">
        <v>91</v>
      </c>
      <c r="D448" s="1">
        <v>2020</v>
      </c>
      <c r="E448" s="1" t="str">
        <f t="shared" si="1"/>
        <v>ECOSPORTECOSPORT FREESTYLE 1.52020</v>
      </c>
      <c r="F448" s="1" t="s">
        <v>2243</v>
      </c>
      <c r="G448" s="1">
        <v>10790000</v>
      </c>
      <c r="H448" s="1">
        <v>8900000</v>
      </c>
    </row>
    <row r="449" spans="1:8" ht="13.5" customHeight="1" x14ac:dyDescent="0.3">
      <c r="A449" s="1" t="s">
        <v>86</v>
      </c>
      <c r="B449" s="1" t="s">
        <v>90</v>
      </c>
      <c r="C449" s="1" t="s">
        <v>91</v>
      </c>
      <c r="D449" s="1">
        <v>2020</v>
      </c>
      <c r="E449" s="1" t="str">
        <f t="shared" si="1"/>
        <v>ECOSPORTECOSPORT FREESTYLE 1.52020</v>
      </c>
      <c r="F449" s="1" t="s">
        <v>2378</v>
      </c>
      <c r="G449" s="1">
        <v>9990000</v>
      </c>
      <c r="H449" s="1">
        <v>10500000</v>
      </c>
    </row>
    <row r="450" spans="1:8" ht="13.5" customHeight="1" x14ac:dyDescent="0.3">
      <c r="A450" s="1" t="s">
        <v>86</v>
      </c>
      <c r="B450" s="1" t="s">
        <v>90</v>
      </c>
      <c r="C450" s="1" t="s">
        <v>4188</v>
      </c>
      <c r="D450" s="1">
        <v>2019</v>
      </c>
      <c r="E450" s="1" t="str">
        <f t="shared" si="1"/>
        <v>ECOSPORTECOSPORT S 1.52019</v>
      </c>
      <c r="F450" s="1" t="s">
        <v>1322</v>
      </c>
      <c r="G450" s="1">
        <v>11290000</v>
      </c>
      <c r="H450" s="1">
        <v>9500000</v>
      </c>
    </row>
    <row r="451" spans="1:8" ht="13.5" customHeight="1" x14ac:dyDescent="0.3">
      <c r="A451" s="1" t="s">
        <v>86</v>
      </c>
      <c r="B451" s="1" t="s">
        <v>90</v>
      </c>
      <c r="C451" s="1" t="s">
        <v>4188</v>
      </c>
      <c r="D451" s="1">
        <v>2020</v>
      </c>
      <c r="E451" s="1" t="str">
        <f t="shared" si="1"/>
        <v>ECOSPORTECOSPORT S 1.52020</v>
      </c>
      <c r="F451" s="1" t="s">
        <v>1649</v>
      </c>
      <c r="G451" s="1">
        <v>8490000</v>
      </c>
      <c r="H451" s="1">
        <v>7074790</v>
      </c>
    </row>
    <row r="452" spans="1:8" ht="13.5" customHeight="1" x14ac:dyDescent="0.3">
      <c r="A452" s="1" t="s">
        <v>86</v>
      </c>
      <c r="B452" s="1" t="s">
        <v>90</v>
      </c>
      <c r="C452" s="1" t="s">
        <v>4188</v>
      </c>
      <c r="D452" s="1">
        <v>2021</v>
      </c>
      <c r="E452" s="1" t="str">
        <f t="shared" si="1"/>
        <v>ECOSPORTECOSPORT S 1.52021</v>
      </c>
      <c r="F452" s="1" t="s">
        <v>1024</v>
      </c>
      <c r="G452" s="1">
        <v>7990000</v>
      </c>
      <c r="H452" s="1">
        <v>6000000</v>
      </c>
    </row>
    <row r="453" spans="1:8" ht="13.5" customHeight="1" x14ac:dyDescent="0.3">
      <c r="A453" s="1" t="s">
        <v>86</v>
      </c>
      <c r="B453" s="1" t="s">
        <v>90</v>
      </c>
      <c r="C453" s="1" t="s">
        <v>4188</v>
      </c>
      <c r="D453" s="1">
        <v>2021</v>
      </c>
      <c r="E453" s="1" t="str">
        <f t="shared" si="1"/>
        <v>ECOSPORTECOSPORT S 1.52021</v>
      </c>
      <c r="F453" s="1" t="s">
        <v>2076</v>
      </c>
      <c r="G453" s="1">
        <v>10790000</v>
      </c>
      <c r="H453" s="1">
        <v>8800000</v>
      </c>
    </row>
    <row r="454" spans="1:8" ht="13.5" customHeight="1" x14ac:dyDescent="0.3">
      <c r="A454" s="1" t="s">
        <v>86</v>
      </c>
      <c r="B454" s="1" t="s">
        <v>90</v>
      </c>
      <c r="C454" s="1" t="s">
        <v>4189</v>
      </c>
      <c r="D454" s="1">
        <v>2018</v>
      </c>
      <c r="E454" s="1" t="str">
        <f t="shared" si="1"/>
        <v>ECOSPORTECOSPORT TITANIUM 1.52018</v>
      </c>
      <c r="F454" s="1" t="s">
        <v>992</v>
      </c>
      <c r="G454" s="1">
        <v>8990000</v>
      </c>
      <c r="H454" s="1">
        <v>7000000</v>
      </c>
    </row>
    <row r="455" spans="1:8" ht="13.5" customHeight="1" x14ac:dyDescent="0.3">
      <c r="A455" s="1" t="s">
        <v>86</v>
      </c>
      <c r="B455" s="1" t="s">
        <v>90</v>
      </c>
      <c r="C455" s="1" t="s">
        <v>4189</v>
      </c>
      <c r="D455" s="1">
        <v>2019</v>
      </c>
      <c r="E455" s="1" t="str">
        <f t="shared" si="1"/>
        <v>ECOSPORTECOSPORT TITANIUM 1.52019</v>
      </c>
      <c r="F455" s="1" t="s">
        <v>1870</v>
      </c>
      <c r="G455" s="1">
        <v>10490000</v>
      </c>
      <c r="H455" s="1">
        <v>8483193</v>
      </c>
    </row>
    <row r="456" spans="1:8" ht="13.5" customHeight="1" x14ac:dyDescent="0.3">
      <c r="A456" s="1" t="s">
        <v>86</v>
      </c>
      <c r="B456" s="1" t="s">
        <v>90</v>
      </c>
      <c r="C456" s="1" t="s">
        <v>4189</v>
      </c>
      <c r="D456" s="1">
        <v>2019</v>
      </c>
      <c r="E456" s="1" t="str">
        <f t="shared" si="1"/>
        <v>ECOSPORTECOSPORT TITANIUM 1.52019</v>
      </c>
      <c r="F456" s="1" t="s">
        <v>522</v>
      </c>
      <c r="G456" s="1">
        <v>8390000</v>
      </c>
      <c r="H456" s="1">
        <v>7300000</v>
      </c>
    </row>
    <row r="457" spans="1:8" ht="13.5" customHeight="1" x14ac:dyDescent="0.3">
      <c r="A457" s="1" t="s">
        <v>86</v>
      </c>
      <c r="B457" s="1" t="s">
        <v>90</v>
      </c>
      <c r="C457" s="1" t="s">
        <v>4190</v>
      </c>
      <c r="D457" s="1">
        <v>2013</v>
      </c>
      <c r="E457" s="1" t="str">
        <f t="shared" si="1"/>
        <v>ECOSPORTECOSPORT TITANIUM 1.62013</v>
      </c>
      <c r="F457" s="1" t="s">
        <v>1545</v>
      </c>
      <c r="G457" s="1">
        <v>6690000</v>
      </c>
      <c r="H457" s="1">
        <v>5350000</v>
      </c>
    </row>
    <row r="458" spans="1:8" ht="13.5" customHeight="1" x14ac:dyDescent="0.3">
      <c r="A458" s="1" t="s">
        <v>86</v>
      </c>
      <c r="B458" s="1" t="s">
        <v>90</v>
      </c>
      <c r="C458" s="1" t="s">
        <v>4190</v>
      </c>
      <c r="D458" s="1">
        <v>2016</v>
      </c>
      <c r="E458" s="1" t="str">
        <f t="shared" si="1"/>
        <v>ECOSPORTECOSPORT TITANIUM 1.62016</v>
      </c>
      <c r="F458" s="1" t="s">
        <v>1676</v>
      </c>
      <c r="G458" s="1">
        <v>6590000</v>
      </c>
      <c r="H458" s="1">
        <v>5000000</v>
      </c>
    </row>
    <row r="459" spans="1:8" ht="13.5" customHeight="1" x14ac:dyDescent="0.3">
      <c r="A459" s="1" t="s">
        <v>86</v>
      </c>
      <c r="B459" s="1" t="s">
        <v>90</v>
      </c>
      <c r="C459" s="1" t="s">
        <v>4190</v>
      </c>
      <c r="D459" s="1">
        <v>2016</v>
      </c>
      <c r="E459" s="1" t="str">
        <f t="shared" si="1"/>
        <v>ECOSPORTECOSPORT TITANIUM 1.62016</v>
      </c>
      <c r="F459" s="1" t="s">
        <v>2180</v>
      </c>
      <c r="G459" s="1">
        <v>7790000</v>
      </c>
      <c r="H459" s="1">
        <v>6200000</v>
      </c>
    </row>
    <row r="460" spans="1:8" ht="13.5" customHeight="1" x14ac:dyDescent="0.3">
      <c r="A460" s="1" t="s">
        <v>86</v>
      </c>
      <c r="B460" s="1" t="s">
        <v>90</v>
      </c>
      <c r="C460" s="1" t="s">
        <v>4191</v>
      </c>
      <c r="D460" s="1">
        <v>2014</v>
      </c>
      <c r="E460" s="1" t="str">
        <f t="shared" si="1"/>
        <v>ECOSPORTECOSPORT TITANIUM 2.0 AT2014</v>
      </c>
      <c r="F460" s="1" t="s">
        <v>4192</v>
      </c>
      <c r="G460" s="1">
        <v>9490000</v>
      </c>
      <c r="H460" s="1">
        <v>9000000</v>
      </c>
    </row>
    <row r="461" spans="1:8" ht="13.5" customHeight="1" x14ac:dyDescent="0.3">
      <c r="A461" s="1" t="s">
        <v>86</v>
      </c>
      <c r="B461" s="1" t="s">
        <v>90</v>
      </c>
      <c r="C461" s="1" t="s">
        <v>4193</v>
      </c>
      <c r="D461" s="1">
        <v>2017</v>
      </c>
      <c r="E461" s="1" t="str">
        <f t="shared" si="1"/>
        <v>ECOSPORTECOSPORT TITANIUM 2.0 AUT2017</v>
      </c>
      <c r="F461" s="1" t="s">
        <v>1707</v>
      </c>
      <c r="G461" s="1">
        <v>8000000</v>
      </c>
      <c r="H461" s="1">
        <v>6500000</v>
      </c>
    </row>
    <row r="462" spans="1:8" ht="13.5" customHeight="1" x14ac:dyDescent="0.3">
      <c r="A462" s="1" t="s">
        <v>86</v>
      </c>
      <c r="B462" s="1" t="s">
        <v>93</v>
      </c>
      <c r="C462" s="1" t="s">
        <v>4194</v>
      </c>
      <c r="D462" s="1">
        <v>2018</v>
      </c>
      <c r="E462" s="1" t="str">
        <f t="shared" si="1"/>
        <v>EDGEEDGE 2.0 AUT2018</v>
      </c>
      <c r="F462" s="1" t="s">
        <v>2461</v>
      </c>
      <c r="G462" s="1">
        <v>12000000</v>
      </c>
      <c r="H462" s="1">
        <v>18000000</v>
      </c>
    </row>
    <row r="463" spans="1:8" ht="13.5" customHeight="1" x14ac:dyDescent="0.3">
      <c r="A463" s="1" t="s">
        <v>86</v>
      </c>
      <c r="B463" s="1" t="s">
        <v>93</v>
      </c>
      <c r="C463" s="1" t="s">
        <v>4194</v>
      </c>
      <c r="D463" s="1">
        <v>2019</v>
      </c>
      <c r="E463" s="1" t="str">
        <f t="shared" si="1"/>
        <v>EDGEEDGE 2.0 AUT2019</v>
      </c>
      <c r="F463" s="1" t="s">
        <v>368</v>
      </c>
      <c r="G463" s="1">
        <v>13890000</v>
      </c>
      <c r="H463" s="1">
        <v>11500000</v>
      </c>
    </row>
    <row r="464" spans="1:8" ht="13.5" customHeight="1" x14ac:dyDescent="0.3">
      <c r="A464" s="1" t="s">
        <v>86</v>
      </c>
      <c r="B464" s="1" t="s">
        <v>93</v>
      </c>
      <c r="C464" s="1" t="s">
        <v>4194</v>
      </c>
      <c r="D464" s="1">
        <v>2019</v>
      </c>
      <c r="E464" s="1" t="str">
        <f t="shared" si="1"/>
        <v>EDGEEDGE 2.0 AUT2019</v>
      </c>
      <c r="F464" s="1" t="s">
        <v>1631</v>
      </c>
      <c r="G464" s="1">
        <v>12390000</v>
      </c>
      <c r="H464" s="1">
        <v>10500000</v>
      </c>
    </row>
    <row r="465" spans="1:8" ht="13.5" customHeight="1" x14ac:dyDescent="0.3">
      <c r="A465" s="1" t="s">
        <v>86</v>
      </c>
      <c r="B465" s="1" t="s">
        <v>93</v>
      </c>
      <c r="C465" s="1" t="s">
        <v>4194</v>
      </c>
      <c r="D465" s="1">
        <v>2019</v>
      </c>
      <c r="E465" s="1" t="str">
        <f t="shared" si="1"/>
        <v>EDGEEDGE 2.0 AUT2019</v>
      </c>
      <c r="F465" s="1" t="s">
        <v>1253</v>
      </c>
      <c r="G465" s="1">
        <v>13940658</v>
      </c>
      <c r="H465" s="1">
        <v>10900000</v>
      </c>
    </row>
    <row r="466" spans="1:8" ht="13.5" customHeight="1" x14ac:dyDescent="0.3">
      <c r="A466" s="1" t="s">
        <v>86</v>
      </c>
      <c r="B466" s="1" t="s">
        <v>93</v>
      </c>
      <c r="C466" s="1" t="s">
        <v>4194</v>
      </c>
      <c r="D466" s="1">
        <v>2019</v>
      </c>
      <c r="E466" s="1" t="str">
        <f t="shared" si="1"/>
        <v>EDGEEDGE 2.0 AUT2019</v>
      </c>
      <c r="F466" s="1" t="s">
        <v>2426</v>
      </c>
      <c r="G466" s="1">
        <v>17990000</v>
      </c>
      <c r="H466" s="1">
        <v>19500000</v>
      </c>
    </row>
    <row r="467" spans="1:8" ht="13.5" customHeight="1" x14ac:dyDescent="0.3">
      <c r="A467" s="1" t="s">
        <v>86</v>
      </c>
      <c r="B467" s="1" t="s">
        <v>93</v>
      </c>
      <c r="C467" s="1" t="s">
        <v>4195</v>
      </c>
      <c r="D467" s="1">
        <v>2018</v>
      </c>
      <c r="E467" s="1" t="str">
        <f t="shared" si="1"/>
        <v>EDGEEDGE 3.5 AUT2018</v>
      </c>
      <c r="F467" s="1" t="s">
        <v>1563</v>
      </c>
      <c r="G467" s="1">
        <v>14690000</v>
      </c>
      <c r="H467" s="1">
        <v>12500000</v>
      </c>
    </row>
    <row r="468" spans="1:8" ht="13.5" customHeight="1" x14ac:dyDescent="0.3">
      <c r="A468" s="1" t="s">
        <v>86</v>
      </c>
      <c r="B468" s="1" t="s">
        <v>93</v>
      </c>
      <c r="C468" s="1" t="s">
        <v>4196</v>
      </c>
      <c r="D468" s="1">
        <v>2020</v>
      </c>
      <c r="E468" s="1" t="str">
        <f t="shared" si="1"/>
        <v>EDGEEDGE 4X4 2.7 AUT2020</v>
      </c>
      <c r="F468" s="1" t="s">
        <v>4197</v>
      </c>
      <c r="G468" s="1">
        <v>29900000</v>
      </c>
      <c r="H468" s="1">
        <v>31000000</v>
      </c>
    </row>
    <row r="469" spans="1:8" ht="13.5" customHeight="1" x14ac:dyDescent="0.3">
      <c r="A469" s="1" t="s">
        <v>86</v>
      </c>
      <c r="B469" s="1" t="s">
        <v>93</v>
      </c>
      <c r="C469" s="1" t="s">
        <v>4196</v>
      </c>
      <c r="D469" s="1">
        <v>2023</v>
      </c>
      <c r="E469" s="1" t="str">
        <f t="shared" si="1"/>
        <v>EDGEEDGE 4X4 2.7 AUT2023</v>
      </c>
      <c r="F469" s="1" t="s">
        <v>1032</v>
      </c>
      <c r="G469" s="1">
        <v>27790000</v>
      </c>
      <c r="H469" s="1">
        <v>26000000</v>
      </c>
    </row>
    <row r="470" spans="1:8" ht="13.5" customHeight="1" x14ac:dyDescent="0.3">
      <c r="A470" s="1" t="s">
        <v>86</v>
      </c>
      <c r="B470" s="1" t="s">
        <v>93</v>
      </c>
      <c r="C470" s="1" t="s">
        <v>4196</v>
      </c>
      <c r="D470" s="1">
        <v>2023</v>
      </c>
      <c r="E470" s="1" t="str">
        <f t="shared" si="1"/>
        <v>EDGEEDGE 4X4 2.7 AUT2023</v>
      </c>
      <c r="F470" s="1" t="s">
        <v>2007</v>
      </c>
      <c r="G470" s="1">
        <v>29990000</v>
      </c>
      <c r="H470" s="1">
        <v>29000000</v>
      </c>
    </row>
    <row r="471" spans="1:8" ht="13.5" customHeight="1" x14ac:dyDescent="0.3">
      <c r="A471" s="1" t="s">
        <v>86</v>
      </c>
      <c r="B471" s="1" t="s">
        <v>93</v>
      </c>
      <c r="C471" s="1" t="s">
        <v>4198</v>
      </c>
      <c r="D471" s="1">
        <v>2022</v>
      </c>
      <c r="E471" s="1" t="str">
        <f t="shared" si="1"/>
        <v>EDGEEDGE AWD 2.0 AT2022</v>
      </c>
      <c r="F471" s="1" t="s">
        <v>1894</v>
      </c>
      <c r="G471" s="1">
        <v>25690000</v>
      </c>
      <c r="H471" s="1">
        <v>19000000</v>
      </c>
    </row>
    <row r="472" spans="1:8" ht="13.5" customHeight="1" x14ac:dyDescent="0.3">
      <c r="A472" s="1" t="s">
        <v>86</v>
      </c>
      <c r="B472" s="1" t="s">
        <v>93</v>
      </c>
      <c r="C472" s="1" t="s">
        <v>4198</v>
      </c>
      <c r="D472" s="1">
        <v>2022</v>
      </c>
      <c r="E472" s="1" t="str">
        <f t="shared" si="1"/>
        <v>EDGEEDGE AWD 2.0 AT2022</v>
      </c>
      <c r="F472" s="1" t="s">
        <v>1996</v>
      </c>
      <c r="G472" s="1">
        <v>27000000</v>
      </c>
      <c r="H472" s="1">
        <v>22500000</v>
      </c>
    </row>
    <row r="473" spans="1:8" ht="13.5" customHeight="1" x14ac:dyDescent="0.3">
      <c r="A473" s="1" t="s">
        <v>86</v>
      </c>
      <c r="B473" s="1" t="s">
        <v>93</v>
      </c>
      <c r="C473" s="1" t="s">
        <v>94</v>
      </c>
      <c r="D473" s="1">
        <v>2024</v>
      </c>
      <c r="E473" s="1" t="str">
        <f t="shared" si="1"/>
        <v>EDGEEDGE AWD 2.0 CVT2024</v>
      </c>
      <c r="F473" s="1" t="s">
        <v>610</v>
      </c>
      <c r="G473" s="1">
        <v>24990000</v>
      </c>
      <c r="H473" s="1">
        <v>20000000</v>
      </c>
    </row>
    <row r="474" spans="1:8" ht="13.5" customHeight="1" x14ac:dyDescent="0.3">
      <c r="A474" s="1" t="s">
        <v>86</v>
      </c>
      <c r="B474" s="1" t="s">
        <v>93</v>
      </c>
      <c r="C474" s="1" t="s">
        <v>4199</v>
      </c>
      <c r="D474" s="1">
        <v>2021</v>
      </c>
      <c r="E474" s="1" t="str">
        <f t="shared" si="1"/>
        <v>EDGEEDGE AWD 2.7 AUT2021</v>
      </c>
      <c r="F474" s="1" t="s">
        <v>1940</v>
      </c>
      <c r="G474" s="1">
        <v>24577000</v>
      </c>
      <c r="H474" s="1">
        <v>22000000</v>
      </c>
    </row>
    <row r="475" spans="1:8" ht="13.5" customHeight="1" x14ac:dyDescent="0.3">
      <c r="A475" s="1" t="s">
        <v>86</v>
      </c>
      <c r="B475" s="1" t="s">
        <v>93</v>
      </c>
      <c r="C475" s="1" t="s">
        <v>4200</v>
      </c>
      <c r="D475" s="1">
        <v>2021</v>
      </c>
      <c r="E475" s="1" t="str">
        <f t="shared" si="1"/>
        <v>EDGEEDGE OTTO 2.0 AUT2021</v>
      </c>
      <c r="F475" s="1" t="s">
        <v>1957</v>
      </c>
      <c r="G475" s="1">
        <v>21990000</v>
      </c>
      <c r="H475" s="1">
        <v>17500000</v>
      </c>
    </row>
    <row r="476" spans="1:8" ht="13.5" customHeight="1" x14ac:dyDescent="0.3">
      <c r="A476" s="1" t="s">
        <v>86</v>
      </c>
      <c r="B476" s="1" t="s">
        <v>93</v>
      </c>
      <c r="C476" s="1" t="s">
        <v>4201</v>
      </c>
      <c r="D476" s="1">
        <v>2017</v>
      </c>
      <c r="E476" s="1" t="str">
        <f t="shared" si="1"/>
        <v>EDGEEDGE SEL 2.0 AUT2017</v>
      </c>
      <c r="F476" s="1" t="s">
        <v>1841</v>
      </c>
      <c r="G476" s="1">
        <v>13290000</v>
      </c>
      <c r="H476" s="1">
        <v>10373949</v>
      </c>
    </row>
    <row r="477" spans="1:8" ht="13.5" customHeight="1" x14ac:dyDescent="0.3">
      <c r="A477" s="1" t="s">
        <v>86</v>
      </c>
      <c r="B477" s="1" t="s">
        <v>93</v>
      </c>
      <c r="C477" s="1" t="s">
        <v>4201</v>
      </c>
      <c r="D477" s="1">
        <v>2019</v>
      </c>
      <c r="E477" s="1" t="str">
        <f t="shared" si="1"/>
        <v>EDGEEDGE SEL 2.0 AUT2019</v>
      </c>
      <c r="F477" s="1" t="s">
        <v>2174</v>
      </c>
      <c r="G477" s="1">
        <v>16990000</v>
      </c>
      <c r="H477" s="1">
        <v>16000000</v>
      </c>
    </row>
    <row r="478" spans="1:8" ht="13.5" customHeight="1" x14ac:dyDescent="0.3">
      <c r="A478" s="1" t="s">
        <v>86</v>
      </c>
      <c r="B478" s="1" t="s">
        <v>93</v>
      </c>
      <c r="C478" s="1" t="s">
        <v>96</v>
      </c>
      <c r="D478" s="1">
        <v>2020</v>
      </c>
      <c r="E478" s="1" t="str">
        <f t="shared" si="1"/>
        <v>EDGEEDGE SEL 4X4 2.0 AUT2020</v>
      </c>
      <c r="G478" s="1">
        <v>20990000</v>
      </c>
      <c r="H478" s="1">
        <v>0</v>
      </c>
    </row>
    <row r="479" spans="1:8" ht="13.5" customHeight="1" x14ac:dyDescent="0.3">
      <c r="A479" s="1" t="s">
        <v>86</v>
      </c>
      <c r="B479" s="1" t="s">
        <v>93</v>
      </c>
      <c r="C479" s="1" t="s">
        <v>4202</v>
      </c>
      <c r="D479" s="1">
        <v>2019</v>
      </c>
      <c r="E479" s="1" t="str">
        <f t="shared" si="1"/>
        <v>EDGEEDGE SEL 4X4 3.5 AUT2019</v>
      </c>
      <c r="F479" s="1" t="s">
        <v>1979</v>
      </c>
      <c r="G479" s="1">
        <v>15990000</v>
      </c>
      <c r="H479" s="1">
        <v>15000000</v>
      </c>
    </row>
    <row r="480" spans="1:8" ht="13.5" customHeight="1" x14ac:dyDescent="0.3">
      <c r="A480" s="1" t="s">
        <v>86</v>
      </c>
      <c r="B480" s="1" t="s">
        <v>98</v>
      </c>
      <c r="C480" s="1" t="s">
        <v>4203</v>
      </c>
      <c r="D480" s="1">
        <v>2018</v>
      </c>
      <c r="E480" s="1" t="str">
        <f t="shared" si="1"/>
        <v>ESCAPEESCAPE 2.0 AUT2018</v>
      </c>
      <c r="F480" s="1" t="s">
        <v>1025</v>
      </c>
      <c r="G480" s="1">
        <v>10290000</v>
      </c>
      <c r="H480" s="1">
        <v>8200000</v>
      </c>
    </row>
    <row r="481" spans="1:8" ht="13.5" customHeight="1" x14ac:dyDescent="0.3">
      <c r="A481" s="1" t="s">
        <v>86</v>
      </c>
      <c r="B481" s="1" t="s">
        <v>98</v>
      </c>
      <c r="C481" s="1" t="s">
        <v>4203</v>
      </c>
      <c r="D481" s="1">
        <v>2019</v>
      </c>
      <c r="E481" s="1" t="str">
        <f t="shared" si="1"/>
        <v>ESCAPEESCAPE 2.0 AUT2019</v>
      </c>
      <c r="F481" s="1" t="s">
        <v>2269</v>
      </c>
      <c r="G481" s="1">
        <v>14690000</v>
      </c>
      <c r="H481" s="1">
        <v>13000000</v>
      </c>
    </row>
    <row r="482" spans="1:8" ht="13.5" customHeight="1" x14ac:dyDescent="0.3">
      <c r="A482" s="1" t="s">
        <v>86</v>
      </c>
      <c r="B482" s="1" t="s">
        <v>98</v>
      </c>
      <c r="C482" s="1" t="s">
        <v>4204</v>
      </c>
      <c r="D482" s="1">
        <v>2020</v>
      </c>
      <c r="E482" s="1" t="str">
        <f t="shared" si="1"/>
        <v>ESCAPEESCAPE 2.5 AT2020</v>
      </c>
      <c r="F482" s="1" t="s">
        <v>2219</v>
      </c>
      <c r="G482" s="1">
        <v>12575800</v>
      </c>
      <c r="H482" s="1">
        <v>12100000</v>
      </c>
    </row>
    <row r="483" spans="1:8" ht="13.5" customHeight="1" x14ac:dyDescent="0.3">
      <c r="A483" s="1" t="s">
        <v>86</v>
      </c>
      <c r="B483" s="1" t="s">
        <v>98</v>
      </c>
      <c r="C483" s="1" t="s">
        <v>4205</v>
      </c>
      <c r="D483" s="1">
        <v>2017</v>
      </c>
      <c r="E483" s="1" t="str">
        <f t="shared" si="1"/>
        <v>ESCAPEESCAPE 2.5 AUT2017</v>
      </c>
      <c r="F483" s="1" t="s">
        <v>1860</v>
      </c>
      <c r="G483" s="1">
        <v>8189030</v>
      </c>
      <c r="H483" s="1">
        <v>8000000</v>
      </c>
    </row>
    <row r="484" spans="1:8" ht="13.5" customHeight="1" x14ac:dyDescent="0.3">
      <c r="A484" s="1" t="s">
        <v>86</v>
      </c>
      <c r="B484" s="1" t="s">
        <v>98</v>
      </c>
      <c r="C484" s="1" t="s">
        <v>4205</v>
      </c>
      <c r="D484" s="1">
        <v>2020</v>
      </c>
      <c r="E484" s="1" t="str">
        <f t="shared" si="1"/>
        <v>ESCAPEESCAPE 2.5 AUT2020</v>
      </c>
      <c r="F484" s="1" t="s">
        <v>1800</v>
      </c>
      <c r="G484" s="1">
        <v>12416174</v>
      </c>
      <c r="H484" s="1">
        <v>11000000</v>
      </c>
    </row>
    <row r="485" spans="1:8" ht="13.5" customHeight="1" x14ac:dyDescent="0.3">
      <c r="A485" s="1" t="s">
        <v>86</v>
      </c>
      <c r="B485" s="1" t="s">
        <v>98</v>
      </c>
      <c r="C485" s="1" t="s">
        <v>4206</v>
      </c>
      <c r="D485" s="1">
        <v>2020</v>
      </c>
      <c r="E485" s="1" t="str">
        <f t="shared" si="1"/>
        <v>ESCAPEESCAPE 4X4 2.02020</v>
      </c>
      <c r="F485" s="1" t="s">
        <v>1350</v>
      </c>
      <c r="G485" s="1">
        <v>13690000</v>
      </c>
      <c r="H485" s="1">
        <v>10500000</v>
      </c>
    </row>
    <row r="486" spans="1:8" ht="13.5" customHeight="1" x14ac:dyDescent="0.3">
      <c r="A486" s="1" t="s">
        <v>86</v>
      </c>
      <c r="B486" s="1" t="s">
        <v>98</v>
      </c>
      <c r="C486" s="1" t="s">
        <v>4207</v>
      </c>
      <c r="D486" s="1">
        <v>2018</v>
      </c>
      <c r="E486" s="1" t="str">
        <f t="shared" si="1"/>
        <v>ESCAPEESCAPE 4X4 2.0 AUT2018</v>
      </c>
      <c r="F486" s="1" t="s">
        <v>899</v>
      </c>
      <c r="G486" s="1">
        <v>11590000</v>
      </c>
      <c r="H486" s="1">
        <v>9200000</v>
      </c>
    </row>
    <row r="487" spans="1:8" ht="13.5" customHeight="1" x14ac:dyDescent="0.3">
      <c r="A487" s="1" t="s">
        <v>86</v>
      </c>
      <c r="B487" s="1" t="s">
        <v>98</v>
      </c>
      <c r="C487" s="1" t="s">
        <v>4207</v>
      </c>
      <c r="D487" s="1">
        <v>2018</v>
      </c>
      <c r="E487" s="1" t="str">
        <f t="shared" si="1"/>
        <v>ESCAPEESCAPE 4X4 2.0 AUT2018</v>
      </c>
      <c r="F487" s="1" t="s">
        <v>337</v>
      </c>
      <c r="G487" s="1">
        <v>9590000</v>
      </c>
      <c r="H487" s="1">
        <v>7700000</v>
      </c>
    </row>
    <row r="488" spans="1:8" ht="13.5" customHeight="1" x14ac:dyDescent="0.3">
      <c r="A488" s="1" t="s">
        <v>86</v>
      </c>
      <c r="B488" s="1" t="s">
        <v>98</v>
      </c>
      <c r="C488" s="1" t="s">
        <v>4207</v>
      </c>
      <c r="D488" s="1">
        <v>2019</v>
      </c>
      <c r="E488" s="1" t="str">
        <f t="shared" si="1"/>
        <v>ESCAPEESCAPE 4X4 2.0 AUT2019</v>
      </c>
      <c r="F488" s="1" t="s">
        <v>1442</v>
      </c>
      <c r="G488" s="1">
        <v>13990000</v>
      </c>
      <c r="H488" s="1">
        <v>11500000</v>
      </c>
    </row>
    <row r="489" spans="1:8" ht="13.5" customHeight="1" x14ac:dyDescent="0.3">
      <c r="A489" s="1" t="s">
        <v>86</v>
      </c>
      <c r="B489" s="1" t="s">
        <v>98</v>
      </c>
      <c r="C489" s="1" t="s">
        <v>4208</v>
      </c>
      <c r="D489" s="1">
        <v>2021</v>
      </c>
      <c r="E489" s="1" t="str">
        <f t="shared" si="1"/>
        <v>ESCAPEESCAPE 4X4 2.0L AUT2021</v>
      </c>
      <c r="F489" s="1" t="s">
        <v>1148</v>
      </c>
      <c r="G489" s="1">
        <v>16990000</v>
      </c>
      <c r="H489" s="1">
        <v>13000000</v>
      </c>
    </row>
    <row r="490" spans="1:8" ht="13.5" customHeight="1" x14ac:dyDescent="0.3">
      <c r="A490" s="1" t="s">
        <v>86</v>
      </c>
      <c r="B490" s="1" t="s">
        <v>98</v>
      </c>
      <c r="C490" s="1" t="s">
        <v>4209</v>
      </c>
      <c r="D490" s="1">
        <v>2023</v>
      </c>
      <c r="E490" s="1" t="str">
        <f t="shared" si="1"/>
        <v>ESCAPEESCAPE AWD 2.0 AUT2023</v>
      </c>
      <c r="F490" s="1" t="s">
        <v>970</v>
      </c>
      <c r="G490" s="1">
        <v>20990000</v>
      </c>
      <c r="H490" s="1">
        <v>23870000</v>
      </c>
    </row>
    <row r="491" spans="1:8" ht="13.5" customHeight="1" x14ac:dyDescent="0.3">
      <c r="A491" s="1" t="s">
        <v>86</v>
      </c>
      <c r="B491" s="1" t="s">
        <v>98</v>
      </c>
      <c r="C491" s="1" t="s">
        <v>99</v>
      </c>
      <c r="D491" s="1">
        <v>2021</v>
      </c>
      <c r="E491" s="1" t="str">
        <f t="shared" si="1"/>
        <v>ESCAPEESCAPE FHEV 2.5 AUT2021</v>
      </c>
      <c r="F491" s="1" t="s">
        <v>1690</v>
      </c>
      <c r="G491" s="1">
        <v>20990000</v>
      </c>
      <c r="H491" s="1">
        <v>18000000</v>
      </c>
    </row>
    <row r="492" spans="1:8" ht="13.5" customHeight="1" x14ac:dyDescent="0.3">
      <c r="A492" s="1" t="s">
        <v>86</v>
      </c>
      <c r="B492" s="1" t="s">
        <v>98</v>
      </c>
      <c r="C492" s="1" t="s">
        <v>99</v>
      </c>
      <c r="D492" s="1">
        <v>2023</v>
      </c>
      <c r="E492" s="1" t="str">
        <f t="shared" si="1"/>
        <v>ESCAPEESCAPE FHEV 2.5 AUT2023</v>
      </c>
      <c r="F492" s="1" t="s">
        <v>1641</v>
      </c>
      <c r="G492" s="1">
        <v>21782120</v>
      </c>
      <c r="H492" s="1">
        <v>19000000</v>
      </c>
    </row>
    <row r="493" spans="1:8" ht="13.5" customHeight="1" x14ac:dyDescent="0.3">
      <c r="A493" s="1" t="s">
        <v>86</v>
      </c>
      <c r="B493" s="1" t="s">
        <v>98</v>
      </c>
      <c r="C493" s="1" t="s">
        <v>99</v>
      </c>
      <c r="D493" s="1">
        <v>2024</v>
      </c>
      <c r="E493" s="1" t="str">
        <f t="shared" si="1"/>
        <v>ESCAPEESCAPE FHEV 2.5 AUT2024</v>
      </c>
      <c r="G493" s="1">
        <v>26490000</v>
      </c>
      <c r="H493" s="1">
        <v>0</v>
      </c>
    </row>
    <row r="494" spans="1:8" ht="13.5" customHeight="1" x14ac:dyDescent="0.3">
      <c r="A494" s="1" t="s">
        <v>86</v>
      </c>
      <c r="B494" s="1" t="s">
        <v>98</v>
      </c>
      <c r="C494" s="1" t="s">
        <v>99</v>
      </c>
      <c r="D494" s="1">
        <v>2024</v>
      </c>
      <c r="E494" s="1" t="str">
        <f t="shared" si="1"/>
        <v>ESCAPEESCAPE FHEV 2.5 AUT2024</v>
      </c>
      <c r="F494" s="1" t="s">
        <v>1219</v>
      </c>
      <c r="G494" s="1">
        <v>26510000</v>
      </c>
      <c r="H494" s="1">
        <v>24000000</v>
      </c>
    </row>
    <row r="495" spans="1:8" ht="13.5" customHeight="1" x14ac:dyDescent="0.3">
      <c r="A495" s="1" t="s">
        <v>86</v>
      </c>
      <c r="B495" s="1" t="s">
        <v>98</v>
      </c>
      <c r="C495" s="1" t="s">
        <v>99</v>
      </c>
      <c r="D495" s="1">
        <v>2024</v>
      </c>
      <c r="E495" s="1" t="str">
        <f t="shared" si="1"/>
        <v>ESCAPEESCAPE FHEV 2.5 AUT2024</v>
      </c>
      <c r="F495" s="1" t="s">
        <v>1045</v>
      </c>
      <c r="G495" s="1">
        <v>26990000</v>
      </c>
      <c r="H495" s="1">
        <v>24000000</v>
      </c>
    </row>
    <row r="496" spans="1:8" ht="13.5" customHeight="1" x14ac:dyDescent="0.3">
      <c r="A496" s="1" t="s">
        <v>86</v>
      </c>
      <c r="B496" s="1" t="s">
        <v>98</v>
      </c>
      <c r="C496" s="1" t="s">
        <v>4210</v>
      </c>
      <c r="D496" s="1">
        <v>2020</v>
      </c>
      <c r="E496" s="1" t="str">
        <f t="shared" si="1"/>
        <v>ESCAPEESCAPE TITANIUM 4X4 2.0 AUT2020</v>
      </c>
      <c r="F496" s="1" t="s">
        <v>1936</v>
      </c>
      <c r="G496" s="1">
        <v>17990000</v>
      </c>
      <c r="H496" s="1">
        <v>14500000</v>
      </c>
    </row>
    <row r="497" spans="1:8" ht="13.5" customHeight="1" x14ac:dyDescent="0.3">
      <c r="A497" s="1" t="s">
        <v>86</v>
      </c>
      <c r="B497" s="1" t="s">
        <v>103</v>
      </c>
      <c r="C497" s="1" t="s">
        <v>4211</v>
      </c>
      <c r="D497" s="1">
        <v>2022</v>
      </c>
      <c r="E497" s="1" t="str">
        <f t="shared" si="1"/>
        <v>EXPEDITIONEXPEDITION LIMITED 4X4 3.5 AUT2022</v>
      </c>
      <c r="F497" s="1" t="s">
        <v>1833</v>
      </c>
      <c r="G497" s="1">
        <v>41990000</v>
      </c>
      <c r="H497" s="1">
        <v>38000000</v>
      </c>
    </row>
    <row r="498" spans="1:8" ht="13.5" customHeight="1" x14ac:dyDescent="0.3">
      <c r="A498" s="1" t="s">
        <v>86</v>
      </c>
      <c r="B498" s="1" t="s">
        <v>103</v>
      </c>
      <c r="C498" s="1" t="s">
        <v>4212</v>
      </c>
      <c r="D498" s="1">
        <v>2018</v>
      </c>
      <c r="E498" s="1" t="str">
        <f t="shared" si="1"/>
        <v>EXPEDITIONEXPEDITION LTD 4X4 3.5 AUT2018</v>
      </c>
      <c r="F498" s="1" t="s">
        <v>1863</v>
      </c>
      <c r="G498" s="1">
        <v>21990000</v>
      </c>
      <c r="H498" s="1">
        <v>19500000</v>
      </c>
    </row>
    <row r="499" spans="1:8" ht="13.5" customHeight="1" x14ac:dyDescent="0.3">
      <c r="A499" s="1" t="s">
        <v>86</v>
      </c>
      <c r="B499" s="1" t="s">
        <v>103</v>
      </c>
      <c r="C499" s="1" t="s">
        <v>4212</v>
      </c>
      <c r="D499" s="1">
        <v>2020</v>
      </c>
      <c r="E499" s="1" t="str">
        <f t="shared" si="1"/>
        <v>EXPEDITIONEXPEDITION LTD 4X4 3.5 AUT2020</v>
      </c>
      <c r="F499" s="1" t="s">
        <v>1403</v>
      </c>
      <c r="G499" s="1">
        <v>35990000</v>
      </c>
      <c r="H499" s="1">
        <v>31000000</v>
      </c>
    </row>
    <row r="500" spans="1:8" ht="13.5" customHeight="1" x14ac:dyDescent="0.3">
      <c r="A500" s="1" t="s">
        <v>86</v>
      </c>
      <c r="B500" s="1" t="s">
        <v>103</v>
      </c>
      <c r="C500" s="1" t="s">
        <v>104</v>
      </c>
      <c r="D500" s="1">
        <v>2017</v>
      </c>
      <c r="E500" s="1" t="str">
        <f t="shared" si="1"/>
        <v>EXPEDITIONEXPEDITION XLT 3.5 AUT2017</v>
      </c>
      <c r="F500" s="1" t="s">
        <v>1429</v>
      </c>
      <c r="G500" s="1">
        <v>18000000</v>
      </c>
      <c r="H500" s="1">
        <v>15500000</v>
      </c>
    </row>
    <row r="501" spans="1:8" ht="13.5" customHeight="1" x14ac:dyDescent="0.3">
      <c r="A501" s="1" t="s">
        <v>86</v>
      </c>
      <c r="B501" s="1" t="s">
        <v>103</v>
      </c>
      <c r="C501" s="1" t="s">
        <v>104</v>
      </c>
      <c r="D501" s="1">
        <v>2017</v>
      </c>
      <c r="E501" s="1" t="str">
        <f t="shared" si="1"/>
        <v>EXPEDITIONEXPEDITION XLT 3.5 AUT2017</v>
      </c>
      <c r="F501" s="1" t="s">
        <v>2329</v>
      </c>
      <c r="G501" s="1">
        <v>18990000</v>
      </c>
      <c r="H501" s="1">
        <v>16000000</v>
      </c>
    </row>
    <row r="502" spans="1:8" ht="13.5" customHeight="1" x14ac:dyDescent="0.3">
      <c r="A502" s="1" t="s">
        <v>86</v>
      </c>
      <c r="B502" s="1" t="s">
        <v>106</v>
      </c>
      <c r="C502" s="1" t="s">
        <v>4213</v>
      </c>
      <c r="D502" s="1">
        <v>2018</v>
      </c>
      <c r="E502" s="1" t="str">
        <f t="shared" si="1"/>
        <v>EXPLOREREXPLORER 2.32018</v>
      </c>
      <c r="F502" s="1" t="s">
        <v>660</v>
      </c>
      <c r="G502" s="1">
        <v>13990000</v>
      </c>
      <c r="H502" s="1">
        <v>11500000</v>
      </c>
    </row>
    <row r="503" spans="1:8" ht="13.5" customHeight="1" x14ac:dyDescent="0.3">
      <c r="A503" s="1" t="s">
        <v>86</v>
      </c>
      <c r="B503" s="1" t="s">
        <v>106</v>
      </c>
      <c r="C503" s="1" t="s">
        <v>4213</v>
      </c>
      <c r="D503" s="1">
        <v>2023</v>
      </c>
      <c r="E503" s="1" t="str">
        <f t="shared" si="1"/>
        <v>EXPLOREREXPLORER 2.32023</v>
      </c>
      <c r="F503" s="1" t="s">
        <v>1713</v>
      </c>
      <c r="G503" s="1">
        <v>39990000</v>
      </c>
      <c r="H503" s="1">
        <v>36500000</v>
      </c>
    </row>
    <row r="504" spans="1:8" ht="13.5" customHeight="1" x14ac:dyDescent="0.3">
      <c r="A504" s="1" t="s">
        <v>86</v>
      </c>
      <c r="B504" s="1" t="s">
        <v>106</v>
      </c>
      <c r="C504" s="1" t="s">
        <v>4214</v>
      </c>
      <c r="D504" s="1">
        <v>2017</v>
      </c>
      <c r="E504" s="1" t="str">
        <f t="shared" si="1"/>
        <v>EXPLOREREXPLORER 2.3 AUT2017</v>
      </c>
      <c r="F504" s="1" t="s">
        <v>2127</v>
      </c>
      <c r="G504" s="1">
        <v>16690000</v>
      </c>
      <c r="H504" s="1">
        <v>16000000</v>
      </c>
    </row>
    <row r="505" spans="1:8" ht="13.5" customHeight="1" x14ac:dyDescent="0.3">
      <c r="A505" s="1" t="s">
        <v>86</v>
      </c>
      <c r="B505" s="1" t="s">
        <v>106</v>
      </c>
      <c r="C505" s="1" t="s">
        <v>4214</v>
      </c>
      <c r="D505" s="1">
        <v>2018</v>
      </c>
      <c r="E505" s="1" t="str">
        <f t="shared" si="1"/>
        <v>EXPLOREREXPLORER 2.3 AUT2018</v>
      </c>
      <c r="F505" s="1" t="s">
        <v>976</v>
      </c>
      <c r="G505" s="1">
        <v>15990000</v>
      </c>
      <c r="H505" s="1">
        <v>13300000</v>
      </c>
    </row>
    <row r="506" spans="1:8" ht="13.5" customHeight="1" x14ac:dyDescent="0.3">
      <c r="A506" s="1" t="s">
        <v>86</v>
      </c>
      <c r="B506" s="1" t="s">
        <v>106</v>
      </c>
      <c r="C506" s="1" t="s">
        <v>4214</v>
      </c>
      <c r="D506" s="1">
        <v>2019</v>
      </c>
      <c r="E506" s="1" t="str">
        <f t="shared" si="1"/>
        <v>EXPLOREREXPLORER 2.3 AUT2019</v>
      </c>
      <c r="F506" s="1" t="s">
        <v>1496</v>
      </c>
      <c r="G506" s="1">
        <v>19290000</v>
      </c>
      <c r="H506" s="1">
        <v>16300000</v>
      </c>
    </row>
    <row r="507" spans="1:8" ht="13.5" customHeight="1" x14ac:dyDescent="0.3">
      <c r="A507" s="1" t="s">
        <v>86</v>
      </c>
      <c r="B507" s="1" t="s">
        <v>106</v>
      </c>
      <c r="C507" s="1" t="s">
        <v>4214</v>
      </c>
      <c r="D507" s="1">
        <v>2019</v>
      </c>
      <c r="E507" s="1" t="str">
        <f t="shared" si="1"/>
        <v>EXPLOREREXPLORER 2.3 AUT2019</v>
      </c>
      <c r="F507" s="1" t="s">
        <v>1273</v>
      </c>
      <c r="G507" s="1">
        <v>19690000</v>
      </c>
      <c r="H507" s="1">
        <v>17500000</v>
      </c>
    </row>
    <row r="508" spans="1:8" ht="13.5" customHeight="1" x14ac:dyDescent="0.3">
      <c r="A508" s="1" t="s">
        <v>86</v>
      </c>
      <c r="B508" s="1" t="s">
        <v>106</v>
      </c>
      <c r="C508" s="1" t="s">
        <v>4214</v>
      </c>
      <c r="D508" s="1">
        <v>2020</v>
      </c>
      <c r="E508" s="1" t="str">
        <f t="shared" si="1"/>
        <v>EXPLOREREXPLORER 2.3 AUT2020</v>
      </c>
      <c r="F508" s="1" t="s">
        <v>1991</v>
      </c>
      <c r="G508" s="1">
        <v>22490000</v>
      </c>
      <c r="H508" s="1">
        <v>17500000</v>
      </c>
    </row>
    <row r="509" spans="1:8" ht="13.5" customHeight="1" x14ac:dyDescent="0.3">
      <c r="A509" s="1" t="s">
        <v>86</v>
      </c>
      <c r="B509" s="1" t="s">
        <v>106</v>
      </c>
      <c r="C509" s="1" t="s">
        <v>4214</v>
      </c>
      <c r="D509" s="1">
        <v>2021</v>
      </c>
      <c r="E509" s="1" t="str">
        <f t="shared" si="1"/>
        <v>EXPLOREREXPLORER 2.3 AUT2021</v>
      </c>
      <c r="F509" s="1" t="s">
        <v>1287</v>
      </c>
      <c r="G509" s="1">
        <v>26990000</v>
      </c>
      <c r="H509" s="1">
        <v>22500000</v>
      </c>
    </row>
    <row r="510" spans="1:8" ht="13.5" customHeight="1" x14ac:dyDescent="0.3">
      <c r="A510" s="1" t="s">
        <v>86</v>
      </c>
      <c r="B510" s="1" t="s">
        <v>106</v>
      </c>
      <c r="C510" s="1" t="s">
        <v>4215</v>
      </c>
      <c r="D510" s="1">
        <v>2024</v>
      </c>
      <c r="E510" s="1" t="str">
        <f t="shared" si="1"/>
        <v>EXPLOREREXPLORER 2WD 2.3 AUT2024</v>
      </c>
      <c r="F510" s="1" t="s">
        <v>1138</v>
      </c>
      <c r="G510" s="1">
        <v>32740000</v>
      </c>
      <c r="H510" s="1">
        <v>29000000</v>
      </c>
    </row>
    <row r="511" spans="1:8" ht="13.5" customHeight="1" x14ac:dyDescent="0.3">
      <c r="A511" s="1" t="s">
        <v>86</v>
      </c>
      <c r="B511" s="1" t="s">
        <v>106</v>
      </c>
      <c r="C511" s="1" t="s">
        <v>4215</v>
      </c>
      <c r="D511" s="1">
        <v>2024</v>
      </c>
      <c r="E511" s="1" t="str">
        <f t="shared" si="1"/>
        <v>EXPLOREREXPLORER 2WD 2.3 AUT2024</v>
      </c>
      <c r="F511" s="1" t="s">
        <v>1053</v>
      </c>
      <c r="G511" s="1">
        <v>33990000</v>
      </c>
      <c r="H511" s="1">
        <v>30000000</v>
      </c>
    </row>
    <row r="512" spans="1:8" ht="13.5" customHeight="1" x14ac:dyDescent="0.3">
      <c r="A512" s="1" t="s">
        <v>86</v>
      </c>
      <c r="B512" s="1" t="s">
        <v>106</v>
      </c>
      <c r="C512" s="1" t="s">
        <v>4216</v>
      </c>
      <c r="D512" s="1">
        <v>2025</v>
      </c>
      <c r="E512" s="1" t="str">
        <f t="shared" si="1"/>
        <v>EXPLOREREXPLORER 4WD 2.3 AUT2025</v>
      </c>
      <c r="F512" s="1" t="s">
        <v>617</v>
      </c>
      <c r="G512" s="1">
        <v>40990000</v>
      </c>
      <c r="H512" s="1">
        <v>36000000</v>
      </c>
    </row>
    <row r="513" spans="1:8" ht="13.5" customHeight="1" x14ac:dyDescent="0.3">
      <c r="A513" s="1" t="s">
        <v>86</v>
      </c>
      <c r="B513" s="1" t="s">
        <v>106</v>
      </c>
      <c r="C513" s="1" t="s">
        <v>107</v>
      </c>
      <c r="D513" s="1">
        <v>2021</v>
      </c>
      <c r="E513" s="1" t="str">
        <f t="shared" ref="E513:E767" si="2">CONCATENATE(B513,C513,D513)</f>
        <v>EXPLOREREXPLORER 4X2 2.3 AUT2021</v>
      </c>
      <c r="F513" s="1" t="s">
        <v>2363</v>
      </c>
      <c r="G513" s="1">
        <v>27990000</v>
      </c>
      <c r="H513" s="1">
        <v>26200000</v>
      </c>
    </row>
    <row r="514" spans="1:8" ht="13.5" customHeight="1" x14ac:dyDescent="0.3">
      <c r="A514" s="1" t="s">
        <v>86</v>
      </c>
      <c r="B514" s="1" t="s">
        <v>106</v>
      </c>
      <c r="C514" s="1" t="s">
        <v>107</v>
      </c>
      <c r="D514" s="1">
        <v>2021</v>
      </c>
      <c r="E514" s="1" t="str">
        <f t="shared" si="2"/>
        <v>EXPLOREREXPLORER 4X2 2.3 AUT2021</v>
      </c>
      <c r="F514" s="1" t="s">
        <v>2451</v>
      </c>
      <c r="G514" s="1">
        <v>38990000</v>
      </c>
      <c r="H514" s="1">
        <v>33000000</v>
      </c>
    </row>
    <row r="515" spans="1:8" ht="13.5" customHeight="1" x14ac:dyDescent="0.3">
      <c r="A515" s="1" t="s">
        <v>86</v>
      </c>
      <c r="B515" s="1" t="s">
        <v>106</v>
      </c>
      <c r="C515" s="1" t="s">
        <v>107</v>
      </c>
      <c r="D515" s="1">
        <v>2021</v>
      </c>
      <c r="E515" s="1" t="str">
        <f t="shared" si="2"/>
        <v>EXPLOREREXPLORER 4X2 2.3 AUT2021</v>
      </c>
      <c r="F515" s="1" t="s">
        <v>1684</v>
      </c>
      <c r="G515" s="1">
        <v>26990000</v>
      </c>
      <c r="H515" s="1">
        <v>23800000</v>
      </c>
    </row>
    <row r="516" spans="1:8" ht="13.5" customHeight="1" x14ac:dyDescent="0.3">
      <c r="A516" s="1" t="s">
        <v>86</v>
      </c>
      <c r="B516" s="1" t="s">
        <v>106</v>
      </c>
      <c r="C516" s="1" t="s">
        <v>107</v>
      </c>
      <c r="D516" s="1">
        <v>2021</v>
      </c>
      <c r="E516" s="1" t="str">
        <f t="shared" si="2"/>
        <v>EXPLOREREXPLORER 4X2 2.3 AUT2021</v>
      </c>
      <c r="F516" s="1" t="s">
        <v>692</v>
      </c>
      <c r="G516" s="1">
        <v>25590000</v>
      </c>
      <c r="H516" s="1">
        <v>21000000</v>
      </c>
    </row>
    <row r="517" spans="1:8" ht="13.5" customHeight="1" x14ac:dyDescent="0.3">
      <c r="A517" s="1" t="s">
        <v>86</v>
      </c>
      <c r="B517" s="1" t="s">
        <v>106</v>
      </c>
      <c r="C517" s="1" t="s">
        <v>107</v>
      </c>
      <c r="D517" s="1">
        <v>2021</v>
      </c>
      <c r="E517" s="1" t="str">
        <f t="shared" si="2"/>
        <v>EXPLOREREXPLORER 4X2 2.3 AUT2021</v>
      </c>
      <c r="F517" s="1" t="s">
        <v>653</v>
      </c>
      <c r="G517" s="1">
        <v>26740000</v>
      </c>
      <c r="H517" s="1">
        <v>23000000</v>
      </c>
    </row>
    <row r="518" spans="1:8" ht="13.5" customHeight="1" x14ac:dyDescent="0.3">
      <c r="A518" s="1" t="s">
        <v>86</v>
      </c>
      <c r="B518" s="1" t="s">
        <v>106</v>
      </c>
      <c r="C518" s="1" t="s">
        <v>107</v>
      </c>
      <c r="D518" s="1">
        <v>2022</v>
      </c>
      <c r="E518" s="1" t="str">
        <f t="shared" si="2"/>
        <v>EXPLOREREXPLORER 4X2 2.3 AUT2022</v>
      </c>
      <c r="F518" s="1" t="s">
        <v>1409</v>
      </c>
      <c r="G518" s="1">
        <v>27700000</v>
      </c>
      <c r="H518" s="1">
        <v>24000000</v>
      </c>
    </row>
    <row r="519" spans="1:8" ht="13.5" customHeight="1" x14ac:dyDescent="0.3">
      <c r="A519" s="1" t="s">
        <v>86</v>
      </c>
      <c r="B519" s="1" t="s">
        <v>106</v>
      </c>
      <c r="C519" s="1" t="s">
        <v>107</v>
      </c>
      <c r="D519" s="1">
        <v>2022</v>
      </c>
      <c r="E519" s="1" t="str">
        <f t="shared" si="2"/>
        <v>EXPLOREREXPLORER 4X2 2.3 AUT2022</v>
      </c>
      <c r="F519" s="1" t="s">
        <v>1300</v>
      </c>
      <c r="G519" s="1">
        <v>28990000</v>
      </c>
      <c r="H519" s="1">
        <v>24700000</v>
      </c>
    </row>
    <row r="520" spans="1:8" ht="13.5" customHeight="1" x14ac:dyDescent="0.3">
      <c r="A520" s="1" t="s">
        <v>86</v>
      </c>
      <c r="B520" s="1" t="s">
        <v>106</v>
      </c>
      <c r="C520" s="1" t="s">
        <v>107</v>
      </c>
      <c r="D520" s="1">
        <v>2022</v>
      </c>
      <c r="E520" s="1" t="str">
        <f t="shared" si="2"/>
        <v>EXPLOREREXPLORER 4X2 2.3 AUT2022</v>
      </c>
      <c r="F520" s="1" t="s">
        <v>1277</v>
      </c>
      <c r="G520" s="1">
        <v>28790000</v>
      </c>
      <c r="H520" s="1">
        <v>24284433</v>
      </c>
    </row>
    <row r="521" spans="1:8" ht="13.5" customHeight="1" x14ac:dyDescent="0.3">
      <c r="A521" s="1" t="s">
        <v>86</v>
      </c>
      <c r="B521" s="1" t="s">
        <v>106</v>
      </c>
      <c r="C521" s="1" t="s">
        <v>107</v>
      </c>
      <c r="D521" s="1">
        <v>2022</v>
      </c>
      <c r="E521" s="1" t="str">
        <f t="shared" si="2"/>
        <v>EXPLOREREXPLORER 4X2 2.3 AUT2022</v>
      </c>
      <c r="F521" s="1" t="s">
        <v>4217</v>
      </c>
      <c r="G521" s="1">
        <v>38990000</v>
      </c>
      <c r="H521" s="1">
        <v>40000000</v>
      </c>
    </row>
    <row r="522" spans="1:8" ht="13.5" customHeight="1" x14ac:dyDescent="0.3">
      <c r="A522" s="1" t="s">
        <v>86</v>
      </c>
      <c r="B522" s="1" t="s">
        <v>106</v>
      </c>
      <c r="C522" s="1" t="s">
        <v>107</v>
      </c>
      <c r="D522" s="1">
        <v>2023</v>
      </c>
      <c r="E522" s="1" t="str">
        <f t="shared" si="2"/>
        <v>EXPLOREREXPLORER 4X2 2.3 AUT2023</v>
      </c>
      <c r="F522" s="1" t="s">
        <v>1926</v>
      </c>
      <c r="G522" s="1">
        <v>33400000</v>
      </c>
      <c r="H522" s="1">
        <v>28000000</v>
      </c>
    </row>
    <row r="523" spans="1:8" ht="13.5" customHeight="1" x14ac:dyDescent="0.3">
      <c r="A523" s="1" t="s">
        <v>86</v>
      </c>
      <c r="B523" s="1" t="s">
        <v>106</v>
      </c>
      <c r="C523" s="1" t="s">
        <v>107</v>
      </c>
      <c r="D523" s="1">
        <v>2023</v>
      </c>
      <c r="E523" s="1" t="str">
        <f t="shared" si="2"/>
        <v>EXPLOREREXPLORER 4X2 2.3 AUT2023</v>
      </c>
      <c r="F523" s="1" t="s">
        <v>1880</v>
      </c>
      <c r="G523" s="1">
        <v>34790000</v>
      </c>
      <c r="H523" s="1">
        <v>29000000</v>
      </c>
    </row>
    <row r="524" spans="1:8" ht="13.5" customHeight="1" x14ac:dyDescent="0.3">
      <c r="A524" s="1" t="s">
        <v>86</v>
      </c>
      <c r="B524" s="1" t="s">
        <v>106</v>
      </c>
      <c r="C524" s="1" t="s">
        <v>107</v>
      </c>
      <c r="D524" s="1">
        <v>2024</v>
      </c>
      <c r="E524" s="1" t="str">
        <f t="shared" si="2"/>
        <v>EXPLOREREXPLORER 4X2 2.3 AUT2024</v>
      </c>
      <c r="F524" s="1" t="s">
        <v>1122</v>
      </c>
      <c r="G524" s="1">
        <v>32990000</v>
      </c>
      <c r="H524" s="1">
        <v>29000000</v>
      </c>
    </row>
    <row r="525" spans="1:8" ht="13.5" customHeight="1" x14ac:dyDescent="0.3">
      <c r="A525" s="1" t="s">
        <v>86</v>
      </c>
      <c r="B525" s="1" t="s">
        <v>106</v>
      </c>
      <c r="C525" s="1" t="s">
        <v>4218</v>
      </c>
      <c r="D525" s="1">
        <v>2021</v>
      </c>
      <c r="E525" s="1" t="str">
        <f t="shared" si="2"/>
        <v>EXPLOREREXPLORER 4X4 2.3 AUT2021</v>
      </c>
      <c r="F525" s="1" t="s">
        <v>1774</v>
      </c>
      <c r="G525" s="1">
        <v>29990000</v>
      </c>
      <c r="H525" s="1">
        <v>25000000</v>
      </c>
    </row>
    <row r="526" spans="1:8" ht="13.5" customHeight="1" x14ac:dyDescent="0.3">
      <c r="A526" s="1" t="s">
        <v>86</v>
      </c>
      <c r="B526" s="1" t="s">
        <v>106</v>
      </c>
      <c r="C526" s="1" t="s">
        <v>4218</v>
      </c>
      <c r="D526" s="1">
        <v>2021</v>
      </c>
      <c r="E526" s="1" t="str">
        <f t="shared" si="2"/>
        <v>EXPLOREREXPLORER 4X4 2.3 AUT2021</v>
      </c>
      <c r="F526" s="1" t="s">
        <v>1688</v>
      </c>
      <c r="G526" s="1">
        <v>32690000</v>
      </c>
      <c r="H526" s="1">
        <v>28500000</v>
      </c>
    </row>
    <row r="527" spans="1:8" ht="13.5" customHeight="1" x14ac:dyDescent="0.3">
      <c r="A527" s="1" t="s">
        <v>86</v>
      </c>
      <c r="B527" s="1" t="s">
        <v>106</v>
      </c>
      <c r="C527" s="1" t="s">
        <v>4218</v>
      </c>
      <c r="D527" s="1">
        <v>2021</v>
      </c>
      <c r="E527" s="1" t="str">
        <f t="shared" si="2"/>
        <v>EXPLOREREXPLORER 4X4 2.3 AUT2021</v>
      </c>
      <c r="F527" s="1" t="s">
        <v>2142</v>
      </c>
      <c r="G527" s="1">
        <v>34290000</v>
      </c>
      <c r="H527" s="1">
        <v>30000000</v>
      </c>
    </row>
    <row r="528" spans="1:8" ht="13.5" customHeight="1" x14ac:dyDescent="0.3">
      <c r="A528" s="1" t="s">
        <v>86</v>
      </c>
      <c r="B528" s="1" t="s">
        <v>106</v>
      </c>
      <c r="C528" s="1" t="s">
        <v>4218</v>
      </c>
      <c r="D528" s="1">
        <v>2021</v>
      </c>
      <c r="E528" s="1" t="str">
        <f t="shared" si="2"/>
        <v>EXPLOREREXPLORER 4X4 2.3 AUT2021</v>
      </c>
      <c r="F528" s="1" t="s">
        <v>1068</v>
      </c>
      <c r="G528" s="1">
        <v>28990000</v>
      </c>
      <c r="H528" s="1">
        <v>25000000</v>
      </c>
    </row>
    <row r="529" spans="1:8" ht="13.5" customHeight="1" x14ac:dyDescent="0.3">
      <c r="A529" s="1" t="s">
        <v>86</v>
      </c>
      <c r="B529" s="1" t="s">
        <v>106</v>
      </c>
      <c r="C529" s="1" t="s">
        <v>4218</v>
      </c>
      <c r="D529" s="1">
        <v>2022</v>
      </c>
      <c r="E529" s="1" t="str">
        <f t="shared" si="2"/>
        <v>EXPLOREREXPLORER 4X4 2.3 AUT2022</v>
      </c>
      <c r="F529" s="1" t="s">
        <v>1559</v>
      </c>
      <c r="G529" s="1">
        <v>34990000</v>
      </c>
      <c r="H529" s="1">
        <v>30000000</v>
      </c>
    </row>
    <row r="530" spans="1:8" ht="13.5" customHeight="1" x14ac:dyDescent="0.3">
      <c r="A530" s="1" t="s">
        <v>86</v>
      </c>
      <c r="B530" s="1" t="s">
        <v>106</v>
      </c>
      <c r="C530" s="1" t="s">
        <v>4218</v>
      </c>
      <c r="D530" s="1">
        <v>2023</v>
      </c>
      <c r="E530" s="1" t="str">
        <f t="shared" si="2"/>
        <v>EXPLOREREXPLORER 4X4 2.3 AUT2023</v>
      </c>
      <c r="F530" s="1" t="s">
        <v>861</v>
      </c>
      <c r="G530" s="1">
        <v>34290000</v>
      </c>
      <c r="H530" s="1">
        <v>29500000</v>
      </c>
    </row>
    <row r="531" spans="1:8" ht="13.5" customHeight="1" x14ac:dyDescent="0.3">
      <c r="A531" s="1" t="s">
        <v>86</v>
      </c>
      <c r="B531" s="1" t="s">
        <v>106</v>
      </c>
      <c r="C531" s="1" t="s">
        <v>4218</v>
      </c>
      <c r="D531" s="1">
        <v>2023</v>
      </c>
      <c r="E531" s="1" t="str">
        <f t="shared" si="2"/>
        <v>EXPLOREREXPLORER 4X4 2.3 AUT2023</v>
      </c>
      <c r="F531" s="1" t="s">
        <v>1756</v>
      </c>
      <c r="G531" s="1">
        <v>40990000</v>
      </c>
      <c r="H531" s="1">
        <v>39500000</v>
      </c>
    </row>
    <row r="532" spans="1:8" ht="13.5" customHeight="1" x14ac:dyDescent="0.3">
      <c r="A532" s="1" t="s">
        <v>86</v>
      </c>
      <c r="B532" s="1" t="s">
        <v>106</v>
      </c>
      <c r="C532" s="1" t="s">
        <v>4218</v>
      </c>
      <c r="D532" s="1">
        <v>2023</v>
      </c>
      <c r="E532" s="1" t="str">
        <f t="shared" si="2"/>
        <v>EXPLOREREXPLORER 4X4 2.3 AUT2023</v>
      </c>
      <c r="F532" s="1" t="s">
        <v>941</v>
      </c>
      <c r="G532" s="1">
        <v>35790000</v>
      </c>
      <c r="H532" s="1">
        <v>29200000</v>
      </c>
    </row>
    <row r="533" spans="1:8" ht="13.5" customHeight="1" x14ac:dyDescent="0.3">
      <c r="A533" s="1" t="s">
        <v>86</v>
      </c>
      <c r="B533" s="1" t="s">
        <v>106</v>
      </c>
      <c r="C533" s="1" t="s">
        <v>4218</v>
      </c>
      <c r="D533" s="1">
        <v>2024</v>
      </c>
      <c r="E533" s="1" t="str">
        <f t="shared" si="2"/>
        <v>EXPLOREREXPLORER 4X4 2.3 AUT2024</v>
      </c>
      <c r="F533" s="1" t="s">
        <v>1005</v>
      </c>
      <c r="G533" s="1">
        <v>30890000</v>
      </c>
      <c r="H533" s="1">
        <v>30000000</v>
      </c>
    </row>
    <row r="534" spans="1:8" ht="13.5" customHeight="1" x14ac:dyDescent="0.3">
      <c r="A534" s="1" t="s">
        <v>86</v>
      </c>
      <c r="B534" s="1" t="s">
        <v>106</v>
      </c>
      <c r="C534" s="1" t="s">
        <v>4219</v>
      </c>
      <c r="D534" s="1">
        <v>2021</v>
      </c>
      <c r="E534" s="1" t="str">
        <f t="shared" si="2"/>
        <v>EXPLOREREXPLORER 4X4 3.0 AT2021</v>
      </c>
      <c r="F534" s="1" t="s">
        <v>1630</v>
      </c>
      <c r="G534" s="1">
        <v>33390000</v>
      </c>
      <c r="H534" s="1">
        <v>28500000</v>
      </c>
    </row>
    <row r="535" spans="1:8" ht="13.5" customHeight="1" x14ac:dyDescent="0.3">
      <c r="A535" s="1" t="s">
        <v>86</v>
      </c>
      <c r="B535" s="1" t="s">
        <v>106</v>
      </c>
      <c r="C535" s="1" t="s">
        <v>4220</v>
      </c>
      <c r="D535" s="1">
        <v>2019</v>
      </c>
      <c r="E535" s="1" t="str">
        <f t="shared" si="2"/>
        <v>EXPLOREREXPLORER ECOBOOST 2.3 AUT2019</v>
      </c>
      <c r="F535" s="1" t="s">
        <v>2268</v>
      </c>
      <c r="G535" s="1">
        <v>21590000</v>
      </c>
      <c r="H535" s="1">
        <v>18000000</v>
      </c>
    </row>
    <row r="536" spans="1:8" ht="13.5" customHeight="1" x14ac:dyDescent="0.3">
      <c r="A536" s="1" t="s">
        <v>86</v>
      </c>
      <c r="B536" s="1" t="s">
        <v>106</v>
      </c>
      <c r="C536" s="1" t="s">
        <v>4221</v>
      </c>
      <c r="D536" s="1">
        <v>2016</v>
      </c>
      <c r="E536" s="1" t="str">
        <f t="shared" si="2"/>
        <v>EXPLOREREXPLORER LTD 3.5 AUT2016</v>
      </c>
      <c r="F536" s="1" t="s">
        <v>2342</v>
      </c>
      <c r="G536" s="1">
        <v>23790000</v>
      </c>
      <c r="H536" s="1">
        <v>20500000</v>
      </c>
    </row>
    <row r="537" spans="1:8" ht="13.5" customHeight="1" x14ac:dyDescent="0.3">
      <c r="A537" s="1" t="s">
        <v>86</v>
      </c>
      <c r="B537" s="1" t="s">
        <v>106</v>
      </c>
      <c r="C537" s="1" t="s">
        <v>4222</v>
      </c>
      <c r="D537" s="1">
        <v>2018</v>
      </c>
      <c r="E537" s="1" t="str">
        <f t="shared" si="2"/>
        <v>EXPLOREREXPLORER LTD 4X4 2.3 AT2018</v>
      </c>
      <c r="F537" s="1" t="s">
        <v>2157</v>
      </c>
      <c r="G537" s="1">
        <v>25990000</v>
      </c>
      <c r="H537" s="1">
        <v>20000000</v>
      </c>
    </row>
    <row r="538" spans="1:8" ht="13.5" customHeight="1" x14ac:dyDescent="0.3">
      <c r="A538" s="1" t="s">
        <v>86</v>
      </c>
      <c r="B538" s="1" t="s">
        <v>106</v>
      </c>
      <c r="C538" s="1" t="s">
        <v>109</v>
      </c>
      <c r="D538" s="1">
        <v>2018</v>
      </c>
      <c r="E538" s="1" t="str">
        <f t="shared" si="2"/>
        <v>EXPLOREREXPLORER LTD 4X4 2.3 AUT2018</v>
      </c>
      <c r="F538" s="1" t="s">
        <v>1022</v>
      </c>
      <c r="G538" s="1">
        <v>40380000</v>
      </c>
      <c r="H538" s="1">
        <v>33612370</v>
      </c>
    </row>
    <row r="539" spans="1:8" ht="13.5" customHeight="1" x14ac:dyDescent="0.3">
      <c r="A539" s="1" t="s">
        <v>86</v>
      </c>
      <c r="B539" s="1" t="s">
        <v>106</v>
      </c>
      <c r="C539" s="1" t="s">
        <v>109</v>
      </c>
      <c r="D539" s="1">
        <v>2019</v>
      </c>
      <c r="E539" s="1" t="str">
        <f t="shared" si="2"/>
        <v>EXPLOREREXPLORER LTD 4X4 2.3 AUT2019</v>
      </c>
      <c r="F539" s="1" t="s">
        <v>1862</v>
      </c>
      <c r="G539" s="1">
        <v>21990000</v>
      </c>
      <c r="H539" s="1">
        <v>18000000</v>
      </c>
    </row>
    <row r="540" spans="1:8" ht="13.5" customHeight="1" x14ac:dyDescent="0.3">
      <c r="A540" s="1" t="s">
        <v>86</v>
      </c>
      <c r="B540" s="1" t="s">
        <v>106</v>
      </c>
      <c r="C540" s="1" t="s">
        <v>109</v>
      </c>
      <c r="D540" s="1">
        <v>2020</v>
      </c>
      <c r="E540" s="1" t="str">
        <f t="shared" si="2"/>
        <v>EXPLOREREXPLORER LTD 4X4 2.3 AUT2020</v>
      </c>
      <c r="F540" s="1" t="s">
        <v>2427</v>
      </c>
      <c r="G540" s="1">
        <v>33490000</v>
      </c>
      <c r="H540" s="1">
        <v>32000000</v>
      </c>
    </row>
    <row r="541" spans="1:8" ht="13.5" customHeight="1" x14ac:dyDescent="0.3">
      <c r="A541" s="1" t="s">
        <v>86</v>
      </c>
      <c r="B541" s="1" t="s">
        <v>106</v>
      </c>
      <c r="C541" s="1" t="s">
        <v>109</v>
      </c>
      <c r="D541" s="1">
        <v>2021</v>
      </c>
      <c r="E541" s="1" t="str">
        <f t="shared" si="2"/>
        <v>EXPLOREREXPLORER LTD 4X4 2.3 AUT2021</v>
      </c>
      <c r="F541" s="1" t="s">
        <v>891</v>
      </c>
      <c r="G541" s="1">
        <v>28990000</v>
      </c>
      <c r="H541" s="1">
        <v>25000000</v>
      </c>
    </row>
    <row r="542" spans="1:8" ht="13.5" customHeight="1" x14ac:dyDescent="0.3">
      <c r="A542" s="1" t="s">
        <v>86</v>
      </c>
      <c r="B542" s="1" t="s">
        <v>106</v>
      </c>
      <c r="C542" s="1" t="s">
        <v>4223</v>
      </c>
      <c r="D542" s="1">
        <v>2017</v>
      </c>
      <c r="E542" s="1" t="str">
        <f t="shared" si="2"/>
        <v>EXPLOREREXPLORER LTD 4X4 3.5 AUT2017</v>
      </c>
      <c r="F542" s="1" t="s">
        <v>1889</v>
      </c>
      <c r="G542" s="1">
        <v>19390000</v>
      </c>
      <c r="H542" s="1">
        <v>16000000</v>
      </c>
    </row>
    <row r="543" spans="1:8" ht="13.5" customHeight="1" x14ac:dyDescent="0.3">
      <c r="A543" s="1" t="s">
        <v>86</v>
      </c>
      <c r="B543" s="1" t="s">
        <v>106</v>
      </c>
      <c r="C543" s="1" t="s">
        <v>4223</v>
      </c>
      <c r="D543" s="1">
        <v>2017</v>
      </c>
      <c r="E543" s="1" t="str">
        <f t="shared" si="2"/>
        <v>EXPLOREREXPLORER LTD 4X4 3.5 AUT2017</v>
      </c>
      <c r="F543" s="1" t="s">
        <v>574</v>
      </c>
      <c r="G543" s="1">
        <v>13590000</v>
      </c>
      <c r="H543" s="1">
        <v>11300000</v>
      </c>
    </row>
    <row r="544" spans="1:8" ht="13.5" customHeight="1" x14ac:dyDescent="0.3">
      <c r="A544" s="1" t="s">
        <v>86</v>
      </c>
      <c r="B544" s="1" t="s">
        <v>106</v>
      </c>
      <c r="C544" s="1" t="s">
        <v>4224</v>
      </c>
      <c r="D544" s="1">
        <v>2025</v>
      </c>
      <c r="E544" s="1" t="str">
        <f t="shared" si="2"/>
        <v>EXPLOREREXPLORER PLATINUM 4X4 2.3 AUT2025</v>
      </c>
      <c r="F544" s="1" t="s">
        <v>762</v>
      </c>
      <c r="G544" s="1">
        <v>45590000</v>
      </c>
      <c r="H544" s="1">
        <v>0</v>
      </c>
    </row>
    <row r="545" spans="1:8" ht="13.5" customHeight="1" x14ac:dyDescent="0.3">
      <c r="A545" s="1" t="s">
        <v>86</v>
      </c>
      <c r="B545" s="1" t="s">
        <v>106</v>
      </c>
      <c r="C545" s="1" t="s">
        <v>4225</v>
      </c>
      <c r="D545" s="1">
        <v>2023</v>
      </c>
      <c r="E545" s="1" t="str">
        <f t="shared" si="2"/>
        <v>EXPLOREREXPLORER XLT 2.3 AUT2023</v>
      </c>
      <c r="F545" s="1" t="s">
        <v>1728</v>
      </c>
      <c r="G545" s="1">
        <v>34990000</v>
      </c>
      <c r="H545" s="1">
        <v>31750000</v>
      </c>
    </row>
    <row r="546" spans="1:8" ht="13.5" customHeight="1" x14ac:dyDescent="0.3">
      <c r="A546" s="1" t="s">
        <v>86</v>
      </c>
      <c r="B546" s="1" t="s">
        <v>106</v>
      </c>
      <c r="C546" s="1" t="s">
        <v>4226</v>
      </c>
      <c r="D546" s="1">
        <v>2015</v>
      </c>
      <c r="E546" s="1" t="str">
        <f t="shared" si="2"/>
        <v>EXPLOREREXPLORER XLT 3.5 AUT2015</v>
      </c>
      <c r="F546" s="1" t="s">
        <v>1974</v>
      </c>
      <c r="G546" s="1">
        <v>14690000</v>
      </c>
      <c r="H546" s="1">
        <v>10500000</v>
      </c>
    </row>
    <row r="547" spans="1:8" ht="13.5" customHeight="1" x14ac:dyDescent="0.3">
      <c r="A547" s="1" t="s">
        <v>86</v>
      </c>
      <c r="B547" s="1" t="s">
        <v>106</v>
      </c>
      <c r="C547" s="1" t="s">
        <v>4226</v>
      </c>
      <c r="D547" s="1">
        <v>2017</v>
      </c>
      <c r="E547" s="1" t="str">
        <f t="shared" si="2"/>
        <v>EXPLOREREXPLORER XLT 3.5 AUT2017</v>
      </c>
      <c r="F547" s="1" t="s">
        <v>575</v>
      </c>
      <c r="G547" s="1">
        <v>29180000</v>
      </c>
      <c r="H547" s="1">
        <v>24450000</v>
      </c>
    </row>
    <row r="548" spans="1:8" ht="13.5" customHeight="1" x14ac:dyDescent="0.3">
      <c r="A548" s="1" t="s">
        <v>86</v>
      </c>
      <c r="B548" s="1" t="s">
        <v>106</v>
      </c>
      <c r="C548" s="1" t="s">
        <v>4227</v>
      </c>
      <c r="D548" s="1">
        <v>2020</v>
      </c>
      <c r="E548" s="1" t="str">
        <f t="shared" si="2"/>
        <v>EXPLOREREXPLORER XLT 4X4 3.5 AUT2020</v>
      </c>
      <c r="F548" s="1" t="s">
        <v>1639</v>
      </c>
      <c r="G548" s="1">
        <v>19990000</v>
      </c>
      <c r="H548" s="1">
        <v>18000000</v>
      </c>
    </row>
    <row r="549" spans="1:8" ht="13.5" customHeight="1" x14ac:dyDescent="0.3">
      <c r="A549" s="1" t="s">
        <v>86</v>
      </c>
      <c r="B549" s="1" t="s">
        <v>111</v>
      </c>
      <c r="C549" s="1" t="s">
        <v>4228</v>
      </c>
      <c r="D549" s="1">
        <v>2020</v>
      </c>
      <c r="E549" s="1" t="str">
        <f t="shared" si="2"/>
        <v>F-150F 150 LARIAT SPORT 4X4 5.02020</v>
      </c>
      <c r="F549" s="1" t="s">
        <v>2324</v>
      </c>
      <c r="G549" s="1">
        <v>28990000</v>
      </c>
      <c r="H549" s="1">
        <v>24000000</v>
      </c>
    </row>
    <row r="550" spans="1:8" ht="13.5" customHeight="1" x14ac:dyDescent="0.3">
      <c r="A550" s="1" t="s">
        <v>86</v>
      </c>
      <c r="B550" s="1" t="s">
        <v>111</v>
      </c>
      <c r="C550" s="1" t="s">
        <v>4229</v>
      </c>
      <c r="D550" s="1">
        <v>2020</v>
      </c>
      <c r="E550" s="1" t="str">
        <f t="shared" si="2"/>
        <v>F-150F150 DCAB 3.5 AT2020</v>
      </c>
      <c r="F550" s="1" t="s">
        <v>1693</v>
      </c>
      <c r="G550" s="1">
        <v>36557120</v>
      </c>
      <c r="H550" s="1">
        <v>32000000</v>
      </c>
    </row>
    <row r="551" spans="1:8" ht="13.5" customHeight="1" x14ac:dyDescent="0.3">
      <c r="A551" s="1" t="s">
        <v>86</v>
      </c>
      <c r="B551" s="1" t="s">
        <v>111</v>
      </c>
      <c r="C551" s="1" t="s">
        <v>4230</v>
      </c>
      <c r="D551" s="1">
        <v>2017</v>
      </c>
      <c r="E551" s="1" t="str">
        <f t="shared" si="2"/>
        <v>F-150F150 DCAB XLT 4X4 5.0 AUT2017</v>
      </c>
      <c r="F551" s="1" t="s">
        <v>2460</v>
      </c>
      <c r="G551" s="1">
        <v>25990000</v>
      </c>
      <c r="H551" s="1">
        <v>25000000</v>
      </c>
    </row>
    <row r="552" spans="1:8" ht="13.5" customHeight="1" x14ac:dyDescent="0.3">
      <c r="A552" s="1" t="s">
        <v>86</v>
      </c>
      <c r="B552" s="1" t="s">
        <v>111</v>
      </c>
      <c r="C552" s="1" t="s">
        <v>4231</v>
      </c>
      <c r="D552" s="1">
        <v>2014</v>
      </c>
      <c r="E552" s="1" t="str">
        <f t="shared" si="2"/>
        <v>F-150F150 LARIAT 4X4 5.02014</v>
      </c>
      <c r="F552" s="1" t="s">
        <v>1896</v>
      </c>
      <c r="G552" s="1">
        <v>15190000</v>
      </c>
      <c r="H552" s="1">
        <v>14000000</v>
      </c>
    </row>
    <row r="553" spans="1:8" ht="13.5" customHeight="1" x14ac:dyDescent="0.3">
      <c r="A553" s="1" t="s">
        <v>86</v>
      </c>
      <c r="B553" s="1" t="s">
        <v>111</v>
      </c>
      <c r="C553" s="1" t="s">
        <v>4231</v>
      </c>
      <c r="D553" s="1">
        <v>2020</v>
      </c>
      <c r="E553" s="1" t="str">
        <f t="shared" si="2"/>
        <v>F-150F150 LARIAT 4X4 5.02020</v>
      </c>
      <c r="F553" s="1" t="s">
        <v>2183</v>
      </c>
      <c r="G553" s="1">
        <v>30190000</v>
      </c>
      <c r="H553" s="1">
        <v>25100000</v>
      </c>
    </row>
    <row r="554" spans="1:8" ht="13.5" customHeight="1" x14ac:dyDescent="0.3">
      <c r="A554" s="1" t="s">
        <v>86</v>
      </c>
      <c r="B554" s="1" t="s">
        <v>111</v>
      </c>
      <c r="C554" s="1" t="s">
        <v>4232</v>
      </c>
      <c r="D554" s="1">
        <v>2020</v>
      </c>
      <c r="E554" s="1" t="str">
        <f t="shared" si="2"/>
        <v>F-150F150 LARIAT 4X4 5.0 AUT2020</v>
      </c>
      <c r="F554" s="1" t="s">
        <v>1637</v>
      </c>
      <c r="G554" s="1">
        <v>30390000</v>
      </c>
      <c r="H554" s="1">
        <v>26455000</v>
      </c>
    </row>
    <row r="555" spans="1:8" ht="13.5" customHeight="1" x14ac:dyDescent="0.3">
      <c r="A555" s="1" t="s">
        <v>86</v>
      </c>
      <c r="B555" s="1" t="s">
        <v>111</v>
      </c>
      <c r="C555" s="1" t="s">
        <v>4232</v>
      </c>
      <c r="D555" s="1">
        <v>2020</v>
      </c>
      <c r="E555" s="1" t="str">
        <f t="shared" si="2"/>
        <v>F-150F150 LARIAT 4X4 5.0 AUT2020</v>
      </c>
      <c r="F555" s="1" t="s">
        <v>2188</v>
      </c>
      <c r="G555" s="1">
        <v>26912770</v>
      </c>
      <c r="H555" s="1">
        <v>25000000</v>
      </c>
    </row>
    <row r="556" spans="1:8" ht="13.5" customHeight="1" x14ac:dyDescent="0.3">
      <c r="A556" s="1" t="s">
        <v>86</v>
      </c>
      <c r="B556" s="1" t="s">
        <v>111</v>
      </c>
      <c r="C556" s="1" t="s">
        <v>4233</v>
      </c>
      <c r="D556" s="1">
        <v>2022</v>
      </c>
      <c r="E556" s="1" t="str">
        <f t="shared" si="2"/>
        <v>F-150F150 LARIAT LUXURY 4X4 3.0 AUT2022</v>
      </c>
      <c r="F556" s="1" t="s">
        <v>4234</v>
      </c>
      <c r="G556" s="1">
        <v>50000000</v>
      </c>
      <c r="H556" s="1">
        <v>50000000</v>
      </c>
    </row>
    <row r="557" spans="1:8" ht="13.5" customHeight="1" x14ac:dyDescent="0.3">
      <c r="A557" s="1" t="s">
        <v>86</v>
      </c>
      <c r="B557" s="1" t="s">
        <v>111</v>
      </c>
      <c r="C557" s="1" t="s">
        <v>4233</v>
      </c>
      <c r="D557" s="1">
        <v>2022</v>
      </c>
      <c r="E557" s="1" t="str">
        <f t="shared" si="2"/>
        <v>F-150F150 LARIAT LUXURY 4X4 3.0 AUT2022</v>
      </c>
      <c r="F557" s="1" t="s">
        <v>1341</v>
      </c>
      <c r="G557" s="1">
        <v>42470000</v>
      </c>
      <c r="H557" s="1">
        <v>37000000</v>
      </c>
    </row>
    <row r="558" spans="1:8" ht="13.5" customHeight="1" x14ac:dyDescent="0.3">
      <c r="A558" s="1" t="s">
        <v>86</v>
      </c>
      <c r="B558" s="1" t="s">
        <v>111</v>
      </c>
      <c r="C558" s="1" t="s">
        <v>113</v>
      </c>
      <c r="D558" s="1">
        <v>2022</v>
      </c>
      <c r="E558" s="1" t="str">
        <f t="shared" si="2"/>
        <v>F-150F150 LARIAT LUXURY 4X4 5.0L AUT2022</v>
      </c>
      <c r="F558" s="1" t="s">
        <v>576</v>
      </c>
      <c r="G558" s="1">
        <v>33990000</v>
      </c>
      <c r="H558" s="1">
        <v>27500000</v>
      </c>
    </row>
    <row r="559" spans="1:8" ht="13.5" customHeight="1" x14ac:dyDescent="0.3">
      <c r="A559" s="1" t="s">
        <v>86</v>
      </c>
      <c r="B559" s="1" t="s">
        <v>111</v>
      </c>
      <c r="C559" s="1" t="s">
        <v>113</v>
      </c>
      <c r="D559" s="1">
        <v>2022</v>
      </c>
      <c r="E559" s="1" t="str">
        <f t="shared" si="2"/>
        <v>F-150F150 LARIAT LUXURY 4X4 5.0L AUT2022</v>
      </c>
      <c r="F559" s="1" t="s">
        <v>2376</v>
      </c>
      <c r="G559" s="1">
        <v>43590000</v>
      </c>
      <c r="H559" s="1">
        <v>54000000</v>
      </c>
    </row>
    <row r="560" spans="1:8" ht="13.5" customHeight="1" x14ac:dyDescent="0.3">
      <c r="A560" s="1" t="s">
        <v>86</v>
      </c>
      <c r="B560" s="1" t="s">
        <v>111</v>
      </c>
      <c r="C560" s="1" t="s">
        <v>4235</v>
      </c>
      <c r="D560" s="1">
        <v>2017</v>
      </c>
      <c r="E560" s="1" t="str">
        <f t="shared" si="2"/>
        <v>F-150F150 LARIAT SPORT 4X4 5.0 AUT2017</v>
      </c>
      <c r="F560" s="1" t="s">
        <v>2454</v>
      </c>
      <c r="G560" s="1">
        <v>30490000</v>
      </c>
      <c r="H560" s="1">
        <v>28000000</v>
      </c>
    </row>
    <row r="561" spans="1:8" ht="13.5" customHeight="1" x14ac:dyDescent="0.3">
      <c r="A561" s="1" t="s">
        <v>86</v>
      </c>
      <c r="B561" s="1" t="s">
        <v>111</v>
      </c>
      <c r="C561" s="1" t="s">
        <v>4235</v>
      </c>
      <c r="D561" s="1">
        <v>2019</v>
      </c>
      <c r="E561" s="1" t="str">
        <f t="shared" si="2"/>
        <v>F-150F150 LARIAT SPORT 4X4 5.0 AUT2019</v>
      </c>
      <c r="F561" s="1" t="s">
        <v>1994</v>
      </c>
      <c r="G561" s="1">
        <v>27690000</v>
      </c>
      <c r="H561" s="1">
        <v>22200000</v>
      </c>
    </row>
    <row r="562" spans="1:8" ht="13.5" customHeight="1" x14ac:dyDescent="0.3">
      <c r="A562" s="1" t="s">
        <v>86</v>
      </c>
      <c r="B562" s="1" t="s">
        <v>111</v>
      </c>
      <c r="C562" s="1" t="s">
        <v>4235</v>
      </c>
      <c r="D562" s="1">
        <v>2020</v>
      </c>
      <c r="E562" s="1" t="str">
        <f t="shared" si="2"/>
        <v>F-150F150 LARIAT SPORT 4X4 5.0 AUT2020</v>
      </c>
      <c r="F562" s="1" t="s">
        <v>1406</v>
      </c>
      <c r="G562" s="1">
        <v>26990000</v>
      </c>
      <c r="H562" s="1">
        <v>22000000</v>
      </c>
    </row>
    <row r="563" spans="1:8" ht="13.5" customHeight="1" x14ac:dyDescent="0.3">
      <c r="A563" s="1" t="s">
        <v>86</v>
      </c>
      <c r="B563" s="1" t="s">
        <v>111</v>
      </c>
      <c r="C563" s="1" t="s">
        <v>4236</v>
      </c>
      <c r="D563" s="1">
        <v>2022</v>
      </c>
      <c r="E563" s="1" t="str">
        <f t="shared" si="2"/>
        <v>F-150F150 LARIAT SPORT 4X4 5.0L AUT2022</v>
      </c>
      <c r="F563" s="1" t="s">
        <v>1317</v>
      </c>
      <c r="G563" s="1">
        <v>38190000</v>
      </c>
      <c r="H563" s="1">
        <v>33000000</v>
      </c>
    </row>
    <row r="564" spans="1:8" ht="13.5" customHeight="1" x14ac:dyDescent="0.3">
      <c r="A564" s="1" t="s">
        <v>86</v>
      </c>
      <c r="B564" s="1" t="s">
        <v>111</v>
      </c>
      <c r="C564" s="1" t="s">
        <v>4236</v>
      </c>
      <c r="D564" s="1">
        <v>2022</v>
      </c>
      <c r="E564" s="1" t="str">
        <f t="shared" si="2"/>
        <v>F-150F150 LARIAT SPORT 4X4 5.0L AUT2022</v>
      </c>
      <c r="F564" s="1" t="s">
        <v>1078</v>
      </c>
      <c r="G564" s="1">
        <v>74980000</v>
      </c>
      <c r="H564" s="1">
        <v>64000000</v>
      </c>
    </row>
    <row r="565" spans="1:8" ht="13.5" customHeight="1" x14ac:dyDescent="0.3">
      <c r="A565" s="1" t="s">
        <v>86</v>
      </c>
      <c r="B565" s="1" t="s">
        <v>111</v>
      </c>
      <c r="C565" s="1" t="s">
        <v>4236</v>
      </c>
      <c r="D565" s="1">
        <v>2024</v>
      </c>
      <c r="E565" s="1" t="str">
        <f t="shared" si="2"/>
        <v>F-150F150 LARIAT SPORT 4X4 5.0L AUT2024</v>
      </c>
      <c r="F565" s="1" t="s">
        <v>474</v>
      </c>
      <c r="G565" s="1">
        <v>42490000</v>
      </c>
      <c r="H565" s="1">
        <v>37300000</v>
      </c>
    </row>
    <row r="566" spans="1:8" ht="13.5" customHeight="1" x14ac:dyDescent="0.3">
      <c r="A566" s="1" t="s">
        <v>86</v>
      </c>
      <c r="B566" s="1" t="s">
        <v>111</v>
      </c>
      <c r="C566" s="1" t="s">
        <v>4237</v>
      </c>
      <c r="D566" s="1">
        <v>2021</v>
      </c>
      <c r="E566" s="1" t="str">
        <f t="shared" si="2"/>
        <v>F-150F150 PLATINIUM 4X4 3.5 AT2021</v>
      </c>
      <c r="F566" s="1" t="s">
        <v>1142</v>
      </c>
      <c r="G566" s="1">
        <v>71180000</v>
      </c>
      <c r="H566" s="1">
        <v>60200000</v>
      </c>
    </row>
    <row r="567" spans="1:8" ht="13.5" customHeight="1" x14ac:dyDescent="0.3">
      <c r="A567" s="1" t="s">
        <v>86</v>
      </c>
      <c r="B567" s="1" t="s">
        <v>111</v>
      </c>
      <c r="C567" s="1" t="s">
        <v>4237</v>
      </c>
      <c r="D567" s="1">
        <v>2022</v>
      </c>
      <c r="E567" s="1" t="str">
        <f t="shared" si="2"/>
        <v>F-150F150 PLATINIUM 4X4 3.5 AT2022</v>
      </c>
      <c r="F567" s="1" t="s">
        <v>713</v>
      </c>
      <c r="G567" s="1">
        <v>42190000</v>
      </c>
      <c r="H567" s="1">
        <v>37000000</v>
      </c>
    </row>
    <row r="568" spans="1:8" ht="13.5" customHeight="1" x14ac:dyDescent="0.3">
      <c r="A568" s="1" t="s">
        <v>86</v>
      </c>
      <c r="B568" s="1" t="s">
        <v>111</v>
      </c>
      <c r="C568" s="1" t="s">
        <v>4237</v>
      </c>
      <c r="D568" s="1">
        <v>2023</v>
      </c>
      <c r="E568" s="1" t="str">
        <f t="shared" si="2"/>
        <v>F-150F150 PLATINIUM 4X4 3.5 AT2023</v>
      </c>
      <c r="F568" s="1" t="s">
        <v>690</v>
      </c>
      <c r="G568" s="1">
        <v>42990000</v>
      </c>
      <c r="H568" s="1">
        <v>31626783</v>
      </c>
    </row>
    <row r="569" spans="1:8" ht="13.5" customHeight="1" x14ac:dyDescent="0.3">
      <c r="A569" s="1" t="s">
        <v>86</v>
      </c>
      <c r="B569" s="1" t="s">
        <v>111</v>
      </c>
      <c r="C569" s="1" t="s">
        <v>4237</v>
      </c>
      <c r="D569" s="1">
        <v>2024</v>
      </c>
      <c r="E569" s="1" t="str">
        <f t="shared" si="2"/>
        <v>F-150F150 PLATINIUM 4X4 3.5 AT2024</v>
      </c>
      <c r="F569" s="1" t="s">
        <v>676</v>
      </c>
      <c r="G569" s="1">
        <v>47990000</v>
      </c>
      <c r="H569" s="1">
        <v>45000000</v>
      </c>
    </row>
    <row r="570" spans="1:8" ht="13.5" customHeight="1" x14ac:dyDescent="0.3">
      <c r="A570" s="1" t="s">
        <v>86</v>
      </c>
      <c r="B570" s="1" t="s">
        <v>111</v>
      </c>
      <c r="C570" s="1" t="s">
        <v>4238</v>
      </c>
      <c r="D570" s="1">
        <v>2016</v>
      </c>
      <c r="E570" s="1" t="str">
        <f t="shared" si="2"/>
        <v>F-150F150 PLATINUM 4X4 3.5 AUT2016</v>
      </c>
      <c r="F570" s="1" t="s">
        <v>2381</v>
      </c>
      <c r="G570" s="1">
        <v>33990000</v>
      </c>
      <c r="H570" s="1">
        <v>32970300</v>
      </c>
    </row>
    <row r="571" spans="1:8" ht="13.5" customHeight="1" x14ac:dyDescent="0.3">
      <c r="A571" s="1" t="s">
        <v>86</v>
      </c>
      <c r="B571" s="1" t="s">
        <v>111</v>
      </c>
      <c r="C571" s="1" t="s">
        <v>4238</v>
      </c>
      <c r="D571" s="1">
        <v>2018</v>
      </c>
      <c r="E571" s="1" t="str">
        <f t="shared" si="2"/>
        <v>F-150F150 PLATINUM 4X4 3.5 AUT2018</v>
      </c>
      <c r="F571" s="1" t="s">
        <v>2212</v>
      </c>
      <c r="G571" s="1">
        <v>25000000</v>
      </c>
      <c r="H571" s="1">
        <v>27500000</v>
      </c>
    </row>
    <row r="572" spans="1:8" ht="13.5" customHeight="1" x14ac:dyDescent="0.3">
      <c r="A572" s="1" t="s">
        <v>86</v>
      </c>
      <c r="B572" s="1" t="s">
        <v>111</v>
      </c>
      <c r="C572" s="1" t="s">
        <v>4238</v>
      </c>
      <c r="D572" s="1">
        <v>2019</v>
      </c>
      <c r="E572" s="1" t="str">
        <f t="shared" si="2"/>
        <v>F-150F150 PLATINUM 4X4 3.5 AUT2019</v>
      </c>
      <c r="F572" s="1" t="s">
        <v>2407</v>
      </c>
      <c r="G572" s="1">
        <v>30490000</v>
      </c>
      <c r="H572" s="1">
        <v>34000000</v>
      </c>
    </row>
    <row r="573" spans="1:8" ht="13.5" customHeight="1" x14ac:dyDescent="0.3">
      <c r="A573" s="1" t="s">
        <v>86</v>
      </c>
      <c r="B573" s="1" t="s">
        <v>111</v>
      </c>
      <c r="C573" s="1" t="s">
        <v>4239</v>
      </c>
      <c r="D573" s="1">
        <v>2022</v>
      </c>
      <c r="E573" s="1" t="str">
        <f t="shared" si="2"/>
        <v>F-150F150 XLT 3.3 AUT2022</v>
      </c>
      <c r="F573" s="1" t="s">
        <v>1665</v>
      </c>
      <c r="G573" s="1">
        <v>28500000</v>
      </c>
      <c r="H573" s="1">
        <v>25000000</v>
      </c>
    </row>
    <row r="574" spans="1:8" ht="13.5" customHeight="1" x14ac:dyDescent="0.3">
      <c r="A574" s="1" t="s">
        <v>86</v>
      </c>
      <c r="B574" s="1" t="s">
        <v>111</v>
      </c>
      <c r="C574" s="1" t="s">
        <v>4240</v>
      </c>
      <c r="D574" s="1">
        <v>2017</v>
      </c>
      <c r="E574" s="1" t="str">
        <f t="shared" si="2"/>
        <v>F-150F150 XLT 3.5 AUT2017</v>
      </c>
      <c r="F574" s="1" t="s">
        <v>2241</v>
      </c>
      <c r="G574" s="1">
        <v>17800000</v>
      </c>
      <c r="H574" s="1">
        <v>15500000</v>
      </c>
    </row>
    <row r="575" spans="1:8" ht="13.5" customHeight="1" x14ac:dyDescent="0.3">
      <c r="A575" s="1" t="s">
        <v>86</v>
      </c>
      <c r="B575" s="1" t="s">
        <v>111</v>
      </c>
      <c r="C575" s="1" t="s">
        <v>4241</v>
      </c>
      <c r="D575" s="1">
        <v>2014</v>
      </c>
      <c r="E575" s="1" t="str">
        <f t="shared" si="2"/>
        <v>F-150F150 XLT 3.72014</v>
      </c>
      <c r="F575" s="1" t="s">
        <v>1606</v>
      </c>
      <c r="G575" s="1">
        <v>13990000</v>
      </c>
      <c r="H575" s="1">
        <v>12000000</v>
      </c>
    </row>
    <row r="576" spans="1:8" ht="13.5" customHeight="1" x14ac:dyDescent="0.3">
      <c r="A576" s="1" t="s">
        <v>86</v>
      </c>
      <c r="B576" s="1" t="s">
        <v>111</v>
      </c>
      <c r="C576" s="1" t="s">
        <v>118</v>
      </c>
      <c r="D576" s="1">
        <v>2011</v>
      </c>
      <c r="E576" s="1" t="str">
        <f t="shared" si="2"/>
        <v>F-150F150 XLT 4X4 5.02011</v>
      </c>
      <c r="F576" s="1" t="s">
        <v>4242</v>
      </c>
      <c r="G576" s="1">
        <v>9690000</v>
      </c>
      <c r="H576" s="1">
        <v>10500000</v>
      </c>
    </row>
    <row r="577" spans="1:8" ht="13.5" customHeight="1" x14ac:dyDescent="0.3">
      <c r="A577" s="1" t="s">
        <v>86</v>
      </c>
      <c r="B577" s="1" t="s">
        <v>111</v>
      </c>
      <c r="C577" s="1" t="s">
        <v>118</v>
      </c>
      <c r="D577" s="1">
        <v>2018</v>
      </c>
      <c r="E577" s="1" t="str">
        <f t="shared" si="2"/>
        <v>F-150F150 XLT 4X4 5.02018</v>
      </c>
      <c r="F577" s="1" t="s">
        <v>119</v>
      </c>
      <c r="G577" s="1">
        <v>21490000</v>
      </c>
      <c r="H577" s="1">
        <v>18000000</v>
      </c>
    </row>
    <row r="578" spans="1:8" ht="13.5" customHeight="1" x14ac:dyDescent="0.3">
      <c r="A578" s="1" t="s">
        <v>86</v>
      </c>
      <c r="B578" s="1" t="s">
        <v>111</v>
      </c>
      <c r="C578" s="1" t="s">
        <v>4243</v>
      </c>
      <c r="D578" s="1">
        <v>2017</v>
      </c>
      <c r="E578" s="1" t="str">
        <f t="shared" si="2"/>
        <v>F-150F150 XLT 4X4 5.0 AUT2017</v>
      </c>
      <c r="F578" s="1" t="s">
        <v>2440</v>
      </c>
      <c r="G578" s="1">
        <v>21490000</v>
      </c>
      <c r="H578" s="1">
        <v>25500000</v>
      </c>
    </row>
    <row r="579" spans="1:8" ht="13.5" customHeight="1" x14ac:dyDescent="0.3">
      <c r="A579" s="1" t="s">
        <v>86</v>
      </c>
      <c r="B579" s="1" t="s">
        <v>111</v>
      </c>
      <c r="C579" s="1" t="s">
        <v>4243</v>
      </c>
      <c r="D579" s="1">
        <v>2018</v>
      </c>
      <c r="E579" s="1" t="str">
        <f t="shared" si="2"/>
        <v>F-150F150 XLT 4X4 5.0 AUT2018</v>
      </c>
      <c r="F579" s="1" t="s">
        <v>2090</v>
      </c>
      <c r="G579" s="1">
        <v>23990000</v>
      </c>
      <c r="H579" s="1">
        <v>19000000</v>
      </c>
    </row>
    <row r="580" spans="1:8" ht="13.5" customHeight="1" x14ac:dyDescent="0.3">
      <c r="A580" s="1" t="s">
        <v>86</v>
      </c>
      <c r="B580" s="1" t="s">
        <v>111</v>
      </c>
      <c r="C580" s="1" t="s">
        <v>4243</v>
      </c>
      <c r="D580" s="1">
        <v>2020</v>
      </c>
      <c r="E580" s="1" t="str">
        <f t="shared" si="2"/>
        <v>F-150F150 XLT 4X4 5.0 AUT2020</v>
      </c>
      <c r="F580" s="1" t="s">
        <v>1276</v>
      </c>
      <c r="G580" s="1">
        <v>27690000</v>
      </c>
      <c r="H580" s="1">
        <v>23000000</v>
      </c>
    </row>
    <row r="581" spans="1:8" ht="13.5" customHeight="1" x14ac:dyDescent="0.3">
      <c r="A581" s="1" t="s">
        <v>86</v>
      </c>
      <c r="B581" s="1" t="s">
        <v>111</v>
      </c>
      <c r="C581" s="1" t="s">
        <v>4243</v>
      </c>
      <c r="D581" s="1">
        <v>2020</v>
      </c>
      <c r="E581" s="1" t="str">
        <f t="shared" si="2"/>
        <v>F-150F150 XLT 4X4 5.0 AUT2020</v>
      </c>
      <c r="F581" s="1" t="s">
        <v>2276</v>
      </c>
      <c r="G581" s="1">
        <v>27490000</v>
      </c>
      <c r="H581" s="1">
        <v>27400000</v>
      </c>
    </row>
    <row r="582" spans="1:8" ht="13.5" customHeight="1" x14ac:dyDescent="0.3">
      <c r="A582" s="1" t="s">
        <v>86</v>
      </c>
      <c r="B582" s="1" t="s">
        <v>111</v>
      </c>
      <c r="C582" s="1" t="s">
        <v>4243</v>
      </c>
      <c r="D582" s="1">
        <v>2023</v>
      </c>
      <c r="E582" s="1" t="str">
        <f t="shared" si="2"/>
        <v>F-150F150 XLT 4X4 5.0 AUT2023</v>
      </c>
      <c r="F582" s="1" t="s">
        <v>1218</v>
      </c>
      <c r="G582" s="1">
        <v>34990000</v>
      </c>
      <c r="H582" s="1">
        <v>31000000</v>
      </c>
    </row>
    <row r="583" spans="1:8" ht="13.5" customHeight="1" x14ac:dyDescent="0.3">
      <c r="A583" s="1" t="s">
        <v>86</v>
      </c>
      <c r="B583" s="1" t="s">
        <v>111</v>
      </c>
      <c r="C583" s="1" t="s">
        <v>4243</v>
      </c>
      <c r="D583" s="1">
        <v>2024</v>
      </c>
      <c r="E583" s="1" t="str">
        <f t="shared" si="2"/>
        <v>F-150F150 XLT 4X4 5.0 AUT2024</v>
      </c>
      <c r="F583" s="1" t="s">
        <v>1240</v>
      </c>
      <c r="G583" s="1">
        <v>35669620</v>
      </c>
      <c r="H583" s="1">
        <v>31000000</v>
      </c>
    </row>
    <row r="584" spans="1:8" ht="13.5" customHeight="1" x14ac:dyDescent="0.3">
      <c r="A584" s="1" t="s">
        <v>86</v>
      </c>
      <c r="B584" s="1" t="s">
        <v>111</v>
      </c>
      <c r="C584" s="1" t="s">
        <v>120</v>
      </c>
      <c r="D584" s="1">
        <v>2022</v>
      </c>
      <c r="E584" s="1" t="str">
        <f t="shared" si="2"/>
        <v>F-150F150 XLT 4X4 5.0L AUT2022</v>
      </c>
      <c r="F584" s="1" t="s">
        <v>546</v>
      </c>
      <c r="G584" s="1">
        <v>33413970</v>
      </c>
      <c r="H584" s="1">
        <v>30000000</v>
      </c>
    </row>
    <row r="585" spans="1:8" ht="13.5" customHeight="1" x14ac:dyDescent="0.3">
      <c r="A585" s="1" t="s">
        <v>86</v>
      </c>
      <c r="B585" s="1" t="s">
        <v>111</v>
      </c>
      <c r="C585" s="1" t="s">
        <v>4244</v>
      </c>
      <c r="D585" s="1">
        <v>2021</v>
      </c>
      <c r="E585" s="1" t="str">
        <f t="shared" si="2"/>
        <v>F-150F150 XLT CC 3.3 AUT2021</v>
      </c>
      <c r="F585" s="1" t="s">
        <v>1796</v>
      </c>
      <c r="G585" s="1">
        <v>26190000</v>
      </c>
      <c r="H585" s="1">
        <v>22000000</v>
      </c>
    </row>
    <row r="586" spans="1:8" ht="13.5" customHeight="1" x14ac:dyDescent="0.3">
      <c r="A586" s="1" t="s">
        <v>86</v>
      </c>
      <c r="B586" s="1" t="s">
        <v>111</v>
      </c>
      <c r="C586" s="1" t="s">
        <v>4245</v>
      </c>
      <c r="D586" s="1">
        <v>2019</v>
      </c>
      <c r="E586" s="1" t="str">
        <f t="shared" si="2"/>
        <v>F-150F150 XLT DCAB 3.3 AUT2019</v>
      </c>
      <c r="F586" s="1" t="s">
        <v>1972</v>
      </c>
      <c r="G586" s="1">
        <v>19690000</v>
      </c>
      <c r="H586" s="1">
        <v>15000000</v>
      </c>
    </row>
    <row r="587" spans="1:8" ht="13.5" customHeight="1" x14ac:dyDescent="0.3">
      <c r="A587" s="1" t="s">
        <v>86</v>
      </c>
      <c r="B587" s="1" t="s">
        <v>111</v>
      </c>
      <c r="C587" s="1" t="s">
        <v>4246</v>
      </c>
      <c r="D587" s="1">
        <v>2019</v>
      </c>
      <c r="E587" s="1" t="str">
        <f t="shared" si="2"/>
        <v>F-150F150 XLT PICKUP 4X4 3.3 AUT2019</v>
      </c>
      <c r="F587" s="1" t="s">
        <v>2468</v>
      </c>
      <c r="G587" s="1">
        <v>21990000</v>
      </c>
      <c r="H587" s="1">
        <v>25000000</v>
      </c>
    </row>
    <row r="588" spans="1:8" ht="13.5" customHeight="1" x14ac:dyDescent="0.3">
      <c r="A588" s="1" t="s">
        <v>86</v>
      </c>
      <c r="B588" s="1" t="s">
        <v>3811</v>
      </c>
      <c r="C588" s="1" t="s">
        <v>4247</v>
      </c>
      <c r="D588" s="1">
        <v>2018</v>
      </c>
      <c r="E588" s="1" t="str">
        <f t="shared" si="2"/>
        <v>FIESTAFIESTA 1.62018</v>
      </c>
      <c r="F588" s="1" t="s">
        <v>1906</v>
      </c>
      <c r="G588" s="1">
        <v>5790000</v>
      </c>
      <c r="H588" s="1">
        <v>5150000</v>
      </c>
    </row>
    <row r="589" spans="1:8" ht="13.5" customHeight="1" x14ac:dyDescent="0.3">
      <c r="A589" s="1" t="s">
        <v>86</v>
      </c>
      <c r="B589" s="1" t="s">
        <v>3523</v>
      </c>
      <c r="C589" s="1" t="s">
        <v>4248</v>
      </c>
      <c r="D589" s="1">
        <v>2018</v>
      </c>
      <c r="E589" s="1" t="str">
        <f t="shared" si="2"/>
        <v>FOCUSFOCUS 2.02018</v>
      </c>
      <c r="F589" s="1" t="s">
        <v>1678</v>
      </c>
      <c r="G589" s="1">
        <v>7850000</v>
      </c>
      <c r="H589" s="1">
        <v>6200000</v>
      </c>
    </row>
    <row r="590" spans="1:8" ht="13.5" customHeight="1" x14ac:dyDescent="0.3">
      <c r="A590" s="1" t="s">
        <v>86</v>
      </c>
      <c r="B590" s="1" t="s">
        <v>3523</v>
      </c>
      <c r="C590" s="1" t="s">
        <v>4249</v>
      </c>
      <c r="D590" s="1">
        <v>2019</v>
      </c>
      <c r="E590" s="1" t="str">
        <f t="shared" si="2"/>
        <v>FOCUSFOCUS 2.0 AUT2019</v>
      </c>
      <c r="F590" s="1" t="s">
        <v>839</v>
      </c>
      <c r="G590" s="1">
        <v>8490000</v>
      </c>
      <c r="H590" s="1">
        <v>6700000</v>
      </c>
    </row>
    <row r="591" spans="1:8" ht="13.5" customHeight="1" x14ac:dyDescent="0.3">
      <c r="A591" s="1" t="s">
        <v>86</v>
      </c>
      <c r="B591" s="1" t="s">
        <v>3523</v>
      </c>
      <c r="C591" s="1" t="s">
        <v>4249</v>
      </c>
      <c r="D591" s="1">
        <v>2019</v>
      </c>
      <c r="E591" s="1" t="str">
        <f t="shared" si="2"/>
        <v>FOCUSFOCUS 2.0 AUT2019</v>
      </c>
      <c r="F591" s="1" t="s">
        <v>4250</v>
      </c>
      <c r="G591" s="1">
        <v>9700000</v>
      </c>
      <c r="H591" s="1">
        <v>9409000</v>
      </c>
    </row>
    <row r="592" spans="1:8" ht="13.5" customHeight="1" x14ac:dyDescent="0.3">
      <c r="A592" s="1" t="s">
        <v>86</v>
      </c>
      <c r="B592" s="1" t="s">
        <v>4251</v>
      </c>
      <c r="C592" s="1" t="s">
        <v>4252</v>
      </c>
      <c r="D592" s="1">
        <v>2017</v>
      </c>
      <c r="E592" s="1" t="str">
        <f t="shared" si="2"/>
        <v>FUSIONFUSION 2.0 AUT2017</v>
      </c>
      <c r="F592" s="1" t="s">
        <v>665</v>
      </c>
      <c r="G592" s="1">
        <v>10560000</v>
      </c>
      <c r="H592" s="1">
        <v>9000000</v>
      </c>
    </row>
    <row r="593" spans="1:8" ht="13.5" customHeight="1" x14ac:dyDescent="0.3">
      <c r="A593" s="1" t="s">
        <v>86</v>
      </c>
      <c r="B593" s="1" t="s">
        <v>3840</v>
      </c>
      <c r="C593" s="1" t="s">
        <v>4253</v>
      </c>
      <c r="D593" s="1">
        <v>2022</v>
      </c>
      <c r="E593" s="1" t="str">
        <f t="shared" si="2"/>
        <v>MAVERICKMAVERICK LARIAT 4X4 2.0 AUT2022</v>
      </c>
      <c r="F593" s="1" t="s">
        <v>1884</v>
      </c>
      <c r="G593" s="1">
        <v>24990000</v>
      </c>
      <c r="H593" s="1">
        <v>21090000</v>
      </c>
    </row>
    <row r="594" spans="1:8" ht="13.5" customHeight="1" x14ac:dyDescent="0.3">
      <c r="A594" s="1" t="s">
        <v>86</v>
      </c>
      <c r="B594" s="1" t="s">
        <v>3840</v>
      </c>
      <c r="C594" s="1" t="s">
        <v>4253</v>
      </c>
      <c r="D594" s="1">
        <v>2024</v>
      </c>
      <c r="E594" s="1" t="str">
        <f t="shared" si="2"/>
        <v>MAVERICKMAVERICK LARIAT 4X4 2.0 AUT2024</v>
      </c>
      <c r="F594" s="1" t="s">
        <v>730</v>
      </c>
      <c r="G594" s="1">
        <v>26990000</v>
      </c>
      <c r="H594" s="1">
        <v>23000000</v>
      </c>
    </row>
    <row r="595" spans="1:8" ht="13.5" customHeight="1" x14ac:dyDescent="0.3">
      <c r="A595" s="1" t="s">
        <v>86</v>
      </c>
      <c r="B595" s="1" t="s">
        <v>4254</v>
      </c>
      <c r="C595" s="1" t="s">
        <v>4255</v>
      </c>
      <c r="D595" s="1">
        <v>2022</v>
      </c>
      <c r="E595" s="1" t="str">
        <f t="shared" si="2"/>
        <v>MUSTANGMUSTANG COUPE 5.0 AUT2022</v>
      </c>
      <c r="F595" s="1" t="s">
        <v>1488</v>
      </c>
      <c r="G595" s="1">
        <v>40000000</v>
      </c>
      <c r="H595" s="1">
        <v>35000000</v>
      </c>
    </row>
    <row r="596" spans="1:8" ht="13.5" customHeight="1" x14ac:dyDescent="0.3">
      <c r="A596" s="1" t="s">
        <v>86</v>
      </c>
      <c r="B596" s="1" t="s">
        <v>4254</v>
      </c>
      <c r="C596" s="1" t="s">
        <v>4256</v>
      </c>
      <c r="D596" s="1">
        <v>2019</v>
      </c>
      <c r="E596" s="1" t="str">
        <f t="shared" si="2"/>
        <v>MUSTANGMUSTANG COUPE GT 5.0 AT2019</v>
      </c>
      <c r="F596" s="1" t="s">
        <v>879</v>
      </c>
      <c r="G596" s="1">
        <v>28890000</v>
      </c>
      <c r="H596" s="1">
        <v>25500000</v>
      </c>
    </row>
    <row r="597" spans="1:8" ht="13.5" customHeight="1" x14ac:dyDescent="0.3">
      <c r="A597" s="1" t="s">
        <v>86</v>
      </c>
      <c r="B597" s="1" t="s">
        <v>122</v>
      </c>
      <c r="C597" s="1" t="s">
        <v>4257</v>
      </c>
      <c r="D597" s="1">
        <v>2020</v>
      </c>
      <c r="E597" s="1" t="str">
        <f t="shared" si="2"/>
        <v>RANGERNEW RANGER RAPTOR 4X4 2.0 AUT2020</v>
      </c>
      <c r="F597" s="1" t="s">
        <v>2229</v>
      </c>
      <c r="G597" s="1">
        <v>35000000</v>
      </c>
      <c r="H597" s="1">
        <v>28500000</v>
      </c>
    </row>
    <row r="598" spans="1:8" ht="13.5" customHeight="1" x14ac:dyDescent="0.3">
      <c r="A598" s="1" t="s">
        <v>86</v>
      </c>
      <c r="B598" s="1" t="s">
        <v>122</v>
      </c>
      <c r="C598" s="1" t="s">
        <v>4257</v>
      </c>
      <c r="D598" s="1">
        <v>2021</v>
      </c>
      <c r="E598" s="1" t="str">
        <f t="shared" si="2"/>
        <v>RANGERNEW RANGER RAPTOR 4X4 2.0 AUT2021</v>
      </c>
      <c r="F598" s="1" t="s">
        <v>441</v>
      </c>
      <c r="G598" s="1">
        <v>32290000</v>
      </c>
      <c r="H598" s="1">
        <v>25350000</v>
      </c>
    </row>
    <row r="599" spans="1:8" ht="13.5" customHeight="1" x14ac:dyDescent="0.3">
      <c r="A599" s="1" t="s">
        <v>86</v>
      </c>
      <c r="B599" s="1" t="s">
        <v>122</v>
      </c>
      <c r="C599" s="1" t="s">
        <v>4257</v>
      </c>
      <c r="D599" s="1">
        <v>2022</v>
      </c>
      <c r="E599" s="1" t="str">
        <f t="shared" si="2"/>
        <v>RANGERNEW RANGER RAPTOR 4X4 2.0 AUT2022</v>
      </c>
      <c r="F599" s="1" t="s">
        <v>4258</v>
      </c>
      <c r="G599" s="1">
        <v>39000000</v>
      </c>
      <c r="H599" s="1">
        <v>39000000</v>
      </c>
    </row>
    <row r="600" spans="1:8" ht="13.5" customHeight="1" x14ac:dyDescent="0.3">
      <c r="A600" s="1" t="s">
        <v>86</v>
      </c>
      <c r="B600" s="1" t="s">
        <v>122</v>
      </c>
      <c r="C600" s="1" t="s">
        <v>4259</v>
      </c>
      <c r="D600" s="1">
        <v>2014</v>
      </c>
      <c r="E600" s="1" t="str">
        <f t="shared" si="2"/>
        <v>RANGERRANGER  XL  2.52014</v>
      </c>
      <c r="F600" s="1" t="s">
        <v>1986</v>
      </c>
      <c r="G600" s="1">
        <v>10990000</v>
      </c>
      <c r="H600" s="1">
        <v>8500000</v>
      </c>
    </row>
    <row r="601" spans="1:8" ht="13.5" customHeight="1" x14ac:dyDescent="0.3">
      <c r="A601" s="1" t="s">
        <v>86</v>
      </c>
      <c r="B601" s="1" t="s">
        <v>122</v>
      </c>
      <c r="C601" s="1" t="s">
        <v>4260</v>
      </c>
      <c r="D601" s="1">
        <v>2020</v>
      </c>
      <c r="E601" s="1" t="str">
        <f t="shared" si="2"/>
        <v>RANGERRANGER 3.22020</v>
      </c>
      <c r="F601" s="1" t="s">
        <v>2463</v>
      </c>
      <c r="G601" s="1">
        <v>20990000</v>
      </c>
      <c r="H601" s="1">
        <v>25500001</v>
      </c>
    </row>
    <row r="602" spans="1:8" ht="13.5" customHeight="1" x14ac:dyDescent="0.3">
      <c r="A602" s="1" t="s">
        <v>86</v>
      </c>
      <c r="B602" s="1" t="s">
        <v>122</v>
      </c>
      <c r="C602" s="1" t="s">
        <v>4261</v>
      </c>
      <c r="D602" s="1">
        <v>2021</v>
      </c>
      <c r="E602" s="1" t="str">
        <f t="shared" si="2"/>
        <v>RANGERRANGER 4X2 2.52021</v>
      </c>
      <c r="F602" s="1" t="s">
        <v>1632</v>
      </c>
      <c r="G602" s="1">
        <v>17990000</v>
      </c>
      <c r="H602" s="1">
        <v>15000000</v>
      </c>
    </row>
    <row r="603" spans="1:8" ht="13.5" customHeight="1" x14ac:dyDescent="0.3">
      <c r="A603" s="1" t="s">
        <v>86</v>
      </c>
      <c r="B603" s="1" t="s">
        <v>122</v>
      </c>
      <c r="C603" s="1" t="s">
        <v>4262</v>
      </c>
      <c r="D603" s="1">
        <v>2019</v>
      </c>
      <c r="E603" s="1" t="str">
        <f t="shared" si="2"/>
        <v>RANGERRANGER DCAB 4X4 3.2 AUT2019</v>
      </c>
      <c r="F603" s="1" t="s">
        <v>1196</v>
      </c>
      <c r="G603" s="1">
        <v>14000000</v>
      </c>
      <c r="H603" s="1">
        <v>13500000</v>
      </c>
    </row>
    <row r="604" spans="1:8" ht="13.5" customHeight="1" x14ac:dyDescent="0.3">
      <c r="A604" s="1" t="s">
        <v>86</v>
      </c>
      <c r="B604" s="1" t="s">
        <v>122</v>
      </c>
      <c r="C604" s="1" t="s">
        <v>4262</v>
      </c>
      <c r="D604" s="1">
        <v>2022</v>
      </c>
      <c r="E604" s="1" t="str">
        <f t="shared" si="2"/>
        <v>RANGERRANGER DCAB 4X4 3.2 AUT2022</v>
      </c>
      <c r="F604" s="1" t="s">
        <v>2103</v>
      </c>
      <c r="G604" s="1">
        <v>28890000</v>
      </c>
      <c r="H604" s="1">
        <v>24000000</v>
      </c>
    </row>
    <row r="605" spans="1:8" ht="13.5" customHeight="1" x14ac:dyDescent="0.3">
      <c r="A605" s="1" t="s">
        <v>86</v>
      </c>
      <c r="B605" s="1" t="s">
        <v>122</v>
      </c>
      <c r="C605" s="1" t="s">
        <v>4262</v>
      </c>
      <c r="D605" s="1">
        <v>2022</v>
      </c>
      <c r="E605" s="1" t="str">
        <f t="shared" si="2"/>
        <v>RANGERRANGER DCAB 4X4 3.2 AUT2022</v>
      </c>
      <c r="F605" s="1" t="s">
        <v>1692</v>
      </c>
      <c r="G605" s="1">
        <v>25190000</v>
      </c>
      <c r="H605" s="1">
        <v>21500000</v>
      </c>
    </row>
    <row r="606" spans="1:8" ht="13.5" customHeight="1" x14ac:dyDescent="0.3">
      <c r="A606" s="1" t="s">
        <v>86</v>
      </c>
      <c r="B606" s="1" t="s">
        <v>122</v>
      </c>
      <c r="C606" s="1" t="s">
        <v>4262</v>
      </c>
      <c r="D606" s="1">
        <v>2022</v>
      </c>
      <c r="E606" s="1" t="str">
        <f t="shared" si="2"/>
        <v>RANGERRANGER DCAB 4X4 3.2 AUT2022</v>
      </c>
      <c r="F606" s="1" t="s">
        <v>1264</v>
      </c>
      <c r="G606" s="1">
        <v>23990000</v>
      </c>
      <c r="H606" s="1">
        <v>22000000</v>
      </c>
    </row>
    <row r="607" spans="1:8" ht="13.5" customHeight="1" x14ac:dyDescent="0.3">
      <c r="A607" s="1" t="s">
        <v>86</v>
      </c>
      <c r="B607" s="1" t="s">
        <v>122</v>
      </c>
      <c r="C607" s="1" t="s">
        <v>4263</v>
      </c>
      <c r="D607" s="1">
        <v>2020</v>
      </c>
      <c r="E607" s="1" t="str">
        <f t="shared" si="2"/>
        <v>RANGERRANGER DCAB XLS 4X4 3.22020</v>
      </c>
      <c r="F607" s="1" t="s">
        <v>1402</v>
      </c>
      <c r="G607" s="1">
        <v>15990000</v>
      </c>
      <c r="H607" s="1">
        <v>13500000</v>
      </c>
    </row>
    <row r="608" spans="1:8" ht="13.5" customHeight="1" x14ac:dyDescent="0.3">
      <c r="A608" s="1" t="s">
        <v>86</v>
      </c>
      <c r="B608" s="1" t="s">
        <v>122</v>
      </c>
      <c r="C608" s="1" t="s">
        <v>4264</v>
      </c>
      <c r="D608" s="1">
        <v>2021</v>
      </c>
      <c r="E608" s="1" t="str">
        <f t="shared" si="2"/>
        <v>RANGERRANGER DCAB XLT 3.22021</v>
      </c>
      <c r="F608" s="1" t="s">
        <v>2240</v>
      </c>
      <c r="G608" s="1">
        <v>19990000</v>
      </c>
      <c r="H608" s="1">
        <v>17000000</v>
      </c>
    </row>
    <row r="609" spans="1:8" ht="13.5" customHeight="1" x14ac:dyDescent="0.3">
      <c r="A609" s="1" t="s">
        <v>86</v>
      </c>
      <c r="B609" s="1" t="s">
        <v>122</v>
      </c>
      <c r="C609" s="1" t="s">
        <v>4264</v>
      </c>
      <c r="D609" s="1">
        <v>2022</v>
      </c>
      <c r="E609" s="1" t="str">
        <f t="shared" si="2"/>
        <v>RANGERRANGER DCAB XLT 3.22022</v>
      </c>
      <c r="F609" s="1" t="s">
        <v>2015</v>
      </c>
      <c r="G609" s="1">
        <v>21990000</v>
      </c>
      <c r="H609" s="1">
        <v>20000000</v>
      </c>
    </row>
    <row r="610" spans="1:8" ht="13.5" customHeight="1" x14ac:dyDescent="0.3">
      <c r="A610" s="1" t="s">
        <v>86</v>
      </c>
      <c r="B610" s="1" t="s">
        <v>122</v>
      </c>
      <c r="C610" s="1" t="s">
        <v>4265</v>
      </c>
      <c r="D610" s="1">
        <v>2022</v>
      </c>
      <c r="E610" s="1" t="str">
        <f t="shared" si="2"/>
        <v>RANGERRANGER DCAB XLT 4X4 3.22022</v>
      </c>
      <c r="G610" s="1">
        <v>22690000</v>
      </c>
      <c r="H610" s="1">
        <v>0</v>
      </c>
    </row>
    <row r="611" spans="1:8" ht="13.5" customHeight="1" x14ac:dyDescent="0.3">
      <c r="A611" s="1" t="s">
        <v>86</v>
      </c>
      <c r="B611" s="1" t="s">
        <v>122</v>
      </c>
      <c r="C611" s="1" t="s">
        <v>4265</v>
      </c>
      <c r="D611" s="1">
        <v>2022</v>
      </c>
      <c r="E611" s="1" t="str">
        <f t="shared" si="2"/>
        <v>RANGERRANGER DCAB XLT 4X4 3.22022</v>
      </c>
      <c r="F611" s="1" t="s">
        <v>1401</v>
      </c>
      <c r="G611" s="1">
        <v>20890000</v>
      </c>
      <c r="H611" s="1">
        <v>19500000</v>
      </c>
    </row>
    <row r="612" spans="1:8" ht="13.5" customHeight="1" x14ac:dyDescent="0.3">
      <c r="A612" s="1" t="s">
        <v>86</v>
      </c>
      <c r="B612" s="1" t="s">
        <v>122</v>
      </c>
      <c r="C612" s="1" t="s">
        <v>4265</v>
      </c>
      <c r="D612" s="1">
        <v>2023</v>
      </c>
      <c r="E612" s="1" t="str">
        <f t="shared" si="2"/>
        <v>RANGERRANGER DCAB XLT 4X4 3.22023</v>
      </c>
      <c r="F612" s="1" t="s">
        <v>1758</v>
      </c>
      <c r="G612" s="1">
        <v>24490000</v>
      </c>
      <c r="H612" s="1">
        <v>22500000</v>
      </c>
    </row>
    <row r="613" spans="1:8" ht="13.5" customHeight="1" x14ac:dyDescent="0.3">
      <c r="A613" s="1" t="s">
        <v>86</v>
      </c>
      <c r="B613" s="1" t="s">
        <v>122</v>
      </c>
      <c r="C613" s="1" t="s">
        <v>4266</v>
      </c>
      <c r="D613" s="1">
        <v>2023</v>
      </c>
      <c r="E613" s="1" t="str">
        <f t="shared" si="2"/>
        <v>RANGERRANGER FX4 4X4 3.2 AT2023</v>
      </c>
      <c r="F613" s="1" t="s">
        <v>476</v>
      </c>
      <c r="G613" s="1">
        <v>26990000</v>
      </c>
      <c r="H613" s="1">
        <v>22100000</v>
      </c>
    </row>
    <row r="614" spans="1:8" ht="13.5" customHeight="1" x14ac:dyDescent="0.3">
      <c r="A614" s="1" t="s">
        <v>86</v>
      </c>
      <c r="B614" s="1" t="s">
        <v>122</v>
      </c>
      <c r="C614" s="1" t="s">
        <v>123</v>
      </c>
      <c r="D614" s="1">
        <v>2024</v>
      </c>
      <c r="E614" s="1" t="str">
        <f t="shared" si="2"/>
        <v>RANGERRANGER LTD 4X4 3.0 AUT2024</v>
      </c>
      <c r="F614" s="1" t="s">
        <v>1051</v>
      </c>
      <c r="G614" s="1">
        <v>35990000</v>
      </c>
      <c r="H614" s="1">
        <v>37000000</v>
      </c>
    </row>
    <row r="615" spans="1:8" ht="13.5" customHeight="1" x14ac:dyDescent="0.3">
      <c r="A615" s="1" t="s">
        <v>86</v>
      </c>
      <c r="B615" s="1" t="s">
        <v>122</v>
      </c>
      <c r="C615" s="1" t="s">
        <v>123</v>
      </c>
      <c r="D615" s="1">
        <v>2025</v>
      </c>
      <c r="E615" s="1" t="str">
        <f t="shared" si="2"/>
        <v>RANGERRANGER LTD 4X4 3.0 AUT2025</v>
      </c>
      <c r="F615" s="1" t="s">
        <v>452</v>
      </c>
      <c r="G615" s="1">
        <v>40000000</v>
      </c>
      <c r="H615" s="1">
        <v>36000000</v>
      </c>
    </row>
    <row r="616" spans="1:8" ht="13.5" customHeight="1" x14ac:dyDescent="0.3">
      <c r="A616" s="1" t="s">
        <v>86</v>
      </c>
      <c r="B616" s="1" t="s">
        <v>122</v>
      </c>
      <c r="C616" s="1" t="s">
        <v>123</v>
      </c>
      <c r="D616" s="1">
        <v>2025</v>
      </c>
      <c r="E616" s="1" t="str">
        <f t="shared" si="2"/>
        <v>RANGERRANGER LTD 4X4 3.0 AUT2025</v>
      </c>
      <c r="F616" s="1" t="s">
        <v>455</v>
      </c>
      <c r="G616" s="1">
        <v>40190000</v>
      </c>
      <c r="H616" s="1">
        <v>36000000</v>
      </c>
    </row>
    <row r="617" spans="1:8" ht="13.5" customHeight="1" x14ac:dyDescent="0.3">
      <c r="A617" s="1" t="s">
        <v>86</v>
      </c>
      <c r="B617" s="1" t="s">
        <v>122</v>
      </c>
      <c r="C617" s="1" t="s">
        <v>4267</v>
      </c>
      <c r="D617" s="1">
        <v>2019</v>
      </c>
      <c r="E617" s="1" t="str">
        <f t="shared" si="2"/>
        <v>RANGERRANGER LTD 4X4 3.22019</v>
      </c>
      <c r="F617" s="1" t="s">
        <v>1794</v>
      </c>
      <c r="G617" s="1">
        <v>13690000</v>
      </c>
      <c r="H617" s="1">
        <v>12200000</v>
      </c>
    </row>
    <row r="618" spans="1:8" ht="13.5" customHeight="1" x14ac:dyDescent="0.3">
      <c r="A618" s="1" t="s">
        <v>86</v>
      </c>
      <c r="B618" s="1" t="s">
        <v>122</v>
      </c>
      <c r="C618" s="1" t="s">
        <v>4267</v>
      </c>
      <c r="D618" s="1">
        <v>2020</v>
      </c>
      <c r="E618" s="1" t="str">
        <f t="shared" si="2"/>
        <v>RANGERRANGER LTD 4X4 3.22020</v>
      </c>
      <c r="F618" s="1" t="s">
        <v>2069</v>
      </c>
      <c r="G618" s="1">
        <v>19990000</v>
      </c>
      <c r="H618" s="1">
        <v>19390038</v>
      </c>
    </row>
    <row r="619" spans="1:8" ht="13.5" customHeight="1" x14ac:dyDescent="0.3">
      <c r="A619" s="1" t="s">
        <v>86</v>
      </c>
      <c r="B619" s="1" t="s">
        <v>122</v>
      </c>
      <c r="C619" s="1" t="s">
        <v>4268</v>
      </c>
      <c r="D619" s="1">
        <v>2019</v>
      </c>
      <c r="E619" s="1" t="str">
        <f t="shared" si="2"/>
        <v>RANGERRANGER LTD 4X4 3.2 AUT2019</v>
      </c>
      <c r="F619" s="1" t="s">
        <v>2318</v>
      </c>
      <c r="G619" s="1">
        <v>21190000</v>
      </c>
      <c r="H619" s="1">
        <v>18000000</v>
      </c>
    </row>
    <row r="620" spans="1:8" ht="13.5" customHeight="1" x14ac:dyDescent="0.3">
      <c r="A620" s="1" t="s">
        <v>86</v>
      </c>
      <c r="B620" s="1" t="s">
        <v>122</v>
      </c>
      <c r="C620" s="1" t="s">
        <v>125</v>
      </c>
      <c r="D620" s="1">
        <v>2021</v>
      </c>
      <c r="E620" s="1" t="str">
        <f t="shared" si="2"/>
        <v>RANGERRANGER RAPTOR 4X4 2.0 AUT2021</v>
      </c>
      <c r="F620" s="1" t="s">
        <v>1499</v>
      </c>
      <c r="G620" s="1">
        <v>34192120</v>
      </c>
      <c r="H620" s="1">
        <v>30000000</v>
      </c>
    </row>
    <row r="621" spans="1:8" ht="13.5" customHeight="1" x14ac:dyDescent="0.3">
      <c r="A621" s="1" t="s">
        <v>86</v>
      </c>
      <c r="B621" s="1" t="s">
        <v>122</v>
      </c>
      <c r="C621" s="1" t="s">
        <v>125</v>
      </c>
      <c r="D621" s="1">
        <v>2021</v>
      </c>
      <c r="E621" s="1" t="str">
        <f t="shared" si="2"/>
        <v>RANGERRANGER RAPTOR 4X4 2.0 AUT2021</v>
      </c>
      <c r="F621" s="1" t="s">
        <v>1855</v>
      </c>
      <c r="G621" s="1">
        <v>37990000</v>
      </c>
      <c r="H621" s="1">
        <v>32000000</v>
      </c>
    </row>
    <row r="622" spans="1:8" ht="13.5" customHeight="1" x14ac:dyDescent="0.3">
      <c r="A622" s="1" t="s">
        <v>86</v>
      </c>
      <c r="B622" s="1" t="s">
        <v>122</v>
      </c>
      <c r="C622" s="1" t="s">
        <v>125</v>
      </c>
      <c r="D622" s="1">
        <v>2021</v>
      </c>
      <c r="E622" s="1" t="str">
        <f t="shared" si="2"/>
        <v>RANGERRANGER RAPTOR 4X4 2.0 AUT2021</v>
      </c>
      <c r="F622" s="1" t="s">
        <v>1333</v>
      </c>
      <c r="G622" s="1">
        <v>37541120</v>
      </c>
      <c r="H622" s="1">
        <v>32500000</v>
      </c>
    </row>
    <row r="623" spans="1:8" ht="13.5" customHeight="1" x14ac:dyDescent="0.3">
      <c r="A623" s="1" t="s">
        <v>86</v>
      </c>
      <c r="B623" s="1" t="s">
        <v>122</v>
      </c>
      <c r="C623" s="1" t="s">
        <v>125</v>
      </c>
      <c r="D623" s="1">
        <v>2022</v>
      </c>
      <c r="E623" s="1" t="str">
        <f t="shared" si="2"/>
        <v>RANGERRANGER RAPTOR 4X4 2.0 AUT2022</v>
      </c>
      <c r="F623" s="1" t="s">
        <v>1663</v>
      </c>
      <c r="G623" s="1">
        <v>35890000</v>
      </c>
      <c r="H623" s="1">
        <v>31000000</v>
      </c>
    </row>
    <row r="624" spans="1:8" ht="13.5" customHeight="1" x14ac:dyDescent="0.3">
      <c r="A624" s="1" t="s">
        <v>86</v>
      </c>
      <c r="B624" s="1" t="s">
        <v>122</v>
      </c>
      <c r="C624" s="1" t="s">
        <v>125</v>
      </c>
      <c r="D624" s="1">
        <v>2022</v>
      </c>
      <c r="E624" s="1" t="str">
        <f t="shared" si="2"/>
        <v>RANGERRANGER RAPTOR 4X4 2.0 AUT2022</v>
      </c>
      <c r="F624" s="1" t="s">
        <v>1070</v>
      </c>
      <c r="G624" s="1">
        <v>35990000</v>
      </c>
      <c r="H624" s="1">
        <v>30000000</v>
      </c>
    </row>
    <row r="625" spans="1:8" ht="13.5" customHeight="1" x14ac:dyDescent="0.3">
      <c r="A625" s="1" t="s">
        <v>86</v>
      </c>
      <c r="B625" s="1" t="s">
        <v>122</v>
      </c>
      <c r="C625" s="1" t="s">
        <v>125</v>
      </c>
      <c r="D625" s="1">
        <v>2022</v>
      </c>
      <c r="E625" s="1" t="str">
        <f t="shared" si="2"/>
        <v>RANGERRANGER RAPTOR 4X4 2.0 AUT2022</v>
      </c>
      <c r="F625" s="1" t="s">
        <v>993</v>
      </c>
      <c r="G625" s="1">
        <v>29990000</v>
      </c>
      <c r="H625" s="1">
        <v>28650000</v>
      </c>
    </row>
    <row r="626" spans="1:8" ht="13.5" customHeight="1" x14ac:dyDescent="0.3">
      <c r="A626" s="1" t="s">
        <v>86</v>
      </c>
      <c r="B626" s="1" t="s">
        <v>122</v>
      </c>
      <c r="C626" s="1" t="s">
        <v>127</v>
      </c>
      <c r="D626" s="1">
        <v>2024</v>
      </c>
      <c r="E626" s="1" t="str">
        <f t="shared" si="2"/>
        <v>RANGERRANGER RAPTOR 4X4 3.0 AT2024</v>
      </c>
      <c r="F626" s="1" t="s">
        <v>129</v>
      </c>
      <c r="G626" s="1">
        <v>49990000</v>
      </c>
      <c r="H626" s="1">
        <v>44000000</v>
      </c>
    </row>
    <row r="627" spans="1:8" ht="13.5" customHeight="1" x14ac:dyDescent="0.3">
      <c r="A627" s="1" t="s">
        <v>86</v>
      </c>
      <c r="B627" s="1" t="s">
        <v>122</v>
      </c>
      <c r="C627" s="1" t="s">
        <v>127</v>
      </c>
      <c r="D627" s="1">
        <v>2025</v>
      </c>
      <c r="E627" s="1" t="str">
        <f t="shared" si="2"/>
        <v>RANGERRANGER RAPTOR 4X4 3.0 AT2025</v>
      </c>
      <c r="F627" s="1" t="s">
        <v>479</v>
      </c>
      <c r="G627" s="1">
        <v>48990000</v>
      </c>
      <c r="H627" s="1">
        <v>41200000</v>
      </c>
    </row>
    <row r="628" spans="1:8" ht="13.5" customHeight="1" x14ac:dyDescent="0.3">
      <c r="A628" s="1" t="s">
        <v>86</v>
      </c>
      <c r="B628" s="1" t="s">
        <v>122</v>
      </c>
      <c r="C628" s="1" t="s">
        <v>4269</v>
      </c>
      <c r="D628" s="1">
        <v>2022</v>
      </c>
      <c r="E628" s="1" t="str">
        <f t="shared" si="2"/>
        <v>RANGERRANGER STORM 4X4 3.22022</v>
      </c>
      <c r="F628" s="1" t="s">
        <v>990</v>
      </c>
      <c r="G628" s="1">
        <v>22590000</v>
      </c>
      <c r="H628" s="1">
        <v>19400000</v>
      </c>
    </row>
    <row r="629" spans="1:8" ht="13.5" customHeight="1" x14ac:dyDescent="0.3">
      <c r="A629" s="1" t="s">
        <v>86</v>
      </c>
      <c r="B629" s="1" t="s">
        <v>122</v>
      </c>
      <c r="C629" s="1" t="s">
        <v>4270</v>
      </c>
      <c r="D629" s="1">
        <v>2023</v>
      </c>
      <c r="E629" s="1" t="str">
        <f t="shared" si="2"/>
        <v>RANGERRANGER XL 4X4 2.22023</v>
      </c>
      <c r="F629" s="1" t="s">
        <v>1635</v>
      </c>
      <c r="G629" s="1">
        <v>22570120</v>
      </c>
      <c r="H629" s="1">
        <v>19000000</v>
      </c>
    </row>
    <row r="630" spans="1:8" ht="13.5" customHeight="1" x14ac:dyDescent="0.3">
      <c r="A630" s="1" t="s">
        <v>86</v>
      </c>
      <c r="B630" s="1" t="s">
        <v>122</v>
      </c>
      <c r="C630" s="1" t="s">
        <v>4271</v>
      </c>
      <c r="D630" s="1">
        <v>2023</v>
      </c>
      <c r="E630" s="1" t="str">
        <f t="shared" si="2"/>
        <v>RANGERRANGER XL M 4X4 2.22023</v>
      </c>
      <c r="F630" s="1" t="s">
        <v>1623</v>
      </c>
      <c r="G630" s="1">
        <v>19990000</v>
      </c>
      <c r="H630" s="1">
        <v>17950000</v>
      </c>
    </row>
    <row r="631" spans="1:8" ht="13.5" customHeight="1" x14ac:dyDescent="0.3">
      <c r="A631" s="1" t="s">
        <v>86</v>
      </c>
      <c r="B631" s="1" t="s">
        <v>122</v>
      </c>
      <c r="C631" s="1" t="s">
        <v>4271</v>
      </c>
      <c r="D631" s="1">
        <v>2023</v>
      </c>
      <c r="E631" s="1" t="str">
        <f t="shared" si="2"/>
        <v>RANGERRANGER XL M 4X4 2.22023</v>
      </c>
      <c r="F631" s="1" t="s">
        <v>534</v>
      </c>
      <c r="G631" s="1">
        <v>18990000</v>
      </c>
      <c r="H631" s="1">
        <v>16500000</v>
      </c>
    </row>
    <row r="632" spans="1:8" ht="13.5" customHeight="1" x14ac:dyDescent="0.3">
      <c r="A632" s="1" t="s">
        <v>86</v>
      </c>
      <c r="B632" s="1" t="s">
        <v>122</v>
      </c>
      <c r="C632" s="1" t="s">
        <v>4271</v>
      </c>
      <c r="D632" s="1">
        <v>2024</v>
      </c>
      <c r="E632" s="1" t="str">
        <f t="shared" si="2"/>
        <v>RANGERRANGER XL M 4X4 2.22024</v>
      </c>
      <c r="F632" s="1" t="s">
        <v>1394</v>
      </c>
      <c r="G632" s="1">
        <v>20490000</v>
      </c>
      <c r="H632" s="1">
        <v>17500000</v>
      </c>
    </row>
    <row r="633" spans="1:8" ht="13.5" customHeight="1" x14ac:dyDescent="0.3">
      <c r="A633" s="1" t="s">
        <v>86</v>
      </c>
      <c r="B633" s="1" t="s">
        <v>122</v>
      </c>
      <c r="C633" s="1" t="s">
        <v>4272</v>
      </c>
      <c r="D633" s="1">
        <v>2023</v>
      </c>
      <c r="E633" s="1" t="str">
        <f t="shared" si="2"/>
        <v>RANGERRANGER XLS DCAB 4X4 3.22023</v>
      </c>
      <c r="F633" s="1" t="s">
        <v>592</v>
      </c>
      <c r="G633" s="1">
        <v>20990000</v>
      </c>
      <c r="H633" s="1">
        <v>17700000</v>
      </c>
    </row>
    <row r="634" spans="1:8" ht="13.5" customHeight="1" x14ac:dyDescent="0.3">
      <c r="A634" s="1" t="s">
        <v>86</v>
      </c>
      <c r="B634" s="1" t="s">
        <v>122</v>
      </c>
      <c r="C634" s="1" t="s">
        <v>4273</v>
      </c>
      <c r="D634" s="1">
        <v>2023</v>
      </c>
      <c r="E634" s="1" t="str">
        <f t="shared" si="2"/>
        <v>RANGERRANGER XLT 2.0 AUT2023</v>
      </c>
      <c r="F634" s="1" t="s">
        <v>1581</v>
      </c>
      <c r="G634" s="1">
        <v>30190000</v>
      </c>
      <c r="H634" s="1">
        <v>26000000</v>
      </c>
    </row>
    <row r="635" spans="1:8" ht="13.5" customHeight="1" x14ac:dyDescent="0.3">
      <c r="A635" s="1" t="s">
        <v>86</v>
      </c>
      <c r="B635" s="1" t="s">
        <v>122</v>
      </c>
      <c r="C635" s="1" t="s">
        <v>4273</v>
      </c>
      <c r="D635" s="1">
        <v>2024</v>
      </c>
      <c r="E635" s="1" t="str">
        <f t="shared" si="2"/>
        <v>RANGERRANGER XLT 2.0 AUT2024</v>
      </c>
      <c r="F635" s="1" t="s">
        <v>820</v>
      </c>
      <c r="G635" s="1">
        <v>30290000</v>
      </c>
      <c r="H635" s="1">
        <v>21848740</v>
      </c>
    </row>
    <row r="636" spans="1:8" ht="13.5" customHeight="1" x14ac:dyDescent="0.3">
      <c r="A636" s="1" t="s">
        <v>86</v>
      </c>
      <c r="B636" s="1" t="s">
        <v>122</v>
      </c>
      <c r="C636" s="1" t="s">
        <v>132</v>
      </c>
      <c r="D636" s="1">
        <v>2019</v>
      </c>
      <c r="E636" s="1" t="str">
        <f t="shared" si="2"/>
        <v>RANGERRANGER XLT 2.52019</v>
      </c>
      <c r="F636" s="1" t="s">
        <v>1475</v>
      </c>
      <c r="G636" s="1">
        <v>12390000</v>
      </c>
      <c r="H636" s="1">
        <v>10500000</v>
      </c>
    </row>
    <row r="637" spans="1:8" ht="13.5" customHeight="1" x14ac:dyDescent="0.3">
      <c r="A637" s="1" t="s">
        <v>86</v>
      </c>
      <c r="B637" s="1" t="s">
        <v>122</v>
      </c>
      <c r="C637" s="1" t="s">
        <v>4274</v>
      </c>
      <c r="D637" s="1">
        <v>2018</v>
      </c>
      <c r="E637" s="1" t="str">
        <f t="shared" si="2"/>
        <v>RANGERRANGER XLT 3.22018</v>
      </c>
      <c r="F637" s="1" t="s">
        <v>2172</v>
      </c>
      <c r="G637" s="1">
        <v>15790000</v>
      </c>
      <c r="H637" s="1">
        <v>13000000</v>
      </c>
    </row>
    <row r="638" spans="1:8" ht="13.5" customHeight="1" x14ac:dyDescent="0.3">
      <c r="A638" s="1" t="s">
        <v>86</v>
      </c>
      <c r="B638" s="1" t="s">
        <v>122</v>
      </c>
      <c r="C638" s="1" t="s">
        <v>4274</v>
      </c>
      <c r="D638" s="1">
        <v>2018</v>
      </c>
      <c r="E638" s="1" t="str">
        <f t="shared" si="2"/>
        <v>RANGERRANGER XLT 3.22018</v>
      </c>
      <c r="F638" s="1" t="s">
        <v>404</v>
      </c>
      <c r="G638" s="1">
        <v>12990000</v>
      </c>
      <c r="H638" s="1">
        <v>10990000</v>
      </c>
    </row>
    <row r="639" spans="1:8" ht="13.5" customHeight="1" x14ac:dyDescent="0.3">
      <c r="A639" s="1" t="s">
        <v>86</v>
      </c>
      <c r="B639" s="1" t="s">
        <v>122</v>
      </c>
      <c r="C639" s="1" t="s">
        <v>4274</v>
      </c>
      <c r="D639" s="1">
        <v>2019</v>
      </c>
      <c r="E639" s="1" t="str">
        <f t="shared" si="2"/>
        <v>RANGERRANGER XLT 3.22019</v>
      </c>
      <c r="F639" s="1" t="s">
        <v>2064</v>
      </c>
      <c r="G639" s="1">
        <v>16490000</v>
      </c>
      <c r="H639" s="1">
        <v>14200000</v>
      </c>
    </row>
    <row r="640" spans="1:8" ht="13.5" customHeight="1" x14ac:dyDescent="0.3">
      <c r="A640" s="1" t="s">
        <v>86</v>
      </c>
      <c r="B640" s="1" t="s">
        <v>122</v>
      </c>
      <c r="C640" s="1" t="s">
        <v>4274</v>
      </c>
      <c r="D640" s="1">
        <v>2019</v>
      </c>
      <c r="E640" s="1" t="str">
        <f t="shared" si="2"/>
        <v>RANGERRANGER XLT 3.22019</v>
      </c>
      <c r="F640" s="1" t="s">
        <v>1999</v>
      </c>
      <c r="G640" s="1">
        <v>16390000</v>
      </c>
      <c r="H640" s="1">
        <v>13500000</v>
      </c>
    </row>
    <row r="641" spans="1:8" ht="13.5" customHeight="1" x14ac:dyDescent="0.3">
      <c r="A641" s="1" t="s">
        <v>86</v>
      </c>
      <c r="B641" s="1" t="s">
        <v>122</v>
      </c>
      <c r="C641" s="1" t="s">
        <v>4274</v>
      </c>
      <c r="D641" s="1">
        <v>2020</v>
      </c>
      <c r="E641" s="1" t="str">
        <f t="shared" si="2"/>
        <v>RANGERRANGER XLT 3.22020</v>
      </c>
      <c r="F641" s="1" t="s">
        <v>1865</v>
      </c>
      <c r="G641" s="1">
        <v>16990000</v>
      </c>
      <c r="H641" s="1">
        <v>13980618</v>
      </c>
    </row>
    <row r="642" spans="1:8" ht="13.5" customHeight="1" x14ac:dyDescent="0.3">
      <c r="A642" s="1" t="s">
        <v>86</v>
      </c>
      <c r="B642" s="1" t="s">
        <v>122</v>
      </c>
      <c r="C642" s="1" t="s">
        <v>4274</v>
      </c>
      <c r="D642" s="1">
        <v>2023</v>
      </c>
      <c r="E642" s="1" t="str">
        <f t="shared" si="2"/>
        <v>RANGERRANGER XLT 3.22023</v>
      </c>
      <c r="F642" s="1" t="s">
        <v>1887</v>
      </c>
      <c r="G642" s="1">
        <v>26720620</v>
      </c>
      <c r="H642" s="1">
        <v>22500000</v>
      </c>
    </row>
    <row r="643" spans="1:8" ht="13.5" customHeight="1" x14ac:dyDescent="0.3">
      <c r="A643" s="1" t="s">
        <v>86</v>
      </c>
      <c r="B643" s="1" t="s">
        <v>122</v>
      </c>
      <c r="C643" s="1" t="s">
        <v>4275</v>
      </c>
      <c r="D643" s="1">
        <v>2024</v>
      </c>
      <c r="E643" s="1" t="str">
        <f t="shared" si="2"/>
        <v>RANGERRANGER XLT 4X4 2.02024</v>
      </c>
      <c r="F643" s="1" t="s">
        <v>1192</v>
      </c>
      <c r="G643" s="1">
        <v>32490000</v>
      </c>
      <c r="H643" s="1">
        <v>29000000</v>
      </c>
    </row>
    <row r="644" spans="1:8" ht="13.5" customHeight="1" x14ac:dyDescent="0.3">
      <c r="A644" s="1" t="s">
        <v>86</v>
      </c>
      <c r="B644" s="1" t="s">
        <v>122</v>
      </c>
      <c r="C644" s="1" t="s">
        <v>4275</v>
      </c>
      <c r="D644" s="1">
        <v>2024</v>
      </c>
      <c r="E644" s="1" t="str">
        <f t="shared" si="2"/>
        <v>RANGERRANGER XLT 4X4 2.02024</v>
      </c>
      <c r="F644" s="1" t="s">
        <v>707</v>
      </c>
      <c r="G644" s="1">
        <v>28000000</v>
      </c>
      <c r="H644" s="1">
        <v>25000000</v>
      </c>
    </row>
    <row r="645" spans="1:8" ht="13.5" customHeight="1" x14ac:dyDescent="0.3">
      <c r="A645" s="1" t="s">
        <v>86</v>
      </c>
      <c r="B645" s="1" t="s">
        <v>122</v>
      </c>
      <c r="C645" s="1" t="s">
        <v>4275</v>
      </c>
      <c r="D645" s="1">
        <v>2024</v>
      </c>
      <c r="E645" s="1" t="str">
        <f t="shared" si="2"/>
        <v>RANGERRANGER XLT 4X4 2.02024</v>
      </c>
      <c r="F645" s="1" t="s">
        <v>1206</v>
      </c>
      <c r="G645" s="1">
        <v>32419120</v>
      </c>
      <c r="H645" s="1">
        <v>29000000</v>
      </c>
    </row>
    <row r="646" spans="1:8" ht="13.5" customHeight="1" x14ac:dyDescent="0.3">
      <c r="A646" s="1" t="s">
        <v>86</v>
      </c>
      <c r="B646" s="1" t="s">
        <v>122</v>
      </c>
      <c r="C646" s="1" t="s">
        <v>4275</v>
      </c>
      <c r="D646" s="1">
        <v>2024</v>
      </c>
      <c r="E646" s="1" t="str">
        <f t="shared" si="2"/>
        <v>RANGERRANGER XLT 4X4 2.02024</v>
      </c>
      <c r="F646" s="1" t="s">
        <v>529</v>
      </c>
      <c r="G646" s="1">
        <v>28790000</v>
      </c>
      <c r="H646" s="1">
        <v>25000000</v>
      </c>
    </row>
    <row r="647" spans="1:8" ht="13.5" customHeight="1" x14ac:dyDescent="0.3">
      <c r="A647" s="1" t="s">
        <v>86</v>
      </c>
      <c r="B647" s="1" t="s">
        <v>122</v>
      </c>
      <c r="C647" s="1" t="s">
        <v>4276</v>
      </c>
      <c r="D647" s="1">
        <v>2024</v>
      </c>
      <c r="E647" s="1" t="str">
        <f t="shared" si="2"/>
        <v>RANGERRANGER XLT 4X4 2.0 AUT2024</v>
      </c>
      <c r="F647" s="1" t="s">
        <v>1037</v>
      </c>
      <c r="G647" s="1">
        <v>33990000</v>
      </c>
      <c r="H647" s="1">
        <v>29000000</v>
      </c>
    </row>
    <row r="648" spans="1:8" ht="13.5" customHeight="1" x14ac:dyDescent="0.3">
      <c r="A648" s="1" t="s">
        <v>86</v>
      </c>
      <c r="B648" s="1" t="s">
        <v>122</v>
      </c>
      <c r="C648" s="1" t="s">
        <v>4276</v>
      </c>
      <c r="D648" s="1">
        <v>2024</v>
      </c>
      <c r="E648" s="1" t="str">
        <f t="shared" si="2"/>
        <v>RANGERRANGER XLT 4X4 2.0 AUT2024</v>
      </c>
      <c r="F648" s="1" t="s">
        <v>1159</v>
      </c>
      <c r="G648" s="1">
        <v>34990000</v>
      </c>
      <c r="H648" s="1">
        <v>31500000</v>
      </c>
    </row>
    <row r="649" spans="1:8" ht="13.5" customHeight="1" x14ac:dyDescent="0.3">
      <c r="A649" s="1" t="s">
        <v>86</v>
      </c>
      <c r="B649" s="1" t="s">
        <v>122</v>
      </c>
      <c r="C649" s="1" t="s">
        <v>4276</v>
      </c>
      <c r="D649" s="1">
        <v>2025</v>
      </c>
      <c r="E649" s="1" t="str">
        <f t="shared" si="2"/>
        <v>RANGERRANGER XLT 4X4 2.0 AUT2025</v>
      </c>
      <c r="F649" s="1" t="s">
        <v>450</v>
      </c>
      <c r="G649" s="1">
        <v>34590000</v>
      </c>
      <c r="H649" s="1">
        <v>30000000</v>
      </c>
    </row>
    <row r="650" spans="1:8" ht="13.5" customHeight="1" x14ac:dyDescent="0.3">
      <c r="A650" s="1" t="s">
        <v>86</v>
      </c>
      <c r="B650" s="1" t="s">
        <v>122</v>
      </c>
      <c r="C650" s="1" t="s">
        <v>4277</v>
      </c>
      <c r="D650" s="1">
        <v>2018</v>
      </c>
      <c r="E650" s="1" t="str">
        <f t="shared" si="2"/>
        <v>RANGERRANGER XLT 4X4 3.22018</v>
      </c>
      <c r="F650" s="1" t="s">
        <v>2051</v>
      </c>
      <c r="G650" s="1">
        <v>16490000</v>
      </c>
      <c r="H650" s="1">
        <v>13500000</v>
      </c>
    </row>
    <row r="651" spans="1:8" ht="13.5" customHeight="1" x14ac:dyDescent="0.3">
      <c r="A651" s="1" t="s">
        <v>86</v>
      </c>
      <c r="B651" s="1" t="s">
        <v>122</v>
      </c>
      <c r="C651" s="1" t="s">
        <v>4277</v>
      </c>
      <c r="D651" s="1">
        <v>2019</v>
      </c>
      <c r="E651" s="1" t="str">
        <f t="shared" si="2"/>
        <v>RANGERRANGER XLT 4X4 3.22019</v>
      </c>
      <c r="F651" s="1" t="s">
        <v>2386</v>
      </c>
      <c r="G651" s="1">
        <v>21290000</v>
      </c>
      <c r="H651" s="1">
        <v>18500000</v>
      </c>
    </row>
    <row r="652" spans="1:8" ht="13.5" customHeight="1" x14ac:dyDescent="0.3">
      <c r="A652" s="1" t="s">
        <v>86</v>
      </c>
      <c r="B652" s="1" t="s">
        <v>134</v>
      </c>
      <c r="C652" s="1" t="s">
        <v>4278</v>
      </c>
      <c r="D652" s="1">
        <v>2021</v>
      </c>
      <c r="E652" s="1" t="str">
        <f t="shared" si="2"/>
        <v>TERRITORYNEW TERRITORY TITANIUM 1.5 AUT2021</v>
      </c>
      <c r="F652" s="1" t="s">
        <v>564</v>
      </c>
      <c r="G652" s="1">
        <v>11990000</v>
      </c>
      <c r="H652" s="1">
        <v>9150000</v>
      </c>
    </row>
    <row r="653" spans="1:8" ht="13.5" customHeight="1" x14ac:dyDescent="0.3">
      <c r="A653" s="1" t="s">
        <v>86</v>
      </c>
      <c r="B653" s="1" t="s">
        <v>134</v>
      </c>
      <c r="C653" s="1" t="s">
        <v>4279</v>
      </c>
      <c r="D653" s="1">
        <v>2021</v>
      </c>
      <c r="E653" s="1" t="str">
        <f t="shared" si="2"/>
        <v>TERRITORYNEW TERRITORY TREND 1.5 AUT2021</v>
      </c>
      <c r="F653" s="1" t="s">
        <v>1602</v>
      </c>
      <c r="G653" s="1">
        <v>11890000</v>
      </c>
      <c r="H653" s="1">
        <v>10000000</v>
      </c>
    </row>
    <row r="654" spans="1:8" ht="13.5" customHeight="1" x14ac:dyDescent="0.3">
      <c r="A654" s="1" t="s">
        <v>86</v>
      </c>
      <c r="B654" s="1" t="s">
        <v>134</v>
      </c>
      <c r="C654" s="1" t="s">
        <v>135</v>
      </c>
      <c r="D654" s="1">
        <v>2021</v>
      </c>
      <c r="E654" s="1" t="str">
        <f t="shared" si="2"/>
        <v>TERRITORYTERRITORY 1.5 AUT2021</v>
      </c>
      <c r="F654" s="1" t="s">
        <v>1764</v>
      </c>
      <c r="G654" s="1">
        <v>15190000</v>
      </c>
      <c r="H654" s="1">
        <v>12500000</v>
      </c>
    </row>
    <row r="655" spans="1:8" ht="13.5" customHeight="1" x14ac:dyDescent="0.3">
      <c r="A655" s="1" t="s">
        <v>86</v>
      </c>
      <c r="B655" s="1" t="s">
        <v>134</v>
      </c>
      <c r="C655" s="1" t="s">
        <v>135</v>
      </c>
      <c r="D655" s="1">
        <v>2021</v>
      </c>
      <c r="E655" s="1" t="str">
        <f t="shared" si="2"/>
        <v>TERRITORYTERRITORY 1.5 AUT2021</v>
      </c>
      <c r="F655" s="1" t="s">
        <v>2380</v>
      </c>
      <c r="G655" s="1">
        <v>19300000</v>
      </c>
      <c r="H655" s="1">
        <v>16900000</v>
      </c>
    </row>
    <row r="656" spans="1:8" ht="13.5" customHeight="1" x14ac:dyDescent="0.3">
      <c r="A656" s="1" t="s">
        <v>86</v>
      </c>
      <c r="B656" s="1" t="s">
        <v>134</v>
      </c>
      <c r="C656" s="1" t="s">
        <v>135</v>
      </c>
      <c r="D656" s="1">
        <v>2021</v>
      </c>
      <c r="E656" s="1" t="str">
        <f t="shared" si="2"/>
        <v>TERRITORYTERRITORY 1.5 AUT2021</v>
      </c>
      <c r="F656" s="1" t="s">
        <v>1255</v>
      </c>
      <c r="G656" s="1">
        <v>13790000</v>
      </c>
      <c r="H656" s="1">
        <v>11700000</v>
      </c>
    </row>
    <row r="657" spans="1:8" ht="13.5" customHeight="1" x14ac:dyDescent="0.3">
      <c r="A657" s="1" t="s">
        <v>86</v>
      </c>
      <c r="B657" s="1" t="s">
        <v>134</v>
      </c>
      <c r="C657" s="1" t="s">
        <v>135</v>
      </c>
      <c r="D657" s="1">
        <v>2021</v>
      </c>
      <c r="E657" s="1" t="str">
        <f t="shared" si="2"/>
        <v>TERRITORYTERRITORY 1.5 AUT2021</v>
      </c>
      <c r="F657" s="1" t="s">
        <v>2416</v>
      </c>
      <c r="G657" s="1">
        <v>17990000</v>
      </c>
      <c r="H657" s="1">
        <v>16000000</v>
      </c>
    </row>
    <row r="658" spans="1:8" ht="13.5" customHeight="1" x14ac:dyDescent="0.3">
      <c r="A658" s="1" t="s">
        <v>86</v>
      </c>
      <c r="B658" s="1" t="s">
        <v>134</v>
      </c>
      <c r="C658" s="1" t="s">
        <v>135</v>
      </c>
      <c r="D658" s="1">
        <v>2021</v>
      </c>
      <c r="E658" s="1" t="str">
        <f t="shared" si="2"/>
        <v>TERRITORYTERRITORY 1.5 AUT2021</v>
      </c>
      <c r="F658" s="1" t="s">
        <v>1316</v>
      </c>
      <c r="G658" s="1">
        <v>13014620</v>
      </c>
      <c r="H658" s="1">
        <v>11000000</v>
      </c>
    </row>
    <row r="659" spans="1:8" ht="13.5" customHeight="1" x14ac:dyDescent="0.3">
      <c r="A659" s="1" t="s">
        <v>86</v>
      </c>
      <c r="B659" s="1" t="s">
        <v>134</v>
      </c>
      <c r="C659" s="1" t="s">
        <v>135</v>
      </c>
      <c r="D659" s="1">
        <v>2021</v>
      </c>
      <c r="E659" s="1" t="str">
        <f t="shared" si="2"/>
        <v>TERRITORYTERRITORY 1.5 AUT2021</v>
      </c>
      <c r="F659" s="1" t="s">
        <v>2192</v>
      </c>
      <c r="G659" s="1">
        <v>14690000</v>
      </c>
      <c r="H659" s="1">
        <v>12990000</v>
      </c>
    </row>
    <row r="660" spans="1:8" ht="13.5" customHeight="1" x14ac:dyDescent="0.3">
      <c r="A660" s="1" t="s">
        <v>86</v>
      </c>
      <c r="B660" s="1" t="s">
        <v>134</v>
      </c>
      <c r="C660" s="1" t="s">
        <v>135</v>
      </c>
      <c r="D660" s="1">
        <v>2021</v>
      </c>
      <c r="E660" s="1" t="str">
        <f t="shared" si="2"/>
        <v>TERRITORYTERRITORY 1.5 AUT2021</v>
      </c>
      <c r="F660" s="1" t="s">
        <v>1830</v>
      </c>
      <c r="G660" s="1">
        <v>29980000</v>
      </c>
      <c r="H660" s="1">
        <v>27990000</v>
      </c>
    </row>
    <row r="661" spans="1:8" ht="13.5" customHeight="1" x14ac:dyDescent="0.3">
      <c r="A661" s="1" t="s">
        <v>86</v>
      </c>
      <c r="B661" s="1" t="s">
        <v>134</v>
      </c>
      <c r="C661" s="1" t="s">
        <v>135</v>
      </c>
      <c r="D661" s="1">
        <v>2021</v>
      </c>
      <c r="E661" s="1" t="str">
        <f t="shared" si="2"/>
        <v>TERRITORYTERRITORY 1.5 AUT2021</v>
      </c>
      <c r="F661" s="1" t="s">
        <v>2053</v>
      </c>
      <c r="G661" s="1">
        <v>15190000</v>
      </c>
      <c r="H661" s="1">
        <v>11500000</v>
      </c>
    </row>
    <row r="662" spans="1:8" ht="13.5" customHeight="1" x14ac:dyDescent="0.3">
      <c r="A662" s="1" t="s">
        <v>86</v>
      </c>
      <c r="B662" s="1" t="s">
        <v>134</v>
      </c>
      <c r="C662" s="1" t="s">
        <v>135</v>
      </c>
      <c r="D662" s="1">
        <v>2021</v>
      </c>
      <c r="E662" s="1" t="str">
        <f t="shared" si="2"/>
        <v>TERRITORYTERRITORY 1.5 AUT2021</v>
      </c>
      <c r="F662" s="1" t="s">
        <v>1489</v>
      </c>
      <c r="G662" s="1">
        <v>12990000</v>
      </c>
      <c r="H662" s="1">
        <v>11000000</v>
      </c>
    </row>
    <row r="663" spans="1:8" ht="13.5" customHeight="1" x14ac:dyDescent="0.3">
      <c r="A663" s="1" t="s">
        <v>86</v>
      </c>
      <c r="B663" s="1" t="s">
        <v>134</v>
      </c>
      <c r="C663" s="1" t="s">
        <v>135</v>
      </c>
      <c r="D663" s="1">
        <v>2021</v>
      </c>
      <c r="E663" s="1" t="str">
        <f t="shared" si="2"/>
        <v>TERRITORYTERRITORY 1.5 AUT2021</v>
      </c>
      <c r="F663" s="1" t="s">
        <v>1213</v>
      </c>
      <c r="G663" s="1">
        <v>12590000</v>
      </c>
      <c r="H663" s="1">
        <v>10500000</v>
      </c>
    </row>
    <row r="664" spans="1:8" ht="13.5" customHeight="1" x14ac:dyDescent="0.3">
      <c r="A664" s="1" t="s">
        <v>86</v>
      </c>
      <c r="B664" s="1" t="s">
        <v>134</v>
      </c>
      <c r="C664" s="1" t="s">
        <v>135</v>
      </c>
      <c r="D664" s="1">
        <v>2021</v>
      </c>
      <c r="E664" s="1" t="str">
        <f t="shared" si="2"/>
        <v>TERRITORYTERRITORY 1.5 AUT2021</v>
      </c>
      <c r="F664" s="1" t="s">
        <v>2368</v>
      </c>
      <c r="G664" s="1">
        <v>16990000</v>
      </c>
      <c r="H664" s="1">
        <v>17000000</v>
      </c>
    </row>
    <row r="665" spans="1:8" ht="13.5" customHeight="1" x14ac:dyDescent="0.3">
      <c r="A665" s="1" t="s">
        <v>86</v>
      </c>
      <c r="B665" s="1" t="s">
        <v>134</v>
      </c>
      <c r="C665" s="1" t="s">
        <v>135</v>
      </c>
      <c r="D665" s="1">
        <v>2021</v>
      </c>
      <c r="E665" s="1" t="str">
        <f t="shared" si="2"/>
        <v>TERRITORYTERRITORY 1.5 AUT2021</v>
      </c>
      <c r="F665" s="1" t="s">
        <v>1092</v>
      </c>
      <c r="G665" s="1">
        <v>12192120</v>
      </c>
      <c r="H665" s="1">
        <v>10489616</v>
      </c>
    </row>
    <row r="666" spans="1:8" ht="13.5" customHeight="1" x14ac:dyDescent="0.3">
      <c r="A666" s="1" t="s">
        <v>86</v>
      </c>
      <c r="B666" s="1" t="s">
        <v>134</v>
      </c>
      <c r="C666" s="1" t="s">
        <v>135</v>
      </c>
      <c r="D666" s="1">
        <v>2021</v>
      </c>
      <c r="E666" s="1" t="str">
        <f t="shared" si="2"/>
        <v>TERRITORYTERRITORY 1.5 AUT2021</v>
      </c>
      <c r="F666" s="1" t="s">
        <v>663</v>
      </c>
      <c r="G666" s="1">
        <v>12590000</v>
      </c>
      <c r="H666" s="1">
        <v>10300000</v>
      </c>
    </row>
    <row r="667" spans="1:8" ht="13.5" customHeight="1" x14ac:dyDescent="0.3">
      <c r="A667" s="1" t="s">
        <v>86</v>
      </c>
      <c r="B667" s="1" t="s">
        <v>134</v>
      </c>
      <c r="C667" s="1" t="s">
        <v>135</v>
      </c>
      <c r="D667" s="1">
        <v>2022</v>
      </c>
      <c r="E667" s="1" t="str">
        <f t="shared" si="2"/>
        <v>TERRITORYTERRITORY 1.5 AUT2022</v>
      </c>
      <c r="G667" s="1">
        <v>12290000</v>
      </c>
      <c r="H667" s="1">
        <v>0</v>
      </c>
    </row>
    <row r="668" spans="1:8" ht="13.5" customHeight="1" x14ac:dyDescent="0.3">
      <c r="A668" s="1" t="s">
        <v>86</v>
      </c>
      <c r="B668" s="1" t="s">
        <v>134</v>
      </c>
      <c r="C668" s="1" t="s">
        <v>135</v>
      </c>
      <c r="D668" s="1">
        <v>2022</v>
      </c>
      <c r="E668" s="1" t="str">
        <f t="shared" si="2"/>
        <v>TERRITORYTERRITORY 1.5 AUT2022</v>
      </c>
      <c r="F668" s="1" t="s">
        <v>728</v>
      </c>
      <c r="G668" s="1">
        <v>12490000</v>
      </c>
      <c r="H668" s="1">
        <v>10300000</v>
      </c>
    </row>
    <row r="669" spans="1:8" ht="13.5" customHeight="1" x14ac:dyDescent="0.3">
      <c r="A669" s="1" t="s">
        <v>86</v>
      </c>
      <c r="B669" s="1" t="s">
        <v>134</v>
      </c>
      <c r="C669" s="1" t="s">
        <v>135</v>
      </c>
      <c r="D669" s="1">
        <v>2022</v>
      </c>
      <c r="E669" s="1" t="str">
        <f t="shared" si="2"/>
        <v>TERRITORYTERRITORY 1.5 AUT2022</v>
      </c>
      <c r="F669" s="1" t="s">
        <v>1040</v>
      </c>
      <c r="G669" s="1">
        <v>12290000</v>
      </c>
      <c r="H669" s="1">
        <v>10000000</v>
      </c>
    </row>
    <row r="670" spans="1:8" ht="13.5" customHeight="1" x14ac:dyDescent="0.3">
      <c r="A670" s="1" t="s">
        <v>86</v>
      </c>
      <c r="B670" s="1" t="s">
        <v>134</v>
      </c>
      <c r="C670" s="1" t="s">
        <v>135</v>
      </c>
      <c r="D670" s="1">
        <v>2022</v>
      </c>
      <c r="E670" s="1" t="str">
        <f t="shared" si="2"/>
        <v>TERRITORYTERRITORY 1.5 AUT2022</v>
      </c>
      <c r="F670" s="1" t="s">
        <v>1818</v>
      </c>
      <c r="G670" s="1">
        <v>14790000</v>
      </c>
      <c r="H670" s="1">
        <v>12000000</v>
      </c>
    </row>
    <row r="671" spans="1:8" ht="13.5" customHeight="1" x14ac:dyDescent="0.3">
      <c r="A671" s="1" t="s">
        <v>86</v>
      </c>
      <c r="B671" s="1" t="s">
        <v>134</v>
      </c>
      <c r="C671" s="1" t="s">
        <v>135</v>
      </c>
      <c r="D671" s="1">
        <v>2022</v>
      </c>
      <c r="E671" s="1" t="str">
        <f t="shared" si="2"/>
        <v>TERRITORYTERRITORY 1.5 AUT2022</v>
      </c>
      <c r="F671" s="1" t="s">
        <v>1455</v>
      </c>
      <c r="G671" s="1">
        <v>15890000</v>
      </c>
      <c r="H671" s="1">
        <v>13500000</v>
      </c>
    </row>
    <row r="672" spans="1:8" ht="13.5" customHeight="1" x14ac:dyDescent="0.3">
      <c r="A672" s="1" t="s">
        <v>86</v>
      </c>
      <c r="B672" s="1" t="s">
        <v>134</v>
      </c>
      <c r="C672" s="1" t="s">
        <v>135</v>
      </c>
      <c r="D672" s="1">
        <v>2022</v>
      </c>
      <c r="E672" s="1" t="str">
        <f t="shared" si="2"/>
        <v>TERRITORYTERRITORY 1.5 AUT2022</v>
      </c>
      <c r="F672" s="1" t="s">
        <v>2371</v>
      </c>
      <c r="G672" s="1">
        <v>17590000</v>
      </c>
      <c r="H672" s="1">
        <v>17000000</v>
      </c>
    </row>
    <row r="673" spans="1:8" ht="13.5" customHeight="1" x14ac:dyDescent="0.3">
      <c r="A673" s="1" t="s">
        <v>86</v>
      </c>
      <c r="B673" s="1" t="s">
        <v>134</v>
      </c>
      <c r="C673" s="1" t="s">
        <v>135</v>
      </c>
      <c r="D673" s="1">
        <v>2022</v>
      </c>
      <c r="E673" s="1" t="str">
        <f t="shared" si="2"/>
        <v>TERRITORYTERRITORY 1.5 AUT2022</v>
      </c>
      <c r="F673" s="1" t="s">
        <v>1523</v>
      </c>
      <c r="G673" s="1">
        <v>14332150</v>
      </c>
      <c r="H673" s="1">
        <v>12000000</v>
      </c>
    </row>
    <row r="674" spans="1:8" ht="13.5" customHeight="1" x14ac:dyDescent="0.3">
      <c r="A674" s="1" t="s">
        <v>86</v>
      </c>
      <c r="B674" s="1" t="s">
        <v>134</v>
      </c>
      <c r="C674" s="1" t="s">
        <v>135</v>
      </c>
      <c r="D674" s="1">
        <v>2022</v>
      </c>
      <c r="E674" s="1" t="str">
        <f t="shared" si="2"/>
        <v>TERRITORYTERRITORY 1.5 AUT2022</v>
      </c>
      <c r="F674" s="1" t="s">
        <v>1173</v>
      </c>
      <c r="G674" s="1">
        <v>13990000</v>
      </c>
      <c r="H674" s="1">
        <v>11500000</v>
      </c>
    </row>
    <row r="675" spans="1:8" ht="13.5" customHeight="1" x14ac:dyDescent="0.3">
      <c r="A675" s="1" t="s">
        <v>86</v>
      </c>
      <c r="B675" s="1" t="s">
        <v>134</v>
      </c>
      <c r="C675" s="1" t="s">
        <v>135</v>
      </c>
      <c r="D675" s="1">
        <v>2022</v>
      </c>
      <c r="E675" s="1" t="str">
        <f t="shared" si="2"/>
        <v>TERRITORYTERRITORY 1.5 AUT2022</v>
      </c>
      <c r="F675" s="1" t="s">
        <v>513</v>
      </c>
      <c r="G675" s="1">
        <v>13350000</v>
      </c>
      <c r="H675" s="1">
        <v>11200000</v>
      </c>
    </row>
    <row r="676" spans="1:8" ht="13.5" customHeight="1" x14ac:dyDescent="0.3">
      <c r="A676" s="1" t="s">
        <v>86</v>
      </c>
      <c r="B676" s="1" t="s">
        <v>134</v>
      </c>
      <c r="C676" s="1" t="s">
        <v>135</v>
      </c>
      <c r="D676" s="1">
        <v>2022</v>
      </c>
      <c r="E676" s="1" t="str">
        <f t="shared" si="2"/>
        <v>TERRITORYTERRITORY 1.5 AUT2022</v>
      </c>
      <c r="F676" s="1" t="s">
        <v>824</v>
      </c>
      <c r="G676" s="1">
        <v>12590000</v>
      </c>
      <c r="H676" s="1">
        <v>10500000</v>
      </c>
    </row>
    <row r="677" spans="1:8" ht="13.5" customHeight="1" x14ac:dyDescent="0.3">
      <c r="A677" s="1" t="s">
        <v>86</v>
      </c>
      <c r="B677" s="1" t="s">
        <v>134</v>
      </c>
      <c r="C677" s="1" t="s">
        <v>135</v>
      </c>
      <c r="D677" s="1">
        <v>2023</v>
      </c>
      <c r="E677" s="1" t="str">
        <f t="shared" si="2"/>
        <v>TERRITORYTERRITORY 1.5 AUT2023</v>
      </c>
      <c r="F677" s="1" t="s">
        <v>1130</v>
      </c>
      <c r="G677" s="1">
        <v>15990000</v>
      </c>
      <c r="H677" s="1">
        <v>14300000</v>
      </c>
    </row>
    <row r="678" spans="1:8" ht="13.5" customHeight="1" x14ac:dyDescent="0.3">
      <c r="A678" s="1" t="s">
        <v>86</v>
      </c>
      <c r="B678" s="1" t="s">
        <v>134</v>
      </c>
      <c r="C678" s="1" t="s">
        <v>135</v>
      </c>
      <c r="D678" s="1">
        <v>2023</v>
      </c>
      <c r="E678" s="1" t="str">
        <f t="shared" si="2"/>
        <v>TERRITORYTERRITORY 1.5 AUT2023</v>
      </c>
      <c r="F678" s="1" t="s">
        <v>731</v>
      </c>
      <c r="G678" s="1">
        <v>12522120</v>
      </c>
      <c r="H678" s="1">
        <v>10750000</v>
      </c>
    </row>
    <row r="679" spans="1:8" ht="13.5" customHeight="1" x14ac:dyDescent="0.3">
      <c r="A679" s="1" t="s">
        <v>86</v>
      </c>
      <c r="B679" s="1" t="s">
        <v>134</v>
      </c>
      <c r="C679" s="1" t="s">
        <v>135</v>
      </c>
      <c r="D679" s="1">
        <v>2023</v>
      </c>
      <c r="E679" s="1" t="str">
        <f t="shared" si="2"/>
        <v>TERRITORYTERRITORY 1.5 AUT2023</v>
      </c>
      <c r="F679" s="1" t="s">
        <v>1073</v>
      </c>
      <c r="G679" s="1">
        <v>14990000</v>
      </c>
      <c r="H679" s="1">
        <v>12500000</v>
      </c>
    </row>
    <row r="680" spans="1:8" ht="13.5" customHeight="1" x14ac:dyDescent="0.3">
      <c r="A680" s="1" t="s">
        <v>86</v>
      </c>
      <c r="B680" s="1" t="s">
        <v>134</v>
      </c>
      <c r="C680" s="1" t="s">
        <v>135</v>
      </c>
      <c r="D680" s="1">
        <v>2023</v>
      </c>
      <c r="E680" s="1" t="str">
        <f t="shared" si="2"/>
        <v>TERRITORYTERRITORY 1.5 AUT2023</v>
      </c>
      <c r="F680" s="1" t="s">
        <v>1789</v>
      </c>
      <c r="G680" s="1">
        <v>16290000</v>
      </c>
      <c r="H680" s="1">
        <v>14415966</v>
      </c>
    </row>
    <row r="681" spans="1:8" ht="13.5" customHeight="1" x14ac:dyDescent="0.3">
      <c r="A681" s="1" t="s">
        <v>86</v>
      </c>
      <c r="B681" s="1" t="s">
        <v>134</v>
      </c>
      <c r="C681" s="1" t="s">
        <v>135</v>
      </c>
      <c r="D681" s="1">
        <v>2023</v>
      </c>
      <c r="E681" s="1" t="str">
        <f t="shared" si="2"/>
        <v>TERRITORYTERRITORY 1.5 AUT2023</v>
      </c>
      <c r="F681" s="1" t="s">
        <v>1585</v>
      </c>
      <c r="G681" s="1">
        <v>15590000</v>
      </c>
      <c r="H681" s="1">
        <v>13000000</v>
      </c>
    </row>
    <row r="682" spans="1:8" ht="13.5" customHeight="1" x14ac:dyDescent="0.3">
      <c r="A682" s="1" t="s">
        <v>86</v>
      </c>
      <c r="B682" s="1" t="s">
        <v>134</v>
      </c>
      <c r="C682" s="1" t="s">
        <v>135</v>
      </c>
      <c r="D682" s="1">
        <v>2023</v>
      </c>
      <c r="E682" s="1" t="str">
        <f t="shared" si="2"/>
        <v>TERRITORYTERRITORY 1.5 AUT2023</v>
      </c>
      <c r="F682" s="1" t="s">
        <v>1466</v>
      </c>
      <c r="G682" s="1">
        <v>14490000</v>
      </c>
      <c r="H682" s="1">
        <v>12300000</v>
      </c>
    </row>
    <row r="683" spans="1:8" ht="13.5" customHeight="1" x14ac:dyDescent="0.3">
      <c r="A683" s="1" t="s">
        <v>86</v>
      </c>
      <c r="B683" s="1" t="s">
        <v>134</v>
      </c>
      <c r="C683" s="1" t="s">
        <v>135</v>
      </c>
      <c r="D683" s="1">
        <v>2023</v>
      </c>
      <c r="E683" s="1" t="str">
        <f t="shared" si="2"/>
        <v>TERRITORYTERRITORY 1.5 AUT2023</v>
      </c>
      <c r="F683" s="1" t="s">
        <v>607</v>
      </c>
      <c r="G683" s="1">
        <v>12490000</v>
      </c>
      <c r="H683" s="1">
        <v>10500000</v>
      </c>
    </row>
    <row r="684" spans="1:8" ht="13.5" customHeight="1" x14ac:dyDescent="0.3">
      <c r="A684" s="1" t="s">
        <v>86</v>
      </c>
      <c r="B684" s="1" t="s">
        <v>134</v>
      </c>
      <c r="C684" s="1" t="s">
        <v>135</v>
      </c>
      <c r="D684" s="1">
        <v>2023</v>
      </c>
      <c r="E684" s="1" t="str">
        <f t="shared" si="2"/>
        <v>TERRITORYTERRITORY 1.5 AUT2023</v>
      </c>
      <c r="F684" s="1" t="s">
        <v>795</v>
      </c>
      <c r="G684" s="1">
        <v>13290000</v>
      </c>
      <c r="H684" s="1">
        <v>11000000</v>
      </c>
    </row>
    <row r="685" spans="1:8" ht="13.5" customHeight="1" x14ac:dyDescent="0.3">
      <c r="A685" s="1" t="s">
        <v>86</v>
      </c>
      <c r="B685" s="1" t="s">
        <v>134</v>
      </c>
      <c r="C685" s="1" t="s">
        <v>135</v>
      </c>
      <c r="D685" s="1">
        <v>2023</v>
      </c>
      <c r="E685" s="1" t="str">
        <f t="shared" si="2"/>
        <v>TERRITORYTERRITORY 1.5 AUT2023</v>
      </c>
      <c r="F685" s="1" t="s">
        <v>394</v>
      </c>
      <c r="G685" s="1">
        <v>13490000</v>
      </c>
      <c r="H685" s="1">
        <v>10600000</v>
      </c>
    </row>
    <row r="686" spans="1:8" ht="13.5" customHeight="1" x14ac:dyDescent="0.3">
      <c r="A686" s="1" t="s">
        <v>86</v>
      </c>
      <c r="B686" s="1" t="s">
        <v>134</v>
      </c>
      <c r="C686" s="1" t="s">
        <v>135</v>
      </c>
      <c r="D686" s="1">
        <v>2024</v>
      </c>
      <c r="E686" s="1" t="str">
        <f t="shared" si="2"/>
        <v>TERRITORYTERRITORY 1.5 AUT2024</v>
      </c>
      <c r="F686" s="1" t="s">
        <v>1029</v>
      </c>
      <c r="G686" s="1">
        <v>17990000</v>
      </c>
      <c r="H686" s="1">
        <v>15500000</v>
      </c>
    </row>
    <row r="687" spans="1:8" ht="13.5" customHeight="1" x14ac:dyDescent="0.3">
      <c r="A687" s="1" t="s">
        <v>86</v>
      </c>
      <c r="B687" s="1" t="s">
        <v>134</v>
      </c>
      <c r="C687" s="1" t="s">
        <v>4280</v>
      </c>
      <c r="D687" s="1">
        <v>2024</v>
      </c>
      <c r="E687" s="1" t="str">
        <f t="shared" si="2"/>
        <v>TERRITORYTERRITORY 4X2 1.5 AUT2024</v>
      </c>
      <c r="F687" s="1" t="s">
        <v>685</v>
      </c>
      <c r="G687" s="1">
        <v>17890000</v>
      </c>
      <c r="H687" s="1">
        <v>16500000</v>
      </c>
    </row>
    <row r="688" spans="1:8" ht="13.5" customHeight="1" x14ac:dyDescent="0.3">
      <c r="A688" s="1" t="s">
        <v>86</v>
      </c>
      <c r="B688" s="1" t="s">
        <v>134</v>
      </c>
      <c r="C688" s="1" t="s">
        <v>4280</v>
      </c>
      <c r="D688" s="1">
        <v>2024</v>
      </c>
      <c r="E688" s="1" t="str">
        <f t="shared" si="2"/>
        <v>TERRITORYTERRITORY 4X2 1.5 AUT2024</v>
      </c>
      <c r="F688" s="1" t="s">
        <v>659</v>
      </c>
      <c r="G688" s="1">
        <v>14990000</v>
      </c>
      <c r="H688" s="1">
        <v>12800000</v>
      </c>
    </row>
    <row r="689" spans="1:8" ht="13.5" customHeight="1" x14ac:dyDescent="0.3">
      <c r="A689" s="1" t="s">
        <v>86</v>
      </c>
      <c r="B689" s="1" t="s">
        <v>134</v>
      </c>
      <c r="C689" s="1" t="s">
        <v>4280</v>
      </c>
      <c r="D689" s="1">
        <v>2024</v>
      </c>
      <c r="E689" s="1" t="str">
        <f t="shared" si="2"/>
        <v>TERRITORYTERRITORY 4X2 1.5 AUT2024</v>
      </c>
      <c r="F689" s="1" t="s">
        <v>1691</v>
      </c>
      <c r="G689" s="1">
        <v>18290000</v>
      </c>
      <c r="H689" s="1">
        <v>16100000</v>
      </c>
    </row>
    <row r="690" spans="1:8" ht="13.5" customHeight="1" x14ac:dyDescent="0.3">
      <c r="A690" s="1" t="s">
        <v>86</v>
      </c>
      <c r="B690" s="1" t="s">
        <v>134</v>
      </c>
      <c r="C690" s="1" t="s">
        <v>4281</v>
      </c>
      <c r="D690" s="1">
        <v>2022</v>
      </c>
      <c r="E690" s="1" t="str">
        <f t="shared" si="2"/>
        <v>TERRITORYTERRITORY TITANIUM 1.5 AUT2022</v>
      </c>
      <c r="F690" s="1" t="s">
        <v>1158</v>
      </c>
      <c r="G690" s="1">
        <v>12990000</v>
      </c>
      <c r="H690" s="1">
        <v>10900000</v>
      </c>
    </row>
    <row r="691" spans="1:8" ht="13.5" customHeight="1" x14ac:dyDescent="0.3">
      <c r="A691" s="1" t="s">
        <v>86</v>
      </c>
      <c r="B691" s="1" t="s">
        <v>134</v>
      </c>
      <c r="C691" s="1" t="s">
        <v>4281</v>
      </c>
      <c r="D691" s="1">
        <v>2022</v>
      </c>
      <c r="E691" s="1" t="str">
        <f t="shared" si="2"/>
        <v>TERRITORYTERRITORY TITANIUM 1.5 AUT2022</v>
      </c>
      <c r="F691" s="1" t="s">
        <v>1186</v>
      </c>
      <c r="G691" s="1">
        <v>14140000</v>
      </c>
      <c r="H691" s="1">
        <v>11750000</v>
      </c>
    </row>
    <row r="692" spans="1:8" ht="13.5" customHeight="1" x14ac:dyDescent="0.3">
      <c r="A692" s="1" t="s">
        <v>86</v>
      </c>
      <c r="B692" s="1" t="s">
        <v>134</v>
      </c>
      <c r="C692" s="1" t="s">
        <v>4281</v>
      </c>
      <c r="D692" s="1">
        <v>2022</v>
      </c>
      <c r="E692" s="1" t="str">
        <f t="shared" si="2"/>
        <v>TERRITORYTERRITORY TITANIUM 1.5 AUT2022</v>
      </c>
      <c r="F692" s="1" t="s">
        <v>1892</v>
      </c>
      <c r="G692" s="1">
        <v>14990000</v>
      </c>
      <c r="H692" s="1">
        <v>13000000</v>
      </c>
    </row>
    <row r="693" spans="1:8" ht="13.5" customHeight="1" x14ac:dyDescent="0.3">
      <c r="A693" s="1" t="s">
        <v>86</v>
      </c>
      <c r="B693" s="1" t="s">
        <v>134</v>
      </c>
      <c r="C693" s="1" t="s">
        <v>4281</v>
      </c>
      <c r="D693" s="1">
        <v>2022</v>
      </c>
      <c r="E693" s="1" t="str">
        <f t="shared" si="2"/>
        <v>TERRITORYTERRITORY TITANIUM 1.5 AUT2022</v>
      </c>
      <c r="F693" s="1" t="s">
        <v>1411</v>
      </c>
      <c r="G693" s="1">
        <v>13690000</v>
      </c>
      <c r="H693" s="1">
        <v>11500000</v>
      </c>
    </row>
    <row r="694" spans="1:8" ht="13.5" customHeight="1" x14ac:dyDescent="0.3">
      <c r="A694" s="1" t="s">
        <v>86</v>
      </c>
      <c r="B694" s="1" t="s">
        <v>134</v>
      </c>
      <c r="C694" s="1" t="s">
        <v>138</v>
      </c>
      <c r="D694" s="1">
        <v>2025</v>
      </c>
      <c r="E694" s="1" t="str">
        <f t="shared" si="2"/>
        <v>TERRITORYTERRITORY TITANIUM 4X2 1.5 AUT2025</v>
      </c>
      <c r="F694" s="1" t="s">
        <v>878</v>
      </c>
      <c r="G694" s="1">
        <v>19990000</v>
      </c>
      <c r="H694" s="1">
        <v>17800000</v>
      </c>
    </row>
    <row r="695" spans="1:8" ht="13.5" customHeight="1" x14ac:dyDescent="0.3">
      <c r="A695" s="1" t="s">
        <v>86</v>
      </c>
      <c r="B695" s="1" t="s">
        <v>134</v>
      </c>
      <c r="C695" s="1" t="s">
        <v>138</v>
      </c>
      <c r="D695" s="1">
        <v>2025</v>
      </c>
      <c r="E695" s="1" t="str">
        <f t="shared" si="2"/>
        <v>TERRITORYTERRITORY TITANIUM 4X2 1.5 AUT2025</v>
      </c>
      <c r="F695" s="1" t="s">
        <v>409</v>
      </c>
      <c r="G695" s="1">
        <v>19490000</v>
      </c>
      <c r="H695" s="1">
        <v>16000000</v>
      </c>
    </row>
    <row r="696" spans="1:8" ht="13.5" customHeight="1" x14ac:dyDescent="0.3">
      <c r="A696" s="1" t="s">
        <v>86</v>
      </c>
      <c r="B696" s="1" t="s">
        <v>134</v>
      </c>
      <c r="C696" s="1" t="s">
        <v>138</v>
      </c>
      <c r="D696" s="1">
        <v>2025</v>
      </c>
      <c r="E696" s="1" t="str">
        <f t="shared" si="2"/>
        <v>TERRITORYTERRITORY TITANIUM 4X2 1.5 AUT2025</v>
      </c>
      <c r="F696" s="1" t="s">
        <v>560</v>
      </c>
      <c r="G696" s="1">
        <v>17990000</v>
      </c>
      <c r="H696" s="1">
        <v>15500000</v>
      </c>
    </row>
    <row r="697" spans="1:8" ht="13.5" customHeight="1" x14ac:dyDescent="0.3">
      <c r="A697" s="1" t="s">
        <v>86</v>
      </c>
      <c r="B697" s="1" t="s">
        <v>134</v>
      </c>
      <c r="C697" s="1" t="s">
        <v>4282</v>
      </c>
      <c r="D697" s="1">
        <v>2021</v>
      </c>
      <c r="E697" s="1" t="str">
        <f t="shared" si="2"/>
        <v>TERRITORYTERRITORY TREND 1.5 AT2021</v>
      </c>
      <c r="F697" s="1" t="s">
        <v>1579</v>
      </c>
      <c r="G697" s="1">
        <v>13390000</v>
      </c>
      <c r="H697" s="1">
        <v>11500000</v>
      </c>
    </row>
    <row r="698" spans="1:8" ht="13.5" customHeight="1" x14ac:dyDescent="0.3">
      <c r="A698" s="1" t="s">
        <v>86</v>
      </c>
      <c r="B698" s="1" t="s">
        <v>134</v>
      </c>
      <c r="C698" s="1" t="s">
        <v>4282</v>
      </c>
      <c r="D698" s="1">
        <v>2021</v>
      </c>
      <c r="E698" s="1" t="str">
        <f t="shared" si="2"/>
        <v>TERRITORYTERRITORY TREND 1.5 AT2021</v>
      </c>
      <c r="F698" s="1" t="s">
        <v>957</v>
      </c>
      <c r="G698" s="1">
        <v>12796338</v>
      </c>
      <c r="H698" s="1">
        <v>9300000</v>
      </c>
    </row>
    <row r="699" spans="1:8" ht="13.5" customHeight="1" x14ac:dyDescent="0.3">
      <c r="A699" s="1" t="s">
        <v>86</v>
      </c>
      <c r="B699" s="1" t="s">
        <v>134</v>
      </c>
      <c r="C699" s="1" t="s">
        <v>4282</v>
      </c>
      <c r="D699" s="1">
        <v>2022</v>
      </c>
      <c r="E699" s="1" t="str">
        <f t="shared" si="2"/>
        <v>TERRITORYTERRITORY TREND 1.5 AT2022</v>
      </c>
      <c r="F699" s="1" t="s">
        <v>684</v>
      </c>
      <c r="G699" s="1">
        <v>11990000</v>
      </c>
      <c r="H699" s="1">
        <v>9800000</v>
      </c>
    </row>
    <row r="700" spans="1:8" ht="13.5" customHeight="1" x14ac:dyDescent="0.3">
      <c r="A700" s="1" t="s">
        <v>86</v>
      </c>
      <c r="B700" s="1" t="s">
        <v>134</v>
      </c>
      <c r="C700" s="1" t="s">
        <v>4282</v>
      </c>
      <c r="D700" s="1">
        <v>2022</v>
      </c>
      <c r="E700" s="1" t="str">
        <f t="shared" si="2"/>
        <v>TERRITORYTERRITORY TREND 1.5 AT2022</v>
      </c>
      <c r="F700" s="1" t="s">
        <v>2377</v>
      </c>
      <c r="G700" s="1">
        <v>20390000</v>
      </c>
      <c r="H700" s="1">
        <v>18000000</v>
      </c>
    </row>
    <row r="701" spans="1:8" ht="13.5" customHeight="1" x14ac:dyDescent="0.3">
      <c r="A701" s="1" t="s">
        <v>86</v>
      </c>
      <c r="B701" s="1" t="s">
        <v>134</v>
      </c>
      <c r="C701" s="1" t="s">
        <v>4283</v>
      </c>
      <c r="D701" s="1">
        <v>2021</v>
      </c>
      <c r="E701" s="1" t="str">
        <f t="shared" si="2"/>
        <v>TERRITORYTERRITORY TREND 1.5 AUT2021</v>
      </c>
      <c r="F701" s="1" t="s">
        <v>874</v>
      </c>
      <c r="G701" s="1">
        <v>17290000</v>
      </c>
      <c r="H701" s="1">
        <v>14300000</v>
      </c>
    </row>
    <row r="702" spans="1:8" ht="13.5" customHeight="1" x14ac:dyDescent="0.3">
      <c r="A702" s="1" t="s">
        <v>86</v>
      </c>
      <c r="B702" s="1" t="s">
        <v>134</v>
      </c>
      <c r="C702" s="1" t="s">
        <v>4283</v>
      </c>
      <c r="D702" s="1">
        <v>2025</v>
      </c>
      <c r="E702" s="1" t="str">
        <f t="shared" si="2"/>
        <v>TERRITORYTERRITORY TREND 1.5 AUT2025</v>
      </c>
      <c r="F702" s="1" t="s">
        <v>345</v>
      </c>
      <c r="G702" s="1">
        <v>15690000</v>
      </c>
      <c r="H702" s="1">
        <v>12500000</v>
      </c>
    </row>
    <row r="703" spans="1:8" ht="13.5" customHeight="1" x14ac:dyDescent="0.3">
      <c r="A703" s="1" t="s">
        <v>86</v>
      </c>
      <c r="B703" s="1" t="s">
        <v>134</v>
      </c>
      <c r="C703" s="1" t="s">
        <v>4284</v>
      </c>
      <c r="D703" s="1">
        <v>2025</v>
      </c>
      <c r="E703" s="1" t="str">
        <f t="shared" si="2"/>
        <v>TERRITORYTERRITORY TREND 4X2 1.5 AUT2025</v>
      </c>
      <c r="F703" s="1" t="s">
        <v>1233</v>
      </c>
      <c r="G703" s="1">
        <v>15990000</v>
      </c>
      <c r="H703" s="1">
        <v>15500000</v>
      </c>
    </row>
    <row r="704" spans="1:8" ht="13.5" customHeight="1" x14ac:dyDescent="0.3">
      <c r="A704" s="1" t="s">
        <v>86</v>
      </c>
      <c r="B704" s="1" t="s">
        <v>3130</v>
      </c>
      <c r="C704" s="1" t="s">
        <v>4285</v>
      </c>
      <c r="D704" s="1">
        <v>2018</v>
      </c>
      <c r="E704" s="1" t="str">
        <f t="shared" si="2"/>
        <v>TRANSITTRANSIT 2.22018</v>
      </c>
      <c r="F704" s="1" t="s">
        <v>4286</v>
      </c>
      <c r="G704" s="1">
        <v>28500000</v>
      </c>
      <c r="H704" s="1">
        <v>26505000</v>
      </c>
    </row>
    <row r="705" spans="1:8" ht="13.5" customHeight="1" x14ac:dyDescent="0.3">
      <c r="A705" s="1" t="s">
        <v>86</v>
      </c>
      <c r="B705" s="1" t="s">
        <v>3130</v>
      </c>
      <c r="C705" s="1" t="s">
        <v>4285</v>
      </c>
      <c r="D705" s="1">
        <v>2021</v>
      </c>
      <c r="E705" s="1" t="str">
        <f t="shared" si="2"/>
        <v>TRANSITTRANSIT 2.22021</v>
      </c>
      <c r="F705" s="1" t="s">
        <v>1988</v>
      </c>
      <c r="G705" s="1">
        <v>21190000</v>
      </c>
      <c r="H705" s="1">
        <v>16500000</v>
      </c>
    </row>
    <row r="706" spans="1:8" ht="13.5" customHeight="1" x14ac:dyDescent="0.3">
      <c r="A706" s="1" t="s">
        <v>86</v>
      </c>
      <c r="B706" s="1" t="s">
        <v>3130</v>
      </c>
      <c r="C706" s="1" t="s">
        <v>4287</v>
      </c>
      <c r="D706" s="1">
        <v>2021</v>
      </c>
      <c r="E706" s="1" t="str">
        <f t="shared" si="2"/>
        <v>TRANSITTRANSIT CUSTOM FURGON 2.22021</v>
      </c>
      <c r="F706" s="1" t="s">
        <v>2120</v>
      </c>
      <c r="G706" s="1">
        <v>21190000</v>
      </c>
      <c r="H706" s="1">
        <v>20000000</v>
      </c>
    </row>
    <row r="707" spans="1:8" ht="13.5" customHeight="1" x14ac:dyDescent="0.3">
      <c r="A707" s="1" t="s">
        <v>4288</v>
      </c>
      <c r="B707" s="1" t="s">
        <v>4288</v>
      </c>
      <c r="C707" s="1" t="s">
        <v>4289</v>
      </c>
      <c r="D707" s="1">
        <v>2022</v>
      </c>
      <c r="E707" s="1" t="str">
        <f t="shared" si="2"/>
        <v>FOTONTM3 MAS 1.52022</v>
      </c>
      <c r="F707" s="1" t="s">
        <v>1697</v>
      </c>
      <c r="G707" s="1">
        <v>7290000</v>
      </c>
      <c r="H707" s="1">
        <v>6000000</v>
      </c>
    </row>
    <row r="708" spans="1:8" ht="13.5" customHeight="1" x14ac:dyDescent="0.3">
      <c r="A708" s="1" t="s">
        <v>4288</v>
      </c>
      <c r="B708" s="1" t="s">
        <v>4290</v>
      </c>
      <c r="C708" s="1" t="s">
        <v>4291</v>
      </c>
      <c r="D708" s="1">
        <v>2024</v>
      </c>
      <c r="E708" s="1" t="str">
        <f t="shared" si="2"/>
        <v>G7G7 MT 4X2 2.02024</v>
      </c>
      <c r="F708" s="1" t="s">
        <v>611</v>
      </c>
      <c r="G708" s="1">
        <v>11990000</v>
      </c>
      <c r="H708" s="1">
        <v>9500000</v>
      </c>
    </row>
    <row r="709" spans="1:8" ht="13.5" customHeight="1" x14ac:dyDescent="0.3">
      <c r="A709" s="1" t="s">
        <v>140</v>
      </c>
      <c r="B709" s="1" t="s">
        <v>4292</v>
      </c>
      <c r="C709" s="1" t="s">
        <v>4293</v>
      </c>
      <c r="D709" s="1">
        <v>2025</v>
      </c>
      <c r="E709" s="1" t="str">
        <f t="shared" si="2"/>
        <v>EMZOOM 1.5 TEMZOOM 1.5 AUT2025</v>
      </c>
      <c r="F709" s="1" t="s">
        <v>747</v>
      </c>
      <c r="G709" s="1">
        <v>14290000</v>
      </c>
      <c r="H709" s="1">
        <v>11800000</v>
      </c>
    </row>
    <row r="710" spans="1:8" ht="13.5" customHeight="1" x14ac:dyDescent="0.3">
      <c r="A710" s="1" t="s">
        <v>140</v>
      </c>
      <c r="B710" s="1" t="s">
        <v>140</v>
      </c>
      <c r="C710" s="1" t="s">
        <v>4294</v>
      </c>
      <c r="D710" s="1">
        <v>2022</v>
      </c>
      <c r="E710" s="1" t="str">
        <f t="shared" si="2"/>
        <v>GACGS4 POWER 1.52022</v>
      </c>
      <c r="F710" s="1" t="s">
        <v>2330</v>
      </c>
      <c r="G710" s="1">
        <v>11990000</v>
      </c>
      <c r="H710" s="1">
        <v>10000000</v>
      </c>
    </row>
    <row r="711" spans="1:8" ht="13.5" customHeight="1" x14ac:dyDescent="0.3">
      <c r="A711" s="1" t="s">
        <v>140</v>
      </c>
      <c r="B711" s="1" t="s">
        <v>140</v>
      </c>
      <c r="C711" s="1" t="s">
        <v>4295</v>
      </c>
      <c r="D711" s="1">
        <v>2022</v>
      </c>
      <c r="E711" s="1" t="str">
        <f t="shared" si="2"/>
        <v>GACGS4 POWER 1.5 AUT2022</v>
      </c>
      <c r="F711" s="1" t="s">
        <v>794</v>
      </c>
      <c r="G711" s="1">
        <v>10990000</v>
      </c>
      <c r="H711" s="1">
        <v>9000000</v>
      </c>
    </row>
    <row r="712" spans="1:8" ht="13.5" customHeight="1" x14ac:dyDescent="0.3">
      <c r="A712" s="1" t="s">
        <v>140</v>
      </c>
      <c r="B712" s="1" t="s">
        <v>4296</v>
      </c>
      <c r="C712" s="1" t="s">
        <v>4297</v>
      </c>
      <c r="D712" s="1">
        <v>2023</v>
      </c>
      <c r="E712" s="1" t="str">
        <f t="shared" si="2"/>
        <v>GS3 1.5LGS3 GE 1.3 AUT2023</v>
      </c>
      <c r="F712" s="1" t="s">
        <v>413</v>
      </c>
      <c r="G712" s="1">
        <v>11290000</v>
      </c>
      <c r="H712" s="1">
        <v>9000000</v>
      </c>
    </row>
    <row r="713" spans="1:8" ht="13.5" customHeight="1" x14ac:dyDescent="0.3">
      <c r="A713" s="1" t="s">
        <v>140</v>
      </c>
      <c r="B713" s="1" t="s">
        <v>4296</v>
      </c>
      <c r="C713" s="1" t="s">
        <v>4298</v>
      </c>
      <c r="D713" s="1">
        <v>2023</v>
      </c>
      <c r="E713" s="1" t="str">
        <f t="shared" si="2"/>
        <v>GS3 1.5LGS3 MT 1.52023</v>
      </c>
      <c r="F713" s="1" t="s">
        <v>412</v>
      </c>
      <c r="G713" s="1">
        <v>8290000</v>
      </c>
      <c r="H713" s="1">
        <v>7000000</v>
      </c>
    </row>
    <row r="714" spans="1:8" ht="13.5" customHeight="1" x14ac:dyDescent="0.3">
      <c r="A714" s="1" t="s">
        <v>140</v>
      </c>
      <c r="B714" s="1" t="s">
        <v>4296</v>
      </c>
      <c r="C714" s="1" t="s">
        <v>4299</v>
      </c>
      <c r="D714" s="1">
        <v>2024</v>
      </c>
      <c r="E714" s="1" t="str">
        <f t="shared" si="2"/>
        <v>GS3 1.5LGS3 POWER 1.52024</v>
      </c>
      <c r="F714" s="1" t="s">
        <v>1216</v>
      </c>
      <c r="G714" s="1">
        <v>11790000</v>
      </c>
      <c r="H714" s="1">
        <v>11000000</v>
      </c>
    </row>
    <row r="715" spans="1:8" ht="13.5" customHeight="1" x14ac:dyDescent="0.3">
      <c r="A715" s="1" t="s">
        <v>140</v>
      </c>
      <c r="B715" s="1" t="s">
        <v>4296</v>
      </c>
      <c r="C715" s="1" t="s">
        <v>4299</v>
      </c>
      <c r="D715" s="1">
        <v>2024</v>
      </c>
      <c r="E715" s="1" t="str">
        <f t="shared" si="2"/>
        <v>GS3 1.5LGS3 POWER 1.52024</v>
      </c>
      <c r="F715" s="1" t="s">
        <v>613</v>
      </c>
      <c r="G715" s="1">
        <v>10190000</v>
      </c>
      <c r="H715" s="1">
        <v>8500000</v>
      </c>
    </row>
    <row r="716" spans="1:8" ht="13.5" customHeight="1" x14ac:dyDescent="0.3">
      <c r="A716" s="1" t="s">
        <v>140</v>
      </c>
      <c r="B716" s="1" t="s">
        <v>4300</v>
      </c>
      <c r="C716" s="1" t="s">
        <v>4294</v>
      </c>
      <c r="D716" s="1">
        <v>2023</v>
      </c>
      <c r="E716" s="1" t="str">
        <f t="shared" si="2"/>
        <v>GS4 POWER 1.5TGS4 POWER 1.52023</v>
      </c>
      <c r="F716" s="1" t="s">
        <v>1504</v>
      </c>
      <c r="G716" s="1">
        <v>10990000</v>
      </c>
      <c r="H716" s="1">
        <v>9500000</v>
      </c>
    </row>
    <row r="717" spans="1:8" ht="13.5" customHeight="1" x14ac:dyDescent="0.3">
      <c r="A717" s="1" t="s">
        <v>3427</v>
      </c>
      <c r="B717" s="1" t="s">
        <v>3427</v>
      </c>
      <c r="C717" s="1" t="s">
        <v>4301</v>
      </c>
      <c r="D717" s="1">
        <v>2022</v>
      </c>
      <c r="E717" s="1" t="str">
        <f t="shared" si="2"/>
        <v>GEELYAZKARRA 1.5 AUT2022</v>
      </c>
      <c r="F717" s="1" t="s">
        <v>578</v>
      </c>
      <c r="G717" s="1">
        <v>10390000</v>
      </c>
      <c r="H717" s="1">
        <v>8500000</v>
      </c>
    </row>
    <row r="718" spans="1:8" ht="13.5" customHeight="1" x14ac:dyDescent="0.3">
      <c r="A718" s="1" t="s">
        <v>3427</v>
      </c>
      <c r="B718" s="1" t="s">
        <v>3427</v>
      </c>
      <c r="C718" s="1" t="s">
        <v>4301</v>
      </c>
      <c r="D718" s="1">
        <v>2023</v>
      </c>
      <c r="E718" s="1" t="str">
        <f t="shared" si="2"/>
        <v>GEELYAZKARRA 1.5 AUT2023</v>
      </c>
      <c r="F718" s="1" t="s">
        <v>1763</v>
      </c>
      <c r="G718" s="1">
        <v>13211620</v>
      </c>
      <c r="H718" s="1">
        <v>11500000</v>
      </c>
    </row>
    <row r="719" spans="1:8" ht="13.5" customHeight="1" x14ac:dyDescent="0.3">
      <c r="A719" s="1" t="s">
        <v>3427</v>
      </c>
      <c r="B719" s="1" t="s">
        <v>3427</v>
      </c>
      <c r="C719" s="1" t="s">
        <v>4302</v>
      </c>
      <c r="D719" s="1">
        <v>2022</v>
      </c>
      <c r="E719" s="1" t="str">
        <f t="shared" si="2"/>
        <v>GEELYCOOLRAY 1.5 AUT2022</v>
      </c>
      <c r="F719" s="1" t="s">
        <v>1252</v>
      </c>
      <c r="G719" s="1">
        <v>11890000</v>
      </c>
      <c r="H719" s="1">
        <v>10000000</v>
      </c>
    </row>
    <row r="720" spans="1:8" ht="13.5" customHeight="1" x14ac:dyDescent="0.3">
      <c r="A720" s="1" t="s">
        <v>3427</v>
      </c>
      <c r="B720" s="1" t="s">
        <v>3427</v>
      </c>
      <c r="C720" s="1" t="s">
        <v>4302</v>
      </c>
      <c r="D720" s="1">
        <v>2022</v>
      </c>
      <c r="E720" s="1" t="str">
        <f t="shared" si="2"/>
        <v>GEELYCOOLRAY 1.5 AUT2022</v>
      </c>
      <c r="F720" s="1" t="s">
        <v>1793</v>
      </c>
      <c r="G720" s="1">
        <v>13490000</v>
      </c>
      <c r="H720" s="1">
        <v>11000000</v>
      </c>
    </row>
    <row r="721" spans="1:8" ht="13.5" customHeight="1" x14ac:dyDescent="0.3">
      <c r="A721" s="1" t="s">
        <v>142</v>
      </c>
      <c r="B721" s="1" t="s">
        <v>142</v>
      </c>
      <c r="C721" s="1" t="s">
        <v>4303</v>
      </c>
      <c r="D721" s="1">
        <v>2019</v>
      </c>
      <c r="E721" s="1" t="str">
        <f t="shared" si="2"/>
        <v>GREAT WALL3 2.02019</v>
      </c>
      <c r="F721" s="1" t="s">
        <v>2349</v>
      </c>
      <c r="G721" s="1">
        <v>7990000</v>
      </c>
      <c r="H721" s="1">
        <v>6500000</v>
      </c>
    </row>
    <row r="722" spans="1:8" ht="13.5" customHeight="1" x14ac:dyDescent="0.3">
      <c r="A722" s="1" t="s">
        <v>142</v>
      </c>
      <c r="B722" s="1" t="s">
        <v>142</v>
      </c>
      <c r="C722" s="1" t="s">
        <v>4304</v>
      </c>
      <c r="D722" s="1">
        <v>2021</v>
      </c>
      <c r="E722" s="1" t="str">
        <f t="shared" si="2"/>
        <v>GREAT WALLC30 ELITE 1.52021</v>
      </c>
      <c r="F722" s="1" t="s">
        <v>422</v>
      </c>
      <c r="G722" s="1">
        <v>6890000</v>
      </c>
      <c r="H722" s="1">
        <v>5200000</v>
      </c>
    </row>
    <row r="723" spans="1:8" ht="13.5" customHeight="1" x14ac:dyDescent="0.3">
      <c r="A723" s="1" t="s">
        <v>142</v>
      </c>
      <c r="B723" s="1" t="s">
        <v>142</v>
      </c>
      <c r="C723" s="1" t="s">
        <v>4305</v>
      </c>
      <c r="D723" s="1">
        <v>2018</v>
      </c>
      <c r="E723" s="1" t="str">
        <f t="shared" si="2"/>
        <v>GREAT WALLH6 1.52018</v>
      </c>
      <c r="F723" s="1" t="s">
        <v>1729</v>
      </c>
      <c r="G723" s="1">
        <v>7900000</v>
      </c>
      <c r="H723" s="1">
        <v>6399159</v>
      </c>
    </row>
    <row r="724" spans="1:8" ht="13.5" customHeight="1" x14ac:dyDescent="0.3">
      <c r="A724" s="1" t="s">
        <v>142</v>
      </c>
      <c r="B724" s="1" t="s">
        <v>142</v>
      </c>
      <c r="C724" s="1" t="s">
        <v>4306</v>
      </c>
      <c r="D724" s="1">
        <v>2018</v>
      </c>
      <c r="E724" s="1" t="str">
        <f t="shared" si="2"/>
        <v>GREAT WALLH6 LUXURY 1.52018</v>
      </c>
      <c r="F724" s="1" t="s">
        <v>2146</v>
      </c>
      <c r="G724" s="1">
        <v>8990000</v>
      </c>
      <c r="H724" s="1">
        <v>7700000</v>
      </c>
    </row>
    <row r="725" spans="1:8" ht="13.5" customHeight="1" x14ac:dyDescent="0.3">
      <c r="A725" s="1" t="s">
        <v>142</v>
      </c>
      <c r="B725" s="1" t="s">
        <v>142</v>
      </c>
      <c r="C725" s="1" t="s">
        <v>4307</v>
      </c>
      <c r="D725" s="1">
        <v>2021</v>
      </c>
      <c r="E725" s="1" t="str">
        <f t="shared" si="2"/>
        <v>GREAT WALLM4 HB 1.52021</v>
      </c>
      <c r="F725" s="1" t="s">
        <v>1312</v>
      </c>
      <c r="G725" s="1">
        <v>7595000</v>
      </c>
      <c r="H725" s="1">
        <v>6000000</v>
      </c>
    </row>
    <row r="726" spans="1:8" ht="13.5" customHeight="1" x14ac:dyDescent="0.3">
      <c r="A726" s="1" t="s">
        <v>142</v>
      </c>
      <c r="B726" s="1" t="s">
        <v>142</v>
      </c>
      <c r="C726" s="1" t="s">
        <v>4307</v>
      </c>
      <c r="D726" s="1">
        <v>2021</v>
      </c>
      <c r="E726" s="1" t="str">
        <f t="shared" si="2"/>
        <v>GREAT WALLM4 HB 1.52021</v>
      </c>
      <c r="F726" s="1" t="s">
        <v>1542</v>
      </c>
      <c r="G726" s="1">
        <v>6890000</v>
      </c>
      <c r="H726" s="1">
        <v>5700000</v>
      </c>
    </row>
    <row r="727" spans="1:8" ht="13.5" customHeight="1" x14ac:dyDescent="0.3">
      <c r="A727" s="1" t="s">
        <v>142</v>
      </c>
      <c r="B727" s="1" t="s">
        <v>142</v>
      </c>
      <c r="C727" s="1" t="s">
        <v>4308</v>
      </c>
      <c r="D727" s="1">
        <v>2021</v>
      </c>
      <c r="E727" s="1" t="str">
        <f t="shared" si="2"/>
        <v>GREAT WALLM4 LE 1.52021</v>
      </c>
      <c r="F727" s="1" t="s">
        <v>1640</v>
      </c>
      <c r="G727" s="1">
        <v>6711620</v>
      </c>
      <c r="H727" s="1">
        <v>5700000</v>
      </c>
    </row>
    <row r="728" spans="1:8" ht="13.5" customHeight="1" x14ac:dyDescent="0.3">
      <c r="A728" s="1" t="s">
        <v>142</v>
      </c>
      <c r="B728" s="1" t="s">
        <v>142</v>
      </c>
      <c r="C728" s="1" t="s">
        <v>4309</v>
      </c>
      <c r="D728" s="1">
        <v>2017</v>
      </c>
      <c r="E728" s="1" t="str">
        <f t="shared" si="2"/>
        <v>GREAT WALLNEW HAVAL H3 LE 2.02017</v>
      </c>
      <c r="F728" s="1" t="s">
        <v>1943</v>
      </c>
      <c r="G728" s="1">
        <v>6990000</v>
      </c>
      <c r="H728" s="1">
        <v>4900000</v>
      </c>
    </row>
    <row r="729" spans="1:8" ht="13.5" customHeight="1" x14ac:dyDescent="0.3">
      <c r="A729" s="1" t="s">
        <v>142</v>
      </c>
      <c r="B729" s="1" t="s">
        <v>142</v>
      </c>
      <c r="C729" s="1" t="s">
        <v>4310</v>
      </c>
      <c r="D729" s="1">
        <v>2022</v>
      </c>
      <c r="E729" s="1" t="str">
        <f t="shared" si="2"/>
        <v>GREAT WALLPOER 4X4 2.02022</v>
      </c>
      <c r="F729" s="1" t="s">
        <v>1481</v>
      </c>
      <c r="G729" s="1">
        <v>15990000</v>
      </c>
      <c r="H729" s="1">
        <v>13500000</v>
      </c>
    </row>
    <row r="730" spans="1:8" ht="13.5" customHeight="1" x14ac:dyDescent="0.3">
      <c r="A730" s="1" t="s">
        <v>142</v>
      </c>
      <c r="B730" s="1" t="s">
        <v>142</v>
      </c>
      <c r="C730" s="1" t="s">
        <v>4311</v>
      </c>
      <c r="D730" s="1">
        <v>2022</v>
      </c>
      <c r="E730" s="1" t="str">
        <f t="shared" si="2"/>
        <v>GREAT WALLPOER DELUXE 2.02022</v>
      </c>
      <c r="F730" s="1" t="s">
        <v>1124</v>
      </c>
      <c r="G730" s="1">
        <v>13590000</v>
      </c>
      <c r="H730" s="1">
        <v>11500000</v>
      </c>
    </row>
    <row r="731" spans="1:8" ht="13.5" customHeight="1" x14ac:dyDescent="0.3">
      <c r="A731" s="1" t="s">
        <v>142</v>
      </c>
      <c r="B731" s="1" t="s">
        <v>142</v>
      </c>
      <c r="C731" s="1" t="s">
        <v>4312</v>
      </c>
      <c r="D731" s="1">
        <v>2022</v>
      </c>
      <c r="E731" s="1" t="str">
        <f t="shared" si="2"/>
        <v>GREAT WALLPOER DELUXE 4X4 2.02022</v>
      </c>
      <c r="F731" s="1" t="s">
        <v>543</v>
      </c>
      <c r="G731" s="1">
        <v>14490000</v>
      </c>
      <c r="H731" s="1">
        <v>12200000</v>
      </c>
    </row>
    <row r="732" spans="1:8" ht="13.5" customHeight="1" x14ac:dyDescent="0.3">
      <c r="A732" s="1" t="s">
        <v>142</v>
      </c>
      <c r="B732" s="1" t="s">
        <v>142</v>
      </c>
      <c r="C732" s="1" t="s">
        <v>143</v>
      </c>
      <c r="D732" s="1">
        <v>2024</v>
      </c>
      <c r="E732" s="1" t="str">
        <f t="shared" si="2"/>
        <v>GREAT WALLPOER MT 4X4 2.02024</v>
      </c>
      <c r="F732" s="1" t="s">
        <v>870</v>
      </c>
      <c r="G732" s="1">
        <v>19590000</v>
      </c>
      <c r="H732" s="1">
        <v>17000000</v>
      </c>
    </row>
    <row r="733" spans="1:8" ht="13.5" customHeight="1" x14ac:dyDescent="0.3">
      <c r="A733" s="1" t="s">
        <v>142</v>
      </c>
      <c r="B733" s="1" t="s">
        <v>142</v>
      </c>
      <c r="C733" s="1" t="s">
        <v>143</v>
      </c>
      <c r="D733" s="1">
        <v>2024</v>
      </c>
      <c r="E733" s="1" t="str">
        <f t="shared" si="2"/>
        <v>GREAT WALLPOER MT 4X4 2.02024</v>
      </c>
      <c r="F733" s="1" t="s">
        <v>884</v>
      </c>
      <c r="G733" s="1">
        <v>17990000</v>
      </c>
      <c r="H733" s="1">
        <v>16200000</v>
      </c>
    </row>
    <row r="734" spans="1:8" ht="13.5" customHeight="1" x14ac:dyDescent="0.3">
      <c r="A734" s="1" t="s">
        <v>142</v>
      </c>
      <c r="B734" s="1" t="s">
        <v>142</v>
      </c>
      <c r="C734" s="1" t="s">
        <v>143</v>
      </c>
      <c r="D734" s="1">
        <v>2024</v>
      </c>
      <c r="E734" s="1" t="str">
        <f t="shared" si="2"/>
        <v>GREAT WALLPOER MT 4X4 2.02024</v>
      </c>
      <c r="F734" s="1" t="s">
        <v>883</v>
      </c>
      <c r="G734" s="1">
        <v>17990000</v>
      </c>
      <c r="H734" s="1">
        <v>15800000</v>
      </c>
    </row>
    <row r="735" spans="1:8" ht="13.5" customHeight="1" x14ac:dyDescent="0.3">
      <c r="A735" s="1" t="s">
        <v>142</v>
      </c>
      <c r="B735" s="1" t="s">
        <v>142</v>
      </c>
      <c r="C735" s="1" t="s">
        <v>143</v>
      </c>
      <c r="D735" s="1">
        <v>2024</v>
      </c>
      <c r="E735" s="1" t="str">
        <f t="shared" si="2"/>
        <v>GREAT WALLPOER MT 4X4 2.02024</v>
      </c>
      <c r="F735" s="1" t="s">
        <v>882</v>
      </c>
      <c r="G735" s="1">
        <v>17990000</v>
      </c>
      <c r="H735" s="1">
        <v>16200000</v>
      </c>
    </row>
    <row r="736" spans="1:8" ht="13.5" customHeight="1" x14ac:dyDescent="0.3">
      <c r="A736" s="1" t="s">
        <v>142</v>
      </c>
      <c r="B736" s="1" t="s">
        <v>142</v>
      </c>
      <c r="C736" s="1" t="s">
        <v>4313</v>
      </c>
      <c r="D736" s="1">
        <v>2025</v>
      </c>
      <c r="E736" s="1" t="str">
        <f t="shared" si="2"/>
        <v>GREAT WALLPOER PLUS 4X4 2.0 AUT2025</v>
      </c>
      <c r="F736" s="1" t="s">
        <v>968</v>
      </c>
      <c r="G736" s="1">
        <v>23990000</v>
      </c>
      <c r="H736" s="1">
        <v>22000000</v>
      </c>
    </row>
    <row r="737" spans="1:8" ht="13.5" customHeight="1" x14ac:dyDescent="0.3">
      <c r="A737" s="1" t="s">
        <v>142</v>
      </c>
      <c r="B737" s="1" t="s">
        <v>142</v>
      </c>
      <c r="C737" s="1" t="s">
        <v>4314</v>
      </c>
      <c r="D737" s="1">
        <v>2022</v>
      </c>
      <c r="E737" s="1" t="str">
        <f t="shared" si="2"/>
        <v>GREAT WALLWINGLE 4P 2.22022</v>
      </c>
      <c r="F737" s="1" t="s">
        <v>1339</v>
      </c>
      <c r="G737" s="1">
        <v>8490000</v>
      </c>
      <c r="H737" s="1">
        <v>7000000</v>
      </c>
    </row>
    <row r="738" spans="1:8" ht="13.5" customHeight="1" x14ac:dyDescent="0.3">
      <c r="A738" s="1" t="s">
        <v>142</v>
      </c>
      <c r="B738" s="1" t="s">
        <v>142</v>
      </c>
      <c r="C738" s="1" t="s">
        <v>4315</v>
      </c>
      <c r="D738" s="1">
        <v>2021</v>
      </c>
      <c r="E738" s="1" t="str">
        <f t="shared" si="2"/>
        <v>GREAT WALLWINGLE 5 2.22021</v>
      </c>
      <c r="F738" s="1" t="s">
        <v>1153</v>
      </c>
      <c r="G738" s="1">
        <v>7990000</v>
      </c>
      <c r="H738" s="1">
        <v>6000000</v>
      </c>
    </row>
    <row r="739" spans="1:8" ht="13.5" customHeight="1" x14ac:dyDescent="0.3">
      <c r="A739" s="1" t="s">
        <v>142</v>
      </c>
      <c r="B739" s="1" t="s">
        <v>142</v>
      </c>
      <c r="C739" s="1" t="s">
        <v>4316</v>
      </c>
      <c r="D739" s="1">
        <v>2020</v>
      </c>
      <c r="E739" s="1" t="str">
        <f t="shared" si="2"/>
        <v>GREAT WALLWINGLE 5 G ELITE 2.22020</v>
      </c>
      <c r="F739" s="1" t="s">
        <v>2314</v>
      </c>
      <c r="G739" s="1">
        <v>8290000</v>
      </c>
      <c r="H739" s="1">
        <v>7200000</v>
      </c>
    </row>
    <row r="740" spans="1:8" ht="13.5" customHeight="1" x14ac:dyDescent="0.3">
      <c r="A740" s="1" t="s">
        <v>142</v>
      </c>
      <c r="B740" s="1" t="s">
        <v>142</v>
      </c>
      <c r="C740" s="1" t="s">
        <v>4316</v>
      </c>
      <c r="D740" s="1">
        <v>2020</v>
      </c>
      <c r="E740" s="1" t="str">
        <f t="shared" si="2"/>
        <v>GREAT WALLWINGLE 5 G ELITE 2.22020</v>
      </c>
      <c r="F740" s="1" t="s">
        <v>1558</v>
      </c>
      <c r="G740" s="1">
        <v>8990000</v>
      </c>
      <c r="H740" s="1">
        <v>5900000</v>
      </c>
    </row>
    <row r="741" spans="1:8" ht="13.5" customHeight="1" x14ac:dyDescent="0.3">
      <c r="A741" s="1" t="s">
        <v>142</v>
      </c>
      <c r="B741" s="1" t="s">
        <v>142</v>
      </c>
      <c r="C741" s="1" t="s">
        <v>4317</v>
      </c>
      <c r="D741" s="1">
        <v>2024</v>
      </c>
      <c r="E741" s="1" t="str">
        <f t="shared" si="2"/>
        <v>GREAT WALLWINGLE 7 2.42024</v>
      </c>
      <c r="F741" s="1" t="s">
        <v>868</v>
      </c>
      <c r="G741" s="1">
        <v>11990000</v>
      </c>
      <c r="H741" s="1">
        <v>10000000</v>
      </c>
    </row>
    <row r="742" spans="1:8" ht="13.5" customHeight="1" x14ac:dyDescent="0.3">
      <c r="A742" s="1" t="s">
        <v>142</v>
      </c>
      <c r="B742" s="1" t="s">
        <v>142</v>
      </c>
      <c r="C742" s="1" t="s">
        <v>4318</v>
      </c>
      <c r="D742" s="1">
        <v>2024</v>
      </c>
      <c r="E742" s="1" t="str">
        <f t="shared" si="2"/>
        <v>GREAT WALLWINGLE 7 TM 4X4 2.42024</v>
      </c>
      <c r="F742" s="1" t="s">
        <v>1227</v>
      </c>
      <c r="G742" s="1">
        <v>13990000</v>
      </c>
      <c r="H742" s="1">
        <v>11200000</v>
      </c>
    </row>
    <row r="743" spans="1:8" ht="13.5" customHeight="1" x14ac:dyDescent="0.3">
      <c r="A743" s="1" t="s">
        <v>142</v>
      </c>
      <c r="B743" s="1" t="s">
        <v>4319</v>
      </c>
      <c r="C743" s="1" t="s">
        <v>4320</v>
      </c>
      <c r="D743" s="1">
        <v>2023</v>
      </c>
      <c r="E743" s="1" t="str">
        <f t="shared" si="2"/>
        <v>WINGLEWINGLE 5 ELITE 2.02023</v>
      </c>
      <c r="F743" s="1" t="s">
        <v>442</v>
      </c>
      <c r="G743" s="1">
        <v>10590000</v>
      </c>
      <c r="H743" s="1">
        <v>9000000</v>
      </c>
    </row>
    <row r="744" spans="1:8" ht="13.5" customHeight="1" x14ac:dyDescent="0.3">
      <c r="A744" s="1" t="s">
        <v>147</v>
      </c>
      <c r="B744" s="1" t="s">
        <v>4321</v>
      </c>
      <c r="C744" s="1" t="s">
        <v>4322</v>
      </c>
      <c r="D744" s="1">
        <v>2022</v>
      </c>
      <c r="E744" s="1" t="str">
        <f t="shared" si="2"/>
        <v>DARGODARGO 4X4 2.0 AUT2022</v>
      </c>
      <c r="F744" s="1" t="s">
        <v>1373</v>
      </c>
      <c r="G744" s="1">
        <v>19990000</v>
      </c>
      <c r="H744" s="1">
        <v>18000000</v>
      </c>
    </row>
    <row r="745" spans="1:8" ht="13.5" customHeight="1" x14ac:dyDescent="0.3">
      <c r="A745" s="1" t="s">
        <v>147</v>
      </c>
      <c r="B745" s="1" t="s">
        <v>150</v>
      </c>
      <c r="C745" s="1" t="s">
        <v>4323</v>
      </c>
      <c r="D745" s="1">
        <v>2022</v>
      </c>
      <c r="E745" s="1" t="str">
        <f t="shared" si="2"/>
        <v>H6H6 DELUXE 2.0 AUT2022</v>
      </c>
      <c r="F745" s="1" t="s">
        <v>1076</v>
      </c>
      <c r="G745" s="1">
        <v>15575620</v>
      </c>
      <c r="H745" s="1">
        <v>13500000</v>
      </c>
    </row>
    <row r="746" spans="1:8" ht="13.5" customHeight="1" x14ac:dyDescent="0.3">
      <c r="A746" s="1" t="s">
        <v>147</v>
      </c>
      <c r="B746" s="1" t="s">
        <v>150</v>
      </c>
      <c r="C746" s="1" t="s">
        <v>4324</v>
      </c>
      <c r="D746" s="1">
        <v>2021</v>
      </c>
      <c r="E746" s="1" t="str">
        <f t="shared" si="2"/>
        <v>H6H6 ELITE 1.52021</v>
      </c>
      <c r="F746" s="1" t="s">
        <v>390</v>
      </c>
      <c r="G746" s="1">
        <v>10290000</v>
      </c>
      <c r="H746" s="1">
        <v>8000000</v>
      </c>
    </row>
    <row r="747" spans="1:8" ht="13.5" customHeight="1" x14ac:dyDescent="0.3">
      <c r="A747" s="1" t="s">
        <v>147</v>
      </c>
      <c r="B747" s="1" t="s">
        <v>150</v>
      </c>
      <c r="C747" s="1" t="s">
        <v>4325</v>
      </c>
      <c r="D747" s="1">
        <v>2021</v>
      </c>
      <c r="E747" s="1" t="str">
        <f t="shared" si="2"/>
        <v>H6H6 ELITE 2.0 AUT2021</v>
      </c>
      <c r="F747" s="1" t="s">
        <v>1881</v>
      </c>
      <c r="G747" s="1">
        <v>12490000</v>
      </c>
      <c r="H747" s="1">
        <v>11500000</v>
      </c>
    </row>
    <row r="748" spans="1:8" ht="13.5" customHeight="1" x14ac:dyDescent="0.3">
      <c r="A748" s="1" t="s">
        <v>147</v>
      </c>
      <c r="B748" s="1" t="s">
        <v>150</v>
      </c>
      <c r="C748" s="1" t="s">
        <v>4325</v>
      </c>
      <c r="D748" s="1">
        <v>2021</v>
      </c>
      <c r="E748" s="1" t="str">
        <f t="shared" si="2"/>
        <v>H6H6 ELITE 2.0 AUT2021</v>
      </c>
      <c r="F748" s="1" t="s">
        <v>640</v>
      </c>
      <c r="G748" s="1">
        <v>13390000</v>
      </c>
      <c r="H748" s="1">
        <v>11300000</v>
      </c>
    </row>
    <row r="749" spans="1:8" ht="13.5" customHeight="1" x14ac:dyDescent="0.3">
      <c r="A749" s="1" t="s">
        <v>147</v>
      </c>
      <c r="B749" s="1" t="s">
        <v>150</v>
      </c>
      <c r="C749" s="1" t="s">
        <v>151</v>
      </c>
      <c r="D749" s="1">
        <v>2024</v>
      </c>
      <c r="E749" s="1" t="str">
        <f t="shared" si="2"/>
        <v>H6H6 GT DCT 4X4 2.0 AUT2024</v>
      </c>
      <c r="F749" s="1" t="s">
        <v>566</v>
      </c>
      <c r="G749" s="1">
        <v>18690000</v>
      </c>
      <c r="H749" s="1">
        <v>16000000</v>
      </c>
    </row>
    <row r="750" spans="1:8" ht="13.5" customHeight="1" x14ac:dyDescent="0.3">
      <c r="A750" s="1" t="s">
        <v>147</v>
      </c>
      <c r="B750" s="1" t="s">
        <v>150</v>
      </c>
      <c r="C750" s="1" t="s">
        <v>4326</v>
      </c>
      <c r="D750" s="1">
        <v>2024</v>
      </c>
      <c r="E750" s="1" t="str">
        <f t="shared" si="2"/>
        <v>H6H6 HEV TURBO 1.5 AUT2024</v>
      </c>
      <c r="F750" s="1" t="s">
        <v>951</v>
      </c>
      <c r="G750" s="1">
        <v>21990000</v>
      </c>
      <c r="H750" s="1">
        <v>18800000</v>
      </c>
    </row>
    <row r="751" spans="1:8" ht="13.5" customHeight="1" x14ac:dyDescent="0.3">
      <c r="A751" s="1" t="s">
        <v>147</v>
      </c>
      <c r="B751" s="1" t="s">
        <v>150</v>
      </c>
      <c r="C751" s="1" t="s">
        <v>4327</v>
      </c>
      <c r="D751" s="1">
        <v>2021</v>
      </c>
      <c r="E751" s="1" t="str">
        <f t="shared" si="2"/>
        <v>H6H6 TURBO DCT 2.0 AUT2021</v>
      </c>
      <c r="F751" s="1" t="s">
        <v>717</v>
      </c>
      <c r="G751" s="1">
        <v>13990000</v>
      </c>
      <c r="H751" s="1">
        <v>12000000</v>
      </c>
    </row>
    <row r="752" spans="1:8" ht="13.5" customHeight="1" x14ac:dyDescent="0.3">
      <c r="A752" s="1" t="s">
        <v>147</v>
      </c>
      <c r="B752" s="1" t="s">
        <v>150</v>
      </c>
      <c r="C752" s="1" t="s">
        <v>4327</v>
      </c>
      <c r="D752" s="1">
        <v>2022</v>
      </c>
      <c r="E752" s="1" t="str">
        <f t="shared" si="2"/>
        <v>H6H6 TURBO DCT 2.0 AUT2022</v>
      </c>
      <c r="F752" s="1" t="s">
        <v>1259</v>
      </c>
      <c r="G752" s="1">
        <v>16490000</v>
      </c>
      <c r="H752" s="1">
        <v>14000000</v>
      </c>
    </row>
    <row r="753" spans="1:8" ht="13.5" customHeight="1" x14ac:dyDescent="0.3">
      <c r="A753" s="1" t="s">
        <v>147</v>
      </c>
      <c r="B753" s="1" t="s">
        <v>153</v>
      </c>
      <c r="C753" s="1" t="s">
        <v>4328</v>
      </c>
      <c r="D753" s="1">
        <v>2024</v>
      </c>
      <c r="E753" s="1" t="str">
        <f t="shared" si="2"/>
        <v>JOLIONJOLION 4X2 1.5 AUT2024</v>
      </c>
      <c r="F753" s="1" t="s">
        <v>1790</v>
      </c>
      <c r="G753" s="1">
        <v>19490000</v>
      </c>
      <c r="H753" s="1">
        <v>16500000</v>
      </c>
    </row>
    <row r="754" spans="1:8" ht="13.5" customHeight="1" x14ac:dyDescent="0.3">
      <c r="A754" s="1" t="s">
        <v>147</v>
      </c>
      <c r="B754" s="1" t="s">
        <v>153</v>
      </c>
      <c r="C754" s="1" t="s">
        <v>4329</v>
      </c>
      <c r="D754" s="1">
        <v>2024</v>
      </c>
      <c r="E754" s="1" t="str">
        <f t="shared" si="2"/>
        <v>JOLIONJOLION 4X2 1.5 MT2024</v>
      </c>
      <c r="F754" s="1" t="s">
        <v>510</v>
      </c>
      <c r="G754" s="1">
        <v>11290000</v>
      </c>
      <c r="H754" s="1">
        <v>9500000</v>
      </c>
    </row>
    <row r="755" spans="1:8" ht="13.5" customHeight="1" x14ac:dyDescent="0.3">
      <c r="A755" s="1" t="s">
        <v>147</v>
      </c>
      <c r="B755" s="1" t="s">
        <v>153</v>
      </c>
      <c r="C755" s="1" t="s">
        <v>4330</v>
      </c>
      <c r="D755" s="1">
        <v>2022</v>
      </c>
      <c r="E755" s="1" t="str">
        <f t="shared" si="2"/>
        <v>JOLIONJOLION ELITE 1.52022</v>
      </c>
      <c r="F755" s="1" t="s">
        <v>1460</v>
      </c>
      <c r="G755" s="1">
        <v>11990000</v>
      </c>
      <c r="H755" s="1">
        <v>9800000</v>
      </c>
    </row>
    <row r="756" spans="1:8" ht="13.5" customHeight="1" x14ac:dyDescent="0.3">
      <c r="A756" s="1" t="s">
        <v>147</v>
      </c>
      <c r="B756" s="1" t="s">
        <v>153</v>
      </c>
      <c r="C756" s="1" t="s">
        <v>4330</v>
      </c>
      <c r="D756" s="1">
        <v>2023</v>
      </c>
      <c r="E756" s="1" t="str">
        <f t="shared" si="2"/>
        <v>JOLIONJOLION ELITE 1.52023</v>
      </c>
      <c r="F756" s="1" t="s">
        <v>1595</v>
      </c>
      <c r="G756" s="1">
        <v>12330000</v>
      </c>
      <c r="H756" s="1">
        <v>10500000</v>
      </c>
    </row>
    <row r="757" spans="1:8" ht="13.5" customHeight="1" x14ac:dyDescent="0.3">
      <c r="A757" s="1" t="s">
        <v>147</v>
      </c>
      <c r="B757" s="1" t="s">
        <v>153</v>
      </c>
      <c r="C757" s="1" t="s">
        <v>4331</v>
      </c>
      <c r="D757" s="1">
        <v>2022</v>
      </c>
      <c r="E757" s="1" t="str">
        <f t="shared" si="2"/>
        <v>JOLIONJOLION TURBO 1.52022</v>
      </c>
      <c r="F757" s="1" t="s">
        <v>524</v>
      </c>
      <c r="G757" s="1">
        <v>11290000</v>
      </c>
      <c r="H757" s="1">
        <v>9500000</v>
      </c>
    </row>
    <row r="758" spans="1:8" ht="13.5" customHeight="1" x14ac:dyDescent="0.3">
      <c r="A758" s="1" t="s">
        <v>2474</v>
      </c>
      <c r="B758" s="1" t="s">
        <v>4332</v>
      </c>
      <c r="C758" s="1" t="s">
        <v>4333</v>
      </c>
      <c r="D758" s="1">
        <v>2019</v>
      </c>
      <c r="E758" s="1" t="str">
        <f t="shared" si="2"/>
        <v>CITYCITY LX 1.5 AUT2019</v>
      </c>
      <c r="F758" s="1" t="s">
        <v>1320</v>
      </c>
      <c r="G758" s="1">
        <v>8990000</v>
      </c>
      <c r="H758" s="1">
        <v>7000000</v>
      </c>
    </row>
    <row r="759" spans="1:8" ht="13.5" customHeight="1" x14ac:dyDescent="0.3">
      <c r="A759" s="1" t="s">
        <v>2474</v>
      </c>
      <c r="B759" s="1" t="s">
        <v>2475</v>
      </c>
      <c r="C759" s="1" t="s">
        <v>4334</v>
      </c>
      <c r="D759" s="1">
        <v>2016</v>
      </c>
      <c r="E759" s="1" t="str">
        <f t="shared" si="2"/>
        <v>HR-VHR V EXL 4X4 1.8 AUT2016</v>
      </c>
      <c r="F759" s="1" t="s">
        <v>1190</v>
      </c>
      <c r="G759" s="1">
        <v>9468620</v>
      </c>
      <c r="H759" s="1">
        <v>7800000</v>
      </c>
    </row>
    <row r="760" spans="1:8" ht="13.5" customHeight="1" x14ac:dyDescent="0.3">
      <c r="A760" s="1" t="s">
        <v>2474</v>
      </c>
      <c r="B760" s="1" t="s">
        <v>2475</v>
      </c>
      <c r="C760" s="1" t="s">
        <v>4335</v>
      </c>
      <c r="D760" s="1">
        <v>2021</v>
      </c>
      <c r="E760" s="1" t="str">
        <f t="shared" si="2"/>
        <v>HR-VHR V LXS 1.8 AUT2021</v>
      </c>
      <c r="F760" s="1" t="s">
        <v>1659</v>
      </c>
      <c r="G760" s="1">
        <v>13500000</v>
      </c>
      <c r="H760" s="1">
        <v>11973109</v>
      </c>
    </row>
    <row r="761" spans="1:8" ht="13.5" customHeight="1" x14ac:dyDescent="0.3">
      <c r="A761" s="1" t="s">
        <v>2474</v>
      </c>
      <c r="B761" s="1" t="s">
        <v>2475</v>
      </c>
      <c r="C761" s="1" t="s">
        <v>4335</v>
      </c>
      <c r="D761" s="1">
        <v>2021</v>
      </c>
      <c r="E761" s="1" t="str">
        <f t="shared" si="2"/>
        <v>HR-VHR V LXS 1.8 AUT2021</v>
      </c>
      <c r="F761" s="1" t="s">
        <v>1888</v>
      </c>
      <c r="G761" s="1">
        <v>15290000</v>
      </c>
      <c r="H761" s="1">
        <v>12500000</v>
      </c>
    </row>
    <row r="762" spans="1:8" ht="13.5" customHeight="1" x14ac:dyDescent="0.3">
      <c r="A762" s="1" t="s">
        <v>2474</v>
      </c>
      <c r="B762" s="1" t="s">
        <v>2475</v>
      </c>
      <c r="C762" s="1" t="s">
        <v>4336</v>
      </c>
      <c r="D762" s="1">
        <v>2018</v>
      </c>
      <c r="E762" s="1" t="str">
        <f t="shared" si="2"/>
        <v>HR-VHRV 1.82018</v>
      </c>
      <c r="F762" s="1" t="s">
        <v>621</v>
      </c>
      <c r="G762" s="1">
        <v>11000000</v>
      </c>
      <c r="H762" s="1">
        <v>9400000</v>
      </c>
    </row>
    <row r="763" spans="1:8" ht="13.5" customHeight="1" x14ac:dyDescent="0.3">
      <c r="A763" s="1" t="s">
        <v>2474</v>
      </c>
      <c r="B763" s="1" t="s">
        <v>4337</v>
      </c>
      <c r="C763" s="1" t="s">
        <v>4338</v>
      </c>
      <c r="D763" s="1">
        <v>2015</v>
      </c>
      <c r="E763" s="1" t="str">
        <f t="shared" si="2"/>
        <v>PILOTPILOT TOURING 4X4 3.5 AUT2015</v>
      </c>
      <c r="F763" s="1" t="s">
        <v>1915</v>
      </c>
      <c r="G763" s="1">
        <v>15490000</v>
      </c>
      <c r="H763" s="1">
        <v>12000000</v>
      </c>
    </row>
    <row r="764" spans="1:8" ht="13.5" customHeight="1" x14ac:dyDescent="0.3">
      <c r="A764" s="1" t="s">
        <v>2474</v>
      </c>
      <c r="B764" s="1" t="s">
        <v>4339</v>
      </c>
      <c r="C764" s="1" t="s">
        <v>4340</v>
      </c>
      <c r="D764" s="1">
        <v>2022</v>
      </c>
      <c r="E764" s="1" t="str">
        <f t="shared" si="2"/>
        <v>WRWR V EXL 1.5 AUT2022</v>
      </c>
      <c r="F764" s="1" t="s">
        <v>1553</v>
      </c>
      <c r="G764" s="1">
        <v>12490000</v>
      </c>
      <c r="H764" s="1">
        <v>10491592</v>
      </c>
    </row>
    <row r="765" spans="1:8" ht="13.5" customHeight="1" x14ac:dyDescent="0.3">
      <c r="A765" s="1" t="s">
        <v>2474</v>
      </c>
      <c r="B765" s="1" t="s">
        <v>4339</v>
      </c>
      <c r="C765" s="1" t="s">
        <v>4341</v>
      </c>
      <c r="D765" s="1">
        <v>2022</v>
      </c>
      <c r="E765" s="1" t="str">
        <f t="shared" si="2"/>
        <v>WRWR V LX 1.5 AUT2022</v>
      </c>
      <c r="F765" s="1" t="s">
        <v>1539</v>
      </c>
      <c r="G765" s="1">
        <v>11890000</v>
      </c>
      <c r="H765" s="1">
        <v>10000000</v>
      </c>
    </row>
    <row r="766" spans="1:8" ht="13.5" customHeight="1" x14ac:dyDescent="0.3">
      <c r="A766" s="1" t="s">
        <v>156</v>
      </c>
      <c r="B766" s="1" t="s">
        <v>156</v>
      </c>
      <c r="C766" s="1" t="s">
        <v>4342</v>
      </c>
      <c r="D766" s="1">
        <v>2016</v>
      </c>
      <c r="E766" s="1" t="str">
        <f t="shared" si="2"/>
        <v>HYUNDAIACCENT GL 1.6 AUT2016</v>
      </c>
      <c r="F766" s="1" t="s">
        <v>2126</v>
      </c>
      <c r="G766" s="1">
        <v>7290000</v>
      </c>
      <c r="H766" s="1">
        <v>5500000</v>
      </c>
    </row>
    <row r="767" spans="1:8" ht="13.5" customHeight="1" x14ac:dyDescent="0.3">
      <c r="A767" s="1" t="s">
        <v>156</v>
      </c>
      <c r="B767" s="1" t="s">
        <v>156</v>
      </c>
      <c r="C767" s="1" t="s">
        <v>4343</v>
      </c>
      <c r="D767" s="1">
        <v>2021</v>
      </c>
      <c r="E767" s="1" t="str">
        <f t="shared" si="2"/>
        <v>HYUNDAIACCENT HCI 1.42021</v>
      </c>
      <c r="F767" s="1" t="s">
        <v>2217</v>
      </c>
      <c r="G767" s="1">
        <v>10590000</v>
      </c>
      <c r="H767" s="1">
        <v>9000000</v>
      </c>
    </row>
    <row r="768" spans="1:8" ht="13.5" customHeight="1" x14ac:dyDescent="0.3">
      <c r="A768" s="1" t="s">
        <v>156</v>
      </c>
      <c r="B768" s="1" t="s">
        <v>156</v>
      </c>
      <c r="C768" s="1" t="s">
        <v>4343</v>
      </c>
      <c r="D768" s="1">
        <v>2021</v>
      </c>
      <c r="E768" s="1" t="str">
        <f t="shared" ref="E768:E1022" si="3">CONCATENATE(B768,C768,D768)</f>
        <v>HYUNDAIACCENT HCI 1.42021</v>
      </c>
      <c r="F768" s="1" t="s">
        <v>1054</v>
      </c>
      <c r="G768" s="1">
        <v>8990000</v>
      </c>
      <c r="H768" s="1">
        <v>7100000</v>
      </c>
    </row>
    <row r="769" spans="1:8" ht="13.5" customHeight="1" x14ac:dyDescent="0.3">
      <c r="A769" s="1" t="s">
        <v>156</v>
      </c>
      <c r="B769" s="1" t="s">
        <v>156</v>
      </c>
      <c r="C769" s="1" t="s">
        <v>4343</v>
      </c>
      <c r="D769" s="1">
        <v>2021</v>
      </c>
      <c r="E769" s="1" t="str">
        <f t="shared" si="3"/>
        <v>HYUNDAIACCENT HCI 1.42021</v>
      </c>
      <c r="F769" s="1" t="s">
        <v>491</v>
      </c>
      <c r="G769" s="1">
        <v>10590000</v>
      </c>
      <c r="H769" s="1">
        <v>8500000</v>
      </c>
    </row>
    <row r="770" spans="1:8" ht="13.5" customHeight="1" x14ac:dyDescent="0.3">
      <c r="A770" s="1" t="s">
        <v>156</v>
      </c>
      <c r="B770" s="1" t="s">
        <v>156</v>
      </c>
      <c r="C770" s="1" t="s">
        <v>4343</v>
      </c>
      <c r="D770" s="1">
        <v>2022</v>
      </c>
      <c r="E770" s="1" t="str">
        <f t="shared" si="3"/>
        <v>HYUNDAIACCENT HCI 1.42022</v>
      </c>
      <c r="F770" s="1" t="s">
        <v>705</v>
      </c>
      <c r="G770" s="1">
        <v>9990000</v>
      </c>
      <c r="H770" s="1">
        <v>8300000</v>
      </c>
    </row>
    <row r="771" spans="1:8" ht="13.5" customHeight="1" x14ac:dyDescent="0.3">
      <c r="A771" s="1" t="s">
        <v>156</v>
      </c>
      <c r="B771" s="1" t="s">
        <v>156</v>
      </c>
      <c r="C771" s="1" t="s">
        <v>4343</v>
      </c>
      <c r="D771" s="1">
        <v>2023</v>
      </c>
      <c r="E771" s="1" t="str">
        <f t="shared" si="3"/>
        <v>HYUNDAIACCENT HCI 1.42023</v>
      </c>
      <c r="F771" s="1" t="s">
        <v>1803</v>
      </c>
      <c r="G771" s="1">
        <v>11000000</v>
      </c>
      <c r="H771" s="1">
        <v>9700000</v>
      </c>
    </row>
    <row r="772" spans="1:8" ht="13.5" customHeight="1" x14ac:dyDescent="0.3">
      <c r="A772" s="1" t="s">
        <v>156</v>
      </c>
      <c r="B772" s="1" t="s">
        <v>156</v>
      </c>
      <c r="C772" s="1" t="s">
        <v>4343</v>
      </c>
      <c r="D772" s="1">
        <v>2024</v>
      </c>
      <c r="E772" s="1" t="str">
        <f t="shared" si="3"/>
        <v>HYUNDAIACCENT HCI 1.42024</v>
      </c>
      <c r="F772" s="1" t="s">
        <v>1036</v>
      </c>
      <c r="G772" s="1">
        <v>10990000</v>
      </c>
      <c r="H772" s="1">
        <v>10000000</v>
      </c>
    </row>
    <row r="773" spans="1:8" ht="13.5" customHeight="1" x14ac:dyDescent="0.3">
      <c r="A773" s="1" t="s">
        <v>156</v>
      </c>
      <c r="B773" s="1" t="s">
        <v>156</v>
      </c>
      <c r="C773" s="1" t="s">
        <v>4344</v>
      </c>
      <c r="D773" s="1">
        <v>2020</v>
      </c>
      <c r="E773" s="1" t="str">
        <f t="shared" si="3"/>
        <v>HYUNDAIACCENT RB 1.42020</v>
      </c>
      <c r="F773" s="1" t="s">
        <v>2040</v>
      </c>
      <c r="G773" s="1">
        <v>8490000</v>
      </c>
      <c r="H773" s="1">
        <v>6747899</v>
      </c>
    </row>
    <row r="774" spans="1:8" ht="13.5" customHeight="1" x14ac:dyDescent="0.3">
      <c r="A774" s="1" t="s">
        <v>156</v>
      </c>
      <c r="B774" s="1" t="s">
        <v>156</v>
      </c>
      <c r="C774" s="1" t="s">
        <v>4344</v>
      </c>
      <c r="D774" s="1">
        <v>2020</v>
      </c>
      <c r="E774" s="1" t="str">
        <f t="shared" si="3"/>
        <v>HYUNDAIACCENT RB 1.42020</v>
      </c>
      <c r="F774" s="1" t="s">
        <v>2366</v>
      </c>
      <c r="G774" s="1">
        <v>8990000</v>
      </c>
      <c r="H774" s="1">
        <v>7300000</v>
      </c>
    </row>
    <row r="775" spans="1:8" ht="13.5" customHeight="1" x14ac:dyDescent="0.3">
      <c r="A775" s="1" t="s">
        <v>156</v>
      </c>
      <c r="B775" s="1" t="s">
        <v>156</v>
      </c>
      <c r="C775" s="1" t="s">
        <v>4345</v>
      </c>
      <c r="D775" s="1">
        <v>2017</v>
      </c>
      <c r="E775" s="1" t="str">
        <f t="shared" si="3"/>
        <v>HYUNDAIACCENT RB GL 1.62017</v>
      </c>
      <c r="F775" s="1" t="s">
        <v>2291</v>
      </c>
      <c r="G775" s="1">
        <v>8500000</v>
      </c>
      <c r="H775" s="1">
        <v>7000000</v>
      </c>
    </row>
    <row r="776" spans="1:8" ht="13.5" customHeight="1" x14ac:dyDescent="0.3">
      <c r="A776" s="1" t="s">
        <v>156</v>
      </c>
      <c r="B776" s="1" t="s">
        <v>156</v>
      </c>
      <c r="C776" s="1" t="s">
        <v>4346</v>
      </c>
      <c r="D776" s="1">
        <v>2020</v>
      </c>
      <c r="E776" s="1" t="str">
        <f t="shared" si="3"/>
        <v>HYUNDAIATOS 1.12020</v>
      </c>
      <c r="F776" s="1" t="s">
        <v>444</v>
      </c>
      <c r="G776" s="1">
        <v>7390000</v>
      </c>
      <c r="H776" s="1">
        <v>6000000</v>
      </c>
    </row>
    <row r="777" spans="1:8" ht="13.5" customHeight="1" x14ac:dyDescent="0.3">
      <c r="A777" s="1" t="s">
        <v>156</v>
      </c>
      <c r="B777" s="1" t="s">
        <v>156</v>
      </c>
      <c r="C777" s="1" t="s">
        <v>4346</v>
      </c>
      <c r="D777" s="1">
        <v>2022</v>
      </c>
      <c r="E777" s="1" t="str">
        <f t="shared" si="3"/>
        <v>HYUNDAIATOS 1.12022</v>
      </c>
      <c r="F777" s="1" t="s">
        <v>1052</v>
      </c>
      <c r="G777" s="1">
        <v>6990000</v>
      </c>
      <c r="H777" s="1">
        <v>5250000</v>
      </c>
    </row>
    <row r="778" spans="1:8" ht="13.5" customHeight="1" x14ac:dyDescent="0.3">
      <c r="A778" s="1" t="s">
        <v>156</v>
      </c>
      <c r="B778" s="1" t="s">
        <v>156</v>
      </c>
      <c r="C778" s="1" t="s">
        <v>4347</v>
      </c>
      <c r="D778" s="1">
        <v>2021</v>
      </c>
      <c r="E778" s="1" t="str">
        <f t="shared" si="3"/>
        <v>HYUNDAIATOS AH2 HB 1.12021</v>
      </c>
      <c r="F778" s="1" t="s">
        <v>737</v>
      </c>
      <c r="G778" s="1">
        <v>7290000</v>
      </c>
      <c r="H778" s="1">
        <v>5200000</v>
      </c>
    </row>
    <row r="779" spans="1:8" ht="13.5" customHeight="1" x14ac:dyDescent="0.3">
      <c r="A779" s="1" t="s">
        <v>156</v>
      </c>
      <c r="B779" s="1" t="s">
        <v>156</v>
      </c>
      <c r="C779" s="1" t="s">
        <v>4347</v>
      </c>
      <c r="D779" s="1">
        <v>2021</v>
      </c>
      <c r="E779" s="1" t="str">
        <f t="shared" si="3"/>
        <v>HYUNDAIATOS AH2 HB 1.12021</v>
      </c>
      <c r="F779" s="1" t="s">
        <v>472</v>
      </c>
      <c r="G779" s="1">
        <v>6990000</v>
      </c>
      <c r="H779" s="1">
        <v>5500000</v>
      </c>
    </row>
    <row r="780" spans="1:8" ht="13.5" customHeight="1" x14ac:dyDescent="0.3">
      <c r="A780" s="1" t="s">
        <v>156</v>
      </c>
      <c r="B780" s="1" t="s">
        <v>156</v>
      </c>
      <c r="C780" s="1" t="s">
        <v>4347</v>
      </c>
      <c r="D780" s="1">
        <v>2021</v>
      </c>
      <c r="E780" s="1" t="str">
        <f t="shared" si="3"/>
        <v>HYUNDAIATOS AH2 HB 1.12021</v>
      </c>
      <c r="F780" s="1" t="s">
        <v>1357</v>
      </c>
      <c r="G780" s="1">
        <v>6690000</v>
      </c>
      <c r="H780" s="1">
        <v>5000000</v>
      </c>
    </row>
    <row r="781" spans="1:8" ht="13.5" customHeight="1" x14ac:dyDescent="0.3">
      <c r="A781" s="1" t="s">
        <v>156</v>
      </c>
      <c r="B781" s="1" t="s">
        <v>156</v>
      </c>
      <c r="C781" s="1" t="s">
        <v>4348</v>
      </c>
      <c r="D781" s="1">
        <v>2017</v>
      </c>
      <c r="E781" s="1" t="str">
        <f t="shared" si="3"/>
        <v>HYUNDAICRETA GLS 1.62017</v>
      </c>
      <c r="F781" s="1" t="s">
        <v>2254</v>
      </c>
      <c r="G781" s="1">
        <v>9190000</v>
      </c>
      <c r="H781" s="1">
        <v>8000000</v>
      </c>
    </row>
    <row r="782" spans="1:8" ht="13.5" customHeight="1" x14ac:dyDescent="0.3">
      <c r="A782" s="1" t="s">
        <v>156</v>
      </c>
      <c r="B782" s="1" t="s">
        <v>156</v>
      </c>
      <c r="C782" s="1" t="s">
        <v>4349</v>
      </c>
      <c r="D782" s="1">
        <v>2024</v>
      </c>
      <c r="E782" s="1" t="str">
        <f t="shared" si="3"/>
        <v>HYUNDAICRETA GRAND MPI 2.02024</v>
      </c>
      <c r="F782" s="1" t="s">
        <v>1379</v>
      </c>
      <c r="G782" s="1">
        <v>16490000</v>
      </c>
      <c r="H782" s="1">
        <v>14000000</v>
      </c>
    </row>
    <row r="783" spans="1:8" ht="13.5" customHeight="1" x14ac:dyDescent="0.3">
      <c r="A783" s="1" t="s">
        <v>156</v>
      </c>
      <c r="B783" s="1" t="s">
        <v>156</v>
      </c>
      <c r="C783" s="1" t="s">
        <v>4350</v>
      </c>
      <c r="D783" s="1">
        <v>2022</v>
      </c>
      <c r="E783" s="1" t="str">
        <f t="shared" si="3"/>
        <v>HYUNDAICRETA GRAND MPI 2.0 AUT2022</v>
      </c>
      <c r="F783" s="1" t="s">
        <v>1491</v>
      </c>
      <c r="G783" s="1">
        <v>15990000</v>
      </c>
      <c r="H783" s="1">
        <v>13500000</v>
      </c>
    </row>
    <row r="784" spans="1:8" ht="13.5" customHeight="1" x14ac:dyDescent="0.3">
      <c r="A784" s="1" t="s">
        <v>156</v>
      </c>
      <c r="B784" s="1" t="s">
        <v>156</v>
      </c>
      <c r="C784" s="1" t="s">
        <v>4351</v>
      </c>
      <c r="D784" s="1">
        <v>2018</v>
      </c>
      <c r="E784" s="1" t="str">
        <f t="shared" si="3"/>
        <v>HYUNDAICRETA GS 1.62018</v>
      </c>
      <c r="F784" s="1" t="s">
        <v>1530</v>
      </c>
      <c r="G784" s="1">
        <v>9990000</v>
      </c>
      <c r="H784" s="1">
        <v>7000000</v>
      </c>
    </row>
    <row r="785" spans="1:8" ht="13.5" customHeight="1" x14ac:dyDescent="0.3">
      <c r="A785" s="1" t="s">
        <v>156</v>
      </c>
      <c r="B785" s="1" t="s">
        <v>156</v>
      </c>
      <c r="C785" s="1" t="s">
        <v>4351</v>
      </c>
      <c r="D785" s="1">
        <v>2018</v>
      </c>
      <c r="E785" s="1" t="str">
        <f t="shared" si="3"/>
        <v>HYUNDAICRETA GS 1.62018</v>
      </c>
      <c r="F785" s="1" t="s">
        <v>1593</v>
      </c>
      <c r="G785" s="1">
        <v>9790000</v>
      </c>
      <c r="H785" s="1">
        <v>8300000</v>
      </c>
    </row>
    <row r="786" spans="1:8" ht="13.5" customHeight="1" x14ac:dyDescent="0.3">
      <c r="A786" s="1" t="s">
        <v>156</v>
      </c>
      <c r="B786" s="1" t="s">
        <v>156</v>
      </c>
      <c r="C786" s="1" t="s">
        <v>4351</v>
      </c>
      <c r="D786" s="1">
        <v>2019</v>
      </c>
      <c r="E786" s="1" t="str">
        <f t="shared" si="3"/>
        <v>HYUNDAICRETA GS 1.62019</v>
      </c>
      <c r="F786" s="1" t="s">
        <v>2289</v>
      </c>
      <c r="G786" s="1">
        <v>10990000</v>
      </c>
      <c r="H786" s="1">
        <v>9000000</v>
      </c>
    </row>
    <row r="787" spans="1:8" ht="13.5" customHeight="1" x14ac:dyDescent="0.3">
      <c r="A787" s="1" t="s">
        <v>156</v>
      </c>
      <c r="B787" s="1" t="s">
        <v>156</v>
      </c>
      <c r="C787" s="1" t="s">
        <v>4351</v>
      </c>
      <c r="D787" s="1">
        <v>2020</v>
      </c>
      <c r="E787" s="1" t="str">
        <f t="shared" si="3"/>
        <v>HYUNDAICRETA GS 1.62020</v>
      </c>
      <c r="F787" s="1" t="s">
        <v>1522</v>
      </c>
      <c r="G787" s="1">
        <v>10990000</v>
      </c>
      <c r="H787" s="1">
        <v>9000000</v>
      </c>
    </row>
    <row r="788" spans="1:8" ht="13.5" customHeight="1" x14ac:dyDescent="0.3">
      <c r="A788" s="1" t="s">
        <v>156</v>
      </c>
      <c r="B788" s="1" t="s">
        <v>156</v>
      </c>
      <c r="C788" s="1" t="s">
        <v>4351</v>
      </c>
      <c r="D788" s="1">
        <v>2020</v>
      </c>
      <c r="E788" s="1" t="str">
        <f t="shared" si="3"/>
        <v>HYUNDAICRETA GS 1.62020</v>
      </c>
      <c r="F788" s="1" t="s">
        <v>2107</v>
      </c>
      <c r="G788" s="1">
        <v>12090000</v>
      </c>
      <c r="H788" s="1">
        <v>10200000</v>
      </c>
    </row>
    <row r="789" spans="1:8" ht="13.5" customHeight="1" x14ac:dyDescent="0.3">
      <c r="A789" s="1" t="s">
        <v>156</v>
      </c>
      <c r="B789" s="1" t="s">
        <v>156</v>
      </c>
      <c r="C789" s="1" t="s">
        <v>4352</v>
      </c>
      <c r="D789" s="1">
        <v>2020</v>
      </c>
      <c r="E789" s="1" t="str">
        <f t="shared" si="3"/>
        <v>HYUNDAICRETA GS 1.6 AT2020</v>
      </c>
      <c r="F789" s="1" t="s">
        <v>974</v>
      </c>
      <c r="G789" s="1">
        <v>11840000</v>
      </c>
      <c r="H789" s="1">
        <v>10000000</v>
      </c>
    </row>
    <row r="790" spans="1:8" ht="13.5" customHeight="1" x14ac:dyDescent="0.3">
      <c r="A790" s="1" t="s">
        <v>156</v>
      </c>
      <c r="B790" s="1" t="s">
        <v>156</v>
      </c>
      <c r="C790" s="1" t="s">
        <v>4353</v>
      </c>
      <c r="D790" s="1">
        <v>2019</v>
      </c>
      <c r="E790" s="1" t="str">
        <f t="shared" si="3"/>
        <v>HYUNDAICRETA GS PE 1.62019</v>
      </c>
      <c r="F790" s="1" t="s">
        <v>1250</v>
      </c>
      <c r="G790" s="1">
        <v>9690000</v>
      </c>
      <c r="H790" s="1">
        <v>7400000</v>
      </c>
    </row>
    <row r="791" spans="1:8" ht="13.5" customHeight="1" x14ac:dyDescent="0.3">
      <c r="A791" s="1" t="s">
        <v>156</v>
      </c>
      <c r="B791" s="1" t="s">
        <v>156</v>
      </c>
      <c r="C791" s="1" t="s">
        <v>4354</v>
      </c>
      <c r="D791" s="1">
        <v>2021</v>
      </c>
      <c r="E791" s="1" t="str">
        <f t="shared" si="3"/>
        <v>HYUNDAICRETA SU2I 1.52021</v>
      </c>
      <c r="F791" s="1" t="s">
        <v>1168</v>
      </c>
      <c r="G791" s="1">
        <v>10990000</v>
      </c>
      <c r="H791" s="1">
        <v>9000000</v>
      </c>
    </row>
    <row r="792" spans="1:8" ht="13.5" customHeight="1" x14ac:dyDescent="0.3">
      <c r="A792" s="1" t="s">
        <v>156</v>
      </c>
      <c r="B792" s="1" t="s">
        <v>156</v>
      </c>
      <c r="C792" s="1" t="s">
        <v>4354</v>
      </c>
      <c r="D792" s="1">
        <v>2021</v>
      </c>
      <c r="E792" s="1" t="str">
        <f t="shared" si="3"/>
        <v>HYUNDAICRETA SU2I 1.52021</v>
      </c>
      <c r="F792" s="1" t="s">
        <v>1023</v>
      </c>
      <c r="G792" s="1">
        <v>11390000</v>
      </c>
      <c r="H792" s="1">
        <v>9300000</v>
      </c>
    </row>
    <row r="793" spans="1:8" ht="13.5" customHeight="1" x14ac:dyDescent="0.3">
      <c r="A793" s="1" t="s">
        <v>156</v>
      </c>
      <c r="B793" s="1" t="s">
        <v>156</v>
      </c>
      <c r="C793" s="1" t="s">
        <v>4354</v>
      </c>
      <c r="D793" s="1">
        <v>2021</v>
      </c>
      <c r="E793" s="1" t="str">
        <f t="shared" si="3"/>
        <v>HYUNDAICRETA SU2I 1.52021</v>
      </c>
      <c r="F793" s="1" t="s">
        <v>1209</v>
      </c>
      <c r="G793" s="1">
        <v>11690000</v>
      </c>
      <c r="H793" s="1">
        <v>9800000</v>
      </c>
    </row>
    <row r="794" spans="1:8" ht="13.5" customHeight="1" x14ac:dyDescent="0.3">
      <c r="A794" s="1" t="s">
        <v>156</v>
      </c>
      <c r="B794" s="1" t="s">
        <v>156</v>
      </c>
      <c r="C794" s="1" t="s">
        <v>4354</v>
      </c>
      <c r="D794" s="1">
        <v>2022</v>
      </c>
      <c r="E794" s="1" t="str">
        <f t="shared" si="3"/>
        <v>HYUNDAICRETA SU2I 1.52022</v>
      </c>
      <c r="F794" s="1" t="s">
        <v>1398</v>
      </c>
      <c r="G794" s="1">
        <v>13390000</v>
      </c>
      <c r="H794" s="1">
        <v>11000000</v>
      </c>
    </row>
    <row r="795" spans="1:8" ht="13.5" customHeight="1" x14ac:dyDescent="0.3">
      <c r="A795" s="1" t="s">
        <v>156</v>
      </c>
      <c r="B795" s="1" t="s">
        <v>156</v>
      </c>
      <c r="C795" s="1" t="s">
        <v>4354</v>
      </c>
      <c r="D795" s="1">
        <v>2022</v>
      </c>
      <c r="E795" s="1" t="str">
        <f t="shared" si="3"/>
        <v>HYUNDAICRETA SU2I 1.52022</v>
      </c>
      <c r="F795" s="1" t="s">
        <v>1428</v>
      </c>
      <c r="G795" s="1">
        <v>13690000</v>
      </c>
      <c r="H795" s="1">
        <v>11700000</v>
      </c>
    </row>
    <row r="796" spans="1:8" ht="13.5" customHeight="1" x14ac:dyDescent="0.3">
      <c r="A796" s="1" t="s">
        <v>156</v>
      </c>
      <c r="B796" s="1" t="s">
        <v>156</v>
      </c>
      <c r="C796" s="1" t="s">
        <v>4354</v>
      </c>
      <c r="D796" s="1">
        <v>2023</v>
      </c>
      <c r="E796" s="1" t="str">
        <f t="shared" si="3"/>
        <v>HYUNDAICRETA SU2I 1.52023</v>
      </c>
      <c r="G796" s="1">
        <v>13990000</v>
      </c>
      <c r="H796" s="1">
        <v>0</v>
      </c>
    </row>
    <row r="797" spans="1:8" ht="13.5" customHeight="1" x14ac:dyDescent="0.3">
      <c r="A797" s="1" t="s">
        <v>156</v>
      </c>
      <c r="B797" s="1" t="s">
        <v>156</v>
      </c>
      <c r="C797" s="1" t="s">
        <v>4354</v>
      </c>
      <c r="D797" s="1">
        <v>2023</v>
      </c>
      <c r="E797" s="1" t="str">
        <f t="shared" si="3"/>
        <v>HYUNDAICRETA SU2I 1.52023</v>
      </c>
      <c r="F797" s="1" t="s">
        <v>395</v>
      </c>
      <c r="G797" s="1">
        <v>13211620</v>
      </c>
      <c r="H797" s="1">
        <v>10500000</v>
      </c>
    </row>
    <row r="798" spans="1:8" ht="13.5" customHeight="1" x14ac:dyDescent="0.3">
      <c r="A798" s="1" t="s">
        <v>156</v>
      </c>
      <c r="B798" s="1" t="s">
        <v>156</v>
      </c>
      <c r="C798" s="1" t="s">
        <v>4354</v>
      </c>
      <c r="D798" s="1">
        <v>2023</v>
      </c>
      <c r="E798" s="1" t="str">
        <f t="shared" si="3"/>
        <v>HYUNDAICRETA SU2I 1.52023</v>
      </c>
      <c r="F798" s="1" t="s">
        <v>852</v>
      </c>
      <c r="G798" s="1">
        <v>13990000</v>
      </c>
      <c r="H798" s="1">
        <v>12000000</v>
      </c>
    </row>
    <row r="799" spans="1:8" ht="13.5" customHeight="1" x14ac:dyDescent="0.3">
      <c r="A799" s="1" t="s">
        <v>156</v>
      </c>
      <c r="B799" s="1" t="s">
        <v>156</v>
      </c>
      <c r="C799" s="1" t="s">
        <v>4354</v>
      </c>
      <c r="D799" s="1">
        <v>2023</v>
      </c>
      <c r="E799" s="1" t="str">
        <f t="shared" si="3"/>
        <v>HYUNDAICRETA SU2I 1.52023</v>
      </c>
      <c r="F799" s="1" t="s">
        <v>716</v>
      </c>
      <c r="G799" s="1">
        <v>12990000</v>
      </c>
      <c r="H799" s="1">
        <v>11800000</v>
      </c>
    </row>
    <row r="800" spans="1:8" ht="13.5" customHeight="1" x14ac:dyDescent="0.3">
      <c r="A800" s="1" t="s">
        <v>156</v>
      </c>
      <c r="B800" s="1" t="s">
        <v>156</v>
      </c>
      <c r="C800" s="1" t="s">
        <v>4355</v>
      </c>
      <c r="D800" s="1">
        <v>2023</v>
      </c>
      <c r="E800" s="1" t="str">
        <f t="shared" si="3"/>
        <v>HYUNDAICRETA SU2I CVT 1.5 AUT2023</v>
      </c>
      <c r="F800" s="1" t="s">
        <v>1313</v>
      </c>
      <c r="G800" s="1">
        <v>15990000</v>
      </c>
      <c r="H800" s="1">
        <v>13500000</v>
      </c>
    </row>
    <row r="801" spans="1:8" ht="13.5" customHeight="1" x14ac:dyDescent="0.3">
      <c r="A801" s="1" t="s">
        <v>156</v>
      </c>
      <c r="B801" s="1" t="s">
        <v>156</v>
      </c>
      <c r="C801" s="1" t="s">
        <v>4356</v>
      </c>
      <c r="D801" s="1">
        <v>2024</v>
      </c>
      <c r="E801" s="1" t="str">
        <f t="shared" si="3"/>
        <v>HYUNDAICRETA SU2ID MPI 1.52024</v>
      </c>
      <c r="F801" s="1" t="s">
        <v>923</v>
      </c>
      <c r="G801" s="1">
        <v>15290000</v>
      </c>
      <c r="H801" s="1">
        <v>14000000</v>
      </c>
    </row>
    <row r="802" spans="1:8" ht="13.5" customHeight="1" x14ac:dyDescent="0.3">
      <c r="A802" s="1" t="s">
        <v>156</v>
      </c>
      <c r="B802" s="1" t="s">
        <v>156</v>
      </c>
      <c r="C802" s="1" t="s">
        <v>4356</v>
      </c>
      <c r="D802" s="1">
        <v>2025</v>
      </c>
      <c r="E802" s="1" t="str">
        <f t="shared" si="3"/>
        <v>HYUNDAICRETA SU2ID MPI 1.52025</v>
      </c>
      <c r="F802" s="1" t="s">
        <v>828</v>
      </c>
      <c r="G802" s="1">
        <v>16660000</v>
      </c>
      <c r="H802" s="1">
        <v>14500000</v>
      </c>
    </row>
    <row r="803" spans="1:8" ht="13.5" customHeight="1" x14ac:dyDescent="0.3">
      <c r="A803" s="1" t="s">
        <v>156</v>
      </c>
      <c r="B803" s="1" t="s">
        <v>156</v>
      </c>
      <c r="C803" s="1" t="s">
        <v>4357</v>
      </c>
      <c r="D803" s="1">
        <v>2018</v>
      </c>
      <c r="E803" s="1" t="str">
        <f t="shared" si="3"/>
        <v>HYUNDAIELANTRA 1.62018</v>
      </c>
      <c r="F803" s="1" t="s">
        <v>1626</v>
      </c>
      <c r="G803" s="1">
        <v>9190000</v>
      </c>
      <c r="H803" s="1">
        <v>7700000</v>
      </c>
    </row>
    <row r="804" spans="1:8" ht="13.5" customHeight="1" x14ac:dyDescent="0.3">
      <c r="A804" s="1" t="s">
        <v>156</v>
      </c>
      <c r="B804" s="1" t="s">
        <v>156</v>
      </c>
      <c r="C804" s="1" t="s">
        <v>4358</v>
      </c>
      <c r="D804" s="1">
        <v>2020</v>
      </c>
      <c r="E804" s="1" t="str">
        <f t="shared" si="3"/>
        <v>HYUNDAIELANTRA AD 1.6 AUT2020</v>
      </c>
      <c r="F804" s="1" t="s">
        <v>4359</v>
      </c>
      <c r="G804" s="1">
        <v>9990000</v>
      </c>
      <c r="H804" s="1">
        <v>11500000</v>
      </c>
    </row>
    <row r="805" spans="1:8" ht="13.5" customHeight="1" x14ac:dyDescent="0.3">
      <c r="A805" s="1" t="s">
        <v>156</v>
      </c>
      <c r="B805" s="1" t="s">
        <v>156</v>
      </c>
      <c r="C805" s="1" t="s">
        <v>4360</v>
      </c>
      <c r="D805" s="1">
        <v>2022</v>
      </c>
      <c r="E805" s="1" t="str">
        <f t="shared" si="3"/>
        <v>HYUNDAIELANTRA CN7 1.62022</v>
      </c>
      <c r="F805" s="1" t="s">
        <v>1243</v>
      </c>
      <c r="G805" s="1">
        <v>13310120</v>
      </c>
      <c r="H805" s="1">
        <v>11500000</v>
      </c>
    </row>
    <row r="806" spans="1:8" ht="13.5" customHeight="1" x14ac:dyDescent="0.3">
      <c r="A806" s="1" t="s">
        <v>156</v>
      </c>
      <c r="B806" s="1" t="s">
        <v>156</v>
      </c>
      <c r="C806" s="1" t="s">
        <v>4360</v>
      </c>
      <c r="D806" s="1">
        <v>2023</v>
      </c>
      <c r="E806" s="1" t="str">
        <f t="shared" si="3"/>
        <v>HYUNDAIELANTRA CN7 1.62023</v>
      </c>
      <c r="F806" s="1" t="s">
        <v>915</v>
      </c>
      <c r="G806" s="1">
        <v>14590000</v>
      </c>
      <c r="H806" s="1">
        <v>12000000</v>
      </c>
    </row>
    <row r="807" spans="1:8" ht="13.5" customHeight="1" x14ac:dyDescent="0.3">
      <c r="A807" s="1" t="s">
        <v>156</v>
      </c>
      <c r="B807" s="1" t="s">
        <v>156</v>
      </c>
      <c r="C807" s="1" t="s">
        <v>4361</v>
      </c>
      <c r="D807" s="1">
        <v>2022</v>
      </c>
      <c r="E807" s="1" t="str">
        <f t="shared" si="3"/>
        <v>HYUNDAIELANTRA CN7 2.0 AT2022</v>
      </c>
      <c r="F807" s="1" t="s">
        <v>1806</v>
      </c>
      <c r="G807" s="1">
        <v>15990000</v>
      </c>
      <c r="H807" s="1">
        <v>14500000</v>
      </c>
    </row>
    <row r="808" spans="1:8" ht="13.5" customHeight="1" x14ac:dyDescent="0.3">
      <c r="A808" s="1" t="s">
        <v>156</v>
      </c>
      <c r="B808" s="1" t="s">
        <v>156</v>
      </c>
      <c r="C808" s="1" t="s">
        <v>4361</v>
      </c>
      <c r="D808" s="1">
        <v>2023</v>
      </c>
      <c r="E808" s="1" t="str">
        <f t="shared" si="3"/>
        <v>HYUNDAIELANTRA CN7 2.0 AT2023</v>
      </c>
      <c r="F808" s="1" t="s">
        <v>1084</v>
      </c>
      <c r="G808" s="1">
        <v>14790000</v>
      </c>
      <c r="H808" s="1">
        <v>12500000</v>
      </c>
    </row>
    <row r="809" spans="1:8" ht="13.5" customHeight="1" x14ac:dyDescent="0.3">
      <c r="A809" s="1" t="s">
        <v>156</v>
      </c>
      <c r="B809" s="1" t="s">
        <v>156</v>
      </c>
      <c r="C809" s="1" t="s">
        <v>4362</v>
      </c>
      <c r="D809" s="1">
        <v>2024</v>
      </c>
      <c r="E809" s="1" t="str">
        <f t="shared" si="3"/>
        <v>HYUNDAIGRAND I10 1.02024</v>
      </c>
      <c r="F809" s="1" t="s">
        <v>765</v>
      </c>
      <c r="G809" s="1">
        <v>8490000</v>
      </c>
      <c r="H809" s="1">
        <v>7000000</v>
      </c>
    </row>
    <row r="810" spans="1:8" ht="13.5" customHeight="1" x14ac:dyDescent="0.3">
      <c r="A810" s="1" t="s">
        <v>156</v>
      </c>
      <c r="B810" s="1" t="s">
        <v>156</v>
      </c>
      <c r="C810" s="1" t="s">
        <v>4363</v>
      </c>
      <c r="D810" s="1">
        <v>2024</v>
      </c>
      <c r="E810" s="1" t="str">
        <f t="shared" si="3"/>
        <v>HYUNDAIGRAND I10 4X2 1.22024</v>
      </c>
      <c r="F810" s="1" t="s">
        <v>1792</v>
      </c>
      <c r="G810" s="1">
        <v>9690000</v>
      </c>
      <c r="H810" s="1">
        <v>7915966</v>
      </c>
    </row>
    <row r="811" spans="1:8" ht="13.5" customHeight="1" x14ac:dyDescent="0.3">
      <c r="A811" s="1" t="s">
        <v>156</v>
      </c>
      <c r="B811" s="1" t="s">
        <v>156</v>
      </c>
      <c r="C811" s="1" t="s">
        <v>4364</v>
      </c>
      <c r="D811" s="1">
        <v>2024</v>
      </c>
      <c r="E811" s="1" t="str">
        <f t="shared" si="3"/>
        <v>HYUNDAIGRAND I10 AI3 4X2 1.22024</v>
      </c>
      <c r="F811" s="1" t="s">
        <v>462</v>
      </c>
      <c r="G811" s="1">
        <v>10690000</v>
      </c>
      <c r="H811" s="1">
        <v>9000000</v>
      </c>
    </row>
    <row r="812" spans="1:8" ht="13.5" customHeight="1" x14ac:dyDescent="0.3">
      <c r="A812" s="1" t="s">
        <v>156</v>
      </c>
      <c r="B812" s="1" t="s">
        <v>156</v>
      </c>
      <c r="C812" s="1" t="s">
        <v>4365</v>
      </c>
      <c r="D812" s="1">
        <v>2024</v>
      </c>
      <c r="E812" s="1" t="str">
        <f t="shared" si="3"/>
        <v>HYUNDAIGRAND I10 AI3 HB MT 1.22024</v>
      </c>
      <c r="F812" s="1" t="s">
        <v>535</v>
      </c>
      <c r="G812" s="1">
        <v>10390000</v>
      </c>
      <c r="H812" s="1">
        <v>8700000</v>
      </c>
    </row>
    <row r="813" spans="1:8" ht="13.5" customHeight="1" x14ac:dyDescent="0.3">
      <c r="A813" s="1" t="s">
        <v>156</v>
      </c>
      <c r="B813" s="1" t="s">
        <v>156</v>
      </c>
      <c r="C813" s="1" t="s">
        <v>4366</v>
      </c>
      <c r="D813" s="1">
        <v>2019</v>
      </c>
      <c r="E813" s="1" t="str">
        <f t="shared" si="3"/>
        <v>HYUNDAIGRAND I10 BA GL 1.22019</v>
      </c>
      <c r="F813" s="1" t="s">
        <v>1589</v>
      </c>
      <c r="G813" s="1">
        <v>6290000</v>
      </c>
      <c r="H813" s="1">
        <v>5300000</v>
      </c>
    </row>
    <row r="814" spans="1:8" ht="13.5" customHeight="1" x14ac:dyDescent="0.3">
      <c r="A814" s="1" t="s">
        <v>156</v>
      </c>
      <c r="B814" s="1" t="s">
        <v>156</v>
      </c>
      <c r="C814" s="1" t="s">
        <v>4367</v>
      </c>
      <c r="D814" s="1">
        <v>2016</v>
      </c>
      <c r="E814" s="1" t="str">
        <f t="shared" si="3"/>
        <v>HYUNDAIGRAND I10 BA GLS 1.22016</v>
      </c>
      <c r="F814" s="1" t="s">
        <v>1017</v>
      </c>
      <c r="G814" s="1">
        <v>5490000</v>
      </c>
      <c r="H814" s="1">
        <v>4200000</v>
      </c>
    </row>
    <row r="815" spans="1:8" ht="13.5" customHeight="1" x14ac:dyDescent="0.3">
      <c r="A815" s="1" t="s">
        <v>156</v>
      </c>
      <c r="B815" s="1" t="s">
        <v>156</v>
      </c>
      <c r="C815" s="1" t="s">
        <v>4367</v>
      </c>
      <c r="D815" s="1">
        <v>2017</v>
      </c>
      <c r="E815" s="1" t="str">
        <f t="shared" si="3"/>
        <v>HYUNDAIGRAND I10 BA GLS 1.22017</v>
      </c>
      <c r="F815" s="1" t="s">
        <v>1927</v>
      </c>
      <c r="G815" s="1">
        <v>6590000</v>
      </c>
      <c r="H815" s="1">
        <v>4800000</v>
      </c>
    </row>
    <row r="816" spans="1:8" ht="13.5" customHeight="1" x14ac:dyDescent="0.3">
      <c r="A816" s="1" t="s">
        <v>156</v>
      </c>
      <c r="B816" s="1" t="s">
        <v>156</v>
      </c>
      <c r="C816" s="1" t="s">
        <v>4367</v>
      </c>
      <c r="D816" s="1">
        <v>2017</v>
      </c>
      <c r="E816" s="1" t="str">
        <f t="shared" si="3"/>
        <v>HYUNDAIGRAND I10 BA GLS 1.22017</v>
      </c>
      <c r="F816" s="1" t="s">
        <v>922</v>
      </c>
      <c r="G816" s="1">
        <v>6232940</v>
      </c>
      <c r="H816" s="1">
        <v>4600000</v>
      </c>
    </row>
    <row r="817" spans="1:8" ht="13.5" customHeight="1" x14ac:dyDescent="0.3">
      <c r="A817" s="1" t="s">
        <v>156</v>
      </c>
      <c r="B817" s="1" t="s">
        <v>156</v>
      </c>
      <c r="C817" s="1" t="s">
        <v>4367</v>
      </c>
      <c r="D817" s="1">
        <v>2018</v>
      </c>
      <c r="E817" s="1" t="str">
        <f t="shared" si="3"/>
        <v>HYUNDAIGRAND I10 BA GLS 1.22018</v>
      </c>
      <c r="F817" s="1" t="s">
        <v>654</v>
      </c>
      <c r="G817" s="1">
        <v>6021120</v>
      </c>
      <c r="H817" s="1">
        <v>4900000</v>
      </c>
    </row>
    <row r="818" spans="1:8" ht="13.5" customHeight="1" x14ac:dyDescent="0.3">
      <c r="A818" s="1" t="s">
        <v>156</v>
      </c>
      <c r="B818" s="1" t="s">
        <v>156</v>
      </c>
      <c r="C818" s="1" t="s">
        <v>4367</v>
      </c>
      <c r="D818" s="1">
        <v>2018</v>
      </c>
      <c r="E818" s="1" t="str">
        <f t="shared" si="3"/>
        <v>HYUNDAIGRAND I10 BA GLS 1.22018</v>
      </c>
      <c r="F818" s="1" t="s">
        <v>1526</v>
      </c>
      <c r="G818" s="1">
        <v>6130470</v>
      </c>
      <c r="H818" s="1">
        <v>5200000</v>
      </c>
    </row>
    <row r="819" spans="1:8" ht="13.5" customHeight="1" x14ac:dyDescent="0.3">
      <c r="A819" s="1" t="s">
        <v>156</v>
      </c>
      <c r="B819" s="1" t="s">
        <v>156</v>
      </c>
      <c r="C819" s="1" t="s">
        <v>4367</v>
      </c>
      <c r="D819" s="1">
        <v>2019</v>
      </c>
      <c r="E819" s="1" t="str">
        <f t="shared" si="3"/>
        <v>HYUNDAIGRAND I10 BA GLS 1.22019</v>
      </c>
      <c r="F819" s="1" t="s">
        <v>791</v>
      </c>
      <c r="G819" s="1">
        <v>6490000</v>
      </c>
      <c r="H819" s="1">
        <v>5200000</v>
      </c>
    </row>
    <row r="820" spans="1:8" ht="13.5" customHeight="1" x14ac:dyDescent="0.3">
      <c r="A820" s="1" t="s">
        <v>156</v>
      </c>
      <c r="B820" s="1" t="s">
        <v>156</v>
      </c>
      <c r="C820" s="1" t="s">
        <v>4367</v>
      </c>
      <c r="D820" s="1">
        <v>2019</v>
      </c>
      <c r="E820" s="1" t="str">
        <f t="shared" si="3"/>
        <v>HYUNDAIGRAND I10 BA GLS 1.22019</v>
      </c>
      <c r="F820" s="1" t="s">
        <v>2057</v>
      </c>
      <c r="G820" s="1">
        <v>7450000</v>
      </c>
      <c r="H820" s="1">
        <v>6000000</v>
      </c>
    </row>
    <row r="821" spans="1:8" ht="13.5" customHeight="1" x14ac:dyDescent="0.3">
      <c r="A821" s="1" t="s">
        <v>156</v>
      </c>
      <c r="B821" s="1" t="s">
        <v>156</v>
      </c>
      <c r="C821" s="1" t="s">
        <v>4367</v>
      </c>
      <c r="D821" s="1">
        <v>2019</v>
      </c>
      <c r="E821" s="1" t="str">
        <f t="shared" si="3"/>
        <v>HYUNDAIGRAND I10 BA GLS 1.22019</v>
      </c>
      <c r="F821" s="1" t="s">
        <v>1837</v>
      </c>
      <c r="G821" s="1">
        <v>5490000</v>
      </c>
      <c r="H821" s="1">
        <v>4700000</v>
      </c>
    </row>
    <row r="822" spans="1:8" ht="13.5" customHeight="1" x14ac:dyDescent="0.3">
      <c r="A822" s="1" t="s">
        <v>156</v>
      </c>
      <c r="B822" s="1" t="s">
        <v>156</v>
      </c>
      <c r="C822" s="1" t="s">
        <v>4368</v>
      </c>
      <c r="D822" s="1">
        <v>2019</v>
      </c>
      <c r="E822" s="1" t="str">
        <f t="shared" si="3"/>
        <v>HYUNDAIGRAND I10 BA PE HB 1.22019</v>
      </c>
      <c r="F822" s="1" t="s">
        <v>2160</v>
      </c>
      <c r="G822" s="1">
        <v>7690000</v>
      </c>
      <c r="H822" s="1">
        <v>6100000</v>
      </c>
    </row>
    <row r="823" spans="1:8" ht="13.5" customHeight="1" x14ac:dyDescent="0.3">
      <c r="A823" s="1" t="s">
        <v>156</v>
      </c>
      <c r="B823" s="1" t="s">
        <v>156</v>
      </c>
      <c r="C823" s="1" t="s">
        <v>4369</v>
      </c>
      <c r="D823" s="1">
        <v>2021</v>
      </c>
      <c r="E823" s="1" t="str">
        <f t="shared" si="3"/>
        <v>HYUNDAIGRAND I10 HB 1.22021</v>
      </c>
      <c r="F823" s="1" t="s">
        <v>1954</v>
      </c>
      <c r="G823" s="1">
        <v>5957000</v>
      </c>
      <c r="H823" s="1">
        <v>6800000</v>
      </c>
    </row>
    <row r="824" spans="1:8" ht="13.5" customHeight="1" x14ac:dyDescent="0.3">
      <c r="A824" s="1" t="s">
        <v>156</v>
      </c>
      <c r="B824" s="1" t="s">
        <v>156</v>
      </c>
      <c r="C824" s="1" t="s">
        <v>4369</v>
      </c>
      <c r="D824" s="1">
        <v>2022</v>
      </c>
      <c r="E824" s="1" t="str">
        <f t="shared" si="3"/>
        <v>HYUNDAIGRAND I10 HB 1.22022</v>
      </c>
      <c r="F824" s="1" t="s">
        <v>1105</v>
      </c>
      <c r="G824" s="1">
        <v>7790000</v>
      </c>
      <c r="H824" s="1">
        <v>6400000</v>
      </c>
    </row>
    <row r="825" spans="1:8" ht="13.5" customHeight="1" x14ac:dyDescent="0.3">
      <c r="A825" s="1" t="s">
        <v>156</v>
      </c>
      <c r="B825" s="1" t="s">
        <v>156</v>
      </c>
      <c r="C825" s="1" t="s">
        <v>4370</v>
      </c>
      <c r="D825" s="1">
        <v>2022</v>
      </c>
      <c r="E825" s="1" t="str">
        <f t="shared" si="3"/>
        <v>HYUNDAII20 BI3 1.42022</v>
      </c>
      <c r="F825" s="1" t="s">
        <v>1380</v>
      </c>
      <c r="G825" s="1">
        <v>9590000</v>
      </c>
      <c r="H825" s="1">
        <v>7800000</v>
      </c>
    </row>
    <row r="826" spans="1:8" ht="13.5" customHeight="1" x14ac:dyDescent="0.3">
      <c r="A826" s="1" t="s">
        <v>156</v>
      </c>
      <c r="B826" s="1" t="s">
        <v>156</v>
      </c>
      <c r="C826" s="1" t="s">
        <v>4371</v>
      </c>
      <c r="D826" s="1">
        <v>2021</v>
      </c>
      <c r="E826" s="1" t="str">
        <f t="shared" si="3"/>
        <v>HYUNDAISANTA FE 2.2 AUT2021</v>
      </c>
      <c r="F826" s="1" t="s">
        <v>1497</v>
      </c>
      <c r="G826" s="1">
        <v>56180000</v>
      </c>
      <c r="H826" s="1">
        <v>49000000</v>
      </c>
    </row>
    <row r="827" spans="1:8" ht="13.5" customHeight="1" x14ac:dyDescent="0.3">
      <c r="A827" s="1" t="s">
        <v>156</v>
      </c>
      <c r="B827" s="1" t="s">
        <v>156</v>
      </c>
      <c r="C827" s="1" t="s">
        <v>4372</v>
      </c>
      <c r="D827" s="1">
        <v>2022</v>
      </c>
      <c r="E827" s="1" t="str">
        <f t="shared" si="3"/>
        <v>HYUNDAISANTA FE 2.5 AT2022</v>
      </c>
      <c r="F827" s="1" t="s">
        <v>1920</v>
      </c>
      <c r="G827" s="1">
        <v>21300000</v>
      </c>
      <c r="H827" s="1">
        <v>19000000</v>
      </c>
    </row>
    <row r="828" spans="1:8" ht="13.5" customHeight="1" x14ac:dyDescent="0.3">
      <c r="A828" s="1" t="s">
        <v>156</v>
      </c>
      <c r="B828" s="1" t="s">
        <v>156</v>
      </c>
      <c r="C828" s="1" t="s">
        <v>4373</v>
      </c>
      <c r="D828" s="1">
        <v>2024</v>
      </c>
      <c r="E828" s="1" t="str">
        <f t="shared" si="3"/>
        <v>HYUNDAISANTA FE CRDI 8DCT 2.2 AUT2024</v>
      </c>
      <c r="F828" s="1" t="s">
        <v>987</v>
      </c>
      <c r="G828" s="1">
        <v>29500000</v>
      </c>
      <c r="H828" s="1">
        <v>25700000</v>
      </c>
    </row>
    <row r="829" spans="1:8" ht="13.5" customHeight="1" x14ac:dyDescent="0.3">
      <c r="A829" s="1" t="s">
        <v>156</v>
      </c>
      <c r="B829" s="1" t="s">
        <v>156</v>
      </c>
      <c r="C829" s="1" t="s">
        <v>4374</v>
      </c>
      <c r="D829" s="1">
        <v>2018</v>
      </c>
      <c r="E829" s="1" t="str">
        <f t="shared" si="3"/>
        <v>HYUNDAISANTA FE GLS 2.4 AT2018</v>
      </c>
      <c r="F829" s="1" t="s">
        <v>1615</v>
      </c>
      <c r="G829" s="1">
        <v>13386150</v>
      </c>
      <c r="H829" s="1">
        <v>11500000</v>
      </c>
    </row>
    <row r="830" spans="1:8" ht="13.5" customHeight="1" x14ac:dyDescent="0.3">
      <c r="A830" s="1" t="s">
        <v>156</v>
      </c>
      <c r="B830" s="1" t="s">
        <v>156</v>
      </c>
      <c r="C830" s="1" t="s">
        <v>4375</v>
      </c>
      <c r="D830" s="1">
        <v>2017</v>
      </c>
      <c r="E830" s="1" t="str">
        <f t="shared" si="3"/>
        <v>HYUNDAISANTA FE GLS 4WD 2.4 AT2017</v>
      </c>
      <c r="F830" s="1" t="s">
        <v>562</v>
      </c>
      <c r="G830" s="1">
        <v>13190000</v>
      </c>
      <c r="H830" s="1">
        <v>10900000</v>
      </c>
    </row>
    <row r="831" spans="1:8" ht="13.5" customHeight="1" x14ac:dyDescent="0.3">
      <c r="A831" s="1" t="s">
        <v>156</v>
      </c>
      <c r="B831" s="1" t="s">
        <v>156</v>
      </c>
      <c r="C831" s="1" t="s">
        <v>4376</v>
      </c>
      <c r="D831" s="1">
        <v>2020</v>
      </c>
      <c r="E831" s="1" t="str">
        <f t="shared" si="3"/>
        <v>HYUNDAITUCSON 2.02020</v>
      </c>
      <c r="F831" s="1" t="s">
        <v>2204</v>
      </c>
      <c r="G831" s="1">
        <v>14990000</v>
      </c>
      <c r="H831" s="1">
        <v>12000000</v>
      </c>
    </row>
    <row r="832" spans="1:8" ht="13.5" customHeight="1" x14ac:dyDescent="0.3">
      <c r="A832" s="1" t="s">
        <v>156</v>
      </c>
      <c r="B832" s="1" t="s">
        <v>156</v>
      </c>
      <c r="C832" s="1" t="s">
        <v>4377</v>
      </c>
      <c r="D832" s="1">
        <v>2017</v>
      </c>
      <c r="E832" s="1" t="str">
        <f t="shared" si="3"/>
        <v>HYUNDAITUCSON 4WD 2.0 AUT2017</v>
      </c>
      <c r="F832" s="1" t="s">
        <v>1555</v>
      </c>
      <c r="G832" s="1">
        <v>11590000</v>
      </c>
      <c r="H832" s="1">
        <v>9500000</v>
      </c>
    </row>
    <row r="833" spans="1:8" ht="13.5" customHeight="1" x14ac:dyDescent="0.3">
      <c r="A833" s="1" t="s">
        <v>156</v>
      </c>
      <c r="B833" s="1" t="s">
        <v>156</v>
      </c>
      <c r="C833" s="1" t="s">
        <v>4378</v>
      </c>
      <c r="D833" s="1">
        <v>2022</v>
      </c>
      <c r="E833" s="1" t="str">
        <f t="shared" si="3"/>
        <v>HYUNDAITUCSON NX4 1.6 AUT2022</v>
      </c>
      <c r="F833" s="1" t="s">
        <v>1669</v>
      </c>
      <c r="G833" s="1">
        <v>17890000</v>
      </c>
      <c r="H833" s="1">
        <v>15174790</v>
      </c>
    </row>
    <row r="834" spans="1:8" ht="13.5" customHeight="1" x14ac:dyDescent="0.3">
      <c r="A834" s="1" t="s">
        <v>156</v>
      </c>
      <c r="B834" s="1" t="s">
        <v>156</v>
      </c>
      <c r="C834" s="1" t="s">
        <v>4379</v>
      </c>
      <c r="D834" s="1">
        <v>2022</v>
      </c>
      <c r="E834" s="1" t="str">
        <f t="shared" si="3"/>
        <v>HYUNDAITUCSON NX4 2.02022</v>
      </c>
      <c r="F834" s="1" t="s">
        <v>777</v>
      </c>
      <c r="G834" s="1">
        <v>16890000</v>
      </c>
      <c r="H834" s="1">
        <v>14200000</v>
      </c>
    </row>
    <row r="835" spans="1:8" ht="13.5" customHeight="1" x14ac:dyDescent="0.3">
      <c r="A835" s="1" t="s">
        <v>156</v>
      </c>
      <c r="B835" s="1" t="s">
        <v>156</v>
      </c>
      <c r="C835" s="1" t="s">
        <v>163</v>
      </c>
      <c r="D835" s="1">
        <v>2023</v>
      </c>
      <c r="E835" s="1" t="str">
        <f t="shared" si="3"/>
        <v>HYUNDAITUCSON NX4 2.0 AUT2023</v>
      </c>
      <c r="F835" s="1" t="s">
        <v>964</v>
      </c>
      <c r="G835" s="1">
        <v>18740000</v>
      </c>
      <c r="H835" s="1">
        <v>16200000</v>
      </c>
    </row>
    <row r="836" spans="1:8" ht="13.5" customHeight="1" x14ac:dyDescent="0.3">
      <c r="A836" s="1" t="s">
        <v>156</v>
      </c>
      <c r="B836" s="1" t="s">
        <v>156</v>
      </c>
      <c r="C836" s="1" t="s">
        <v>163</v>
      </c>
      <c r="D836" s="1">
        <v>2023</v>
      </c>
      <c r="E836" s="1" t="str">
        <f t="shared" si="3"/>
        <v>HYUNDAITUCSON NX4 2.0 AUT2023</v>
      </c>
      <c r="F836" s="1" t="s">
        <v>1695</v>
      </c>
      <c r="G836" s="1">
        <v>19122008</v>
      </c>
      <c r="H836" s="1">
        <v>18500000</v>
      </c>
    </row>
    <row r="837" spans="1:8" ht="13.5" customHeight="1" x14ac:dyDescent="0.3">
      <c r="A837" s="1" t="s">
        <v>156</v>
      </c>
      <c r="B837" s="1" t="s">
        <v>156</v>
      </c>
      <c r="C837" s="1" t="s">
        <v>4380</v>
      </c>
      <c r="D837" s="1">
        <v>2021</v>
      </c>
      <c r="E837" s="1" t="str">
        <f t="shared" si="3"/>
        <v>HYUNDAITUCSON NX4 GDI 7DCT 1.6 AUT2021</v>
      </c>
      <c r="F837" s="1" t="s">
        <v>1598</v>
      </c>
      <c r="G837" s="1">
        <v>17590000</v>
      </c>
      <c r="H837" s="1">
        <v>15000000</v>
      </c>
    </row>
    <row r="838" spans="1:8" ht="13.5" customHeight="1" x14ac:dyDescent="0.3">
      <c r="A838" s="1" t="s">
        <v>156</v>
      </c>
      <c r="B838" s="1" t="s">
        <v>156</v>
      </c>
      <c r="C838" s="1" t="s">
        <v>4380</v>
      </c>
      <c r="D838" s="1">
        <v>2022</v>
      </c>
      <c r="E838" s="1" t="str">
        <f t="shared" si="3"/>
        <v>HYUNDAITUCSON NX4 GDI 7DCT 1.6 AUT2022</v>
      </c>
      <c r="F838" s="1" t="s">
        <v>675</v>
      </c>
      <c r="G838" s="1">
        <v>15490000</v>
      </c>
      <c r="H838" s="1">
        <v>14562895</v>
      </c>
    </row>
    <row r="839" spans="1:8" ht="13.5" customHeight="1" x14ac:dyDescent="0.3">
      <c r="A839" s="1" t="s">
        <v>156</v>
      </c>
      <c r="B839" s="1" t="s">
        <v>156</v>
      </c>
      <c r="C839" s="1" t="s">
        <v>4380</v>
      </c>
      <c r="D839" s="1">
        <v>2022</v>
      </c>
      <c r="E839" s="1" t="str">
        <f t="shared" si="3"/>
        <v>HYUNDAITUCSON NX4 GDI 7DCT 1.6 AUT2022</v>
      </c>
      <c r="F839" s="1" t="s">
        <v>2114</v>
      </c>
      <c r="G839" s="1">
        <v>19490000</v>
      </c>
      <c r="H839" s="1">
        <v>16394958</v>
      </c>
    </row>
    <row r="840" spans="1:8" ht="13.5" customHeight="1" x14ac:dyDescent="0.3">
      <c r="A840" s="1" t="s">
        <v>156</v>
      </c>
      <c r="B840" s="1" t="s">
        <v>156</v>
      </c>
      <c r="C840" s="1" t="s">
        <v>4381</v>
      </c>
      <c r="D840" s="1">
        <v>2021</v>
      </c>
      <c r="E840" s="1" t="str">
        <f t="shared" si="3"/>
        <v>HYUNDAITUCSON NX4 MPI 2.02021</v>
      </c>
      <c r="F840" s="1" t="s">
        <v>359</v>
      </c>
      <c r="G840" s="1">
        <v>16500000</v>
      </c>
      <c r="H840" s="1">
        <v>13000000</v>
      </c>
    </row>
    <row r="841" spans="1:8" ht="13.5" customHeight="1" x14ac:dyDescent="0.3">
      <c r="A841" s="1" t="s">
        <v>156</v>
      </c>
      <c r="B841" s="1" t="s">
        <v>156</v>
      </c>
      <c r="C841" s="1" t="s">
        <v>4381</v>
      </c>
      <c r="D841" s="1">
        <v>2021</v>
      </c>
      <c r="E841" s="1" t="str">
        <f t="shared" si="3"/>
        <v>HYUNDAITUCSON NX4 MPI 2.02021</v>
      </c>
      <c r="F841" s="1" t="s">
        <v>1699</v>
      </c>
      <c r="G841" s="1">
        <v>14790000</v>
      </c>
      <c r="H841" s="1">
        <v>12200000</v>
      </c>
    </row>
    <row r="842" spans="1:8" ht="13.5" customHeight="1" x14ac:dyDescent="0.3">
      <c r="A842" s="1" t="s">
        <v>156</v>
      </c>
      <c r="B842" s="1" t="s">
        <v>156</v>
      </c>
      <c r="C842" s="1" t="s">
        <v>4382</v>
      </c>
      <c r="D842" s="1">
        <v>2018</v>
      </c>
      <c r="E842" s="1" t="str">
        <f t="shared" si="3"/>
        <v>HYUNDAITUCSON TL 2.02018</v>
      </c>
      <c r="F842" s="1" t="s">
        <v>1725</v>
      </c>
      <c r="G842" s="1">
        <v>10990000</v>
      </c>
      <c r="H842" s="1">
        <v>8800000</v>
      </c>
    </row>
    <row r="843" spans="1:8" ht="13.5" customHeight="1" x14ac:dyDescent="0.3">
      <c r="A843" s="1" t="s">
        <v>156</v>
      </c>
      <c r="B843" s="1" t="s">
        <v>156</v>
      </c>
      <c r="C843" s="1" t="s">
        <v>4382</v>
      </c>
      <c r="D843" s="1">
        <v>2019</v>
      </c>
      <c r="E843" s="1" t="str">
        <f t="shared" si="3"/>
        <v>HYUNDAITUCSON TL 2.02019</v>
      </c>
      <c r="F843" s="1" t="s">
        <v>1816</v>
      </c>
      <c r="G843" s="1">
        <v>12890000</v>
      </c>
      <c r="H843" s="1">
        <v>10500000</v>
      </c>
    </row>
    <row r="844" spans="1:8" ht="13.5" customHeight="1" x14ac:dyDescent="0.3">
      <c r="A844" s="1" t="s">
        <v>156</v>
      </c>
      <c r="B844" s="1" t="s">
        <v>156</v>
      </c>
      <c r="C844" s="1" t="s">
        <v>4382</v>
      </c>
      <c r="D844" s="1">
        <v>2019</v>
      </c>
      <c r="E844" s="1" t="str">
        <f t="shared" si="3"/>
        <v>HYUNDAITUCSON TL 2.02019</v>
      </c>
      <c r="F844" s="1" t="s">
        <v>573</v>
      </c>
      <c r="G844" s="1">
        <v>12990000</v>
      </c>
      <c r="H844" s="1">
        <v>10600000</v>
      </c>
    </row>
    <row r="845" spans="1:8" ht="13.5" customHeight="1" x14ac:dyDescent="0.3">
      <c r="A845" s="1" t="s">
        <v>156</v>
      </c>
      <c r="B845" s="1" t="s">
        <v>156</v>
      </c>
      <c r="C845" s="1" t="s">
        <v>4382</v>
      </c>
      <c r="D845" s="1">
        <v>2019</v>
      </c>
      <c r="E845" s="1" t="str">
        <f t="shared" si="3"/>
        <v>HYUNDAITUCSON TL 2.02019</v>
      </c>
      <c r="F845" s="1" t="s">
        <v>403</v>
      </c>
      <c r="G845" s="1">
        <v>12490000</v>
      </c>
      <c r="H845" s="1">
        <v>10000000</v>
      </c>
    </row>
    <row r="846" spans="1:8" ht="13.5" customHeight="1" x14ac:dyDescent="0.3">
      <c r="A846" s="1" t="s">
        <v>156</v>
      </c>
      <c r="B846" s="1" t="s">
        <v>156</v>
      </c>
      <c r="C846" s="1" t="s">
        <v>4382</v>
      </c>
      <c r="D846" s="1">
        <v>2019</v>
      </c>
      <c r="E846" s="1" t="str">
        <f t="shared" si="3"/>
        <v>HYUNDAITUCSON TL 2.02019</v>
      </c>
      <c r="F846" s="1" t="s">
        <v>733</v>
      </c>
      <c r="G846" s="1">
        <v>12490000</v>
      </c>
      <c r="H846" s="1">
        <v>10000000</v>
      </c>
    </row>
    <row r="847" spans="1:8" ht="13.5" customHeight="1" x14ac:dyDescent="0.3">
      <c r="A847" s="1" t="s">
        <v>156</v>
      </c>
      <c r="B847" s="1" t="s">
        <v>156</v>
      </c>
      <c r="C847" s="1" t="s">
        <v>4382</v>
      </c>
      <c r="D847" s="1">
        <v>2020</v>
      </c>
      <c r="E847" s="1" t="str">
        <f t="shared" si="3"/>
        <v>HYUNDAITUCSON TL 2.02020</v>
      </c>
      <c r="F847" s="1" t="s">
        <v>1387</v>
      </c>
      <c r="G847" s="1">
        <v>13990000</v>
      </c>
      <c r="H847" s="1">
        <v>11200000</v>
      </c>
    </row>
    <row r="848" spans="1:8" ht="13.5" customHeight="1" x14ac:dyDescent="0.3">
      <c r="A848" s="1" t="s">
        <v>156</v>
      </c>
      <c r="B848" s="1" t="s">
        <v>156</v>
      </c>
      <c r="C848" s="1" t="s">
        <v>4382</v>
      </c>
      <c r="D848" s="1">
        <v>2021</v>
      </c>
      <c r="E848" s="1" t="str">
        <f t="shared" si="3"/>
        <v>HYUNDAITUCSON TL 2.02021</v>
      </c>
      <c r="F848" s="1" t="s">
        <v>393</v>
      </c>
      <c r="G848" s="1">
        <v>15390000</v>
      </c>
      <c r="H848" s="1">
        <v>12700000</v>
      </c>
    </row>
    <row r="849" spans="1:8" ht="13.5" customHeight="1" x14ac:dyDescent="0.3">
      <c r="A849" s="1" t="s">
        <v>156</v>
      </c>
      <c r="B849" s="1" t="s">
        <v>156</v>
      </c>
      <c r="C849" s="1" t="s">
        <v>4383</v>
      </c>
      <c r="D849" s="1">
        <v>2020</v>
      </c>
      <c r="E849" s="1" t="str">
        <f t="shared" si="3"/>
        <v>HYUNDAITUCSON TL 2.0 AT2020</v>
      </c>
      <c r="F849" s="1" t="s">
        <v>2450</v>
      </c>
      <c r="G849" s="1">
        <v>14690000</v>
      </c>
      <c r="H849" s="1">
        <v>17000000</v>
      </c>
    </row>
    <row r="850" spans="1:8" ht="13.5" customHeight="1" x14ac:dyDescent="0.3">
      <c r="A850" s="1" t="s">
        <v>156</v>
      </c>
      <c r="B850" s="1" t="s">
        <v>156</v>
      </c>
      <c r="C850" s="1" t="s">
        <v>4383</v>
      </c>
      <c r="D850" s="1">
        <v>2020</v>
      </c>
      <c r="E850" s="1" t="str">
        <f t="shared" si="3"/>
        <v>HYUNDAITUCSON TL 2.0 AT2020</v>
      </c>
      <c r="F850" s="1" t="s">
        <v>700</v>
      </c>
      <c r="G850" s="1">
        <v>13490000</v>
      </c>
      <c r="H850" s="1">
        <v>11300000</v>
      </c>
    </row>
    <row r="851" spans="1:8" ht="13.5" customHeight="1" x14ac:dyDescent="0.3">
      <c r="A851" s="1" t="s">
        <v>156</v>
      </c>
      <c r="B851" s="1" t="s">
        <v>156</v>
      </c>
      <c r="C851" s="1" t="s">
        <v>4384</v>
      </c>
      <c r="D851" s="1">
        <v>2020</v>
      </c>
      <c r="E851" s="1" t="str">
        <f t="shared" si="3"/>
        <v>HYUNDAITUCSON TL 2.0 AUT2020</v>
      </c>
      <c r="F851" s="1" t="s">
        <v>700</v>
      </c>
      <c r="G851" s="1">
        <v>12690000</v>
      </c>
      <c r="H851" s="1">
        <v>10900000</v>
      </c>
    </row>
    <row r="852" spans="1:8" ht="13.5" customHeight="1" x14ac:dyDescent="0.3">
      <c r="A852" s="1" t="s">
        <v>156</v>
      </c>
      <c r="B852" s="1" t="s">
        <v>156</v>
      </c>
      <c r="C852" s="1" t="s">
        <v>4384</v>
      </c>
      <c r="D852" s="1">
        <v>2020</v>
      </c>
      <c r="E852" s="1" t="str">
        <f t="shared" si="3"/>
        <v>HYUNDAITUCSON TL 2.0 AUT2020</v>
      </c>
      <c r="F852" s="1" t="s">
        <v>1145</v>
      </c>
      <c r="G852" s="1">
        <v>14190000</v>
      </c>
      <c r="H852" s="1">
        <v>11500000</v>
      </c>
    </row>
    <row r="853" spans="1:8" ht="13.5" customHeight="1" x14ac:dyDescent="0.3">
      <c r="A853" s="1" t="s">
        <v>156</v>
      </c>
      <c r="B853" s="1" t="s">
        <v>156</v>
      </c>
      <c r="C853" s="1" t="s">
        <v>4385</v>
      </c>
      <c r="D853" s="1">
        <v>2017</v>
      </c>
      <c r="E853" s="1" t="str">
        <f t="shared" si="3"/>
        <v>HYUNDAITUCSON TL GL ACTIVE 2.02017</v>
      </c>
      <c r="F853" s="1" t="s">
        <v>1284</v>
      </c>
      <c r="G853" s="1">
        <v>10390000</v>
      </c>
      <c r="H853" s="1">
        <v>8100000</v>
      </c>
    </row>
    <row r="854" spans="1:8" ht="13.5" customHeight="1" x14ac:dyDescent="0.3">
      <c r="A854" s="1" t="s">
        <v>156</v>
      </c>
      <c r="B854" s="1" t="s">
        <v>156</v>
      </c>
      <c r="C854" s="1" t="s">
        <v>4386</v>
      </c>
      <c r="D854" s="1">
        <v>2016</v>
      </c>
      <c r="E854" s="1" t="str">
        <f t="shared" si="3"/>
        <v>HYUNDAITUCSON TL GL ADVANCE 2.02016</v>
      </c>
      <c r="F854" s="1" t="s">
        <v>2332</v>
      </c>
      <c r="G854" s="1">
        <v>11000000</v>
      </c>
      <c r="H854" s="1">
        <v>9000000</v>
      </c>
    </row>
    <row r="855" spans="1:8" ht="13.5" customHeight="1" x14ac:dyDescent="0.3">
      <c r="A855" s="1" t="s">
        <v>156</v>
      </c>
      <c r="B855" s="1" t="s">
        <v>156</v>
      </c>
      <c r="C855" s="1" t="s">
        <v>4386</v>
      </c>
      <c r="D855" s="1">
        <v>2018</v>
      </c>
      <c r="E855" s="1" t="str">
        <f t="shared" si="3"/>
        <v>HYUNDAITUCSON TL GL ADVANCE 2.02018</v>
      </c>
      <c r="F855" s="1" t="s">
        <v>2346</v>
      </c>
      <c r="G855" s="1">
        <v>12790000</v>
      </c>
      <c r="H855" s="1">
        <v>11000000</v>
      </c>
    </row>
    <row r="856" spans="1:8" ht="13.5" customHeight="1" x14ac:dyDescent="0.3">
      <c r="A856" s="1" t="s">
        <v>156</v>
      </c>
      <c r="B856" s="1" t="s">
        <v>156</v>
      </c>
      <c r="C856" s="1" t="s">
        <v>4387</v>
      </c>
      <c r="D856" s="1">
        <v>2018</v>
      </c>
      <c r="E856" s="1" t="str">
        <f t="shared" si="3"/>
        <v>HYUNDAIVELOSTER GLS 1.62018</v>
      </c>
      <c r="F856" s="1" t="s">
        <v>2220</v>
      </c>
      <c r="G856" s="1">
        <v>11990000</v>
      </c>
      <c r="H856" s="1">
        <v>9900000</v>
      </c>
    </row>
    <row r="857" spans="1:8" ht="13.5" customHeight="1" x14ac:dyDescent="0.3">
      <c r="A857" s="1" t="s">
        <v>156</v>
      </c>
      <c r="B857" s="1" t="s">
        <v>156</v>
      </c>
      <c r="C857" s="1" t="s">
        <v>4388</v>
      </c>
      <c r="D857" s="1">
        <v>2016</v>
      </c>
      <c r="E857" s="1" t="str">
        <f t="shared" si="3"/>
        <v>HYUNDAIVELOSTER GLS FULL 1.62016</v>
      </c>
      <c r="F857" s="1" t="s">
        <v>1586</v>
      </c>
      <c r="G857" s="1">
        <v>9990000</v>
      </c>
      <c r="H857" s="1">
        <v>8300000</v>
      </c>
    </row>
    <row r="858" spans="1:8" ht="13.5" customHeight="1" x14ac:dyDescent="0.3">
      <c r="A858" s="1" t="s">
        <v>156</v>
      </c>
      <c r="B858" s="1" t="s">
        <v>156</v>
      </c>
      <c r="C858" s="1" t="s">
        <v>4389</v>
      </c>
      <c r="D858" s="1">
        <v>2019</v>
      </c>
      <c r="E858" s="1" t="str">
        <f t="shared" si="3"/>
        <v>HYUNDAIVELOSTER JS HB 2.02019</v>
      </c>
      <c r="F858" s="1" t="s">
        <v>2158</v>
      </c>
      <c r="G858" s="1">
        <v>10990000</v>
      </c>
      <c r="H858" s="1">
        <v>10500000</v>
      </c>
    </row>
    <row r="859" spans="1:8" ht="13.5" customHeight="1" x14ac:dyDescent="0.3">
      <c r="A859" s="1" t="s">
        <v>156</v>
      </c>
      <c r="B859" s="1" t="s">
        <v>156</v>
      </c>
      <c r="C859" s="1" t="s">
        <v>4390</v>
      </c>
      <c r="D859" s="1">
        <v>2020</v>
      </c>
      <c r="E859" s="1" t="str">
        <f t="shared" si="3"/>
        <v>HYUNDAIVENUE QX 1.62020</v>
      </c>
      <c r="F859" s="1" t="s">
        <v>572</v>
      </c>
      <c r="G859" s="1">
        <v>9690000</v>
      </c>
      <c r="H859" s="1">
        <v>8200000</v>
      </c>
    </row>
    <row r="860" spans="1:8" ht="13.5" customHeight="1" x14ac:dyDescent="0.3">
      <c r="A860" s="1" t="s">
        <v>156</v>
      </c>
      <c r="B860" s="1" t="s">
        <v>156</v>
      </c>
      <c r="C860" s="1" t="s">
        <v>4391</v>
      </c>
      <c r="D860" s="1">
        <v>2021</v>
      </c>
      <c r="E860" s="1" t="str">
        <f t="shared" si="3"/>
        <v>HYUNDAIVERNA 1.42021</v>
      </c>
      <c r="F860" s="1" t="s">
        <v>2059</v>
      </c>
      <c r="G860" s="1">
        <v>8990000</v>
      </c>
      <c r="H860" s="1">
        <v>6800000</v>
      </c>
    </row>
    <row r="861" spans="1:8" ht="13.5" customHeight="1" x14ac:dyDescent="0.3">
      <c r="A861" s="1" t="s">
        <v>156</v>
      </c>
      <c r="B861" s="1" t="s">
        <v>156</v>
      </c>
      <c r="C861" s="1" t="s">
        <v>4392</v>
      </c>
      <c r="D861" s="1">
        <v>2021</v>
      </c>
      <c r="E861" s="1" t="str">
        <f t="shared" si="3"/>
        <v>HYUNDAIVERNA CB 1.42021</v>
      </c>
      <c r="F861" s="1" t="s">
        <v>1949</v>
      </c>
      <c r="G861" s="1">
        <v>6300000</v>
      </c>
      <c r="H861" s="1">
        <v>6650000</v>
      </c>
    </row>
    <row r="862" spans="1:8" ht="13.5" customHeight="1" x14ac:dyDescent="0.3">
      <c r="A862" s="1" t="s">
        <v>156</v>
      </c>
      <c r="B862" s="1" t="s">
        <v>156</v>
      </c>
      <c r="C862" s="1" t="s">
        <v>4392</v>
      </c>
      <c r="D862" s="1">
        <v>2021</v>
      </c>
      <c r="E862" s="1" t="str">
        <f t="shared" si="3"/>
        <v>HYUNDAIVERNA CB 1.42021</v>
      </c>
      <c r="F862" s="1" t="s">
        <v>1647</v>
      </c>
      <c r="G862" s="1">
        <v>7890000</v>
      </c>
      <c r="H862" s="1">
        <v>6500000</v>
      </c>
    </row>
    <row r="863" spans="1:8" ht="13.5" customHeight="1" x14ac:dyDescent="0.3">
      <c r="A863" s="1" t="s">
        <v>156</v>
      </c>
      <c r="B863" s="1" t="s">
        <v>156</v>
      </c>
      <c r="C863" s="1" t="s">
        <v>4392</v>
      </c>
      <c r="D863" s="1">
        <v>2022</v>
      </c>
      <c r="E863" s="1" t="str">
        <f t="shared" si="3"/>
        <v>HYUNDAIVERNA CB 1.42022</v>
      </c>
      <c r="F863" s="1" t="s">
        <v>2045</v>
      </c>
      <c r="G863" s="1">
        <v>8790000</v>
      </c>
      <c r="H863" s="1">
        <v>6735294</v>
      </c>
    </row>
    <row r="864" spans="1:8" ht="13.5" customHeight="1" x14ac:dyDescent="0.3">
      <c r="A864" s="1" t="s">
        <v>156</v>
      </c>
      <c r="B864" s="1" t="s">
        <v>4393</v>
      </c>
      <c r="C864" s="1" t="s">
        <v>4394</v>
      </c>
      <c r="D864" s="1">
        <v>2021</v>
      </c>
      <c r="E864" s="1" t="str">
        <f t="shared" si="3"/>
        <v>TODASTUCSON NX4 CRDI 8AT 2.0 AUT2021</v>
      </c>
      <c r="F864" s="1" t="s">
        <v>1513</v>
      </c>
      <c r="G864" s="1">
        <v>16538150</v>
      </c>
      <c r="H864" s="1">
        <v>14250000</v>
      </c>
    </row>
    <row r="865" spans="1:8" ht="13.5" customHeight="1" x14ac:dyDescent="0.3">
      <c r="A865" s="1" t="s">
        <v>4395</v>
      </c>
      <c r="B865" s="1" t="s">
        <v>4395</v>
      </c>
      <c r="C865" s="1" t="s">
        <v>4396</v>
      </c>
      <c r="D865" s="1">
        <v>2007</v>
      </c>
      <c r="E865" s="1" t="str">
        <f t="shared" si="3"/>
        <v>INTERNATIONAL43002007</v>
      </c>
      <c r="F865" s="1" t="s">
        <v>4397</v>
      </c>
      <c r="G865" s="1">
        <v>20000000</v>
      </c>
      <c r="H865" s="1">
        <v>0</v>
      </c>
    </row>
    <row r="866" spans="1:8" ht="13.5" customHeight="1" x14ac:dyDescent="0.3">
      <c r="A866" s="1" t="s">
        <v>167</v>
      </c>
      <c r="B866" s="1" t="s">
        <v>167</v>
      </c>
      <c r="C866" s="1" t="s">
        <v>4398</v>
      </c>
      <c r="D866" s="1">
        <v>2021</v>
      </c>
      <c r="E866" s="1" t="str">
        <f t="shared" si="3"/>
        <v>JACGRAND S3 HB 1.62021</v>
      </c>
      <c r="F866" s="1" t="s">
        <v>1786</v>
      </c>
      <c r="G866" s="1">
        <v>7790000</v>
      </c>
      <c r="H866" s="1">
        <v>6000000</v>
      </c>
    </row>
    <row r="867" spans="1:8" ht="13.5" customHeight="1" x14ac:dyDescent="0.3">
      <c r="A867" s="1" t="s">
        <v>167</v>
      </c>
      <c r="B867" s="1" t="s">
        <v>167</v>
      </c>
      <c r="C867" s="1" t="s">
        <v>4399</v>
      </c>
      <c r="D867" s="1">
        <v>2021</v>
      </c>
      <c r="E867" s="1" t="str">
        <f t="shared" si="3"/>
        <v>JACJS2 HB 1.52021</v>
      </c>
      <c r="F867" s="1" t="s">
        <v>2205</v>
      </c>
      <c r="G867" s="1">
        <v>8990000</v>
      </c>
      <c r="H867" s="1">
        <v>7200000</v>
      </c>
    </row>
    <row r="868" spans="1:8" ht="13.5" customHeight="1" x14ac:dyDescent="0.3">
      <c r="A868" s="1" t="s">
        <v>167</v>
      </c>
      <c r="B868" s="1" t="s">
        <v>167</v>
      </c>
      <c r="C868" s="1" t="s">
        <v>4399</v>
      </c>
      <c r="D868" s="1">
        <v>2021</v>
      </c>
      <c r="E868" s="1" t="str">
        <f t="shared" si="3"/>
        <v>JACJS2 HB 1.52021</v>
      </c>
      <c r="F868" s="1" t="s">
        <v>1143</v>
      </c>
      <c r="G868" s="1">
        <v>15272150</v>
      </c>
      <c r="H868" s="1">
        <v>12500000</v>
      </c>
    </row>
    <row r="869" spans="1:8" ht="13.5" customHeight="1" x14ac:dyDescent="0.3">
      <c r="A869" s="1" t="s">
        <v>167</v>
      </c>
      <c r="B869" s="1" t="s">
        <v>167</v>
      </c>
      <c r="C869" s="1" t="s">
        <v>4400</v>
      </c>
      <c r="D869" s="1">
        <v>2022</v>
      </c>
      <c r="E869" s="1" t="str">
        <f t="shared" si="3"/>
        <v>JACJS3 1.62022</v>
      </c>
      <c r="F869" s="1" t="s">
        <v>979</v>
      </c>
      <c r="G869" s="1">
        <v>8190000</v>
      </c>
      <c r="H869" s="1">
        <v>6370000</v>
      </c>
    </row>
    <row r="870" spans="1:8" ht="13.5" customHeight="1" x14ac:dyDescent="0.3">
      <c r="A870" s="1" t="s">
        <v>167</v>
      </c>
      <c r="B870" s="1" t="s">
        <v>167</v>
      </c>
      <c r="C870" s="1" t="s">
        <v>4401</v>
      </c>
      <c r="D870" s="1">
        <v>2021</v>
      </c>
      <c r="E870" s="1" t="str">
        <f t="shared" si="3"/>
        <v>JACJS3 HB 1.62021</v>
      </c>
      <c r="F870" s="1" t="s">
        <v>2211</v>
      </c>
      <c r="G870" s="1">
        <v>9090000</v>
      </c>
      <c r="H870" s="1">
        <v>7700000</v>
      </c>
    </row>
    <row r="871" spans="1:8" ht="13.5" customHeight="1" x14ac:dyDescent="0.3">
      <c r="A871" s="1" t="s">
        <v>167</v>
      </c>
      <c r="B871" s="1" t="s">
        <v>167</v>
      </c>
      <c r="C871" s="1" t="s">
        <v>4401</v>
      </c>
      <c r="D871" s="1">
        <v>2021</v>
      </c>
      <c r="E871" s="1" t="str">
        <f t="shared" si="3"/>
        <v>JACJS3 HB 1.62021</v>
      </c>
      <c r="F871" s="1" t="s">
        <v>1564</v>
      </c>
      <c r="G871" s="1">
        <v>8690000</v>
      </c>
      <c r="H871" s="1">
        <v>7500000</v>
      </c>
    </row>
    <row r="872" spans="1:8" ht="13.5" customHeight="1" x14ac:dyDescent="0.3">
      <c r="A872" s="1" t="s">
        <v>167</v>
      </c>
      <c r="B872" s="1" t="s">
        <v>167</v>
      </c>
      <c r="C872" s="1" t="s">
        <v>4402</v>
      </c>
      <c r="D872" s="1">
        <v>2019</v>
      </c>
      <c r="E872" s="1" t="str">
        <f t="shared" si="3"/>
        <v>JACS1 HB 1.32019</v>
      </c>
      <c r="F872" s="1" t="s">
        <v>1528</v>
      </c>
      <c r="G872" s="1">
        <v>5790000</v>
      </c>
      <c r="H872" s="1">
        <v>4700000</v>
      </c>
    </row>
    <row r="873" spans="1:8" ht="13.5" customHeight="1" x14ac:dyDescent="0.3">
      <c r="A873" s="1" t="s">
        <v>167</v>
      </c>
      <c r="B873" s="1" t="s">
        <v>167</v>
      </c>
      <c r="C873" s="1" t="s">
        <v>4403</v>
      </c>
      <c r="D873" s="1">
        <v>2018</v>
      </c>
      <c r="E873" s="1" t="str">
        <f t="shared" si="3"/>
        <v>JACS2 1.5 AUT2018</v>
      </c>
      <c r="F873" s="1" t="s">
        <v>2333</v>
      </c>
      <c r="G873" s="1">
        <v>7590000</v>
      </c>
      <c r="H873" s="1">
        <v>6200000</v>
      </c>
    </row>
    <row r="874" spans="1:8" ht="13.5" customHeight="1" x14ac:dyDescent="0.3">
      <c r="A874" s="1" t="s">
        <v>167</v>
      </c>
      <c r="B874" s="1" t="s">
        <v>167</v>
      </c>
      <c r="C874" s="1" t="s">
        <v>4404</v>
      </c>
      <c r="D874" s="1">
        <v>2019</v>
      </c>
      <c r="E874" s="1" t="str">
        <f t="shared" si="3"/>
        <v>JACS2 CE 1.52019</v>
      </c>
      <c r="F874" s="1" t="s">
        <v>1182</v>
      </c>
      <c r="G874" s="1">
        <v>6290000</v>
      </c>
      <c r="H874" s="1">
        <v>5000000</v>
      </c>
    </row>
    <row r="875" spans="1:8" ht="13.5" customHeight="1" x14ac:dyDescent="0.3">
      <c r="A875" s="1" t="s">
        <v>167</v>
      </c>
      <c r="B875" s="1" t="s">
        <v>167</v>
      </c>
      <c r="C875" s="1" t="s">
        <v>4405</v>
      </c>
      <c r="D875" s="1">
        <v>2017</v>
      </c>
      <c r="E875" s="1" t="str">
        <f t="shared" si="3"/>
        <v>JACS2 CE CVT 1.52017</v>
      </c>
      <c r="F875" s="1" t="s">
        <v>1147</v>
      </c>
      <c r="G875" s="1">
        <v>13478150</v>
      </c>
      <c r="H875" s="1">
        <v>10000000</v>
      </c>
    </row>
    <row r="876" spans="1:8" ht="13.5" customHeight="1" x14ac:dyDescent="0.3">
      <c r="A876" s="1" t="s">
        <v>167</v>
      </c>
      <c r="B876" s="1" t="s">
        <v>167</v>
      </c>
      <c r="C876" s="1" t="s">
        <v>4406</v>
      </c>
      <c r="D876" s="1">
        <v>2018</v>
      </c>
      <c r="E876" s="1" t="str">
        <f t="shared" si="3"/>
        <v>JACS2 CE SPORT 1.52018</v>
      </c>
      <c r="F876" s="1" t="s">
        <v>1910</v>
      </c>
      <c r="G876" s="1">
        <v>3000000</v>
      </c>
      <c r="H876" s="1">
        <v>4600000</v>
      </c>
    </row>
    <row r="877" spans="1:8" ht="13.5" customHeight="1" x14ac:dyDescent="0.3">
      <c r="A877" s="1" t="s">
        <v>167</v>
      </c>
      <c r="B877" s="1" t="s">
        <v>167</v>
      </c>
      <c r="C877" s="1" t="s">
        <v>4407</v>
      </c>
      <c r="D877" s="1">
        <v>2017</v>
      </c>
      <c r="E877" s="1" t="str">
        <f t="shared" si="3"/>
        <v>JACS3 1.62017</v>
      </c>
      <c r="F877" s="1" t="s">
        <v>2151</v>
      </c>
      <c r="G877" s="1">
        <v>6990000</v>
      </c>
      <c r="H877" s="1">
        <v>5100000</v>
      </c>
    </row>
    <row r="878" spans="1:8" ht="13.5" customHeight="1" x14ac:dyDescent="0.3">
      <c r="A878" s="1" t="s">
        <v>167</v>
      </c>
      <c r="B878" s="1" t="s">
        <v>167</v>
      </c>
      <c r="C878" s="1" t="s">
        <v>4408</v>
      </c>
      <c r="D878" s="1">
        <v>2022</v>
      </c>
      <c r="E878" s="1" t="str">
        <f t="shared" si="3"/>
        <v>JACT8 CE 4X4 2.02022</v>
      </c>
      <c r="F878" s="1" t="s">
        <v>2214</v>
      </c>
      <c r="G878" s="1">
        <v>14990000</v>
      </c>
      <c r="H878" s="1">
        <v>12800000</v>
      </c>
    </row>
    <row r="879" spans="1:8" ht="13.5" customHeight="1" x14ac:dyDescent="0.3">
      <c r="A879" s="1" t="s">
        <v>167</v>
      </c>
      <c r="B879" s="1" t="s">
        <v>4409</v>
      </c>
      <c r="C879" s="1" t="s">
        <v>4410</v>
      </c>
      <c r="D879" s="1">
        <v>2024</v>
      </c>
      <c r="E879" s="1" t="str">
        <f t="shared" si="3"/>
        <v>JSJS2 HATCHBACK 1.52024</v>
      </c>
      <c r="F879" s="1" t="s">
        <v>500</v>
      </c>
      <c r="G879" s="1">
        <v>8390000</v>
      </c>
      <c r="H879" s="1">
        <v>7000000</v>
      </c>
    </row>
    <row r="880" spans="1:8" ht="13.5" customHeight="1" x14ac:dyDescent="0.3">
      <c r="A880" s="1" t="s">
        <v>167</v>
      </c>
      <c r="B880" s="1" t="s">
        <v>4409</v>
      </c>
      <c r="C880" s="1" t="s">
        <v>4411</v>
      </c>
      <c r="D880" s="1">
        <v>2022</v>
      </c>
      <c r="E880" s="1" t="str">
        <f t="shared" si="3"/>
        <v>JSJS2 LUXURY HB 1.52022</v>
      </c>
      <c r="F880" s="1" t="s">
        <v>1080</v>
      </c>
      <c r="G880" s="1">
        <v>8590000</v>
      </c>
      <c r="H880" s="1">
        <v>7000000</v>
      </c>
    </row>
    <row r="881" spans="1:8" ht="13.5" customHeight="1" x14ac:dyDescent="0.3">
      <c r="A881" s="1" t="s">
        <v>167</v>
      </c>
      <c r="B881" s="1" t="s">
        <v>4409</v>
      </c>
      <c r="C881" s="1" t="s">
        <v>4412</v>
      </c>
      <c r="D881" s="1">
        <v>2026</v>
      </c>
      <c r="E881" s="1" t="str">
        <f t="shared" si="3"/>
        <v>JSJS2 MPI 1.52026</v>
      </c>
      <c r="F881" s="1" t="s">
        <v>453</v>
      </c>
      <c r="G881" s="1">
        <v>8490000</v>
      </c>
      <c r="H881" s="1">
        <v>7100000</v>
      </c>
    </row>
    <row r="882" spans="1:8" ht="13.5" customHeight="1" x14ac:dyDescent="0.3">
      <c r="A882" s="1" t="s">
        <v>167</v>
      </c>
      <c r="B882" s="1" t="s">
        <v>4409</v>
      </c>
      <c r="C882" s="1" t="s">
        <v>4413</v>
      </c>
      <c r="D882" s="1">
        <v>2024</v>
      </c>
      <c r="E882" s="1" t="str">
        <f t="shared" si="3"/>
        <v>JSJS4 TURBO CVT 1.5 AUT2024</v>
      </c>
      <c r="F882" s="1" t="s">
        <v>1121</v>
      </c>
      <c r="G882" s="1">
        <v>12990000</v>
      </c>
      <c r="H882" s="1">
        <v>11000000</v>
      </c>
    </row>
    <row r="883" spans="1:8" ht="13.5" customHeight="1" x14ac:dyDescent="0.3">
      <c r="A883" s="1" t="s">
        <v>167</v>
      </c>
      <c r="B883" s="1" t="s">
        <v>4409</v>
      </c>
      <c r="C883" s="1" t="s">
        <v>4414</v>
      </c>
      <c r="D883" s="1">
        <v>2022</v>
      </c>
      <c r="E883" s="1" t="str">
        <f t="shared" si="3"/>
        <v>JSJS8 TURBO DCT 1.5 AUT2022</v>
      </c>
      <c r="F883" s="1" t="s">
        <v>1164</v>
      </c>
      <c r="G883" s="1">
        <v>12890000</v>
      </c>
      <c r="H883" s="1">
        <v>10000000</v>
      </c>
    </row>
    <row r="884" spans="1:8" ht="13.5" customHeight="1" x14ac:dyDescent="0.3">
      <c r="A884" s="1" t="s">
        <v>167</v>
      </c>
      <c r="B884" s="1" t="s">
        <v>4409</v>
      </c>
      <c r="C884" s="1" t="s">
        <v>4415</v>
      </c>
      <c r="D884" s="1">
        <v>2020</v>
      </c>
      <c r="E884" s="1" t="str">
        <f t="shared" si="3"/>
        <v>JSS2 HB 1.52020</v>
      </c>
      <c r="F884" s="1" t="s">
        <v>531</v>
      </c>
      <c r="G884" s="1">
        <v>6090000</v>
      </c>
      <c r="H884" s="1">
        <v>5000000</v>
      </c>
    </row>
    <row r="885" spans="1:8" ht="13.5" customHeight="1" x14ac:dyDescent="0.3">
      <c r="A885" s="1" t="s">
        <v>167</v>
      </c>
      <c r="B885" s="1" t="s">
        <v>170</v>
      </c>
      <c r="C885" s="1" t="s">
        <v>171</v>
      </c>
      <c r="D885" s="1">
        <v>2023</v>
      </c>
      <c r="E885" s="1" t="str">
        <f t="shared" si="3"/>
        <v>T8T8 PRO TM 4X4 2.02023</v>
      </c>
      <c r="F885" s="1" t="s">
        <v>354</v>
      </c>
      <c r="G885" s="1">
        <v>12990000</v>
      </c>
      <c r="H885" s="1">
        <v>9500000</v>
      </c>
    </row>
    <row r="886" spans="1:8" ht="13.5" customHeight="1" x14ac:dyDescent="0.3">
      <c r="A886" s="1" t="s">
        <v>167</v>
      </c>
      <c r="B886" s="1" t="s">
        <v>170</v>
      </c>
      <c r="C886" s="1" t="s">
        <v>4416</v>
      </c>
      <c r="D886" s="1">
        <v>2022</v>
      </c>
      <c r="E886" s="1" t="str">
        <f t="shared" si="3"/>
        <v>T8T8 XE ADVANCE 2.02022</v>
      </c>
      <c r="F886" s="1" t="s">
        <v>1650</v>
      </c>
      <c r="G886" s="1">
        <v>12129120</v>
      </c>
      <c r="H886" s="1">
        <v>10500000</v>
      </c>
    </row>
    <row r="887" spans="1:8" ht="13.5" customHeight="1" x14ac:dyDescent="0.3">
      <c r="A887" s="1" t="s">
        <v>167</v>
      </c>
      <c r="B887" s="1" t="s">
        <v>170</v>
      </c>
      <c r="C887" s="1" t="s">
        <v>4417</v>
      </c>
      <c r="D887" s="1">
        <v>2021</v>
      </c>
      <c r="E887" s="1" t="str">
        <f t="shared" si="3"/>
        <v>T8T8 XE ADVANCE 4X4 2.02021</v>
      </c>
      <c r="F887" s="1" t="s">
        <v>1074</v>
      </c>
      <c r="G887" s="1">
        <v>12290000</v>
      </c>
      <c r="H887" s="1">
        <v>9346000</v>
      </c>
    </row>
    <row r="888" spans="1:8" ht="13.5" customHeight="1" x14ac:dyDescent="0.3">
      <c r="A888" s="1" t="s">
        <v>167</v>
      </c>
      <c r="B888" s="1" t="s">
        <v>4418</v>
      </c>
      <c r="C888" s="1" t="s">
        <v>4419</v>
      </c>
      <c r="D888" s="1">
        <v>2024</v>
      </c>
      <c r="E888" s="1" t="str">
        <f t="shared" si="3"/>
        <v>TODOSJS2 LUXURY HB 1.5 AUT2024</v>
      </c>
      <c r="F888" s="1" t="s">
        <v>1193</v>
      </c>
      <c r="G888" s="1">
        <v>10990000</v>
      </c>
      <c r="H888" s="1">
        <v>9600000</v>
      </c>
    </row>
    <row r="889" spans="1:8" ht="13.5" customHeight="1" x14ac:dyDescent="0.3">
      <c r="A889" s="1" t="s">
        <v>167</v>
      </c>
      <c r="B889" s="1" t="s">
        <v>4418</v>
      </c>
      <c r="C889" s="1" t="s">
        <v>4420</v>
      </c>
      <c r="D889" s="1">
        <v>2023</v>
      </c>
      <c r="E889" s="1" t="str">
        <f t="shared" si="3"/>
        <v>TODOSJS6 TURBO DCT 1.5 AUT2023</v>
      </c>
      <c r="F889" s="1" t="s">
        <v>1327</v>
      </c>
      <c r="G889" s="1">
        <v>12990000</v>
      </c>
      <c r="H889" s="1">
        <v>11500000</v>
      </c>
    </row>
    <row r="890" spans="1:8" ht="13.5" customHeight="1" x14ac:dyDescent="0.3">
      <c r="A890" s="1" t="s">
        <v>167</v>
      </c>
      <c r="B890" s="1" t="s">
        <v>4418</v>
      </c>
      <c r="C890" s="1" t="s">
        <v>4421</v>
      </c>
      <c r="D890" s="1">
        <v>2023</v>
      </c>
      <c r="E890" s="1" t="str">
        <f t="shared" si="3"/>
        <v>TODOSJS8 LUXURY 1.52023</v>
      </c>
      <c r="F890" s="1" t="s">
        <v>1410</v>
      </c>
      <c r="G890" s="1">
        <v>12090000</v>
      </c>
      <c r="H890" s="1">
        <v>10200000</v>
      </c>
    </row>
    <row r="891" spans="1:8" ht="13.5" customHeight="1" x14ac:dyDescent="0.3">
      <c r="A891" s="1" t="s">
        <v>167</v>
      </c>
      <c r="B891" s="1" t="s">
        <v>4418</v>
      </c>
      <c r="C891" s="1" t="s">
        <v>4422</v>
      </c>
      <c r="D891" s="1">
        <v>2022</v>
      </c>
      <c r="E891" s="1" t="str">
        <f t="shared" si="3"/>
        <v>TODOSS3 LUXURY HB 1.62022</v>
      </c>
      <c r="F891" s="1" t="s">
        <v>1531</v>
      </c>
      <c r="G891" s="1">
        <v>8390000</v>
      </c>
      <c r="H891" s="1">
        <v>7000000</v>
      </c>
    </row>
    <row r="892" spans="1:8" ht="13.5" customHeight="1" x14ac:dyDescent="0.3">
      <c r="A892" s="1" t="s">
        <v>173</v>
      </c>
      <c r="B892" s="1" t="s">
        <v>4423</v>
      </c>
      <c r="C892" s="1" t="s">
        <v>176</v>
      </c>
      <c r="D892" s="1">
        <v>2025</v>
      </c>
      <c r="E892" s="1" t="str">
        <f t="shared" si="3"/>
        <v>77 DCT FWD 1.6 AUT2025</v>
      </c>
      <c r="F892" s="1" t="s">
        <v>179</v>
      </c>
      <c r="G892" s="1">
        <v>16990000</v>
      </c>
      <c r="H892" s="1">
        <v>15500000</v>
      </c>
    </row>
    <row r="893" spans="1:8" ht="13.5" customHeight="1" x14ac:dyDescent="0.3">
      <c r="A893" s="1" t="s">
        <v>173</v>
      </c>
      <c r="B893" s="1" t="s">
        <v>4423</v>
      </c>
      <c r="C893" s="1" t="s">
        <v>176</v>
      </c>
      <c r="D893" s="1">
        <v>2025</v>
      </c>
      <c r="E893" s="1" t="str">
        <f t="shared" si="3"/>
        <v>77 DCT FWD 1.6 AUT2025</v>
      </c>
      <c r="F893" s="1" t="s">
        <v>350</v>
      </c>
      <c r="G893" s="1">
        <v>17490000</v>
      </c>
      <c r="H893" s="1">
        <v>15500000</v>
      </c>
    </row>
    <row r="894" spans="1:8" ht="13.5" customHeight="1" x14ac:dyDescent="0.3">
      <c r="A894" s="1" t="s">
        <v>173</v>
      </c>
      <c r="B894" s="1" t="s">
        <v>4423</v>
      </c>
      <c r="C894" s="1" t="s">
        <v>4424</v>
      </c>
      <c r="D894" s="1">
        <v>2025</v>
      </c>
      <c r="E894" s="1" t="str">
        <f t="shared" si="3"/>
        <v>7J7 PRIME 1.6 AUT2025</v>
      </c>
      <c r="F894" s="1" t="s">
        <v>538</v>
      </c>
      <c r="G894" s="1">
        <v>18290000</v>
      </c>
      <c r="H894" s="1">
        <v>17000000</v>
      </c>
    </row>
    <row r="895" spans="1:8" ht="13.5" customHeight="1" x14ac:dyDescent="0.3">
      <c r="A895" s="1" t="s">
        <v>180</v>
      </c>
      <c r="B895" s="1" t="s">
        <v>4425</v>
      </c>
      <c r="C895" s="1" t="s">
        <v>4426</v>
      </c>
      <c r="D895" s="1">
        <v>2020</v>
      </c>
      <c r="E895" s="1" t="str">
        <f t="shared" si="3"/>
        <v>CHEROKEECHEROKEE LONGITUDE 2.4 AUT2020</v>
      </c>
      <c r="F895" s="1" t="s">
        <v>774</v>
      </c>
      <c r="G895" s="1">
        <v>12990000</v>
      </c>
      <c r="H895" s="1">
        <v>11000000</v>
      </c>
    </row>
    <row r="896" spans="1:8" ht="13.5" customHeight="1" x14ac:dyDescent="0.3">
      <c r="A896" s="1" t="s">
        <v>180</v>
      </c>
      <c r="B896" s="1" t="s">
        <v>4427</v>
      </c>
      <c r="C896" s="1" t="s">
        <v>4428</v>
      </c>
      <c r="D896" s="1">
        <v>2023</v>
      </c>
      <c r="E896" s="1" t="str">
        <f t="shared" si="3"/>
        <v>COMMANDERCOMMANDER OVERLAND 4X4 2.0 AUT2023</v>
      </c>
      <c r="F896" s="1" t="s">
        <v>4429</v>
      </c>
      <c r="G896" s="1">
        <v>34990750</v>
      </c>
      <c r="H896" s="1">
        <v>41937902</v>
      </c>
    </row>
    <row r="897" spans="1:8" ht="13.5" customHeight="1" x14ac:dyDescent="0.3">
      <c r="A897" s="1" t="s">
        <v>180</v>
      </c>
      <c r="B897" s="1" t="s">
        <v>181</v>
      </c>
      <c r="C897" s="1" t="s">
        <v>4430</v>
      </c>
      <c r="D897" s="1">
        <v>2019</v>
      </c>
      <c r="E897" s="1" t="str">
        <f t="shared" si="3"/>
        <v>COMPASSALL NEW COMPASS 4X4 2.4 AUT2019</v>
      </c>
      <c r="F897" s="1" t="s">
        <v>2116</v>
      </c>
      <c r="G897" s="1">
        <v>16890000</v>
      </c>
      <c r="H897" s="1">
        <v>14000000</v>
      </c>
    </row>
    <row r="898" spans="1:8" ht="13.5" customHeight="1" x14ac:dyDescent="0.3">
      <c r="A898" s="1" t="s">
        <v>180</v>
      </c>
      <c r="B898" s="1" t="s">
        <v>181</v>
      </c>
      <c r="C898" s="1" t="s">
        <v>4431</v>
      </c>
      <c r="D898" s="1">
        <v>2019</v>
      </c>
      <c r="E898" s="1" t="str">
        <f t="shared" si="3"/>
        <v>COMPASSALL NEW COMPASS LONGITUDE 2.4 AUT2019</v>
      </c>
      <c r="F898" s="1" t="s">
        <v>2077</v>
      </c>
      <c r="G898" s="1">
        <v>13490000</v>
      </c>
      <c r="H898" s="1">
        <v>10300000</v>
      </c>
    </row>
    <row r="899" spans="1:8" ht="13.5" customHeight="1" x14ac:dyDescent="0.3">
      <c r="A899" s="1" t="s">
        <v>180</v>
      </c>
      <c r="B899" s="1" t="s">
        <v>181</v>
      </c>
      <c r="C899" s="1" t="s">
        <v>4432</v>
      </c>
      <c r="D899" s="1">
        <v>2018</v>
      </c>
      <c r="E899" s="1" t="str">
        <f t="shared" si="3"/>
        <v>COMPASSALL NEW COMPASS SPORT 2.42018</v>
      </c>
      <c r="F899" s="1" t="s">
        <v>1982</v>
      </c>
      <c r="G899" s="1">
        <v>11990000</v>
      </c>
      <c r="H899" s="1">
        <v>9839261</v>
      </c>
    </row>
    <row r="900" spans="1:8" ht="13.5" customHeight="1" x14ac:dyDescent="0.3">
      <c r="A900" s="1" t="s">
        <v>180</v>
      </c>
      <c r="B900" s="1" t="s">
        <v>181</v>
      </c>
      <c r="C900" s="1" t="s">
        <v>4432</v>
      </c>
      <c r="D900" s="1">
        <v>2018</v>
      </c>
      <c r="E900" s="1" t="str">
        <f t="shared" si="3"/>
        <v>COMPASSALL NEW COMPASS SPORT 2.42018</v>
      </c>
      <c r="F900" s="1" t="s">
        <v>1872</v>
      </c>
      <c r="G900" s="1">
        <v>12690000</v>
      </c>
      <c r="H900" s="1">
        <v>9890756</v>
      </c>
    </row>
    <row r="901" spans="1:8" ht="13.5" customHeight="1" x14ac:dyDescent="0.3">
      <c r="A901" s="1" t="s">
        <v>180</v>
      </c>
      <c r="B901" s="1" t="s">
        <v>181</v>
      </c>
      <c r="C901" s="1" t="s">
        <v>4432</v>
      </c>
      <c r="D901" s="1">
        <v>2019</v>
      </c>
      <c r="E901" s="1" t="str">
        <f t="shared" si="3"/>
        <v>COMPASSALL NEW COMPASS SPORT 2.42019</v>
      </c>
      <c r="F901" s="1" t="s">
        <v>2295</v>
      </c>
      <c r="G901" s="1">
        <v>12990000</v>
      </c>
      <c r="H901" s="1">
        <v>11000000</v>
      </c>
    </row>
    <row r="902" spans="1:8" ht="13.5" customHeight="1" x14ac:dyDescent="0.3">
      <c r="A902" s="1" t="s">
        <v>180</v>
      </c>
      <c r="B902" s="1" t="s">
        <v>181</v>
      </c>
      <c r="C902" s="1" t="s">
        <v>4433</v>
      </c>
      <c r="D902" s="1">
        <v>2020</v>
      </c>
      <c r="E902" s="1" t="str">
        <f t="shared" si="3"/>
        <v>COMPASSALL NEW COMPASS SPORT LX 2.42020</v>
      </c>
      <c r="F902" s="1" t="s">
        <v>2456</v>
      </c>
      <c r="G902" s="1">
        <v>12000000</v>
      </c>
      <c r="H902" s="1">
        <v>18500000</v>
      </c>
    </row>
    <row r="903" spans="1:8" ht="13.5" customHeight="1" x14ac:dyDescent="0.3">
      <c r="A903" s="1" t="s">
        <v>180</v>
      </c>
      <c r="B903" s="1" t="s">
        <v>181</v>
      </c>
      <c r="C903" s="1" t="s">
        <v>4434</v>
      </c>
      <c r="D903" s="1">
        <v>2022</v>
      </c>
      <c r="E903" s="1" t="str">
        <f t="shared" si="3"/>
        <v>COMPASSCOMPASS LONGITUDE 1.3 AUT2022</v>
      </c>
      <c r="F903" s="1" t="s">
        <v>2178</v>
      </c>
      <c r="G903" s="1">
        <v>20490000</v>
      </c>
      <c r="H903" s="1">
        <v>20500000</v>
      </c>
    </row>
    <row r="904" spans="1:8" ht="13.5" customHeight="1" x14ac:dyDescent="0.3">
      <c r="A904" s="1" t="s">
        <v>180</v>
      </c>
      <c r="B904" s="1" t="s">
        <v>181</v>
      </c>
      <c r="C904" s="1" t="s">
        <v>4435</v>
      </c>
      <c r="D904" s="1">
        <v>2019</v>
      </c>
      <c r="E904" s="1" t="str">
        <f t="shared" si="3"/>
        <v>COMPASSCOMPASS SPORT 2.42019</v>
      </c>
      <c r="F904" s="1" t="s">
        <v>1751</v>
      </c>
      <c r="G904" s="1">
        <v>10990000</v>
      </c>
      <c r="H904" s="1">
        <v>9800000</v>
      </c>
    </row>
    <row r="905" spans="1:8" ht="13.5" customHeight="1" x14ac:dyDescent="0.3">
      <c r="A905" s="1" t="s">
        <v>180</v>
      </c>
      <c r="B905" s="1" t="s">
        <v>181</v>
      </c>
      <c r="C905" s="1" t="s">
        <v>4435</v>
      </c>
      <c r="D905" s="1">
        <v>2019</v>
      </c>
      <c r="E905" s="1" t="str">
        <f t="shared" si="3"/>
        <v>COMPASSCOMPASS SPORT 2.42019</v>
      </c>
      <c r="F905" s="1" t="s">
        <v>2459</v>
      </c>
      <c r="G905" s="1">
        <v>15890000</v>
      </c>
      <c r="H905" s="1">
        <v>15500000</v>
      </c>
    </row>
    <row r="906" spans="1:8" ht="13.5" customHeight="1" x14ac:dyDescent="0.3">
      <c r="A906" s="1" t="s">
        <v>180</v>
      </c>
      <c r="B906" s="1" t="s">
        <v>181</v>
      </c>
      <c r="C906" s="1" t="s">
        <v>4435</v>
      </c>
      <c r="D906" s="1">
        <v>2021</v>
      </c>
      <c r="E906" s="1" t="str">
        <f t="shared" si="3"/>
        <v>COMPASSCOMPASS SPORT 2.42021</v>
      </c>
      <c r="F906" s="1" t="s">
        <v>2223</v>
      </c>
      <c r="G906" s="1">
        <v>15290000</v>
      </c>
      <c r="H906" s="1">
        <v>13000000</v>
      </c>
    </row>
    <row r="907" spans="1:8" ht="13.5" customHeight="1" x14ac:dyDescent="0.3">
      <c r="A907" s="1" t="s">
        <v>180</v>
      </c>
      <c r="B907" s="1" t="s">
        <v>181</v>
      </c>
      <c r="C907" s="1" t="s">
        <v>4436</v>
      </c>
      <c r="D907" s="1">
        <v>2021</v>
      </c>
      <c r="E907" s="1" t="str">
        <f t="shared" si="3"/>
        <v>COMPASSCOMPASS SPORT AT6 2.4 AUT2021</v>
      </c>
      <c r="F907" s="1" t="s">
        <v>2231</v>
      </c>
      <c r="G907" s="1">
        <v>17490000</v>
      </c>
      <c r="H907" s="1">
        <v>15000000</v>
      </c>
    </row>
    <row r="908" spans="1:8" ht="13.5" customHeight="1" x14ac:dyDescent="0.3">
      <c r="A908" s="1" t="s">
        <v>180</v>
      </c>
      <c r="B908" s="1" t="s">
        <v>181</v>
      </c>
      <c r="C908" s="1" t="s">
        <v>4436</v>
      </c>
      <c r="D908" s="1">
        <v>2021</v>
      </c>
      <c r="E908" s="1" t="str">
        <f t="shared" si="3"/>
        <v>COMPASSCOMPASS SPORT AT6 2.4 AUT2021</v>
      </c>
      <c r="F908" s="1" t="s">
        <v>672</v>
      </c>
      <c r="G908" s="1">
        <v>12990000</v>
      </c>
      <c r="H908" s="1">
        <v>10600000</v>
      </c>
    </row>
    <row r="909" spans="1:8" ht="13.5" customHeight="1" x14ac:dyDescent="0.3">
      <c r="A909" s="1" t="s">
        <v>180</v>
      </c>
      <c r="B909" s="1" t="s">
        <v>183</v>
      </c>
      <c r="C909" s="1" t="s">
        <v>4437</v>
      </c>
      <c r="D909" s="1">
        <v>2018</v>
      </c>
      <c r="E909" s="1" t="str">
        <f t="shared" si="3"/>
        <v>GRAND CHEROKEEGRAND CHEROKEE LAREDO 3.62018</v>
      </c>
      <c r="F909" s="1" t="s">
        <v>1275</v>
      </c>
      <c r="G909" s="1">
        <v>17690000</v>
      </c>
      <c r="H909" s="1">
        <v>15000000</v>
      </c>
    </row>
    <row r="910" spans="1:8" ht="13.5" customHeight="1" x14ac:dyDescent="0.3">
      <c r="A910" s="1" t="s">
        <v>180</v>
      </c>
      <c r="B910" s="1" t="s">
        <v>183</v>
      </c>
      <c r="C910" s="1" t="s">
        <v>4438</v>
      </c>
      <c r="D910" s="1">
        <v>2021</v>
      </c>
      <c r="E910" s="1" t="str">
        <f t="shared" si="3"/>
        <v>GRAND CHEROKEEGRAND CHEROKEE LAREDO 3.6 AUT2021</v>
      </c>
      <c r="F910" s="1" t="s">
        <v>1383</v>
      </c>
      <c r="G910" s="1">
        <v>20990000</v>
      </c>
      <c r="H910" s="1">
        <v>18000000</v>
      </c>
    </row>
    <row r="911" spans="1:8" ht="13.5" customHeight="1" x14ac:dyDescent="0.3">
      <c r="A911" s="1" t="s">
        <v>180</v>
      </c>
      <c r="B911" s="1" t="s">
        <v>183</v>
      </c>
      <c r="C911" s="1" t="s">
        <v>184</v>
      </c>
      <c r="D911" s="1">
        <v>2020</v>
      </c>
      <c r="E911" s="1" t="str">
        <f t="shared" si="3"/>
        <v>GRAND CHEROKEEGRAND CHEROKEE LAREDO 4X4 3.0 AUT2020</v>
      </c>
      <c r="F911" s="1" t="s">
        <v>1447</v>
      </c>
      <c r="G911" s="1">
        <v>24500000</v>
      </c>
      <c r="H911" s="1">
        <v>22500000</v>
      </c>
    </row>
    <row r="912" spans="1:8" ht="13.5" customHeight="1" x14ac:dyDescent="0.3">
      <c r="A912" s="1" t="s">
        <v>180</v>
      </c>
      <c r="B912" s="1" t="s">
        <v>183</v>
      </c>
      <c r="C912" s="1" t="s">
        <v>4439</v>
      </c>
      <c r="D912" s="1">
        <v>2021</v>
      </c>
      <c r="E912" s="1" t="str">
        <f t="shared" si="3"/>
        <v>GRAND CHEROKEEGRAND CHEROKEE LAREDO 4X4 3.6 AUT2021</v>
      </c>
      <c r="F912" s="1" t="s">
        <v>2345</v>
      </c>
      <c r="G912" s="1">
        <v>27990000</v>
      </c>
      <c r="H912" s="1">
        <v>24500000</v>
      </c>
    </row>
    <row r="913" spans="1:8" ht="13.5" customHeight="1" x14ac:dyDescent="0.3">
      <c r="A913" s="1" t="s">
        <v>180</v>
      </c>
      <c r="B913" s="1" t="s">
        <v>183</v>
      </c>
      <c r="C913" s="1" t="s">
        <v>4439</v>
      </c>
      <c r="D913" s="1">
        <v>2022</v>
      </c>
      <c r="E913" s="1" t="str">
        <f t="shared" si="3"/>
        <v>GRAND CHEROKEEGRAND CHEROKEE LAREDO 4X4 3.6 AUT2022</v>
      </c>
      <c r="F913" s="1" t="s">
        <v>1616</v>
      </c>
      <c r="G913" s="1">
        <v>54580000</v>
      </c>
      <c r="H913" s="1">
        <v>53000000</v>
      </c>
    </row>
    <row r="914" spans="1:8" ht="13.5" customHeight="1" x14ac:dyDescent="0.3">
      <c r="A914" s="1" t="s">
        <v>180</v>
      </c>
      <c r="B914" s="1" t="s">
        <v>183</v>
      </c>
      <c r="C914" s="1" t="s">
        <v>4440</v>
      </c>
      <c r="D914" s="1">
        <v>2017</v>
      </c>
      <c r="E914" s="1" t="str">
        <f t="shared" si="3"/>
        <v>GRAND CHEROKEEGRAND CHEROKEE LAREDO S 3.6 AUT2017</v>
      </c>
      <c r="F914" s="1" t="s">
        <v>1262</v>
      </c>
      <c r="G914" s="1">
        <v>21990000</v>
      </c>
      <c r="H914" s="1">
        <v>18000000</v>
      </c>
    </row>
    <row r="915" spans="1:8" ht="13.5" customHeight="1" x14ac:dyDescent="0.3">
      <c r="A915" s="1" t="s">
        <v>180</v>
      </c>
      <c r="B915" s="1" t="s">
        <v>183</v>
      </c>
      <c r="C915" s="1" t="s">
        <v>4441</v>
      </c>
      <c r="D915" s="1">
        <v>2017</v>
      </c>
      <c r="E915" s="1" t="str">
        <f t="shared" si="3"/>
        <v>GRAND CHEROKEEGRAND CHEROKEE LAREDO SPORT 3.6 AUT2017</v>
      </c>
      <c r="F915" s="1" t="s">
        <v>1262</v>
      </c>
      <c r="G915" s="1">
        <v>18190000</v>
      </c>
      <c r="H915" s="1">
        <v>15300000</v>
      </c>
    </row>
    <row r="916" spans="1:8" ht="13.5" customHeight="1" x14ac:dyDescent="0.3">
      <c r="A916" s="1" t="s">
        <v>180</v>
      </c>
      <c r="B916" s="1" t="s">
        <v>183</v>
      </c>
      <c r="C916" s="1" t="s">
        <v>4441</v>
      </c>
      <c r="D916" s="1">
        <v>2019</v>
      </c>
      <c r="E916" s="1" t="str">
        <f t="shared" si="3"/>
        <v>GRAND CHEROKEEGRAND CHEROKEE LAREDO SPORT 3.6 AUT2019</v>
      </c>
      <c r="F916" s="1" t="s">
        <v>2091</v>
      </c>
      <c r="G916" s="1">
        <v>23900000</v>
      </c>
      <c r="H916" s="1">
        <v>18000000</v>
      </c>
    </row>
    <row r="917" spans="1:8" ht="13.5" customHeight="1" x14ac:dyDescent="0.3">
      <c r="A917" s="1" t="s">
        <v>180</v>
      </c>
      <c r="B917" s="1" t="s">
        <v>183</v>
      </c>
      <c r="C917" s="1" t="s">
        <v>4442</v>
      </c>
      <c r="D917" s="1">
        <v>2024</v>
      </c>
      <c r="E917" s="1" t="str">
        <f t="shared" si="3"/>
        <v>GRAND CHEROKEEGRAND CHEROKEE LIMITED 4X4 3.6 AT2024</v>
      </c>
      <c r="F917" s="1" t="s">
        <v>1708</v>
      </c>
      <c r="G917" s="1">
        <v>46590000</v>
      </c>
      <c r="H917" s="1">
        <v>45000000</v>
      </c>
    </row>
    <row r="918" spans="1:8" ht="13.5" customHeight="1" x14ac:dyDescent="0.3">
      <c r="A918" s="1" t="s">
        <v>180</v>
      </c>
      <c r="B918" s="1" t="s">
        <v>183</v>
      </c>
      <c r="C918" s="1" t="s">
        <v>4443</v>
      </c>
      <c r="D918" s="1">
        <v>2020</v>
      </c>
      <c r="E918" s="1" t="str">
        <f t="shared" si="3"/>
        <v>GRAND CHEROKEEGRAND CHEROKEE LIMITED 4X4 3.6 AUT2020</v>
      </c>
      <c r="F918" s="1" t="s">
        <v>1200</v>
      </c>
      <c r="G918" s="1">
        <v>25990000</v>
      </c>
      <c r="H918" s="1">
        <v>22000000</v>
      </c>
    </row>
    <row r="919" spans="1:8" ht="13.5" customHeight="1" x14ac:dyDescent="0.3">
      <c r="A919" s="1" t="s">
        <v>180</v>
      </c>
      <c r="B919" s="1" t="s">
        <v>183</v>
      </c>
      <c r="C919" s="1" t="s">
        <v>4444</v>
      </c>
      <c r="D919" s="1">
        <v>2022</v>
      </c>
      <c r="E919" s="1" t="str">
        <f t="shared" si="3"/>
        <v>GRAND CHEROKEENEW GRAND CHEROKEE LTD 4X4 3.6 AUT2022</v>
      </c>
      <c r="F919" s="1" t="s">
        <v>2068</v>
      </c>
      <c r="G919" s="1">
        <v>28290000</v>
      </c>
      <c r="H919" s="1">
        <v>22300000</v>
      </c>
    </row>
    <row r="920" spans="1:8" ht="13.5" customHeight="1" x14ac:dyDescent="0.3">
      <c r="A920" s="1" t="s">
        <v>180</v>
      </c>
      <c r="B920" s="1" t="s">
        <v>2662</v>
      </c>
      <c r="C920" s="1" t="s">
        <v>4445</v>
      </c>
      <c r="D920" s="1">
        <v>2017</v>
      </c>
      <c r="E920" s="1" t="str">
        <f t="shared" si="3"/>
        <v>RENEGADERENEGADE LX 1.82017</v>
      </c>
      <c r="F920" s="1" t="s">
        <v>2062</v>
      </c>
      <c r="G920" s="1">
        <v>10490000</v>
      </c>
      <c r="H920" s="1">
        <v>8500000</v>
      </c>
    </row>
    <row r="921" spans="1:8" ht="13.5" customHeight="1" x14ac:dyDescent="0.3">
      <c r="A921" s="1" t="s">
        <v>180</v>
      </c>
      <c r="B921" s="1" t="s">
        <v>2662</v>
      </c>
      <c r="C921" s="1" t="s">
        <v>4446</v>
      </c>
      <c r="D921" s="1">
        <v>2017</v>
      </c>
      <c r="E921" s="1" t="str">
        <f t="shared" si="3"/>
        <v>RENEGADERENEGADE LX SPORT 1.72017</v>
      </c>
      <c r="F921" s="1" t="s">
        <v>1965</v>
      </c>
      <c r="G921" s="1">
        <v>8990000</v>
      </c>
      <c r="H921" s="1">
        <v>7700000</v>
      </c>
    </row>
    <row r="922" spans="1:8" ht="13.5" customHeight="1" x14ac:dyDescent="0.3">
      <c r="A922" s="1" t="s">
        <v>180</v>
      </c>
      <c r="B922" s="1" t="s">
        <v>2662</v>
      </c>
      <c r="C922" s="1" t="s">
        <v>4447</v>
      </c>
      <c r="D922" s="1">
        <v>2017</v>
      </c>
      <c r="E922" s="1" t="str">
        <f t="shared" si="3"/>
        <v>RENEGADERENEGADE SPORT 1.82017</v>
      </c>
      <c r="F922" s="1" t="s">
        <v>2190</v>
      </c>
      <c r="G922" s="1">
        <v>10990000</v>
      </c>
      <c r="H922" s="1">
        <v>9000000</v>
      </c>
    </row>
    <row r="923" spans="1:8" ht="13.5" customHeight="1" x14ac:dyDescent="0.3">
      <c r="A923" s="1" t="s">
        <v>180</v>
      </c>
      <c r="B923" s="1" t="s">
        <v>2662</v>
      </c>
      <c r="C923" s="1" t="s">
        <v>4447</v>
      </c>
      <c r="D923" s="1">
        <v>2019</v>
      </c>
      <c r="E923" s="1" t="str">
        <f t="shared" si="3"/>
        <v>RENEGADERENEGADE SPORT 1.82019</v>
      </c>
      <c r="F923" s="1" t="s">
        <v>801</v>
      </c>
      <c r="G923" s="1">
        <v>11190000</v>
      </c>
      <c r="H923" s="1">
        <v>8500000</v>
      </c>
    </row>
    <row r="924" spans="1:8" ht="13.5" customHeight="1" x14ac:dyDescent="0.3">
      <c r="A924" s="1" t="s">
        <v>180</v>
      </c>
      <c r="B924" s="1" t="s">
        <v>2662</v>
      </c>
      <c r="C924" s="1" t="s">
        <v>4447</v>
      </c>
      <c r="D924" s="1">
        <v>2021</v>
      </c>
      <c r="E924" s="1" t="str">
        <f t="shared" si="3"/>
        <v>RENEGADERENEGADE SPORT 1.82021</v>
      </c>
      <c r="F924" s="1" t="s">
        <v>523</v>
      </c>
      <c r="G924" s="1">
        <v>11690000</v>
      </c>
      <c r="H924" s="1">
        <v>9800000</v>
      </c>
    </row>
    <row r="925" spans="1:8" ht="13.5" customHeight="1" x14ac:dyDescent="0.3">
      <c r="A925" s="1" t="s">
        <v>180</v>
      </c>
      <c r="B925" s="1" t="s">
        <v>2662</v>
      </c>
      <c r="C925" s="1" t="s">
        <v>4447</v>
      </c>
      <c r="D925" s="1">
        <v>2022</v>
      </c>
      <c r="E925" s="1" t="str">
        <f t="shared" si="3"/>
        <v>RENEGADERENEGADE SPORT 1.82022</v>
      </c>
      <c r="F925" s="1" t="s">
        <v>1144</v>
      </c>
      <c r="G925" s="1">
        <v>11790000</v>
      </c>
      <c r="H925" s="1">
        <v>9300000</v>
      </c>
    </row>
    <row r="926" spans="1:8" ht="13.5" customHeight="1" x14ac:dyDescent="0.3">
      <c r="A926" s="1" t="s">
        <v>180</v>
      </c>
      <c r="B926" s="1" t="s">
        <v>2662</v>
      </c>
      <c r="C926" s="1" t="s">
        <v>4447</v>
      </c>
      <c r="D926" s="1">
        <v>2022</v>
      </c>
      <c r="E926" s="1" t="str">
        <f t="shared" si="3"/>
        <v>RENEGADERENEGADE SPORT 1.82022</v>
      </c>
      <c r="F926" s="1" t="s">
        <v>1035</v>
      </c>
      <c r="G926" s="1">
        <v>11635620</v>
      </c>
      <c r="H926" s="1">
        <v>10200000</v>
      </c>
    </row>
    <row r="927" spans="1:8" ht="13.5" customHeight="1" x14ac:dyDescent="0.3">
      <c r="A927" s="1" t="s">
        <v>180</v>
      </c>
      <c r="B927" s="1" t="s">
        <v>2662</v>
      </c>
      <c r="C927" s="1" t="s">
        <v>4447</v>
      </c>
      <c r="D927" s="1">
        <v>2022</v>
      </c>
      <c r="E927" s="1" t="str">
        <f t="shared" si="3"/>
        <v>RENEGADERENEGADE SPORT 1.82022</v>
      </c>
      <c r="F927" s="1" t="s">
        <v>470</v>
      </c>
      <c r="G927" s="1">
        <v>11762810</v>
      </c>
      <c r="H927" s="1">
        <v>10000000</v>
      </c>
    </row>
    <row r="928" spans="1:8" ht="13.5" customHeight="1" x14ac:dyDescent="0.3">
      <c r="A928" s="1" t="s">
        <v>180</v>
      </c>
      <c r="B928" s="1" t="s">
        <v>2662</v>
      </c>
      <c r="C928" s="1" t="s">
        <v>4448</v>
      </c>
      <c r="D928" s="1">
        <v>2019</v>
      </c>
      <c r="E928" s="1" t="str">
        <f t="shared" si="3"/>
        <v>RENEGADERENEGADE SPORT 1.8 AUT2019</v>
      </c>
      <c r="F928" s="1" t="s">
        <v>2442</v>
      </c>
      <c r="G928" s="1">
        <v>10890000</v>
      </c>
      <c r="H928" s="1">
        <v>14000000</v>
      </c>
    </row>
    <row r="929" spans="1:8" ht="13.5" customHeight="1" x14ac:dyDescent="0.3">
      <c r="A929" s="1" t="s">
        <v>180</v>
      </c>
      <c r="B929" s="1" t="s">
        <v>2662</v>
      </c>
      <c r="C929" s="1" t="s">
        <v>4449</v>
      </c>
      <c r="D929" s="1">
        <v>2018</v>
      </c>
      <c r="E929" s="1" t="str">
        <f t="shared" si="3"/>
        <v>RENEGADERENEGADE SPORT LX 1.82018</v>
      </c>
      <c r="F929" s="1" t="s">
        <v>2431</v>
      </c>
      <c r="G929" s="1">
        <v>10490000</v>
      </c>
      <c r="H929" s="1">
        <v>12000000</v>
      </c>
    </row>
    <row r="930" spans="1:8" ht="13.5" customHeight="1" x14ac:dyDescent="0.3">
      <c r="A930" s="1" t="s">
        <v>180</v>
      </c>
      <c r="B930" s="1" t="s">
        <v>2662</v>
      </c>
      <c r="C930" s="1" t="s">
        <v>4449</v>
      </c>
      <c r="D930" s="1">
        <v>2018</v>
      </c>
      <c r="E930" s="1" t="str">
        <f t="shared" si="3"/>
        <v>RENEGADERENEGADE SPORT LX 1.82018</v>
      </c>
      <c r="F930" s="1" t="s">
        <v>2099</v>
      </c>
      <c r="G930" s="1">
        <v>10490000</v>
      </c>
      <c r="H930" s="1">
        <v>7989496</v>
      </c>
    </row>
    <row r="931" spans="1:8" ht="13.5" customHeight="1" x14ac:dyDescent="0.3">
      <c r="A931" s="1" t="s">
        <v>180</v>
      </c>
      <c r="B931" s="1" t="s">
        <v>2662</v>
      </c>
      <c r="C931" s="1" t="s">
        <v>4449</v>
      </c>
      <c r="D931" s="1">
        <v>2022</v>
      </c>
      <c r="E931" s="1" t="str">
        <f t="shared" si="3"/>
        <v>RENEGADERENEGADE SPORT LX 1.82022</v>
      </c>
      <c r="F931" s="1" t="s">
        <v>1345</v>
      </c>
      <c r="G931" s="1">
        <v>11890000</v>
      </c>
      <c r="H931" s="1">
        <v>10000000</v>
      </c>
    </row>
    <row r="932" spans="1:8" ht="13.5" customHeight="1" x14ac:dyDescent="0.3">
      <c r="A932" s="1" t="s">
        <v>180</v>
      </c>
      <c r="B932" s="1" t="s">
        <v>2662</v>
      </c>
      <c r="C932" s="1" t="s">
        <v>4450</v>
      </c>
      <c r="D932" s="1">
        <v>2022</v>
      </c>
      <c r="E932" s="1" t="str">
        <f t="shared" si="3"/>
        <v>RENEGADERENEGADE SPORT LX 1.8 AUT2022</v>
      </c>
      <c r="F932" s="1" t="s">
        <v>1343</v>
      </c>
      <c r="G932" s="1">
        <v>13590000</v>
      </c>
      <c r="H932" s="1">
        <v>11300000</v>
      </c>
    </row>
    <row r="933" spans="1:8" ht="13.5" customHeight="1" x14ac:dyDescent="0.3">
      <c r="A933" s="1" t="s">
        <v>180</v>
      </c>
      <c r="B933" s="1" t="s">
        <v>2662</v>
      </c>
      <c r="C933" s="1" t="s">
        <v>4450</v>
      </c>
      <c r="D933" s="1">
        <v>2022</v>
      </c>
      <c r="E933" s="1" t="str">
        <f t="shared" si="3"/>
        <v>RENEGADERENEGADE SPORT LX 1.8 AUT2022</v>
      </c>
      <c r="F933" s="1" t="s">
        <v>1834</v>
      </c>
      <c r="G933" s="1">
        <v>14690000</v>
      </c>
      <c r="H933" s="1">
        <v>12000000</v>
      </c>
    </row>
    <row r="934" spans="1:8" ht="13.5" customHeight="1" x14ac:dyDescent="0.3">
      <c r="A934" s="1" t="s">
        <v>180</v>
      </c>
      <c r="B934" s="1" t="s">
        <v>4451</v>
      </c>
      <c r="C934" s="1" t="s">
        <v>4452</v>
      </c>
      <c r="D934" s="1">
        <v>2020</v>
      </c>
      <c r="E934" s="1" t="str">
        <f t="shared" si="3"/>
        <v>WRANGLERWRANGLER SAHARA UNLIMITED 3.6 AUT2020</v>
      </c>
      <c r="F934" s="1" t="s">
        <v>1440</v>
      </c>
      <c r="G934" s="1">
        <v>34093620</v>
      </c>
      <c r="H934" s="1">
        <v>28800000</v>
      </c>
    </row>
    <row r="935" spans="1:8" ht="13.5" customHeight="1" x14ac:dyDescent="0.3">
      <c r="A935" s="1" t="s">
        <v>180</v>
      </c>
      <c r="B935" s="1" t="s">
        <v>4451</v>
      </c>
      <c r="C935" s="1" t="s">
        <v>4453</v>
      </c>
      <c r="D935" s="1">
        <v>2019</v>
      </c>
      <c r="E935" s="1" t="str">
        <f t="shared" si="3"/>
        <v>WRANGLERWRANGLER UNLTD SPORT 4X4 3.6 AUT2019</v>
      </c>
      <c r="F935" s="1" t="s">
        <v>4454</v>
      </c>
      <c r="G935" s="1">
        <v>32990000</v>
      </c>
      <c r="H935" s="1">
        <v>30350800</v>
      </c>
    </row>
    <row r="936" spans="1:8" ht="13.5" customHeight="1" x14ac:dyDescent="0.3">
      <c r="A936" s="1" t="s">
        <v>2816</v>
      </c>
      <c r="B936" s="1" t="s">
        <v>3103</v>
      </c>
      <c r="C936" s="1" t="s">
        <v>4455</v>
      </c>
      <c r="D936" s="1">
        <v>2024</v>
      </c>
      <c r="E936" s="1" t="str">
        <f t="shared" si="3"/>
        <v>DASHINGDASHING 1.6 AUT2024</v>
      </c>
      <c r="F936" s="1" t="s">
        <v>1306</v>
      </c>
      <c r="G936" s="1">
        <v>16490000</v>
      </c>
      <c r="H936" s="1">
        <v>14000000</v>
      </c>
    </row>
    <row r="937" spans="1:8" ht="13.5" customHeight="1" x14ac:dyDescent="0.3">
      <c r="A937" s="1" t="s">
        <v>2816</v>
      </c>
      <c r="B937" s="1" t="s">
        <v>2817</v>
      </c>
      <c r="C937" s="1" t="s">
        <v>4456</v>
      </c>
      <c r="D937" s="1">
        <v>2022</v>
      </c>
      <c r="E937" s="1" t="str">
        <f t="shared" si="3"/>
        <v>X70X70 1.52022</v>
      </c>
      <c r="F937" s="1" t="s">
        <v>411</v>
      </c>
      <c r="G937" s="1">
        <v>10263260</v>
      </c>
      <c r="H937" s="1">
        <v>8600000</v>
      </c>
    </row>
    <row r="938" spans="1:8" ht="13.5" customHeight="1" x14ac:dyDescent="0.3">
      <c r="A938" s="1" t="s">
        <v>2521</v>
      </c>
      <c r="B938" s="1" t="s">
        <v>2522</v>
      </c>
      <c r="C938" s="1" t="s">
        <v>4457</v>
      </c>
      <c r="D938" s="1">
        <v>2024</v>
      </c>
      <c r="E938" s="1" t="str">
        <f t="shared" si="3"/>
        <v>GRAND AVENUEGRAND AVENUE 4X2 2.32024</v>
      </c>
      <c r="F938" s="1" t="s">
        <v>1434</v>
      </c>
      <c r="G938" s="1">
        <v>17990000</v>
      </c>
      <c r="H938" s="1">
        <v>16500000</v>
      </c>
    </row>
    <row r="939" spans="1:8" ht="13.5" customHeight="1" x14ac:dyDescent="0.3">
      <c r="A939" s="1" t="s">
        <v>2521</v>
      </c>
      <c r="B939" s="1" t="s">
        <v>2522</v>
      </c>
      <c r="C939" s="1" t="s">
        <v>4458</v>
      </c>
      <c r="D939" s="1">
        <v>2024</v>
      </c>
      <c r="E939" s="1" t="str">
        <f t="shared" si="3"/>
        <v>GRAND AVENUEGRAND AVENUE 4X4 2.32024</v>
      </c>
      <c r="F939" s="1" t="s">
        <v>392</v>
      </c>
      <c r="G939" s="1">
        <v>17190000</v>
      </c>
      <c r="H939" s="1">
        <v>14400000</v>
      </c>
    </row>
    <row r="940" spans="1:8" ht="13.5" customHeight="1" x14ac:dyDescent="0.3">
      <c r="A940" s="1" t="s">
        <v>2521</v>
      </c>
      <c r="B940" s="1" t="s">
        <v>2522</v>
      </c>
      <c r="C940" s="1" t="s">
        <v>4459</v>
      </c>
      <c r="D940" s="1">
        <v>2024</v>
      </c>
      <c r="E940" s="1" t="str">
        <f t="shared" si="3"/>
        <v>GRAND AVENUEGRAND AVENUE 4X4 2.3 AUT2024</v>
      </c>
      <c r="F940" s="1" t="s">
        <v>1700</v>
      </c>
      <c r="G940" s="1">
        <v>19990000</v>
      </c>
      <c r="H940" s="1">
        <v>19000000</v>
      </c>
    </row>
    <row r="941" spans="1:8" ht="13.5" customHeight="1" x14ac:dyDescent="0.3">
      <c r="A941" s="1" t="s">
        <v>2521</v>
      </c>
      <c r="B941" s="1" t="s">
        <v>2522</v>
      </c>
      <c r="C941" s="1" t="s">
        <v>4459</v>
      </c>
      <c r="D941" s="1">
        <v>2024</v>
      </c>
      <c r="E941" s="1" t="str">
        <f t="shared" si="3"/>
        <v>GRAND AVENUEGRAND AVENUE 4X4 2.3 AUT2024</v>
      </c>
      <c r="F941" s="1" t="s">
        <v>418</v>
      </c>
      <c r="G941" s="1">
        <v>19290000</v>
      </c>
      <c r="H941" s="1">
        <v>16500000</v>
      </c>
    </row>
    <row r="942" spans="1:8" ht="13.5" customHeight="1" x14ac:dyDescent="0.3">
      <c r="A942" s="1" t="s">
        <v>2521</v>
      </c>
      <c r="B942" s="1" t="s">
        <v>2522</v>
      </c>
      <c r="C942" s="1" t="s">
        <v>4459</v>
      </c>
      <c r="D942" s="1">
        <v>2024</v>
      </c>
      <c r="E942" s="1" t="str">
        <f t="shared" si="3"/>
        <v>GRAND AVENUEGRAND AVENUE 4X4 2.3 AUT2024</v>
      </c>
      <c r="F942" s="1" t="s">
        <v>426</v>
      </c>
      <c r="G942" s="1">
        <v>16545592</v>
      </c>
      <c r="H942" s="1">
        <v>16000000</v>
      </c>
    </row>
    <row r="943" spans="1:8" ht="13.5" customHeight="1" x14ac:dyDescent="0.3">
      <c r="A943" s="1" t="s">
        <v>2521</v>
      </c>
      <c r="B943" s="1" t="s">
        <v>2522</v>
      </c>
      <c r="C943" s="1" t="s">
        <v>4459</v>
      </c>
      <c r="D943" s="1">
        <v>2025</v>
      </c>
      <c r="E943" s="1" t="str">
        <f t="shared" si="3"/>
        <v>GRAND AVENUEGRAND AVENUE 4X4 2.3 AUT2025</v>
      </c>
      <c r="F943" s="1" t="s">
        <v>595</v>
      </c>
      <c r="G943" s="1">
        <v>20990000</v>
      </c>
      <c r="H943" s="1">
        <v>18250000</v>
      </c>
    </row>
    <row r="944" spans="1:8" ht="13.5" customHeight="1" x14ac:dyDescent="0.3">
      <c r="A944" s="1" t="s">
        <v>2521</v>
      </c>
      <c r="B944" s="1" t="s">
        <v>2522</v>
      </c>
      <c r="C944" s="1" t="s">
        <v>4459</v>
      </c>
      <c r="D944" s="1">
        <v>2026</v>
      </c>
      <c r="E944" s="1" t="str">
        <f t="shared" si="3"/>
        <v>GRAND AVENUEGRAND AVENUE 4X4 2.3 AUT2026</v>
      </c>
      <c r="F944" s="1" t="s">
        <v>407</v>
      </c>
      <c r="G944" s="1">
        <v>21990000</v>
      </c>
      <c r="H944" s="1">
        <v>18500000</v>
      </c>
    </row>
    <row r="945" spans="1:8" ht="13.5" customHeight="1" x14ac:dyDescent="0.3">
      <c r="A945" s="1" t="s">
        <v>2521</v>
      </c>
      <c r="B945" s="1" t="s">
        <v>2543</v>
      </c>
      <c r="C945" s="1" t="s">
        <v>4460</v>
      </c>
      <c r="D945" s="1">
        <v>2024</v>
      </c>
      <c r="E945" s="1" t="str">
        <f t="shared" si="3"/>
        <v>VIGUSVIGUS 4X4 2.02024</v>
      </c>
      <c r="F945" s="1" t="s">
        <v>848</v>
      </c>
      <c r="G945" s="1">
        <v>14890000</v>
      </c>
      <c r="H945" s="1">
        <v>13000000</v>
      </c>
    </row>
    <row r="946" spans="1:8" ht="13.5" customHeight="1" x14ac:dyDescent="0.3">
      <c r="A946" s="1" t="s">
        <v>2521</v>
      </c>
      <c r="B946" s="1" t="s">
        <v>2543</v>
      </c>
      <c r="C946" s="1" t="s">
        <v>4461</v>
      </c>
      <c r="D946" s="1">
        <v>2024</v>
      </c>
      <c r="E946" s="1" t="str">
        <f t="shared" si="3"/>
        <v>VIGUSVIGUS PRO 2.0 AUT2024</v>
      </c>
      <c r="F946" s="1" t="s">
        <v>1004</v>
      </c>
      <c r="G946" s="1">
        <v>17190000</v>
      </c>
      <c r="H946" s="1">
        <v>14000000</v>
      </c>
    </row>
    <row r="947" spans="1:8" ht="13.5" customHeight="1" x14ac:dyDescent="0.3">
      <c r="A947" s="1" t="s">
        <v>2521</v>
      </c>
      <c r="B947" s="1" t="s">
        <v>4462</v>
      </c>
      <c r="C947" s="1" t="s">
        <v>4463</v>
      </c>
      <c r="D947" s="1">
        <v>2022</v>
      </c>
      <c r="E947" s="1" t="str">
        <f t="shared" si="3"/>
        <v>VIGUS PICK UP.2022</v>
      </c>
      <c r="F947" s="1" t="s">
        <v>2334</v>
      </c>
      <c r="G947" s="1">
        <v>14490000</v>
      </c>
      <c r="H947" s="1">
        <v>14800000</v>
      </c>
    </row>
    <row r="948" spans="1:8" ht="13.5" customHeight="1" x14ac:dyDescent="0.3">
      <c r="A948" s="1" t="s">
        <v>2521</v>
      </c>
      <c r="B948" s="1" t="s">
        <v>4462</v>
      </c>
      <c r="C948" s="1" t="s">
        <v>4464</v>
      </c>
      <c r="D948" s="1">
        <v>2022</v>
      </c>
      <c r="E948" s="1" t="str">
        <f t="shared" si="3"/>
        <v>VIGUS PICK UPVIGUS PLUS 2.42022</v>
      </c>
      <c r="F948" s="1" t="s">
        <v>2133</v>
      </c>
      <c r="G948" s="1">
        <v>13990000</v>
      </c>
      <c r="H948" s="1">
        <v>11000000</v>
      </c>
    </row>
    <row r="949" spans="1:8" ht="13.5" customHeight="1" x14ac:dyDescent="0.3">
      <c r="A949" s="1" t="s">
        <v>2521</v>
      </c>
      <c r="B949" s="1" t="s">
        <v>4462</v>
      </c>
      <c r="C949" s="1" t="s">
        <v>4464</v>
      </c>
      <c r="D949" s="1">
        <v>2023</v>
      </c>
      <c r="E949" s="1" t="str">
        <f t="shared" si="3"/>
        <v>VIGUS PICK UPVIGUS PLUS 2.42023</v>
      </c>
      <c r="F949" s="1" t="s">
        <v>508</v>
      </c>
      <c r="G949" s="1">
        <v>10990000</v>
      </c>
      <c r="H949" s="1">
        <v>10000000</v>
      </c>
    </row>
    <row r="950" spans="1:8" ht="13.5" customHeight="1" x14ac:dyDescent="0.3">
      <c r="A950" s="1" t="s">
        <v>2521</v>
      </c>
      <c r="B950" s="1" t="s">
        <v>4462</v>
      </c>
      <c r="C950" s="1" t="s">
        <v>4465</v>
      </c>
      <c r="D950" s="1">
        <v>2023</v>
      </c>
      <c r="E950" s="1" t="str">
        <f t="shared" si="3"/>
        <v>VIGUS PICK UPVIGUS WORK 2.52023</v>
      </c>
      <c r="F950" s="1" t="s">
        <v>1714</v>
      </c>
      <c r="G950" s="1">
        <v>13590000</v>
      </c>
      <c r="H950" s="1">
        <v>11500000</v>
      </c>
    </row>
    <row r="951" spans="1:8" ht="13.5" customHeight="1" x14ac:dyDescent="0.3">
      <c r="A951" s="1" t="s">
        <v>2521</v>
      </c>
      <c r="B951" s="1" t="s">
        <v>4462</v>
      </c>
      <c r="C951" s="1" t="s">
        <v>4466</v>
      </c>
      <c r="D951" s="1">
        <v>2022</v>
      </c>
      <c r="E951" s="1" t="str">
        <f t="shared" si="3"/>
        <v>VIGUS PICK UPVIGUS WORK LX 4X42022</v>
      </c>
      <c r="F951" s="1" t="s">
        <v>1959</v>
      </c>
      <c r="G951" s="1">
        <v>11990000</v>
      </c>
      <c r="H951" s="1">
        <v>9840000</v>
      </c>
    </row>
    <row r="952" spans="1:8" ht="13.5" customHeight="1" x14ac:dyDescent="0.3">
      <c r="A952" s="1" t="s">
        <v>2521</v>
      </c>
      <c r="B952" s="1" t="s">
        <v>4462</v>
      </c>
      <c r="C952" s="1" t="s">
        <v>4467</v>
      </c>
      <c r="D952" s="1">
        <v>2024</v>
      </c>
      <c r="E952" s="1" t="str">
        <f t="shared" si="3"/>
        <v>VIGUS PICK UPVIGUS WORK TM 4X4 2.52024</v>
      </c>
      <c r="F952" s="1" t="s">
        <v>1044</v>
      </c>
      <c r="G952" s="1">
        <v>15590000</v>
      </c>
      <c r="H952" s="1">
        <v>13700000</v>
      </c>
    </row>
    <row r="953" spans="1:8" ht="13.5" customHeight="1" x14ac:dyDescent="0.3">
      <c r="A953" s="1" t="s">
        <v>3369</v>
      </c>
      <c r="B953" s="1" t="s">
        <v>3369</v>
      </c>
      <c r="C953" s="1" t="s">
        <v>4468</v>
      </c>
      <c r="D953" s="1">
        <v>2023</v>
      </c>
      <c r="E953" s="1" t="str">
        <f t="shared" si="3"/>
        <v>KARRYQ22 4X2 1.32023</v>
      </c>
      <c r="F953" s="1" t="s">
        <v>1720</v>
      </c>
      <c r="G953" s="1">
        <v>6490000</v>
      </c>
      <c r="H953" s="1">
        <v>5500000</v>
      </c>
    </row>
    <row r="954" spans="1:8" ht="13.5" customHeight="1" x14ac:dyDescent="0.3">
      <c r="A954" s="1" t="s">
        <v>186</v>
      </c>
      <c r="B954" s="1" t="s">
        <v>4469</v>
      </c>
      <c r="C954" s="1" t="s">
        <v>4470</v>
      </c>
      <c r="D954" s="1">
        <v>2023</v>
      </c>
      <c r="E954" s="1" t="str">
        <f t="shared" si="3"/>
        <v>CARENSCARENS EX 1.4 AUT2023</v>
      </c>
      <c r="F954" s="1" t="s">
        <v>1465</v>
      </c>
      <c r="G954" s="1">
        <v>17090000</v>
      </c>
      <c r="H954" s="1">
        <v>14500000</v>
      </c>
    </row>
    <row r="955" spans="1:8" ht="13.5" customHeight="1" x14ac:dyDescent="0.3">
      <c r="A955" s="1" t="s">
        <v>186</v>
      </c>
      <c r="B955" s="1" t="s">
        <v>4469</v>
      </c>
      <c r="C955" s="1" t="s">
        <v>4471</v>
      </c>
      <c r="D955" s="1">
        <v>2023</v>
      </c>
      <c r="E955" s="1" t="str">
        <f t="shared" si="3"/>
        <v>CARENSCARENS LX 1.52023</v>
      </c>
      <c r="F955" s="1" t="s">
        <v>962</v>
      </c>
      <c r="G955" s="1">
        <v>14990000</v>
      </c>
      <c r="H955" s="1">
        <v>12500000</v>
      </c>
    </row>
    <row r="956" spans="1:8" ht="13.5" customHeight="1" x14ac:dyDescent="0.3">
      <c r="A956" s="1" t="s">
        <v>186</v>
      </c>
      <c r="B956" s="1" t="s">
        <v>4469</v>
      </c>
      <c r="C956" s="1" t="s">
        <v>4471</v>
      </c>
      <c r="D956" s="1">
        <v>2023</v>
      </c>
      <c r="E956" s="1" t="str">
        <f t="shared" si="3"/>
        <v>CARENSCARENS LX 1.52023</v>
      </c>
      <c r="F956" s="1" t="s">
        <v>1750</v>
      </c>
      <c r="G956" s="1">
        <v>15990000</v>
      </c>
      <c r="H956" s="1">
        <v>13500000</v>
      </c>
    </row>
    <row r="957" spans="1:8" ht="13.5" customHeight="1" x14ac:dyDescent="0.3">
      <c r="A957" s="1" t="s">
        <v>186</v>
      </c>
      <c r="B957" s="1" t="s">
        <v>4472</v>
      </c>
      <c r="C957" s="1" t="s">
        <v>4473</v>
      </c>
      <c r="D957" s="1">
        <v>2019</v>
      </c>
      <c r="E957" s="1" t="str">
        <f t="shared" si="3"/>
        <v>CARNIVALGRAND CARNIVAL EX 2.2 AUT2019</v>
      </c>
      <c r="F957" s="1" t="s">
        <v>1732</v>
      </c>
      <c r="G957" s="1">
        <v>18630000</v>
      </c>
      <c r="H957" s="1">
        <v>15000000</v>
      </c>
    </row>
    <row r="958" spans="1:8" ht="13.5" customHeight="1" x14ac:dyDescent="0.3">
      <c r="A958" s="1" t="s">
        <v>186</v>
      </c>
      <c r="B958" s="1" t="s">
        <v>4472</v>
      </c>
      <c r="C958" s="1" t="s">
        <v>4474</v>
      </c>
      <c r="D958" s="1">
        <v>2016</v>
      </c>
      <c r="E958" s="1" t="str">
        <f t="shared" si="3"/>
        <v>CARNIVALGRAND CARNIVAL LX 3.3 AT2016</v>
      </c>
      <c r="F958" s="1" t="s">
        <v>1183</v>
      </c>
      <c r="G958" s="1">
        <v>11990000</v>
      </c>
      <c r="H958" s="1">
        <v>10500000</v>
      </c>
    </row>
    <row r="959" spans="1:8" ht="13.5" customHeight="1" x14ac:dyDescent="0.3">
      <c r="A959" s="1" t="s">
        <v>186</v>
      </c>
      <c r="B959" s="1" t="s">
        <v>2749</v>
      </c>
      <c r="C959" s="1" t="s">
        <v>4475</v>
      </c>
      <c r="D959" s="1">
        <v>2019</v>
      </c>
      <c r="E959" s="1" t="str">
        <f t="shared" si="3"/>
        <v>CERATOCERATO EX 1.62019</v>
      </c>
      <c r="F959" s="1" t="s">
        <v>2095</v>
      </c>
      <c r="G959" s="1">
        <v>11190000</v>
      </c>
      <c r="H959" s="1">
        <v>9000000</v>
      </c>
    </row>
    <row r="960" spans="1:8" ht="13.5" customHeight="1" x14ac:dyDescent="0.3">
      <c r="A960" s="1" t="s">
        <v>186</v>
      </c>
      <c r="B960" s="1" t="s">
        <v>2749</v>
      </c>
      <c r="C960" s="1" t="s">
        <v>4475</v>
      </c>
      <c r="D960" s="1">
        <v>2019</v>
      </c>
      <c r="E960" s="1" t="str">
        <f t="shared" si="3"/>
        <v>CERATOCERATO EX 1.62019</v>
      </c>
      <c r="F960" s="1" t="s">
        <v>2105</v>
      </c>
      <c r="G960" s="1">
        <v>9490000</v>
      </c>
      <c r="H960" s="1">
        <v>8000000</v>
      </c>
    </row>
    <row r="961" spans="1:8" ht="13.5" customHeight="1" x14ac:dyDescent="0.3">
      <c r="A961" s="1" t="s">
        <v>186</v>
      </c>
      <c r="B961" s="1" t="s">
        <v>2749</v>
      </c>
      <c r="C961" s="1" t="s">
        <v>4475</v>
      </c>
      <c r="D961" s="1">
        <v>2020</v>
      </c>
      <c r="E961" s="1" t="str">
        <f t="shared" si="3"/>
        <v>CERATOCERATO EX 1.62020</v>
      </c>
      <c r="F961" s="1" t="s">
        <v>1933</v>
      </c>
      <c r="G961" s="1">
        <v>11490000</v>
      </c>
      <c r="H961" s="1">
        <v>9000000</v>
      </c>
    </row>
    <row r="962" spans="1:8" ht="13.5" customHeight="1" x14ac:dyDescent="0.3">
      <c r="A962" s="1" t="s">
        <v>186</v>
      </c>
      <c r="B962" s="1" t="s">
        <v>2749</v>
      </c>
      <c r="C962" s="1" t="s">
        <v>4475</v>
      </c>
      <c r="D962" s="1">
        <v>2020</v>
      </c>
      <c r="E962" s="1" t="str">
        <f t="shared" si="3"/>
        <v>CERATOCERATO EX 1.62020</v>
      </c>
      <c r="F962" s="1" t="s">
        <v>2359</v>
      </c>
      <c r="G962" s="1">
        <v>13490000</v>
      </c>
      <c r="H962" s="1">
        <v>11200000</v>
      </c>
    </row>
    <row r="963" spans="1:8" ht="13.5" customHeight="1" x14ac:dyDescent="0.3">
      <c r="A963" s="1" t="s">
        <v>186</v>
      </c>
      <c r="B963" s="1" t="s">
        <v>2749</v>
      </c>
      <c r="C963" s="1" t="s">
        <v>4475</v>
      </c>
      <c r="D963" s="1">
        <v>2020</v>
      </c>
      <c r="E963" s="1" t="str">
        <f t="shared" si="3"/>
        <v>CERATOCERATO EX 1.62020</v>
      </c>
      <c r="F963" s="1" t="s">
        <v>1135</v>
      </c>
      <c r="G963" s="1">
        <v>10990000</v>
      </c>
      <c r="H963" s="1">
        <v>9000000</v>
      </c>
    </row>
    <row r="964" spans="1:8" ht="13.5" customHeight="1" x14ac:dyDescent="0.3">
      <c r="A964" s="1" t="s">
        <v>186</v>
      </c>
      <c r="B964" s="1" t="s">
        <v>2749</v>
      </c>
      <c r="C964" s="1" t="s">
        <v>4476</v>
      </c>
      <c r="D964" s="1">
        <v>2017</v>
      </c>
      <c r="E964" s="1" t="str">
        <f t="shared" si="3"/>
        <v>CERATOCERATO EX 1.6 AUT2017</v>
      </c>
      <c r="F964" s="1" t="s">
        <v>942</v>
      </c>
      <c r="G964" s="1">
        <v>8990000</v>
      </c>
      <c r="H964" s="1">
        <v>6800000</v>
      </c>
    </row>
    <row r="965" spans="1:8" ht="13.5" customHeight="1" x14ac:dyDescent="0.3">
      <c r="A965" s="1" t="s">
        <v>186</v>
      </c>
      <c r="B965" s="1" t="s">
        <v>2749</v>
      </c>
      <c r="C965" s="1" t="s">
        <v>4477</v>
      </c>
      <c r="D965" s="1">
        <v>2022</v>
      </c>
      <c r="E965" s="1" t="str">
        <f t="shared" si="3"/>
        <v>CERATOCERATO EX 4X2 1.6 AUT2022</v>
      </c>
      <c r="F965" s="1" t="s">
        <v>1642</v>
      </c>
      <c r="G965" s="1">
        <v>14511321</v>
      </c>
      <c r="H965" s="1">
        <v>12800000</v>
      </c>
    </row>
    <row r="966" spans="1:8" ht="13.5" customHeight="1" x14ac:dyDescent="0.3">
      <c r="A966" s="1" t="s">
        <v>186</v>
      </c>
      <c r="B966" s="1" t="s">
        <v>2749</v>
      </c>
      <c r="C966" s="1" t="s">
        <v>4478</v>
      </c>
      <c r="D966" s="1">
        <v>2018</v>
      </c>
      <c r="E966" s="1" t="str">
        <f t="shared" si="3"/>
        <v>CERATOCERATO SX 1.62018</v>
      </c>
      <c r="F966" s="1" t="s">
        <v>1983</v>
      </c>
      <c r="G966" s="1">
        <v>9590000</v>
      </c>
      <c r="H966" s="1">
        <v>7000000</v>
      </c>
    </row>
    <row r="967" spans="1:8" ht="13.5" customHeight="1" x14ac:dyDescent="0.3">
      <c r="A967" s="1" t="s">
        <v>186</v>
      </c>
      <c r="B967" s="1" t="s">
        <v>187</v>
      </c>
      <c r="C967" s="1" t="s">
        <v>4479</v>
      </c>
      <c r="D967" s="1">
        <v>2016</v>
      </c>
      <c r="E967" s="1" t="str">
        <f t="shared" si="3"/>
        <v>FRONTIERFRONTIER D CAB 2.52016</v>
      </c>
      <c r="F967" s="1" t="s">
        <v>1971</v>
      </c>
      <c r="G967" s="1">
        <v>13100000</v>
      </c>
      <c r="H967" s="1">
        <v>10500000</v>
      </c>
    </row>
    <row r="968" spans="1:8" ht="13.5" customHeight="1" x14ac:dyDescent="0.3">
      <c r="A968" s="1" t="s">
        <v>186</v>
      </c>
      <c r="B968" s="1" t="s">
        <v>2830</v>
      </c>
      <c r="C968" s="1" t="s">
        <v>4480</v>
      </c>
      <c r="D968" s="1">
        <v>2025</v>
      </c>
      <c r="E968" s="1" t="str">
        <f t="shared" si="3"/>
        <v>K3 CROSSK3 CROSS EX 1.42025</v>
      </c>
      <c r="F968" s="1" t="s">
        <v>427</v>
      </c>
      <c r="G968" s="1">
        <v>13704120</v>
      </c>
      <c r="H968" s="1">
        <v>12000000</v>
      </c>
    </row>
    <row r="969" spans="1:8" ht="13.5" customHeight="1" x14ac:dyDescent="0.3">
      <c r="A969" s="1" t="s">
        <v>186</v>
      </c>
      <c r="B969" s="1" t="s">
        <v>4481</v>
      </c>
      <c r="C969" s="1" t="s">
        <v>4482</v>
      </c>
      <c r="D969" s="1">
        <v>2024</v>
      </c>
      <c r="E969" s="1" t="str">
        <f t="shared" si="3"/>
        <v>K3 SEDANK3 EX MPI 1.62024</v>
      </c>
      <c r="F969" s="1" t="s">
        <v>1547</v>
      </c>
      <c r="G969" s="1">
        <v>14990000</v>
      </c>
      <c r="H969" s="1">
        <v>13000000</v>
      </c>
    </row>
    <row r="970" spans="1:8" ht="13.5" customHeight="1" x14ac:dyDescent="0.3">
      <c r="A970" s="1" t="s">
        <v>186</v>
      </c>
      <c r="B970" s="1" t="s">
        <v>4481</v>
      </c>
      <c r="C970" s="1" t="s">
        <v>4482</v>
      </c>
      <c r="D970" s="1">
        <v>2024</v>
      </c>
      <c r="E970" s="1" t="str">
        <f t="shared" si="3"/>
        <v>K3 SEDANK3 EX MPI 1.62024</v>
      </c>
      <c r="F970" s="1" t="s">
        <v>371</v>
      </c>
      <c r="G970" s="1">
        <v>14790000</v>
      </c>
      <c r="H970" s="1">
        <v>11800000</v>
      </c>
    </row>
    <row r="971" spans="1:8" ht="13.5" customHeight="1" x14ac:dyDescent="0.3">
      <c r="A971" s="1" t="s">
        <v>186</v>
      </c>
      <c r="B971" s="1" t="s">
        <v>188</v>
      </c>
      <c r="C971" s="1" t="s">
        <v>4483</v>
      </c>
      <c r="D971" s="1">
        <v>2018</v>
      </c>
      <c r="E971" s="1" t="str">
        <f t="shared" si="3"/>
        <v>MORNINGMORNING 1.22018</v>
      </c>
      <c r="F971" s="1" t="s">
        <v>2073</v>
      </c>
      <c r="G971" s="1">
        <v>7290000</v>
      </c>
      <c r="H971" s="1">
        <v>5800000</v>
      </c>
    </row>
    <row r="972" spans="1:8" ht="13.5" customHeight="1" x14ac:dyDescent="0.3">
      <c r="A972" s="1" t="s">
        <v>186</v>
      </c>
      <c r="B972" s="1" t="s">
        <v>188</v>
      </c>
      <c r="C972" s="1" t="s">
        <v>4483</v>
      </c>
      <c r="D972" s="1">
        <v>2019</v>
      </c>
      <c r="E972" s="1" t="str">
        <f t="shared" si="3"/>
        <v>MORNINGMORNING 1.22019</v>
      </c>
      <c r="F972" s="1" t="s">
        <v>1780</v>
      </c>
      <c r="G972" s="1">
        <v>6990000</v>
      </c>
      <c r="H972" s="1">
        <v>5350000</v>
      </c>
    </row>
    <row r="973" spans="1:8" ht="13.5" customHeight="1" x14ac:dyDescent="0.3">
      <c r="A973" s="1" t="s">
        <v>186</v>
      </c>
      <c r="B973" s="1" t="s">
        <v>188</v>
      </c>
      <c r="C973" s="1" t="s">
        <v>4484</v>
      </c>
      <c r="D973" s="1">
        <v>2014</v>
      </c>
      <c r="E973" s="1" t="str">
        <f t="shared" si="3"/>
        <v>MORNINGMORNING EX 1.22014</v>
      </c>
      <c r="F973" s="1" t="s">
        <v>2246</v>
      </c>
      <c r="G973" s="1">
        <v>5290000</v>
      </c>
      <c r="H973" s="1">
        <v>4200000</v>
      </c>
    </row>
    <row r="974" spans="1:8" ht="13.5" customHeight="1" x14ac:dyDescent="0.3">
      <c r="A974" s="1" t="s">
        <v>186</v>
      </c>
      <c r="B974" s="1" t="s">
        <v>188</v>
      </c>
      <c r="C974" s="1" t="s">
        <v>4484</v>
      </c>
      <c r="D974" s="1">
        <v>2016</v>
      </c>
      <c r="E974" s="1" t="str">
        <f t="shared" si="3"/>
        <v>MORNINGMORNING EX 1.22016</v>
      </c>
      <c r="F974" s="1" t="s">
        <v>1529</v>
      </c>
      <c r="G974" s="1">
        <v>6100000</v>
      </c>
      <c r="H974" s="1">
        <v>4800000</v>
      </c>
    </row>
    <row r="975" spans="1:8" ht="13.5" customHeight="1" x14ac:dyDescent="0.3">
      <c r="A975" s="1" t="s">
        <v>186</v>
      </c>
      <c r="B975" s="1" t="s">
        <v>188</v>
      </c>
      <c r="C975" s="1" t="s">
        <v>4484</v>
      </c>
      <c r="D975" s="1">
        <v>2017</v>
      </c>
      <c r="E975" s="1" t="str">
        <f t="shared" si="3"/>
        <v>MORNINGMORNING EX 1.22017</v>
      </c>
      <c r="F975" s="1" t="s">
        <v>2307</v>
      </c>
      <c r="G975" s="1">
        <v>6990000</v>
      </c>
      <c r="H975" s="1">
        <v>5000000</v>
      </c>
    </row>
    <row r="976" spans="1:8" ht="13.5" customHeight="1" x14ac:dyDescent="0.3">
      <c r="A976" s="1" t="s">
        <v>186</v>
      </c>
      <c r="B976" s="1" t="s">
        <v>188</v>
      </c>
      <c r="C976" s="1" t="s">
        <v>4484</v>
      </c>
      <c r="D976" s="1">
        <v>2017</v>
      </c>
      <c r="E976" s="1" t="str">
        <f t="shared" si="3"/>
        <v>MORNINGMORNING EX 1.22017</v>
      </c>
      <c r="F976" s="1" t="s">
        <v>1784</v>
      </c>
      <c r="G976" s="1">
        <v>6090000</v>
      </c>
      <c r="H976" s="1">
        <v>4500000</v>
      </c>
    </row>
    <row r="977" spans="1:8" ht="13.5" customHeight="1" x14ac:dyDescent="0.3">
      <c r="A977" s="1" t="s">
        <v>186</v>
      </c>
      <c r="B977" s="1" t="s">
        <v>188</v>
      </c>
      <c r="C977" s="1" t="s">
        <v>4484</v>
      </c>
      <c r="D977" s="1">
        <v>2017</v>
      </c>
      <c r="E977" s="1" t="str">
        <f t="shared" si="3"/>
        <v>MORNINGMORNING EX 1.22017</v>
      </c>
      <c r="F977" s="1" t="s">
        <v>1303</v>
      </c>
      <c r="G977" s="1">
        <v>5890000</v>
      </c>
      <c r="H977" s="1">
        <v>4300000</v>
      </c>
    </row>
    <row r="978" spans="1:8" ht="13.5" customHeight="1" x14ac:dyDescent="0.3">
      <c r="A978" s="1" t="s">
        <v>186</v>
      </c>
      <c r="B978" s="1" t="s">
        <v>188</v>
      </c>
      <c r="C978" s="1" t="s">
        <v>4484</v>
      </c>
      <c r="D978" s="1">
        <v>2018</v>
      </c>
      <c r="E978" s="1" t="str">
        <f t="shared" si="3"/>
        <v>MORNINGMORNING EX 1.22018</v>
      </c>
      <c r="F978" s="1" t="s">
        <v>1704</v>
      </c>
      <c r="G978" s="1">
        <v>5990000</v>
      </c>
      <c r="H978" s="1">
        <v>4600000</v>
      </c>
    </row>
    <row r="979" spans="1:8" ht="13.5" customHeight="1" x14ac:dyDescent="0.3">
      <c r="A979" s="1" t="s">
        <v>186</v>
      </c>
      <c r="B979" s="1" t="s">
        <v>188</v>
      </c>
      <c r="C979" s="1" t="s">
        <v>4484</v>
      </c>
      <c r="D979" s="1">
        <v>2019</v>
      </c>
      <c r="E979" s="1" t="str">
        <f t="shared" si="3"/>
        <v>MORNINGMORNING EX 1.22019</v>
      </c>
      <c r="F979" s="1" t="s">
        <v>2198</v>
      </c>
      <c r="G979" s="1">
        <v>7590000</v>
      </c>
      <c r="H979" s="1">
        <v>6200000</v>
      </c>
    </row>
    <row r="980" spans="1:8" ht="13.5" customHeight="1" x14ac:dyDescent="0.3">
      <c r="A980" s="1" t="s">
        <v>186</v>
      </c>
      <c r="B980" s="1" t="s">
        <v>188</v>
      </c>
      <c r="C980" s="1" t="s">
        <v>4484</v>
      </c>
      <c r="D980" s="1">
        <v>2019</v>
      </c>
      <c r="E980" s="1" t="str">
        <f t="shared" si="3"/>
        <v>MORNINGMORNING EX 1.22019</v>
      </c>
      <c r="F980" s="1" t="s">
        <v>1426</v>
      </c>
      <c r="G980" s="1">
        <v>6190000</v>
      </c>
      <c r="H980" s="1">
        <v>5100000</v>
      </c>
    </row>
    <row r="981" spans="1:8" ht="13.5" customHeight="1" x14ac:dyDescent="0.3">
      <c r="A981" s="1" t="s">
        <v>186</v>
      </c>
      <c r="B981" s="1" t="s">
        <v>188</v>
      </c>
      <c r="C981" s="1" t="s">
        <v>4484</v>
      </c>
      <c r="D981" s="1">
        <v>2019</v>
      </c>
      <c r="E981" s="1" t="str">
        <f t="shared" si="3"/>
        <v>MORNINGMORNING EX 1.22019</v>
      </c>
      <c r="F981" s="1" t="s">
        <v>1461</v>
      </c>
      <c r="G981" s="1">
        <v>7104620</v>
      </c>
      <c r="H981" s="1">
        <v>5000000</v>
      </c>
    </row>
    <row r="982" spans="1:8" ht="13.5" customHeight="1" x14ac:dyDescent="0.3">
      <c r="A982" s="1" t="s">
        <v>186</v>
      </c>
      <c r="B982" s="1" t="s">
        <v>188</v>
      </c>
      <c r="C982" s="1" t="s">
        <v>4484</v>
      </c>
      <c r="D982" s="1">
        <v>2019</v>
      </c>
      <c r="E982" s="1" t="str">
        <f t="shared" si="3"/>
        <v>MORNINGMORNING EX 1.22019</v>
      </c>
      <c r="F982" s="1" t="s">
        <v>1249</v>
      </c>
      <c r="G982" s="1">
        <v>6366000</v>
      </c>
      <c r="H982" s="1">
        <v>5500000</v>
      </c>
    </row>
    <row r="983" spans="1:8" ht="13.5" customHeight="1" x14ac:dyDescent="0.3">
      <c r="A983" s="1" t="s">
        <v>186</v>
      </c>
      <c r="B983" s="1" t="s">
        <v>188</v>
      </c>
      <c r="C983" s="1" t="s">
        <v>4484</v>
      </c>
      <c r="D983" s="1">
        <v>2020</v>
      </c>
      <c r="E983" s="1" t="str">
        <f t="shared" si="3"/>
        <v>MORNINGMORNING EX 1.22020</v>
      </c>
      <c r="F983" s="1" t="s">
        <v>1285</v>
      </c>
      <c r="G983" s="1">
        <v>12863950</v>
      </c>
      <c r="H983" s="1">
        <v>5800000</v>
      </c>
    </row>
    <row r="984" spans="1:8" ht="13.5" customHeight="1" x14ac:dyDescent="0.3">
      <c r="A984" s="1" t="s">
        <v>186</v>
      </c>
      <c r="B984" s="1" t="s">
        <v>188</v>
      </c>
      <c r="C984" s="1" t="s">
        <v>4484</v>
      </c>
      <c r="D984" s="1">
        <v>2020</v>
      </c>
      <c r="E984" s="1" t="str">
        <f t="shared" si="3"/>
        <v>MORNINGMORNING EX 1.22020</v>
      </c>
      <c r="F984" s="1" t="s">
        <v>2098</v>
      </c>
      <c r="G984" s="1">
        <v>7443170</v>
      </c>
      <c r="H984" s="1">
        <v>6300000</v>
      </c>
    </row>
    <row r="985" spans="1:8" ht="13.5" customHeight="1" x14ac:dyDescent="0.3">
      <c r="A985" s="1" t="s">
        <v>186</v>
      </c>
      <c r="B985" s="1" t="s">
        <v>188</v>
      </c>
      <c r="C985" s="1" t="s">
        <v>4484</v>
      </c>
      <c r="D985" s="1">
        <v>2021</v>
      </c>
      <c r="E985" s="1" t="str">
        <f t="shared" si="3"/>
        <v>MORNINGMORNING EX 1.22021</v>
      </c>
      <c r="F985" s="1" t="s">
        <v>1006</v>
      </c>
      <c r="G985" s="1">
        <v>7990000</v>
      </c>
      <c r="H985" s="1">
        <v>6160000</v>
      </c>
    </row>
    <row r="986" spans="1:8" ht="13.5" customHeight="1" x14ac:dyDescent="0.3">
      <c r="A986" s="1" t="s">
        <v>186</v>
      </c>
      <c r="B986" s="1" t="s">
        <v>188</v>
      </c>
      <c r="C986" s="1" t="s">
        <v>4484</v>
      </c>
      <c r="D986" s="1">
        <v>2022</v>
      </c>
      <c r="E986" s="1" t="str">
        <f t="shared" si="3"/>
        <v>MORNINGMORNING EX 1.22022</v>
      </c>
      <c r="F986" s="1" t="s">
        <v>1608</v>
      </c>
      <c r="G986" s="1">
        <v>8390000</v>
      </c>
      <c r="H986" s="1">
        <v>7000000</v>
      </c>
    </row>
    <row r="987" spans="1:8" ht="13.5" customHeight="1" x14ac:dyDescent="0.3">
      <c r="A987" s="1" t="s">
        <v>186</v>
      </c>
      <c r="B987" s="1" t="s">
        <v>188</v>
      </c>
      <c r="C987" s="1" t="s">
        <v>4484</v>
      </c>
      <c r="D987" s="1">
        <v>2023</v>
      </c>
      <c r="E987" s="1" t="str">
        <f t="shared" si="3"/>
        <v>MORNINGMORNING EX 1.22023</v>
      </c>
      <c r="F987" s="1" t="s">
        <v>752</v>
      </c>
      <c r="G987" s="1">
        <v>8832060</v>
      </c>
      <c r="H987" s="1">
        <v>7600000</v>
      </c>
    </row>
    <row r="988" spans="1:8" ht="13.5" customHeight="1" x14ac:dyDescent="0.3">
      <c r="A988" s="1" t="s">
        <v>186</v>
      </c>
      <c r="B988" s="1" t="s">
        <v>188</v>
      </c>
      <c r="C988" s="1" t="s">
        <v>4485</v>
      </c>
      <c r="D988" s="1">
        <v>2014</v>
      </c>
      <c r="E988" s="1" t="str">
        <f t="shared" si="3"/>
        <v>MORNINGMORNING EX 1.2 MEC A/C DAB2014</v>
      </c>
      <c r="F988" s="1" t="s">
        <v>4486</v>
      </c>
      <c r="G988" s="1">
        <v>4790000</v>
      </c>
      <c r="H988" s="1">
        <v>5402800</v>
      </c>
    </row>
    <row r="989" spans="1:8" ht="13.5" customHeight="1" x14ac:dyDescent="0.3">
      <c r="A989" s="1" t="s">
        <v>186</v>
      </c>
      <c r="B989" s="1" t="s">
        <v>188</v>
      </c>
      <c r="C989" s="1" t="s">
        <v>189</v>
      </c>
      <c r="D989" s="1">
        <v>2017</v>
      </c>
      <c r="E989" s="1" t="str">
        <f t="shared" si="3"/>
        <v>MORNINGMORNING LX 1.02017</v>
      </c>
      <c r="F989" s="1" t="s">
        <v>2083</v>
      </c>
      <c r="G989" s="1">
        <v>5990000</v>
      </c>
      <c r="H989" s="1">
        <v>4500000</v>
      </c>
    </row>
    <row r="990" spans="1:8" ht="13.5" customHeight="1" x14ac:dyDescent="0.3">
      <c r="A990" s="1" t="s">
        <v>186</v>
      </c>
      <c r="B990" s="1" t="s">
        <v>188</v>
      </c>
      <c r="C990" s="1" t="s">
        <v>189</v>
      </c>
      <c r="D990" s="1">
        <v>2018</v>
      </c>
      <c r="E990" s="1" t="str">
        <f t="shared" si="3"/>
        <v>MORNINGMORNING LX 1.02018</v>
      </c>
      <c r="F990" s="1" t="s">
        <v>1916</v>
      </c>
      <c r="G990" s="1">
        <v>5000000</v>
      </c>
      <c r="H990" s="1">
        <v>4300000</v>
      </c>
    </row>
    <row r="991" spans="1:8" ht="13.5" customHeight="1" x14ac:dyDescent="0.3">
      <c r="A991" s="1" t="s">
        <v>186</v>
      </c>
      <c r="B991" s="1" t="s">
        <v>188</v>
      </c>
      <c r="C991" s="1" t="s">
        <v>189</v>
      </c>
      <c r="D991" s="1">
        <v>2019</v>
      </c>
      <c r="E991" s="1" t="str">
        <f t="shared" si="3"/>
        <v>MORNINGMORNING LX 1.02019</v>
      </c>
      <c r="F991" s="1" t="s">
        <v>1139</v>
      </c>
      <c r="G991" s="1">
        <v>6790000</v>
      </c>
      <c r="H991" s="1">
        <v>5000000</v>
      </c>
    </row>
    <row r="992" spans="1:8" ht="13.5" customHeight="1" x14ac:dyDescent="0.3">
      <c r="A992" s="1" t="s">
        <v>186</v>
      </c>
      <c r="B992" s="1" t="s">
        <v>188</v>
      </c>
      <c r="C992" s="1" t="s">
        <v>189</v>
      </c>
      <c r="D992" s="1">
        <v>2019</v>
      </c>
      <c r="E992" s="1" t="str">
        <f t="shared" si="3"/>
        <v>MORNINGMORNING LX 1.02019</v>
      </c>
      <c r="F992" s="1" t="s">
        <v>1001</v>
      </c>
      <c r="G992" s="1">
        <v>6490000</v>
      </c>
      <c r="H992" s="1">
        <v>5000000</v>
      </c>
    </row>
    <row r="993" spans="1:8" ht="13.5" customHeight="1" x14ac:dyDescent="0.3">
      <c r="A993" s="1" t="s">
        <v>186</v>
      </c>
      <c r="B993" s="1" t="s">
        <v>188</v>
      </c>
      <c r="C993" s="1" t="s">
        <v>189</v>
      </c>
      <c r="D993" s="1">
        <v>2020</v>
      </c>
      <c r="E993" s="1" t="str">
        <f t="shared" si="3"/>
        <v>MORNINGMORNING LX 1.02020</v>
      </c>
      <c r="F993" s="1" t="s">
        <v>2253</v>
      </c>
      <c r="G993" s="1">
        <v>6290000</v>
      </c>
      <c r="H993" s="1">
        <v>5200000</v>
      </c>
    </row>
    <row r="994" spans="1:8" ht="13.5" customHeight="1" x14ac:dyDescent="0.3">
      <c r="A994" s="1" t="s">
        <v>186</v>
      </c>
      <c r="B994" s="1" t="s">
        <v>188</v>
      </c>
      <c r="C994" s="1" t="s">
        <v>4487</v>
      </c>
      <c r="D994" s="1">
        <v>2022</v>
      </c>
      <c r="E994" s="1" t="str">
        <f t="shared" si="3"/>
        <v>MORNINGMORNING MPI 1.02022</v>
      </c>
      <c r="F994" s="1" t="s">
        <v>1136</v>
      </c>
      <c r="G994" s="1">
        <v>7490000</v>
      </c>
      <c r="H994" s="1">
        <v>5850000</v>
      </c>
    </row>
    <row r="995" spans="1:8" ht="13.5" customHeight="1" x14ac:dyDescent="0.3">
      <c r="A995" s="1" t="s">
        <v>186</v>
      </c>
      <c r="B995" s="1" t="s">
        <v>188</v>
      </c>
      <c r="C995" s="1" t="s">
        <v>4487</v>
      </c>
      <c r="D995" s="1">
        <v>2022</v>
      </c>
      <c r="E995" s="1" t="str">
        <f t="shared" si="3"/>
        <v>MORNINGMORNING MPI 1.02022</v>
      </c>
      <c r="F995" s="1" t="s">
        <v>2339</v>
      </c>
      <c r="G995" s="1">
        <v>7990000</v>
      </c>
      <c r="H995" s="1">
        <v>6500000</v>
      </c>
    </row>
    <row r="996" spans="1:8" ht="13.5" customHeight="1" x14ac:dyDescent="0.3">
      <c r="A996" s="1" t="s">
        <v>186</v>
      </c>
      <c r="B996" s="1" t="s">
        <v>188</v>
      </c>
      <c r="C996" s="1" t="s">
        <v>4487</v>
      </c>
      <c r="D996" s="1">
        <v>2022</v>
      </c>
      <c r="E996" s="1" t="str">
        <f t="shared" si="3"/>
        <v>MORNINGMORNING MPI 1.02022</v>
      </c>
      <c r="F996" s="1" t="s">
        <v>389</v>
      </c>
      <c r="G996" s="1">
        <v>6700000</v>
      </c>
      <c r="H996" s="1">
        <v>5700000</v>
      </c>
    </row>
    <row r="997" spans="1:8" ht="13.5" customHeight="1" x14ac:dyDescent="0.3">
      <c r="A997" s="1" t="s">
        <v>186</v>
      </c>
      <c r="B997" s="1" t="s">
        <v>188</v>
      </c>
      <c r="C997" s="1" t="s">
        <v>4487</v>
      </c>
      <c r="D997" s="1">
        <v>2024</v>
      </c>
      <c r="E997" s="1" t="str">
        <f t="shared" si="3"/>
        <v>MORNINGMORNING MPI 1.02024</v>
      </c>
      <c r="F997" s="1" t="s">
        <v>1127</v>
      </c>
      <c r="G997" s="1">
        <v>8890000</v>
      </c>
      <c r="H997" s="1">
        <v>7520000</v>
      </c>
    </row>
    <row r="998" spans="1:8" ht="13.5" customHeight="1" x14ac:dyDescent="0.3">
      <c r="A998" s="1" t="s">
        <v>186</v>
      </c>
      <c r="B998" s="1" t="s">
        <v>188</v>
      </c>
      <c r="C998" s="1" t="s">
        <v>4488</v>
      </c>
      <c r="D998" s="1">
        <v>2021</v>
      </c>
      <c r="E998" s="1" t="str">
        <f t="shared" si="3"/>
        <v>MORNINGMORNING MPI 1.22021</v>
      </c>
      <c r="F998" s="1" t="s">
        <v>460</v>
      </c>
      <c r="G998" s="1">
        <v>8100000</v>
      </c>
      <c r="H998" s="1">
        <v>6300000</v>
      </c>
    </row>
    <row r="999" spans="1:8" ht="13.5" customHeight="1" x14ac:dyDescent="0.3">
      <c r="A999" s="1" t="s">
        <v>186</v>
      </c>
      <c r="B999" s="1" t="s">
        <v>188</v>
      </c>
      <c r="C999" s="1" t="s">
        <v>4488</v>
      </c>
      <c r="D999" s="1">
        <v>2021</v>
      </c>
      <c r="E999" s="1" t="str">
        <f t="shared" si="3"/>
        <v>MORNINGMORNING MPI 1.22021</v>
      </c>
      <c r="F999" s="1" t="s">
        <v>1811</v>
      </c>
      <c r="G999" s="1">
        <v>8490000</v>
      </c>
      <c r="H999" s="1">
        <v>6915966</v>
      </c>
    </row>
    <row r="1000" spans="1:8" ht="13.5" customHeight="1" x14ac:dyDescent="0.3">
      <c r="A1000" s="1" t="s">
        <v>186</v>
      </c>
      <c r="B1000" s="1" t="s">
        <v>188</v>
      </c>
      <c r="C1000" s="1" t="s">
        <v>4488</v>
      </c>
      <c r="D1000" s="1">
        <v>2021</v>
      </c>
      <c r="E1000" s="1" t="str">
        <f t="shared" si="3"/>
        <v>MORNINGMORNING MPI 1.22021</v>
      </c>
      <c r="F1000" s="1" t="s">
        <v>1778</v>
      </c>
      <c r="G1000" s="1">
        <v>7790000</v>
      </c>
      <c r="H1000" s="1">
        <v>6415966</v>
      </c>
    </row>
    <row r="1001" spans="1:8" ht="13.5" customHeight="1" x14ac:dyDescent="0.3">
      <c r="A1001" s="1" t="s">
        <v>186</v>
      </c>
      <c r="B1001" s="1" t="s">
        <v>188</v>
      </c>
      <c r="C1001" s="1" t="s">
        <v>4488</v>
      </c>
      <c r="D1001" s="1">
        <v>2021</v>
      </c>
      <c r="E1001" s="1" t="str">
        <f t="shared" si="3"/>
        <v>MORNINGMORNING MPI 1.22021</v>
      </c>
      <c r="F1001" s="1" t="s">
        <v>1521</v>
      </c>
      <c r="G1001" s="1">
        <v>7740000</v>
      </c>
      <c r="H1001" s="1">
        <v>6500000</v>
      </c>
    </row>
    <row r="1002" spans="1:8" ht="13.5" customHeight="1" x14ac:dyDescent="0.3">
      <c r="A1002" s="1" t="s">
        <v>186</v>
      </c>
      <c r="B1002" s="1" t="s">
        <v>188</v>
      </c>
      <c r="C1002" s="1" t="s">
        <v>4488</v>
      </c>
      <c r="D1002" s="1">
        <v>2021</v>
      </c>
      <c r="E1002" s="1" t="str">
        <f t="shared" si="3"/>
        <v>MORNINGMORNING MPI 1.22021</v>
      </c>
      <c r="F1002" s="1" t="s">
        <v>1367</v>
      </c>
      <c r="G1002" s="1">
        <v>7990000</v>
      </c>
      <c r="H1002" s="1">
        <v>6500000</v>
      </c>
    </row>
    <row r="1003" spans="1:8" ht="13.5" customHeight="1" x14ac:dyDescent="0.3">
      <c r="A1003" s="1" t="s">
        <v>186</v>
      </c>
      <c r="B1003" s="1" t="s">
        <v>188</v>
      </c>
      <c r="C1003" s="1" t="s">
        <v>4488</v>
      </c>
      <c r="D1003" s="1">
        <v>2021</v>
      </c>
      <c r="E1003" s="1" t="str">
        <f t="shared" si="3"/>
        <v>MORNINGMORNING MPI 1.22021</v>
      </c>
      <c r="F1003" s="1" t="s">
        <v>938</v>
      </c>
      <c r="G1003" s="1">
        <v>7690000</v>
      </c>
      <c r="H1003" s="1">
        <v>6200000</v>
      </c>
    </row>
    <row r="1004" spans="1:8" ht="13.5" customHeight="1" x14ac:dyDescent="0.3">
      <c r="A1004" s="1" t="s">
        <v>186</v>
      </c>
      <c r="B1004" s="1" t="s">
        <v>188</v>
      </c>
      <c r="C1004" s="1" t="s">
        <v>4488</v>
      </c>
      <c r="D1004" s="1">
        <v>2021</v>
      </c>
      <c r="E1004" s="1" t="str">
        <f t="shared" si="3"/>
        <v>MORNINGMORNING MPI 1.22021</v>
      </c>
      <c r="F1004" s="1" t="s">
        <v>467</v>
      </c>
      <c r="G1004" s="1">
        <v>7990000</v>
      </c>
      <c r="H1004" s="1">
        <v>5900000</v>
      </c>
    </row>
    <row r="1005" spans="1:8" ht="13.5" customHeight="1" x14ac:dyDescent="0.3">
      <c r="A1005" s="1" t="s">
        <v>186</v>
      </c>
      <c r="B1005" s="1" t="s">
        <v>188</v>
      </c>
      <c r="C1005" s="1" t="s">
        <v>4488</v>
      </c>
      <c r="D1005" s="1">
        <v>2021</v>
      </c>
      <c r="E1005" s="1" t="str">
        <f t="shared" si="3"/>
        <v>MORNINGMORNING MPI 1.22021</v>
      </c>
      <c r="F1005" s="1" t="s">
        <v>1577</v>
      </c>
      <c r="G1005" s="1">
        <v>8990000</v>
      </c>
      <c r="H1005" s="1">
        <v>7700000</v>
      </c>
    </row>
    <row r="1006" spans="1:8" ht="13.5" customHeight="1" x14ac:dyDescent="0.3">
      <c r="A1006" s="1" t="s">
        <v>186</v>
      </c>
      <c r="B1006" s="1" t="s">
        <v>188</v>
      </c>
      <c r="C1006" s="1" t="s">
        <v>4488</v>
      </c>
      <c r="D1006" s="1">
        <v>2022</v>
      </c>
      <c r="E1006" s="1" t="str">
        <f t="shared" si="3"/>
        <v>MORNINGMORNING MPI 1.22022</v>
      </c>
      <c r="F1006" s="1" t="s">
        <v>2154</v>
      </c>
      <c r="G1006" s="1">
        <v>8190000</v>
      </c>
      <c r="H1006" s="1">
        <v>6500000</v>
      </c>
    </row>
    <row r="1007" spans="1:8" ht="13.5" customHeight="1" x14ac:dyDescent="0.3">
      <c r="A1007" s="1" t="s">
        <v>186</v>
      </c>
      <c r="B1007" s="1" t="s">
        <v>188</v>
      </c>
      <c r="C1007" s="1" t="s">
        <v>4488</v>
      </c>
      <c r="D1007" s="1">
        <v>2022</v>
      </c>
      <c r="E1007" s="1" t="str">
        <f t="shared" si="3"/>
        <v>MORNINGMORNING MPI 1.22022</v>
      </c>
      <c r="F1007" s="1" t="s">
        <v>1851</v>
      </c>
      <c r="G1007" s="1">
        <v>8690000</v>
      </c>
      <c r="H1007" s="1">
        <v>7000000</v>
      </c>
    </row>
    <row r="1008" spans="1:8" ht="13.5" customHeight="1" x14ac:dyDescent="0.3">
      <c r="A1008" s="1" t="s">
        <v>186</v>
      </c>
      <c r="B1008" s="1" t="s">
        <v>188</v>
      </c>
      <c r="C1008" s="1" t="s">
        <v>4488</v>
      </c>
      <c r="D1008" s="1">
        <v>2022</v>
      </c>
      <c r="E1008" s="1" t="str">
        <f t="shared" si="3"/>
        <v>MORNINGMORNING MPI 1.22022</v>
      </c>
      <c r="F1008" s="1" t="s">
        <v>2250</v>
      </c>
      <c r="G1008" s="1">
        <v>8690000</v>
      </c>
      <c r="H1008" s="1">
        <v>7350000</v>
      </c>
    </row>
    <row r="1009" spans="1:8" ht="13.5" customHeight="1" x14ac:dyDescent="0.3">
      <c r="A1009" s="1" t="s">
        <v>186</v>
      </c>
      <c r="B1009" s="1" t="s">
        <v>188</v>
      </c>
      <c r="C1009" s="1" t="s">
        <v>4488</v>
      </c>
      <c r="D1009" s="1">
        <v>2022</v>
      </c>
      <c r="E1009" s="1" t="str">
        <f t="shared" si="3"/>
        <v>MORNINGMORNING MPI 1.22022</v>
      </c>
      <c r="F1009" s="1" t="s">
        <v>1171</v>
      </c>
      <c r="G1009" s="1">
        <v>7794120</v>
      </c>
      <c r="H1009" s="1">
        <v>6700000</v>
      </c>
    </row>
    <row r="1010" spans="1:8" ht="13.5" customHeight="1" x14ac:dyDescent="0.3">
      <c r="A1010" s="1" t="s">
        <v>186</v>
      </c>
      <c r="B1010" s="1" t="s">
        <v>188</v>
      </c>
      <c r="C1010" s="1" t="s">
        <v>4488</v>
      </c>
      <c r="D1010" s="1">
        <v>2022</v>
      </c>
      <c r="E1010" s="1" t="str">
        <f t="shared" si="3"/>
        <v>MORNINGMORNING MPI 1.22022</v>
      </c>
      <c r="F1010" s="1" t="s">
        <v>475</v>
      </c>
      <c r="G1010" s="1">
        <v>8690000</v>
      </c>
      <c r="H1010" s="1">
        <v>6900000</v>
      </c>
    </row>
    <row r="1011" spans="1:8" ht="13.5" customHeight="1" x14ac:dyDescent="0.3">
      <c r="A1011" s="1" t="s">
        <v>186</v>
      </c>
      <c r="B1011" s="1" t="s">
        <v>188</v>
      </c>
      <c r="C1011" s="1" t="s">
        <v>4488</v>
      </c>
      <c r="D1011" s="1">
        <v>2022</v>
      </c>
      <c r="E1011" s="1" t="str">
        <f t="shared" si="3"/>
        <v>MORNINGMORNING MPI 1.22022</v>
      </c>
      <c r="F1011" s="1" t="s">
        <v>2206</v>
      </c>
      <c r="G1011" s="1">
        <v>7790000</v>
      </c>
      <c r="H1011" s="1">
        <v>6800000</v>
      </c>
    </row>
    <row r="1012" spans="1:8" ht="13.5" customHeight="1" x14ac:dyDescent="0.3">
      <c r="A1012" s="1" t="s">
        <v>186</v>
      </c>
      <c r="B1012" s="1" t="s">
        <v>188</v>
      </c>
      <c r="C1012" s="1" t="s">
        <v>4488</v>
      </c>
      <c r="D1012" s="1">
        <v>2022</v>
      </c>
      <c r="E1012" s="1" t="str">
        <f t="shared" si="3"/>
        <v>MORNINGMORNING MPI 1.22022</v>
      </c>
      <c r="F1012" s="1" t="s">
        <v>766</v>
      </c>
      <c r="G1012" s="1">
        <v>7090000</v>
      </c>
      <c r="H1012" s="1">
        <v>5500000</v>
      </c>
    </row>
    <row r="1013" spans="1:8" ht="13.5" customHeight="1" x14ac:dyDescent="0.3">
      <c r="A1013" s="1" t="s">
        <v>186</v>
      </c>
      <c r="B1013" s="1" t="s">
        <v>188</v>
      </c>
      <c r="C1013" s="1" t="s">
        <v>4488</v>
      </c>
      <c r="D1013" s="1">
        <v>2022</v>
      </c>
      <c r="E1013" s="1" t="str">
        <f t="shared" si="3"/>
        <v>MORNINGMORNING MPI 1.22022</v>
      </c>
      <c r="F1013" s="1" t="s">
        <v>755</v>
      </c>
      <c r="G1013" s="1">
        <v>7594310</v>
      </c>
      <c r="H1013" s="1">
        <v>6200000</v>
      </c>
    </row>
    <row r="1014" spans="1:8" ht="13.5" customHeight="1" x14ac:dyDescent="0.3">
      <c r="A1014" s="1" t="s">
        <v>186</v>
      </c>
      <c r="B1014" s="1" t="s">
        <v>188</v>
      </c>
      <c r="C1014" s="1" t="s">
        <v>4488</v>
      </c>
      <c r="D1014" s="1">
        <v>2022</v>
      </c>
      <c r="E1014" s="1" t="str">
        <f t="shared" si="3"/>
        <v>MORNINGMORNING MPI 1.22022</v>
      </c>
      <c r="F1014" s="1" t="s">
        <v>1567</v>
      </c>
      <c r="G1014" s="1">
        <v>7990000</v>
      </c>
      <c r="H1014" s="1">
        <v>6800000</v>
      </c>
    </row>
    <row r="1015" spans="1:8" ht="13.5" customHeight="1" x14ac:dyDescent="0.3">
      <c r="A1015" s="1" t="s">
        <v>186</v>
      </c>
      <c r="B1015" s="1" t="s">
        <v>188</v>
      </c>
      <c r="C1015" s="1" t="s">
        <v>4488</v>
      </c>
      <c r="D1015" s="1">
        <v>2024</v>
      </c>
      <c r="E1015" s="1" t="str">
        <f t="shared" si="3"/>
        <v>MORNINGMORNING MPI 1.22024</v>
      </c>
      <c r="F1015" s="1" t="s">
        <v>593</v>
      </c>
      <c r="G1015" s="1">
        <v>9690000</v>
      </c>
      <c r="H1015" s="1">
        <v>8000000</v>
      </c>
    </row>
    <row r="1016" spans="1:8" ht="13.5" customHeight="1" x14ac:dyDescent="0.3">
      <c r="A1016" s="1" t="s">
        <v>186</v>
      </c>
      <c r="B1016" s="1" t="s">
        <v>188</v>
      </c>
      <c r="C1016" s="1" t="s">
        <v>4488</v>
      </c>
      <c r="D1016" s="1">
        <v>2024</v>
      </c>
      <c r="E1016" s="1" t="str">
        <f t="shared" si="3"/>
        <v>MORNINGMORNING MPI 1.22024</v>
      </c>
      <c r="F1016" s="1" t="s">
        <v>721</v>
      </c>
      <c r="G1016" s="1">
        <v>10690000</v>
      </c>
      <c r="H1016" s="1">
        <v>9000000</v>
      </c>
    </row>
    <row r="1017" spans="1:8" ht="13.5" customHeight="1" x14ac:dyDescent="0.3">
      <c r="A1017" s="1" t="s">
        <v>186</v>
      </c>
      <c r="B1017" s="1" t="s">
        <v>188</v>
      </c>
      <c r="C1017" s="1" t="s">
        <v>4488</v>
      </c>
      <c r="D1017" s="1">
        <v>2025</v>
      </c>
      <c r="E1017" s="1" t="str">
        <f t="shared" si="3"/>
        <v>MORNINGMORNING MPI 1.22025</v>
      </c>
      <c r="F1017" s="1" t="s">
        <v>515</v>
      </c>
      <c r="G1017" s="1">
        <v>10550000</v>
      </c>
      <c r="H1017" s="1">
        <v>9200000</v>
      </c>
    </row>
    <row r="1018" spans="1:8" ht="13.5" customHeight="1" x14ac:dyDescent="0.3">
      <c r="A1018" s="1" t="s">
        <v>186</v>
      </c>
      <c r="B1018" s="1" t="s">
        <v>188</v>
      </c>
      <c r="C1018" s="1" t="s">
        <v>4489</v>
      </c>
      <c r="D1018" s="1">
        <v>2023</v>
      </c>
      <c r="E1018" s="1" t="str">
        <f t="shared" si="3"/>
        <v>MORNINGMORNING MPI 1.2 AUT2023</v>
      </c>
      <c r="F1018" s="1" t="s">
        <v>840</v>
      </c>
      <c r="G1018" s="1">
        <v>10290000</v>
      </c>
      <c r="H1018" s="1">
        <v>8500000</v>
      </c>
    </row>
    <row r="1019" spans="1:8" ht="13.5" customHeight="1" x14ac:dyDescent="0.3">
      <c r="A1019" s="1" t="s">
        <v>186</v>
      </c>
      <c r="B1019" s="1" t="s">
        <v>188</v>
      </c>
      <c r="C1019" s="1" t="s">
        <v>4489</v>
      </c>
      <c r="D1019" s="1">
        <v>2024</v>
      </c>
      <c r="E1019" s="1" t="str">
        <f t="shared" si="3"/>
        <v>MORNINGMORNING MPI 1.2 AUT2024</v>
      </c>
      <c r="F1019" s="1" t="s">
        <v>637</v>
      </c>
      <c r="G1019" s="1">
        <v>22380000</v>
      </c>
      <c r="H1019" s="1">
        <v>18650000</v>
      </c>
    </row>
    <row r="1020" spans="1:8" ht="13.5" customHeight="1" x14ac:dyDescent="0.3">
      <c r="A1020" s="1" t="s">
        <v>186</v>
      </c>
      <c r="B1020" s="1" t="s">
        <v>188</v>
      </c>
      <c r="C1020" s="1" t="s">
        <v>4489</v>
      </c>
      <c r="D1020" s="1">
        <v>2024</v>
      </c>
      <c r="E1020" s="1" t="str">
        <f t="shared" si="3"/>
        <v>MORNINGMORNING MPI 1.2 AUT2024</v>
      </c>
      <c r="F1020" s="1" t="s">
        <v>387</v>
      </c>
      <c r="G1020" s="1">
        <v>10290000</v>
      </c>
      <c r="H1020" s="1">
        <v>8500000</v>
      </c>
    </row>
    <row r="1021" spans="1:8" ht="13.5" customHeight="1" x14ac:dyDescent="0.3">
      <c r="A1021" s="1" t="s">
        <v>186</v>
      </c>
      <c r="B1021" s="1" t="s">
        <v>190</v>
      </c>
      <c r="C1021" s="1" t="s">
        <v>191</v>
      </c>
      <c r="D1021" s="1">
        <v>2024</v>
      </c>
      <c r="E1021" s="1" t="str">
        <f t="shared" si="3"/>
        <v>NIRONIRO HEV DCT GDI 1.6 AUT2024</v>
      </c>
      <c r="F1021" s="1" t="s">
        <v>1008</v>
      </c>
      <c r="G1021" s="1">
        <v>20500000</v>
      </c>
      <c r="H1021" s="1">
        <v>28990000</v>
      </c>
    </row>
    <row r="1022" spans="1:8" ht="13.5" customHeight="1" x14ac:dyDescent="0.3">
      <c r="A1022" s="1" t="s">
        <v>186</v>
      </c>
      <c r="B1022" s="1" t="s">
        <v>190</v>
      </c>
      <c r="C1022" s="1" t="s">
        <v>4490</v>
      </c>
      <c r="D1022" s="1">
        <v>2024</v>
      </c>
      <c r="E1022" s="1" t="str">
        <f t="shared" si="3"/>
        <v>NIRONIRO LX GDI 1.6 AUT2024</v>
      </c>
      <c r="F1022" s="1" t="s">
        <v>1768</v>
      </c>
      <c r="G1022" s="1">
        <v>21205698</v>
      </c>
      <c r="H1022" s="1">
        <v>20000000</v>
      </c>
    </row>
    <row r="1023" spans="1:8" ht="13.5" customHeight="1" x14ac:dyDescent="0.3">
      <c r="A1023" s="1" t="s">
        <v>186</v>
      </c>
      <c r="B1023" s="1" t="s">
        <v>4491</v>
      </c>
      <c r="C1023" s="1" t="s">
        <v>4492</v>
      </c>
      <c r="D1023" s="1">
        <v>2021</v>
      </c>
      <c r="E1023" s="1" t="str">
        <f t="shared" ref="E1023:E1277" si="4">CONCATENATE(B1023,C1023,D1023)</f>
        <v>RIORIO 4 6MT 1.42021</v>
      </c>
      <c r="F1023" s="1" t="s">
        <v>1651</v>
      </c>
      <c r="G1023" s="1">
        <v>9290000</v>
      </c>
      <c r="H1023" s="1">
        <v>7500000</v>
      </c>
    </row>
    <row r="1024" spans="1:8" ht="13.5" customHeight="1" x14ac:dyDescent="0.3">
      <c r="A1024" s="1" t="s">
        <v>186</v>
      </c>
      <c r="B1024" s="1" t="s">
        <v>4491</v>
      </c>
      <c r="C1024" s="1" t="s">
        <v>4492</v>
      </c>
      <c r="D1024" s="1">
        <v>2021</v>
      </c>
      <c r="E1024" s="1" t="str">
        <f t="shared" si="4"/>
        <v>RIORIO 4 6MT 1.42021</v>
      </c>
      <c r="F1024" s="1" t="s">
        <v>965</v>
      </c>
      <c r="G1024" s="1">
        <v>8990000</v>
      </c>
      <c r="H1024" s="1">
        <v>7600000</v>
      </c>
    </row>
    <row r="1025" spans="1:8" ht="13.5" customHeight="1" x14ac:dyDescent="0.3">
      <c r="A1025" s="1" t="s">
        <v>186</v>
      </c>
      <c r="B1025" s="1" t="s">
        <v>4491</v>
      </c>
      <c r="C1025" s="1" t="s">
        <v>4492</v>
      </c>
      <c r="D1025" s="1">
        <v>2022</v>
      </c>
      <c r="E1025" s="1" t="str">
        <f t="shared" si="4"/>
        <v>RIORIO 4 6MT 1.42022</v>
      </c>
      <c r="F1025" s="1" t="s">
        <v>1397</v>
      </c>
      <c r="G1025" s="1">
        <v>10690000</v>
      </c>
      <c r="H1025" s="1">
        <v>9000000</v>
      </c>
    </row>
    <row r="1026" spans="1:8" ht="13.5" customHeight="1" x14ac:dyDescent="0.3">
      <c r="A1026" s="1" t="s">
        <v>186</v>
      </c>
      <c r="B1026" s="1" t="s">
        <v>4491</v>
      </c>
      <c r="C1026" s="1" t="s">
        <v>4492</v>
      </c>
      <c r="D1026" s="1">
        <v>2023</v>
      </c>
      <c r="E1026" s="1" t="str">
        <f t="shared" si="4"/>
        <v>RIORIO 4 6MT 1.42023</v>
      </c>
      <c r="F1026" s="1" t="s">
        <v>1487</v>
      </c>
      <c r="G1026" s="1">
        <v>25380000</v>
      </c>
      <c r="H1026" s="1">
        <v>21900000</v>
      </c>
    </row>
    <row r="1027" spans="1:8" ht="13.5" customHeight="1" x14ac:dyDescent="0.3">
      <c r="A1027" s="1" t="s">
        <v>186</v>
      </c>
      <c r="B1027" s="1" t="s">
        <v>4491</v>
      </c>
      <c r="C1027" s="1" t="s">
        <v>4492</v>
      </c>
      <c r="D1027" s="1">
        <v>2023</v>
      </c>
      <c r="E1027" s="1" t="str">
        <f t="shared" si="4"/>
        <v>RIORIO 4 6MT 1.42023</v>
      </c>
      <c r="F1027" s="1" t="s">
        <v>429</v>
      </c>
      <c r="G1027" s="1">
        <v>11990000</v>
      </c>
      <c r="H1027" s="1">
        <v>9700000</v>
      </c>
    </row>
    <row r="1028" spans="1:8" ht="13.5" customHeight="1" x14ac:dyDescent="0.3">
      <c r="A1028" s="1" t="s">
        <v>186</v>
      </c>
      <c r="B1028" s="1" t="s">
        <v>4491</v>
      </c>
      <c r="C1028" s="1" t="s">
        <v>4493</v>
      </c>
      <c r="D1028" s="1">
        <v>2017</v>
      </c>
      <c r="E1028" s="1" t="str">
        <f t="shared" si="4"/>
        <v>RIORIO 4 EX 1.22017</v>
      </c>
      <c r="F1028" s="1" t="s">
        <v>512</v>
      </c>
      <c r="G1028" s="1">
        <v>5735470</v>
      </c>
      <c r="H1028" s="1">
        <v>4700000</v>
      </c>
    </row>
    <row r="1029" spans="1:8" ht="13.5" customHeight="1" x14ac:dyDescent="0.3">
      <c r="A1029" s="1" t="s">
        <v>186</v>
      </c>
      <c r="B1029" s="1" t="s">
        <v>4491</v>
      </c>
      <c r="C1029" s="1" t="s">
        <v>4494</v>
      </c>
      <c r="D1029" s="1">
        <v>2017</v>
      </c>
      <c r="E1029" s="1" t="str">
        <f t="shared" si="4"/>
        <v>RIORIO 4 EX 1.42017</v>
      </c>
      <c r="F1029" s="1" t="s">
        <v>4495</v>
      </c>
      <c r="G1029" s="1">
        <v>7400000</v>
      </c>
      <c r="H1029" s="1">
        <v>5500000</v>
      </c>
    </row>
    <row r="1030" spans="1:8" ht="13.5" customHeight="1" x14ac:dyDescent="0.3">
      <c r="A1030" s="1" t="s">
        <v>186</v>
      </c>
      <c r="B1030" s="1" t="s">
        <v>4491</v>
      </c>
      <c r="C1030" s="1" t="s">
        <v>4496</v>
      </c>
      <c r="D1030" s="1">
        <v>2018</v>
      </c>
      <c r="E1030" s="1" t="str">
        <f t="shared" si="4"/>
        <v>RIORIO 4 LX 1.42018</v>
      </c>
      <c r="F1030" s="1" t="s">
        <v>1556</v>
      </c>
      <c r="G1030" s="1">
        <v>5890000</v>
      </c>
      <c r="H1030" s="1">
        <v>4510000</v>
      </c>
    </row>
    <row r="1031" spans="1:8" ht="13.5" customHeight="1" x14ac:dyDescent="0.3">
      <c r="A1031" s="1" t="s">
        <v>186</v>
      </c>
      <c r="B1031" s="1" t="s">
        <v>4491</v>
      </c>
      <c r="C1031" s="1" t="s">
        <v>4496</v>
      </c>
      <c r="D1031" s="1">
        <v>2018</v>
      </c>
      <c r="E1031" s="1" t="str">
        <f t="shared" si="4"/>
        <v>RIORIO 4 LX 1.42018</v>
      </c>
      <c r="F1031" s="1" t="s">
        <v>953</v>
      </c>
      <c r="G1031" s="1">
        <v>6990000</v>
      </c>
      <c r="H1031" s="1">
        <v>5800000</v>
      </c>
    </row>
    <row r="1032" spans="1:8" ht="13.5" customHeight="1" x14ac:dyDescent="0.3">
      <c r="A1032" s="1" t="s">
        <v>186</v>
      </c>
      <c r="B1032" s="1" t="s">
        <v>4491</v>
      </c>
      <c r="C1032" s="1" t="s">
        <v>4496</v>
      </c>
      <c r="D1032" s="1">
        <v>2019</v>
      </c>
      <c r="E1032" s="1" t="str">
        <f t="shared" si="4"/>
        <v>RIORIO 4 LX 1.42019</v>
      </c>
      <c r="F1032" s="1" t="s">
        <v>373</v>
      </c>
      <c r="G1032" s="1">
        <v>7490000</v>
      </c>
      <c r="H1032" s="1">
        <v>5700000</v>
      </c>
    </row>
    <row r="1033" spans="1:8" ht="13.5" customHeight="1" x14ac:dyDescent="0.3">
      <c r="A1033" s="1" t="s">
        <v>186</v>
      </c>
      <c r="B1033" s="1" t="s">
        <v>4491</v>
      </c>
      <c r="C1033" s="1" t="s">
        <v>4496</v>
      </c>
      <c r="D1033" s="1">
        <v>2019</v>
      </c>
      <c r="E1033" s="1" t="str">
        <f t="shared" si="4"/>
        <v>RIORIO 4 LX 1.42019</v>
      </c>
      <c r="F1033" s="1" t="s">
        <v>2027</v>
      </c>
      <c r="G1033" s="1">
        <v>8090000</v>
      </c>
      <c r="H1033" s="1">
        <v>6200000</v>
      </c>
    </row>
    <row r="1034" spans="1:8" ht="13.5" customHeight="1" x14ac:dyDescent="0.3">
      <c r="A1034" s="1" t="s">
        <v>186</v>
      </c>
      <c r="B1034" s="1" t="s">
        <v>4491</v>
      </c>
      <c r="C1034" s="1" t="s">
        <v>4496</v>
      </c>
      <c r="D1034" s="1">
        <v>2019</v>
      </c>
      <c r="E1034" s="1" t="str">
        <f t="shared" si="4"/>
        <v>RIORIO 4 LX 1.42019</v>
      </c>
      <c r="F1034" s="1" t="s">
        <v>2115</v>
      </c>
      <c r="G1034" s="1">
        <v>9490000</v>
      </c>
      <c r="H1034" s="1">
        <v>7500000</v>
      </c>
    </row>
    <row r="1035" spans="1:8" ht="13.5" customHeight="1" x14ac:dyDescent="0.3">
      <c r="A1035" s="1" t="s">
        <v>186</v>
      </c>
      <c r="B1035" s="1" t="s">
        <v>4491</v>
      </c>
      <c r="C1035" s="1" t="s">
        <v>4496</v>
      </c>
      <c r="D1035" s="1">
        <v>2020</v>
      </c>
      <c r="E1035" s="1" t="str">
        <f t="shared" si="4"/>
        <v>RIORIO 4 LX 1.42020</v>
      </c>
      <c r="F1035" s="1" t="s">
        <v>2050</v>
      </c>
      <c r="G1035" s="1">
        <v>9390000</v>
      </c>
      <c r="H1035" s="1">
        <v>7500000</v>
      </c>
    </row>
    <row r="1036" spans="1:8" ht="13.5" customHeight="1" x14ac:dyDescent="0.3">
      <c r="A1036" s="1" t="s">
        <v>186</v>
      </c>
      <c r="B1036" s="1" t="s">
        <v>4491</v>
      </c>
      <c r="C1036" s="1" t="s">
        <v>4496</v>
      </c>
      <c r="D1036" s="1">
        <v>2020</v>
      </c>
      <c r="E1036" s="1" t="str">
        <f t="shared" si="4"/>
        <v>RIORIO 4 LX 1.42020</v>
      </c>
      <c r="F1036" s="1" t="s">
        <v>2372</v>
      </c>
      <c r="G1036" s="1">
        <v>11590000</v>
      </c>
      <c r="H1036" s="1">
        <v>9500000</v>
      </c>
    </row>
    <row r="1037" spans="1:8" ht="13.5" customHeight="1" x14ac:dyDescent="0.3">
      <c r="A1037" s="1" t="s">
        <v>186</v>
      </c>
      <c r="B1037" s="1" t="s">
        <v>4491</v>
      </c>
      <c r="C1037" s="1" t="s">
        <v>4496</v>
      </c>
      <c r="D1037" s="1">
        <v>2020</v>
      </c>
      <c r="E1037" s="1" t="str">
        <f t="shared" si="4"/>
        <v>RIORIO 4 LX 1.42020</v>
      </c>
      <c r="F1037" s="1" t="s">
        <v>2264</v>
      </c>
      <c r="G1037" s="1">
        <v>9990000</v>
      </c>
      <c r="H1037" s="1">
        <v>8500000</v>
      </c>
    </row>
    <row r="1038" spans="1:8" ht="13.5" customHeight="1" x14ac:dyDescent="0.3">
      <c r="A1038" s="1" t="s">
        <v>186</v>
      </c>
      <c r="B1038" s="1" t="s">
        <v>4491</v>
      </c>
      <c r="C1038" s="1" t="s">
        <v>4497</v>
      </c>
      <c r="D1038" s="1">
        <v>2020</v>
      </c>
      <c r="E1038" s="1" t="str">
        <f t="shared" si="4"/>
        <v>RIORIO 4 SEDAN 1.42020</v>
      </c>
      <c r="F1038" s="1" t="s">
        <v>841</v>
      </c>
      <c r="G1038" s="1">
        <v>9490000</v>
      </c>
      <c r="H1038" s="1">
        <v>7500000</v>
      </c>
    </row>
    <row r="1039" spans="1:8" ht="13.5" customHeight="1" x14ac:dyDescent="0.3">
      <c r="A1039" s="1" t="s">
        <v>186</v>
      </c>
      <c r="B1039" s="1" t="s">
        <v>4491</v>
      </c>
      <c r="C1039" s="1" t="s">
        <v>4497</v>
      </c>
      <c r="D1039" s="1">
        <v>2021</v>
      </c>
      <c r="E1039" s="1" t="str">
        <f t="shared" si="4"/>
        <v>RIORIO 4 SEDAN 1.42021</v>
      </c>
      <c r="F1039" s="1" t="s">
        <v>2249</v>
      </c>
      <c r="G1039" s="1">
        <v>10490000</v>
      </c>
      <c r="H1039" s="1">
        <v>11400000</v>
      </c>
    </row>
    <row r="1040" spans="1:8" ht="13.5" customHeight="1" x14ac:dyDescent="0.3">
      <c r="A1040" s="1" t="s">
        <v>186</v>
      </c>
      <c r="B1040" s="1" t="s">
        <v>4491</v>
      </c>
      <c r="C1040" s="1" t="s">
        <v>4497</v>
      </c>
      <c r="D1040" s="1">
        <v>2021</v>
      </c>
      <c r="E1040" s="1" t="str">
        <f t="shared" si="4"/>
        <v>RIORIO 4 SEDAN 1.42021</v>
      </c>
      <c r="F1040" s="1" t="s">
        <v>1921</v>
      </c>
      <c r="G1040" s="1">
        <v>8300000</v>
      </c>
      <c r="H1040" s="1">
        <v>7000000</v>
      </c>
    </row>
    <row r="1041" spans="1:8" ht="13.5" customHeight="1" x14ac:dyDescent="0.3">
      <c r="A1041" s="1" t="s">
        <v>186</v>
      </c>
      <c r="B1041" s="1" t="s">
        <v>4491</v>
      </c>
      <c r="C1041" s="1" t="s">
        <v>4498</v>
      </c>
      <c r="D1041" s="1">
        <v>2022</v>
      </c>
      <c r="E1041" s="1" t="str">
        <f t="shared" si="4"/>
        <v>RIORIO 5 1.4L AT2022</v>
      </c>
      <c r="F1041" s="1" t="s">
        <v>1702</v>
      </c>
      <c r="G1041" s="1">
        <v>12090000</v>
      </c>
      <c r="H1041" s="1">
        <v>10200000</v>
      </c>
    </row>
    <row r="1042" spans="1:8" ht="13.5" customHeight="1" x14ac:dyDescent="0.3">
      <c r="A1042" s="1" t="s">
        <v>186</v>
      </c>
      <c r="B1042" s="1" t="s">
        <v>4491</v>
      </c>
      <c r="C1042" s="1" t="s">
        <v>4499</v>
      </c>
      <c r="D1042" s="1">
        <v>2021</v>
      </c>
      <c r="E1042" s="1" t="str">
        <f t="shared" si="4"/>
        <v>RIORIO 5 6MT 1.42021</v>
      </c>
      <c r="F1042" s="1" t="s">
        <v>662</v>
      </c>
      <c r="G1042" s="1">
        <v>10490000</v>
      </c>
      <c r="H1042" s="1">
        <v>8800000</v>
      </c>
    </row>
    <row r="1043" spans="1:8" ht="13.5" customHeight="1" x14ac:dyDescent="0.3">
      <c r="A1043" s="1" t="s">
        <v>186</v>
      </c>
      <c r="B1043" s="1" t="s">
        <v>4491</v>
      </c>
      <c r="C1043" s="1" t="s">
        <v>4499</v>
      </c>
      <c r="D1043" s="1">
        <v>2021</v>
      </c>
      <c r="E1043" s="1" t="str">
        <f t="shared" si="4"/>
        <v>RIORIO 5 6MT 1.42021</v>
      </c>
      <c r="F1043" s="1" t="s">
        <v>1419</v>
      </c>
      <c r="G1043" s="1">
        <v>8990000</v>
      </c>
      <c r="H1043" s="1">
        <v>7500000</v>
      </c>
    </row>
    <row r="1044" spans="1:8" ht="13.5" customHeight="1" x14ac:dyDescent="0.3">
      <c r="A1044" s="1" t="s">
        <v>186</v>
      </c>
      <c r="B1044" s="1" t="s">
        <v>4491</v>
      </c>
      <c r="C1044" s="1" t="s">
        <v>4499</v>
      </c>
      <c r="D1044" s="1">
        <v>2022</v>
      </c>
      <c r="E1044" s="1" t="str">
        <f t="shared" si="4"/>
        <v>RIORIO 5 6MT 1.42022</v>
      </c>
      <c r="F1044" s="1" t="s">
        <v>1399</v>
      </c>
      <c r="G1044" s="1">
        <v>11290000</v>
      </c>
      <c r="H1044" s="1">
        <v>9500000</v>
      </c>
    </row>
    <row r="1045" spans="1:8" ht="13.5" customHeight="1" x14ac:dyDescent="0.3">
      <c r="A1045" s="1" t="s">
        <v>186</v>
      </c>
      <c r="B1045" s="1" t="s">
        <v>4491</v>
      </c>
      <c r="C1045" s="1" t="s">
        <v>4499</v>
      </c>
      <c r="D1045" s="1">
        <v>2022</v>
      </c>
      <c r="E1045" s="1" t="str">
        <f t="shared" si="4"/>
        <v>RIORIO 5 6MT 1.42022</v>
      </c>
      <c r="F1045" s="1" t="s">
        <v>361</v>
      </c>
      <c r="G1045" s="1">
        <v>10290000</v>
      </c>
      <c r="H1045" s="1">
        <v>7600000</v>
      </c>
    </row>
    <row r="1046" spans="1:8" ht="13.5" customHeight="1" x14ac:dyDescent="0.3">
      <c r="A1046" s="1" t="s">
        <v>186</v>
      </c>
      <c r="B1046" s="1" t="s">
        <v>4491</v>
      </c>
      <c r="C1046" s="1" t="s">
        <v>4499</v>
      </c>
      <c r="D1046" s="1">
        <v>2023</v>
      </c>
      <c r="E1046" s="1" t="str">
        <f t="shared" si="4"/>
        <v>RIORIO 5 6MT 1.42023</v>
      </c>
      <c r="F1046" s="1" t="s">
        <v>1636</v>
      </c>
      <c r="G1046" s="1">
        <v>10590000</v>
      </c>
      <c r="H1046" s="1">
        <v>9100000</v>
      </c>
    </row>
    <row r="1047" spans="1:8" ht="13.5" customHeight="1" x14ac:dyDescent="0.3">
      <c r="A1047" s="1" t="s">
        <v>186</v>
      </c>
      <c r="B1047" s="1" t="s">
        <v>4491</v>
      </c>
      <c r="C1047" s="1" t="s">
        <v>4500</v>
      </c>
      <c r="D1047" s="1">
        <v>2017</v>
      </c>
      <c r="E1047" s="1" t="str">
        <f t="shared" si="4"/>
        <v>RIORIO 5 EX 1.42017</v>
      </c>
      <c r="F1047" s="1" t="s">
        <v>1853</v>
      </c>
      <c r="G1047" s="1">
        <v>7990000</v>
      </c>
      <c r="H1047" s="1">
        <v>5650000</v>
      </c>
    </row>
    <row r="1048" spans="1:8" ht="13.5" customHeight="1" x14ac:dyDescent="0.3">
      <c r="A1048" s="1" t="s">
        <v>186</v>
      </c>
      <c r="B1048" s="1" t="s">
        <v>4491</v>
      </c>
      <c r="C1048" s="1" t="s">
        <v>4500</v>
      </c>
      <c r="D1048" s="1">
        <v>2018</v>
      </c>
      <c r="E1048" s="1" t="str">
        <f t="shared" si="4"/>
        <v>RIORIO 5 EX 1.42018</v>
      </c>
      <c r="F1048" s="1" t="s">
        <v>466</v>
      </c>
      <c r="G1048" s="1">
        <v>8290000</v>
      </c>
      <c r="H1048" s="1">
        <v>7000000</v>
      </c>
    </row>
    <row r="1049" spans="1:8" ht="13.5" customHeight="1" x14ac:dyDescent="0.3">
      <c r="A1049" s="1" t="s">
        <v>186</v>
      </c>
      <c r="B1049" s="1" t="s">
        <v>4491</v>
      </c>
      <c r="C1049" s="1" t="s">
        <v>4500</v>
      </c>
      <c r="D1049" s="1">
        <v>2018</v>
      </c>
      <c r="E1049" s="1" t="str">
        <f t="shared" si="4"/>
        <v>RIORIO 5 EX 1.42018</v>
      </c>
      <c r="F1049" s="1" t="s">
        <v>1781</v>
      </c>
      <c r="G1049" s="1">
        <v>7990000</v>
      </c>
      <c r="H1049" s="1">
        <v>6300000</v>
      </c>
    </row>
    <row r="1050" spans="1:8" ht="13.5" customHeight="1" x14ac:dyDescent="0.3">
      <c r="A1050" s="1" t="s">
        <v>186</v>
      </c>
      <c r="B1050" s="1" t="s">
        <v>4491</v>
      </c>
      <c r="C1050" s="1" t="s">
        <v>4500</v>
      </c>
      <c r="D1050" s="1">
        <v>2019</v>
      </c>
      <c r="E1050" s="1" t="str">
        <f t="shared" si="4"/>
        <v>RIORIO 5 EX 1.42019</v>
      </c>
      <c r="F1050" s="1" t="s">
        <v>1129</v>
      </c>
      <c r="G1050" s="1">
        <v>9690000</v>
      </c>
      <c r="H1050" s="1">
        <v>7700000</v>
      </c>
    </row>
    <row r="1051" spans="1:8" ht="13.5" customHeight="1" x14ac:dyDescent="0.3">
      <c r="A1051" s="1" t="s">
        <v>186</v>
      </c>
      <c r="B1051" s="1" t="s">
        <v>4491</v>
      </c>
      <c r="C1051" s="1" t="s">
        <v>4500</v>
      </c>
      <c r="D1051" s="1">
        <v>2019</v>
      </c>
      <c r="E1051" s="1" t="str">
        <f t="shared" si="4"/>
        <v>RIORIO 5 EX 1.42019</v>
      </c>
      <c r="F1051" s="1" t="s">
        <v>2135</v>
      </c>
      <c r="G1051" s="1">
        <v>9990000</v>
      </c>
      <c r="H1051" s="1">
        <v>7500000</v>
      </c>
    </row>
    <row r="1052" spans="1:8" ht="13.5" customHeight="1" x14ac:dyDescent="0.3">
      <c r="A1052" s="1" t="s">
        <v>186</v>
      </c>
      <c r="B1052" s="1" t="s">
        <v>4491</v>
      </c>
      <c r="C1052" s="1" t="s">
        <v>4500</v>
      </c>
      <c r="D1052" s="1">
        <v>2019</v>
      </c>
      <c r="E1052" s="1" t="str">
        <f t="shared" si="4"/>
        <v>RIORIO 5 EX 1.42019</v>
      </c>
      <c r="F1052" s="1" t="s">
        <v>603</v>
      </c>
      <c r="G1052" s="1">
        <v>7990000</v>
      </c>
      <c r="H1052" s="1">
        <v>6400000</v>
      </c>
    </row>
    <row r="1053" spans="1:8" ht="13.5" customHeight="1" x14ac:dyDescent="0.3">
      <c r="A1053" s="1" t="s">
        <v>186</v>
      </c>
      <c r="B1053" s="1" t="s">
        <v>4491</v>
      </c>
      <c r="C1053" s="1" t="s">
        <v>4500</v>
      </c>
      <c r="D1053" s="1">
        <v>2019</v>
      </c>
      <c r="E1053" s="1" t="str">
        <f t="shared" si="4"/>
        <v>RIORIO 5 EX 1.42019</v>
      </c>
      <c r="F1053" s="1" t="s">
        <v>386</v>
      </c>
      <c r="G1053" s="1">
        <v>8190000</v>
      </c>
      <c r="H1053" s="1">
        <v>6300000</v>
      </c>
    </row>
    <row r="1054" spans="1:8" ht="13.5" customHeight="1" x14ac:dyDescent="0.3">
      <c r="A1054" s="1" t="s">
        <v>186</v>
      </c>
      <c r="B1054" s="1" t="s">
        <v>4491</v>
      </c>
      <c r="C1054" s="1" t="s">
        <v>4500</v>
      </c>
      <c r="D1054" s="1">
        <v>2020</v>
      </c>
      <c r="E1054" s="1" t="str">
        <f t="shared" si="4"/>
        <v>RIORIO 5 EX 1.42020</v>
      </c>
      <c r="F1054" s="1" t="s">
        <v>2019</v>
      </c>
      <c r="G1054" s="1">
        <v>8690000</v>
      </c>
      <c r="H1054" s="1">
        <v>6857143</v>
      </c>
    </row>
    <row r="1055" spans="1:8" ht="13.5" customHeight="1" x14ac:dyDescent="0.3">
      <c r="A1055" s="1" t="s">
        <v>186</v>
      </c>
      <c r="B1055" s="1" t="s">
        <v>4491</v>
      </c>
      <c r="C1055" s="1" t="s">
        <v>4500</v>
      </c>
      <c r="D1055" s="1">
        <v>2020</v>
      </c>
      <c r="E1055" s="1" t="str">
        <f t="shared" si="4"/>
        <v>RIORIO 5 EX 1.42020</v>
      </c>
      <c r="F1055" s="1" t="s">
        <v>2075</v>
      </c>
      <c r="G1055" s="1">
        <v>10490000</v>
      </c>
      <c r="H1055" s="1">
        <v>8500000</v>
      </c>
    </row>
    <row r="1056" spans="1:8" ht="13.5" customHeight="1" x14ac:dyDescent="0.3">
      <c r="A1056" s="1" t="s">
        <v>186</v>
      </c>
      <c r="B1056" s="1" t="s">
        <v>4491</v>
      </c>
      <c r="C1056" s="1" t="s">
        <v>4500</v>
      </c>
      <c r="D1056" s="1">
        <v>2020</v>
      </c>
      <c r="E1056" s="1" t="str">
        <f t="shared" si="4"/>
        <v>RIORIO 5 EX 1.42020</v>
      </c>
      <c r="F1056" s="1" t="s">
        <v>2337</v>
      </c>
      <c r="G1056" s="1">
        <v>9135270</v>
      </c>
      <c r="H1056" s="1">
        <v>8000000</v>
      </c>
    </row>
    <row r="1057" spans="1:8" ht="13.5" customHeight="1" x14ac:dyDescent="0.3">
      <c r="A1057" s="1" t="s">
        <v>186</v>
      </c>
      <c r="B1057" s="1" t="s">
        <v>4491</v>
      </c>
      <c r="C1057" s="1" t="s">
        <v>4500</v>
      </c>
      <c r="D1057" s="1">
        <v>2020</v>
      </c>
      <c r="E1057" s="1" t="str">
        <f t="shared" si="4"/>
        <v>RIORIO 5 EX 1.42020</v>
      </c>
      <c r="F1057" s="1" t="s">
        <v>2286</v>
      </c>
      <c r="G1057" s="1">
        <v>10990000</v>
      </c>
      <c r="H1057" s="1">
        <v>9000000</v>
      </c>
    </row>
    <row r="1058" spans="1:8" ht="13.5" customHeight="1" x14ac:dyDescent="0.3">
      <c r="A1058" s="1" t="s">
        <v>186</v>
      </c>
      <c r="B1058" s="1" t="s">
        <v>4491</v>
      </c>
      <c r="C1058" s="1" t="s">
        <v>4500</v>
      </c>
      <c r="D1058" s="1">
        <v>2020</v>
      </c>
      <c r="E1058" s="1" t="str">
        <f t="shared" si="4"/>
        <v>RIORIO 5 EX 1.42020</v>
      </c>
      <c r="F1058" s="1" t="s">
        <v>2101</v>
      </c>
      <c r="G1058" s="1">
        <v>12440000</v>
      </c>
      <c r="H1058" s="1">
        <v>9636975</v>
      </c>
    </row>
    <row r="1059" spans="1:8" ht="13.5" customHeight="1" x14ac:dyDescent="0.3">
      <c r="A1059" s="1" t="s">
        <v>186</v>
      </c>
      <c r="B1059" s="1" t="s">
        <v>4491</v>
      </c>
      <c r="C1059" s="1" t="s">
        <v>4500</v>
      </c>
      <c r="D1059" s="1">
        <v>2021</v>
      </c>
      <c r="E1059" s="1" t="str">
        <f t="shared" si="4"/>
        <v>RIORIO 5 EX 1.42021</v>
      </c>
      <c r="F1059" s="1" t="s">
        <v>1950</v>
      </c>
      <c r="G1059" s="1">
        <v>9672620</v>
      </c>
      <c r="H1059" s="1">
        <v>8000000</v>
      </c>
    </row>
    <row r="1060" spans="1:8" ht="13.5" customHeight="1" x14ac:dyDescent="0.3">
      <c r="A1060" s="1" t="s">
        <v>186</v>
      </c>
      <c r="B1060" s="1" t="s">
        <v>4491</v>
      </c>
      <c r="C1060" s="1" t="s">
        <v>4500</v>
      </c>
      <c r="D1060" s="1">
        <v>2021</v>
      </c>
      <c r="E1060" s="1" t="str">
        <f t="shared" si="4"/>
        <v>RIORIO 5 EX 1.42021</v>
      </c>
      <c r="F1060" s="1" t="s">
        <v>849</v>
      </c>
      <c r="G1060" s="1">
        <v>9690000</v>
      </c>
      <c r="H1060" s="1">
        <v>8100000</v>
      </c>
    </row>
    <row r="1061" spans="1:8" ht="13.5" customHeight="1" x14ac:dyDescent="0.3">
      <c r="A1061" s="1" t="s">
        <v>186</v>
      </c>
      <c r="B1061" s="1" t="s">
        <v>4491</v>
      </c>
      <c r="C1061" s="1" t="s">
        <v>4500</v>
      </c>
      <c r="D1061" s="1">
        <v>2021</v>
      </c>
      <c r="E1061" s="1" t="str">
        <f t="shared" si="4"/>
        <v>RIORIO 5 EX 1.42021</v>
      </c>
      <c r="F1061" s="1" t="s">
        <v>1464</v>
      </c>
      <c r="G1061" s="1">
        <v>9090000</v>
      </c>
      <c r="H1061" s="1">
        <v>7600000</v>
      </c>
    </row>
    <row r="1062" spans="1:8" ht="13.5" customHeight="1" x14ac:dyDescent="0.3">
      <c r="A1062" s="1" t="s">
        <v>186</v>
      </c>
      <c r="B1062" s="1" t="s">
        <v>4491</v>
      </c>
      <c r="C1062" s="1" t="s">
        <v>4501</v>
      </c>
      <c r="D1062" s="1">
        <v>2016</v>
      </c>
      <c r="E1062" s="1" t="str">
        <f t="shared" si="4"/>
        <v>RIORIO 5 EX SPORT 1.42016</v>
      </c>
      <c r="F1062" s="1" t="s">
        <v>1748</v>
      </c>
      <c r="G1062" s="1">
        <v>5790000</v>
      </c>
      <c r="H1062" s="1">
        <v>4505443</v>
      </c>
    </row>
    <row r="1063" spans="1:8" ht="13.5" customHeight="1" x14ac:dyDescent="0.3">
      <c r="A1063" s="1" t="s">
        <v>186</v>
      </c>
      <c r="B1063" s="1" t="s">
        <v>4491</v>
      </c>
      <c r="C1063" s="1" t="s">
        <v>4502</v>
      </c>
      <c r="D1063" s="1">
        <v>2019</v>
      </c>
      <c r="E1063" s="1" t="str">
        <f t="shared" si="4"/>
        <v>RIORIO 5 HATCH BACK 1.42019</v>
      </c>
      <c r="F1063" s="1" t="s">
        <v>818</v>
      </c>
      <c r="G1063" s="1">
        <v>8586810</v>
      </c>
      <c r="H1063" s="1">
        <v>7000000</v>
      </c>
    </row>
    <row r="1064" spans="1:8" ht="13.5" customHeight="1" x14ac:dyDescent="0.3">
      <c r="A1064" s="1" t="s">
        <v>186</v>
      </c>
      <c r="B1064" s="1" t="s">
        <v>4491</v>
      </c>
      <c r="C1064" s="1" t="s">
        <v>4502</v>
      </c>
      <c r="D1064" s="1">
        <v>2020</v>
      </c>
      <c r="E1064" s="1" t="str">
        <f t="shared" si="4"/>
        <v>RIORIO 5 HATCH BACK 1.42020</v>
      </c>
      <c r="F1064" s="1" t="s">
        <v>2011</v>
      </c>
      <c r="G1064" s="1">
        <v>9278620</v>
      </c>
      <c r="H1064" s="1">
        <v>7100000</v>
      </c>
    </row>
    <row r="1065" spans="1:8" ht="13.5" customHeight="1" x14ac:dyDescent="0.3">
      <c r="A1065" s="1" t="s">
        <v>186</v>
      </c>
      <c r="B1065" s="1" t="s">
        <v>4491</v>
      </c>
      <c r="C1065" s="1" t="s">
        <v>4502</v>
      </c>
      <c r="D1065" s="1">
        <v>2021</v>
      </c>
      <c r="E1065" s="1" t="str">
        <f t="shared" si="4"/>
        <v>RIORIO 5 HATCH BACK 1.42021</v>
      </c>
      <c r="F1065" s="1" t="s">
        <v>1698</v>
      </c>
      <c r="G1065" s="1">
        <v>9290000</v>
      </c>
      <c r="H1065" s="1">
        <v>7800000</v>
      </c>
    </row>
    <row r="1066" spans="1:8" ht="13.5" customHeight="1" x14ac:dyDescent="0.3">
      <c r="A1066" s="1" t="s">
        <v>186</v>
      </c>
      <c r="B1066" s="1" t="s">
        <v>4491</v>
      </c>
      <c r="C1066" s="1" t="s">
        <v>4502</v>
      </c>
      <c r="D1066" s="1">
        <v>2021</v>
      </c>
      <c r="E1066" s="1" t="str">
        <f t="shared" si="4"/>
        <v>RIORIO 5 HATCH BACK 1.42021</v>
      </c>
      <c r="F1066" s="1" t="s">
        <v>521</v>
      </c>
      <c r="G1066" s="1">
        <v>8500000</v>
      </c>
      <c r="H1066" s="1">
        <v>7000000</v>
      </c>
    </row>
    <row r="1067" spans="1:8" ht="13.5" customHeight="1" x14ac:dyDescent="0.3">
      <c r="A1067" s="1" t="s">
        <v>186</v>
      </c>
      <c r="B1067" s="1" t="s">
        <v>4491</v>
      </c>
      <c r="C1067" s="1" t="s">
        <v>4503</v>
      </c>
      <c r="D1067" s="1">
        <v>2021</v>
      </c>
      <c r="E1067" s="1" t="str">
        <f t="shared" si="4"/>
        <v>RIORIO 5 HATCH BACK 1.62021</v>
      </c>
      <c r="F1067" s="1" t="s">
        <v>1899</v>
      </c>
      <c r="G1067" s="1">
        <v>10390000</v>
      </c>
      <c r="H1067" s="1">
        <v>8400000</v>
      </c>
    </row>
    <row r="1068" spans="1:8" ht="13.5" customHeight="1" x14ac:dyDescent="0.3">
      <c r="A1068" s="1" t="s">
        <v>186</v>
      </c>
      <c r="B1068" s="1" t="s">
        <v>4491</v>
      </c>
      <c r="C1068" s="1" t="s">
        <v>4503</v>
      </c>
      <c r="D1068" s="1">
        <v>2021</v>
      </c>
      <c r="E1068" s="1" t="str">
        <f t="shared" si="4"/>
        <v>RIORIO 5 HATCH BACK 1.62021</v>
      </c>
      <c r="F1068" s="1" t="s">
        <v>1754</v>
      </c>
      <c r="G1068" s="1">
        <v>8780120</v>
      </c>
      <c r="H1068" s="1">
        <v>7500000</v>
      </c>
    </row>
    <row r="1069" spans="1:8" ht="13.5" customHeight="1" x14ac:dyDescent="0.3">
      <c r="A1069" s="1" t="s">
        <v>186</v>
      </c>
      <c r="B1069" s="1" t="s">
        <v>193</v>
      </c>
      <c r="C1069" s="1" t="s">
        <v>4504</v>
      </c>
      <c r="D1069" s="1">
        <v>2024</v>
      </c>
      <c r="E1069" s="1" t="str">
        <f t="shared" si="4"/>
        <v>SELTOSSELTOS EX 1.52024</v>
      </c>
      <c r="F1069" s="1" t="s">
        <v>4505</v>
      </c>
      <c r="G1069" s="1">
        <v>14490000</v>
      </c>
      <c r="H1069" s="1">
        <v>13500000</v>
      </c>
    </row>
    <row r="1070" spans="1:8" ht="13.5" customHeight="1" x14ac:dyDescent="0.3">
      <c r="A1070" s="1" t="s">
        <v>186</v>
      </c>
      <c r="B1070" s="1" t="s">
        <v>193</v>
      </c>
      <c r="C1070" s="1" t="s">
        <v>4504</v>
      </c>
      <c r="D1070" s="1">
        <v>2024</v>
      </c>
      <c r="E1070" s="1" t="str">
        <f t="shared" si="4"/>
        <v>SELTOSSELTOS EX 1.52024</v>
      </c>
      <c r="F1070" s="1" t="s">
        <v>1214</v>
      </c>
      <c r="G1070" s="1">
        <v>15490000</v>
      </c>
      <c r="H1070" s="1">
        <v>13400000</v>
      </c>
    </row>
    <row r="1071" spans="1:8" ht="13.5" customHeight="1" x14ac:dyDescent="0.3">
      <c r="A1071" s="1" t="s">
        <v>186</v>
      </c>
      <c r="B1071" s="1" t="s">
        <v>193</v>
      </c>
      <c r="C1071" s="1" t="s">
        <v>4504</v>
      </c>
      <c r="D1071" s="1">
        <v>2024</v>
      </c>
      <c r="E1071" s="1" t="str">
        <f t="shared" si="4"/>
        <v>SELTOSSELTOS EX 1.52024</v>
      </c>
      <c r="F1071" s="1" t="s">
        <v>1282</v>
      </c>
      <c r="G1071" s="1">
        <v>16990000</v>
      </c>
      <c r="H1071" s="1">
        <v>15000000</v>
      </c>
    </row>
    <row r="1072" spans="1:8" ht="13.5" customHeight="1" x14ac:dyDescent="0.3">
      <c r="A1072" s="1" t="s">
        <v>186</v>
      </c>
      <c r="B1072" s="1" t="s">
        <v>193</v>
      </c>
      <c r="C1072" s="1" t="s">
        <v>4506</v>
      </c>
      <c r="D1072" s="1">
        <v>2020</v>
      </c>
      <c r="E1072" s="1" t="str">
        <f t="shared" si="4"/>
        <v>SELTOSSELTOS EX 1.62020</v>
      </c>
      <c r="F1072" s="1" t="s">
        <v>1975</v>
      </c>
      <c r="G1072" s="1">
        <v>13990000</v>
      </c>
      <c r="H1072" s="1">
        <v>11000000</v>
      </c>
    </row>
    <row r="1073" spans="1:8" ht="13.5" customHeight="1" x14ac:dyDescent="0.3">
      <c r="A1073" s="1" t="s">
        <v>186</v>
      </c>
      <c r="B1073" s="1" t="s">
        <v>193</v>
      </c>
      <c r="C1073" s="1" t="s">
        <v>4506</v>
      </c>
      <c r="D1073" s="1">
        <v>2020</v>
      </c>
      <c r="E1073" s="1" t="str">
        <f t="shared" si="4"/>
        <v>SELTOSSELTOS EX 1.62020</v>
      </c>
      <c r="F1073" s="1" t="s">
        <v>2247</v>
      </c>
      <c r="G1073" s="1">
        <v>16290000</v>
      </c>
      <c r="H1073" s="1">
        <v>14000000</v>
      </c>
    </row>
    <row r="1074" spans="1:8" ht="13.5" customHeight="1" x14ac:dyDescent="0.3">
      <c r="A1074" s="1" t="s">
        <v>186</v>
      </c>
      <c r="B1074" s="1" t="s">
        <v>193</v>
      </c>
      <c r="C1074" s="1" t="s">
        <v>4506</v>
      </c>
      <c r="D1074" s="1">
        <v>2021</v>
      </c>
      <c r="E1074" s="1" t="str">
        <f t="shared" si="4"/>
        <v>SELTOSSELTOS EX 1.62021</v>
      </c>
      <c r="F1074" s="1" t="s">
        <v>2067</v>
      </c>
      <c r="G1074" s="1">
        <v>13990000</v>
      </c>
      <c r="H1074" s="1">
        <v>11500000</v>
      </c>
    </row>
    <row r="1075" spans="1:8" ht="13.5" customHeight="1" x14ac:dyDescent="0.3">
      <c r="A1075" s="1" t="s">
        <v>186</v>
      </c>
      <c r="B1075" s="1" t="s">
        <v>193</v>
      </c>
      <c r="C1075" s="1" t="s">
        <v>194</v>
      </c>
      <c r="D1075" s="1">
        <v>2020</v>
      </c>
      <c r="E1075" s="1" t="str">
        <f t="shared" si="4"/>
        <v>SELTOSSELTOS EX 1.6 AUT2020</v>
      </c>
      <c r="F1075" s="1" t="s">
        <v>1305</v>
      </c>
      <c r="G1075" s="1">
        <v>13590000</v>
      </c>
      <c r="H1075" s="1">
        <v>11500000</v>
      </c>
    </row>
    <row r="1076" spans="1:8" ht="13.5" customHeight="1" x14ac:dyDescent="0.3">
      <c r="A1076" s="1" t="s">
        <v>186</v>
      </c>
      <c r="B1076" s="1" t="s">
        <v>193</v>
      </c>
      <c r="C1076" s="1" t="s">
        <v>194</v>
      </c>
      <c r="D1076" s="1">
        <v>2021</v>
      </c>
      <c r="E1076" s="1" t="str">
        <f t="shared" si="4"/>
        <v>SELTOSSELTOS EX 1.6 AUT2021</v>
      </c>
      <c r="F1076" s="1" t="s">
        <v>2354</v>
      </c>
      <c r="G1076" s="1">
        <v>15990000</v>
      </c>
      <c r="H1076" s="1">
        <v>14000000</v>
      </c>
    </row>
    <row r="1077" spans="1:8" ht="13.5" customHeight="1" x14ac:dyDescent="0.3">
      <c r="A1077" s="1" t="s">
        <v>186</v>
      </c>
      <c r="B1077" s="1" t="s">
        <v>193</v>
      </c>
      <c r="C1077" s="1" t="s">
        <v>4507</v>
      </c>
      <c r="D1077" s="1">
        <v>2024</v>
      </c>
      <c r="E1077" s="1" t="str">
        <f t="shared" si="4"/>
        <v>SELTOSSELTOS EX IVT 1.5 AUT2024</v>
      </c>
      <c r="F1077" s="1" t="s">
        <v>553</v>
      </c>
      <c r="G1077" s="1">
        <v>16590000</v>
      </c>
      <c r="H1077" s="1">
        <v>14050000</v>
      </c>
    </row>
    <row r="1078" spans="1:8" ht="13.5" customHeight="1" x14ac:dyDescent="0.3">
      <c r="A1078" s="1" t="s">
        <v>186</v>
      </c>
      <c r="B1078" s="1" t="s">
        <v>193</v>
      </c>
      <c r="C1078" s="1" t="s">
        <v>4507</v>
      </c>
      <c r="D1078" s="1">
        <v>2024</v>
      </c>
      <c r="E1078" s="1" t="str">
        <f t="shared" si="4"/>
        <v>SELTOSSELTOS EX IVT 1.5 AUT2024</v>
      </c>
      <c r="F1078" s="1" t="s">
        <v>1326</v>
      </c>
      <c r="G1078" s="1">
        <v>17540000</v>
      </c>
      <c r="H1078" s="1">
        <v>15000000</v>
      </c>
    </row>
    <row r="1079" spans="1:8" ht="13.5" customHeight="1" x14ac:dyDescent="0.3">
      <c r="A1079" s="1" t="s">
        <v>186</v>
      </c>
      <c r="B1079" s="1" t="s">
        <v>193</v>
      </c>
      <c r="C1079" s="1" t="s">
        <v>4508</v>
      </c>
      <c r="D1079" s="1">
        <v>2021</v>
      </c>
      <c r="E1079" s="1" t="str">
        <f t="shared" si="4"/>
        <v>SELTOSSELTOS MPI 1.6 AUT2021</v>
      </c>
      <c r="F1079" s="1" t="s">
        <v>1993</v>
      </c>
      <c r="G1079" s="1">
        <v>12490000</v>
      </c>
      <c r="H1079" s="1">
        <v>12000000</v>
      </c>
    </row>
    <row r="1080" spans="1:8" ht="13.5" customHeight="1" x14ac:dyDescent="0.3">
      <c r="A1080" s="1" t="s">
        <v>186</v>
      </c>
      <c r="B1080" s="1" t="s">
        <v>193</v>
      </c>
      <c r="C1080" s="1" t="s">
        <v>4508</v>
      </c>
      <c r="D1080" s="1">
        <v>2021</v>
      </c>
      <c r="E1080" s="1" t="str">
        <f t="shared" si="4"/>
        <v>SELTOSSELTOS MPI 1.6 AUT2021</v>
      </c>
      <c r="F1080" s="1" t="s">
        <v>1467</v>
      </c>
      <c r="G1080" s="1">
        <v>14196620</v>
      </c>
      <c r="H1080" s="1">
        <v>12300000</v>
      </c>
    </row>
    <row r="1081" spans="1:8" ht="13.5" customHeight="1" x14ac:dyDescent="0.3">
      <c r="A1081" s="1" t="s">
        <v>186</v>
      </c>
      <c r="B1081" s="1" t="s">
        <v>193</v>
      </c>
      <c r="C1081" s="1" t="s">
        <v>4508</v>
      </c>
      <c r="D1081" s="1">
        <v>2021</v>
      </c>
      <c r="E1081" s="1" t="str">
        <f t="shared" si="4"/>
        <v>SELTOSSELTOS MPI 1.6 AUT2021</v>
      </c>
      <c r="F1081" s="1" t="s">
        <v>1060</v>
      </c>
      <c r="G1081" s="1">
        <v>13490000</v>
      </c>
      <c r="H1081" s="1">
        <v>11200000</v>
      </c>
    </row>
    <row r="1082" spans="1:8" ht="13.5" customHeight="1" x14ac:dyDescent="0.3">
      <c r="A1082" s="1" t="s">
        <v>186</v>
      </c>
      <c r="B1082" s="1" t="s">
        <v>193</v>
      </c>
      <c r="C1082" s="1" t="s">
        <v>4508</v>
      </c>
      <c r="D1082" s="1">
        <v>2021</v>
      </c>
      <c r="E1082" s="1" t="str">
        <f t="shared" si="4"/>
        <v>SELTOSSELTOS MPI 1.6 AUT2021</v>
      </c>
      <c r="F1082" s="1" t="s">
        <v>1898</v>
      </c>
      <c r="G1082" s="1">
        <v>14700470</v>
      </c>
      <c r="H1082" s="1">
        <v>11800000</v>
      </c>
    </row>
    <row r="1083" spans="1:8" ht="13.5" customHeight="1" x14ac:dyDescent="0.3">
      <c r="A1083" s="1" t="s">
        <v>186</v>
      </c>
      <c r="B1083" s="1" t="s">
        <v>193</v>
      </c>
      <c r="C1083" s="1" t="s">
        <v>4508</v>
      </c>
      <c r="D1083" s="1">
        <v>2022</v>
      </c>
      <c r="E1083" s="1" t="str">
        <f t="shared" si="4"/>
        <v>SELTOSSELTOS MPI 1.6 AUT2022</v>
      </c>
      <c r="F1083" s="1" t="s">
        <v>1622</v>
      </c>
      <c r="G1083" s="1">
        <v>14990000</v>
      </c>
      <c r="H1083" s="1">
        <v>13500000</v>
      </c>
    </row>
    <row r="1084" spans="1:8" ht="13.5" customHeight="1" x14ac:dyDescent="0.3">
      <c r="A1084" s="1" t="s">
        <v>186</v>
      </c>
      <c r="B1084" s="1" t="s">
        <v>193</v>
      </c>
      <c r="C1084" s="1" t="s">
        <v>4509</v>
      </c>
      <c r="D1084" s="1">
        <v>2021</v>
      </c>
      <c r="E1084" s="1" t="str">
        <f t="shared" si="4"/>
        <v>SELTOSSELTOS MPI 6MT 1.62021</v>
      </c>
      <c r="F1084" s="1" t="s">
        <v>347</v>
      </c>
      <c r="G1084" s="1">
        <v>12790000</v>
      </c>
      <c r="H1084" s="1">
        <v>10200000</v>
      </c>
    </row>
    <row r="1085" spans="1:8" ht="13.5" customHeight="1" x14ac:dyDescent="0.3">
      <c r="A1085" s="1" t="s">
        <v>186</v>
      </c>
      <c r="B1085" s="1" t="s">
        <v>193</v>
      </c>
      <c r="C1085" s="1" t="s">
        <v>4509</v>
      </c>
      <c r="D1085" s="1">
        <v>2021</v>
      </c>
      <c r="E1085" s="1" t="str">
        <f t="shared" si="4"/>
        <v>SELTOSSELTOS MPI 6MT 1.62021</v>
      </c>
      <c r="F1085" s="1" t="s">
        <v>440</v>
      </c>
      <c r="G1085" s="1">
        <v>26390000</v>
      </c>
      <c r="H1085" s="1">
        <v>21700000</v>
      </c>
    </row>
    <row r="1086" spans="1:8" ht="13.5" customHeight="1" x14ac:dyDescent="0.3">
      <c r="A1086" s="1" t="s">
        <v>186</v>
      </c>
      <c r="B1086" s="1" t="s">
        <v>193</v>
      </c>
      <c r="C1086" s="1" t="s">
        <v>4509</v>
      </c>
      <c r="D1086" s="1">
        <v>2021</v>
      </c>
      <c r="E1086" s="1" t="str">
        <f t="shared" si="4"/>
        <v>SELTOSSELTOS MPI 6MT 1.62021</v>
      </c>
      <c r="F1086" s="1" t="s">
        <v>1771</v>
      </c>
      <c r="G1086" s="1">
        <v>12590000</v>
      </c>
      <c r="H1086" s="1">
        <v>10800000</v>
      </c>
    </row>
    <row r="1087" spans="1:8" ht="13.5" customHeight="1" x14ac:dyDescent="0.3">
      <c r="A1087" s="1" t="s">
        <v>186</v>
      </c>
      <c r="B1087" s="1" t="s">
        <v>193</v>
      </c>
      <c r="C1087" s="1" t="s">
        <v>4509</v>
      </c>
      <c r="D1087" s="1">
        <v>2021</v>
      </c>
      <c r="E1087" s="1" t="str">
        <f t="shared" si="4"/>
        <v>SELTOSSELTOS MPI 6MT 1.62021</v>
      </c>
      <c r="F1087" s="1" t="s">
        <v>833</v>
      </c>
      <c r="G1087" s="1">
        <v>13290000</v>
      </c>
      <c r="H1087" s="1">
        <v>11000000</v>
      </c>
    </row>
    <row r="1088" spans="1:8" ht="13.5" customHeight="1" x14ac:dyDescent="0.3">
      <c r="A1088" s="1" t="s">
        <v>186</v>
      </c>
      <c r="B1088" s="1" t="s">
        <v>193</v>
      </c>
      <c r="C1088" s="1" t="s">
        <v>4509</v>
      </c>
      <c r="D1088" s="1">
        <v>2021</v>
      </c>
      <c r="E1088" s="1" t="str">
        <f t="shared" si="4"/>
        <v>SELTOSSELTOS MPI 6MT 1.62021</v>
      </c>
      <c r="F1088" s="1" t="s">
        <v>1890</v>
      </c>
      <c r="G1088" s="1">
        <v>12190000</v>
      </c>
      <c r="H1088" s="1">
        <v>11000000</v>
      </c>
    </row>
    <row r="1089" spans="1:8" ht="13.5" customHeight="1" x14ac:dyDescent="0.3">
      <c r="A1089" s="1" t="s">
        <v>186</v>
      </c>
      <c r="B1089" s="1" t="s">
        <v>193</v>
      </c>
      <c r="C1089" s="1" t="s">
        <v>4509</v>
      </c>
      <c r="D1089" s="1">
        <v>2021</v>
      </c>
      <c r="E1089" s="1" t="str">
        <f t="shared" si="4"/>
        <v>SELTOSSELTOS MPI 6MT 1.62021</v>
      </c>
      <c r="F1089" s="1" t="s">
        <v>2018</v>
      </c>
      <c r="G1089" s="1">
        <v>14490000</v>
      </c>
      <c r="H1089" s="1">
        <v>12002942</v>
      </c>
    </row>
    <row r="1090" spans="1:8" ht="13.5" customHeight="1" x14ac:dyDescent="0.3">
      <c r="A1090" s="1" t="s">
        <v>186</v>
      </c>
      <c r="B1090" s="1" t="s">
        <v>193</v>
      </c>
      <c r="C1090" s="1" t="s">
        <v>4509</v>
      </c>
      <c r="D1090" s="1">
        <v>2021</v>
      </c>
      <c r="E1090" s="1" t="str">
        <f t="shared" si="4"/>
        <v>SELTOSSELTOS MPI 6MT 1.62021</v>
      </c>
      <c r="F1090" s="1" t="s">
        <v>425</v>
      </c>
      <c r="G1090" s="1">
        <v>11990000</v>
      </c>
      <c r="H1090" s="1">
        <v>10000000</v>
      </c>
    </row>
    <row r="1091" spans="1:8" ht="13.5" customHeight="1" x14ac:dyDescent="0.3">
      <c r="A1091" s="1" t="s">
        <v>186</v>
      </c>
      <c r="B1091" s="1" t="s">
        <v>193</v>
      </c>
      <c r="C1091" s="1" t="s">
        <v>4509</v>
      </c>
      <c r="D1091" s="1">
        <v>2022</v>
      </c>
      <c r="E1091" s="1" t="str">
        <f t="shared" si="4"/>
        <v>SELTOSSELTOS MPI 6MT 1.62022</v>
      </c>
      <c r="F1091" s="1" t="s">
        <v>1928</v>
      </c>
      <c r="G1091" s="1">
        <v>14490000</v>
      </c>
      <c r="H1091" s="1">
        <v>12300000</v>
      </c>
    </row>
    <row r="1092" spans="1:8" ht="13.5" customHeight="1" x14ac:dyDescent="0.3">
      <c r="A1092" s="1" t="s">
        <v>186</v>
      </c>
      <c r="B1092" s="1" t="s">
        <v>193</v>
      </c>
      <c r="C1092" s="1" t="s">
        <v>4509</v>
      </c>
      <c r="D1092" s="1">
        <v>2023</v>
      </c>
      <c r="E1092" s="1" t="str">
        <f t="shared" si="4"/>
        <v>SELTOSSELTOS MPI 6MT 1.62023</v>
      </c>
      <c r="F1092" s="1" t="s">
        <v>583</v>
      </c>
      <c r="G1092" s="1">
        <v>15690000</v>
      </c>
      <c r="H1092" s="1">
        <v>13300000</v>
      </c>
    </row>
    <row r="1093" spans="1:8" ht="13.5" customHeight="1" x14ac:dyDescent="0.3">
      <c r="A1093" s="1" t="s">
        <v>186</v>
      </c>
      <c r="B1093" s="1" t="s">
        <v>193</v>
      </c>
      <c r="C1093" s="1" t="s">
        <v>4509</v>
      </c>
      <c r="D1093" s="1">
        <v>2023</v>
      </c>
      <c r="E1093" s="1" t="str">
        <f t="shared" si="4"/>
        <v>SELTOSSELTOS MPI 6MT 1.62023</v>
      </c>
      <c r="F1093" s="1" t="s">
        <v>772</v>
      </c>
      <c r="G1093" s="1">
        <v>13790000</v>
      </c>
      <c r="H1093" s="1">
        <v>11700000</v>
      </c>
    </row>
    <row r="1094" spans="1:8" ht="13.5" customHeight="1" x14ac:dyDescent="0.3">
      <c r="A1094" s="1" t="s">
        <v>186</v>
      </c>
      <c r="B1094" s="1" t="s">
        <v>193</v>
      </c>
      <c r="C1094" s="1" t="s">
        <v>4509</v>
      </c>
      <c r="D1094" s="1">
        <v>2023</v>
      </c>
      <c r="E1094" s="1" t="str">
        <f t="shared" si="4"/>
        <v>SELTOSSELTOS MPI 6MT 1.62023</v>
      </c>
      <c r="F1094" s="1" t="s">
        <v>1730</v>
      </c>
      <c r="G1094" s="1">
        <v>15390000</v>
      </c>
      <c r="H1094" s="1">
        <v>13000000</v>
      </c>
    </row>
    <row r="1095" spans="1:8" ht="13.5" customHeight="1" x14ac:dyDescent="0.3">
      <c r="A1095" s="1" t="s">
        <v>186</v>
      </c>
      <c r="B1095" s="1" t="s">
        <v>193</v>
      </c>
      <c r="C1095" s="1" t="s">
        <v>4509</v>
      </c>
      <c r="D1095" s="1">
        <v>2023</v>
      </c>
      <c r="E1095" s="1" t="str">
        <f t="shared" si="4"/>
        <v>SELTOSSELTOS MPI 6MT 1.62023</v>
      </c>
      <c r="F1095" s="1" t="s">
        <v>648</v>
      </c>
      <c r="G1095" s="1">
        <v>13990000</v>
      </c>
      <c r="H1095" s="1">
        <v>12000000</v>
      </c>
    </row>
    <row r="1096" spans="1:8" ht="13.5" customHeight="1" x14ac:dyDescent="0.3">
      <c r="A1096" s="1" t="s">
        <v>186</v>
      </c>
      <c r="B1096" s="1" t="s">
        <v>2499</v>
      </c>
      <c r="C1096" s="1" t="s">
        <v>4510</v>
      </c>
      <c r="D1096" s="1">
        <v>2021</v>
      </c>
      <c r="E1096" s="1" t="str">
        <f t="shared" si="4"/>
        <v>SOLUTOSOLUTO 1.42021</v>
      </c>
      <c r="F1096" s="1" t="s">
        <v>1090</v>
      </c>
      <c r="G1096" s="1">
        <v>6890000</v>
      </c>
      <c r="H1096" s="1">
        <v>5500000</v>
      </c>
    </row>
    <row r="1097" spans="1:8" ht="13.5" customHeight="1" x14ac:dyDescent="0.3">
      <c r="A1097" s="1" t="s">
        <v>186</v>
      </c>
      <c r="B1097" s="1" t="s">
        <v>2499</v>
      </c>
      <c r="C1097" s="1" t="s">
        <v>4510</v>
      </c>
      <c r="D1097" s="1">
        <v>2021</v>
      </c>
      <c r="E1097" s="1" t="str">
        <f t="shared" si="4"/>
        <v>SOLUTOSOLUTO 1.42021</v>
      </c>
      <c r="F1097" s="1" t="s">
        <v>1660</v>
      </c>
      <c r="G1097" s="1">
        <v>7090000</v>
      </c>
      <c r="H1097" s="1">
        <v>5800000</v>
      </c>
    </row>
    <row r="1098" spans="1:8" ht="13.5" customHeight="1" x14ac:dyDescent="0.3">
      <c r="A1098" s="1" t="s">
        <v>186</v>
      </c>
      <c r="B1098" s="1" t="s">
        <v>2499</v>
      </c>
      <c r="C1098" s="1" t="s">
        <v>4510</v>
      </c>
      <c r="D1098" s="1">
        <v>2021</v>
      </c>
      <c r="E1098" s="1" t="str">
        <f t="shared" si="4"/>
        <v>SOLUTOSOLUTO 1.42021</v>
      </c>
      <c r="F1098" s="1" t="s">
        <v>1947</v>
      </c>
      <c r="G1098" s="1">
        <v>7490000</v>
      </c>
      <c r="H1098" s="1">
        <v>6000000</v>
      </c>
    </row>
    <row r="1099" spans="1:8" ht="13.5" customHeight="1" x14ac:dyDescent="0.3">
      <c r="A1099" s="1" t="s">
        <v>186</v>
      </c>
      <c r="B1099" s="1" t="s">
        <v>2499</v>
      </c>
      <c r="C1099" s="1" t="s">
        <v>4510</v>
      </c>
      <c r="D1099" s="1">
        <v>2021</v>
      </c>
      <c r="E1099" s="1" t="str">
        <f t="shared" si="4"/>
        <v>SOLUTOSOLUTO 1.42021</v>
      </c>
      <c r="F1099" s="1" t="s">
        <v>1813</v>
      </c>
      <c r="G1099" s="1">
        <v>6890000</v>
      </c>
      <c r="H1099" s="1">
        <v>5500000</v>
      </c>
    </row>
    <row r="1100" spans="1:8" ht="13.5" customHeight="1" x14ac:dyDescent="0.3">
      <c r="A1100" s="1" t="s">
        <v>186</v>
      </c>
      <c r="B1100" s="1" t="s">
        <v>2499</v>
      </c>
      <c r="C1100" s="1" t="s">
        <v>4510</v>
      </c>
      <c r="D1100" s="1">
        <v>2021</v>
      </c>
      <c r="E1100" s="1" t="str">
        <f t="shared" si="4"/>
        <v>SOLUTOSOLUTO 1.42021</v>
      </c>
      <c r="F1100" s="1" t="s">
        <v>2199</v>
      </c>
      <c r="G1100" s="1">
        <v>7990000</v>
      </c>
      <c r="H1100" s="1">
        <v>6500000</v>
      </c>
    </row>
    <row r="1101" spans="1:8" ht="13.5" customHeight="1" x14ac:dyDescent="0.3">
      <c r="A1101" s="1" t="s">
        <v>186</v>
      </c>
      <c r="B1101" s="1" t="s">
        <v>2499</v>
      </c>
      <c r="C1101" s="1" t="s">
        <v>4510</v>
      </c>
      <c r="D1101" s="1">
        <v>2021</v>
      </c>
      <c r="E1101" s="1" t="str">
        <f t="shared" si="4"/>
        <v>SOLUTOSOLUTO 1.42021</v>
      </c>
      <c r="F1101" s="1" t="s">
        <v>1596</v>
      </c>
      <c r="G1101" s="1">
        <v>7290000</v>
      </c>
      <c r="H1101" s="1">
        <v>6000000</v>
      </c>
    </row>
    <row r="1102" spans="1:8" ht="13.5" customHeight="1" x14ac:dyDescent="0.3">
      <c r="A1102" s="1" t="s">
        <v>186</v>
      </c>
      <c r="B1102" s="1" t="s">
        <v>2499</v>
      </c>
      <c r="C1102" s="1" t="s">
        <v>4510</v>
      </c>
      <c r="D1102" s="1">
        <v>2021</v>
      </c>
      <c r="E1102" s="1" t="str">
        <f t="shared" si="4"/>
        <v>SOLUTOSOLUTO 1.42021</v>
      </c>
      <c r="F1102" s="1" t="s">
        <v>335</v>
      </c>
      <c r="G1102" s="1">
        <v>7490000</v>
      </c>
      <c r="H1102" s="1">
        <v>5900000</v>
      </c>
    </row>
    <row r="1103" spans="1:8" ht="13.5" customHeight="1" x14ac:dyDescent="0.3">
      <c r="A1103" s="1" t="s">
        <v>186</v>
      </c>
      <c r="B1103" s="1" t="s">
        <v>2499</v>
      </c>
      <c r="C1103" s="1" t="s">
        <v>4510</v>
      </c>
      <c r="D1103" s="1">
        <v>2021</v>
      </c>
      <c r="E1103" s="1" t="str">
        <f t="shared" si="4"/>
        <v>SOLUTOSOLUTO 1.42021</v>
      </c>
      <c r="F1103" s="1" t="s">
        <v>947</v>
      </c>
      <c r="G1103" s="1">
        <v>7390000</v>
      </c>
      <c r="H1103" s="1">
        <v>5550000</v>
      </c>
    </row>
    <row r="1104" spans="1:8" ht="13.5" customHeight="1" x14ac:dyDescent="0.3">
      <c r="A1104" s="1" t="s">
        <v>186</v>
      </c>
      <c r="B1104" s="1" t="s">
        <v>2499</v>
      </c>
      <c r="C1104" s="1" t="s">
        <v>4510</v>
      </c>
      <c r="D1104" s="1">
        <v>2022</v>
      </c>
      <c r="E1104" s="1" t="str">
        <f t="shared" si="4"/>
        <v>SOLUTOSOLUTO 1.42022</v>
      </c>
      <c r="F1104" s="1" t="s">
        <v>2278</v>
      </c>
      <c r="G1104" s="1">
        <v>7790000</v>
      </c>
      <c r="H1104" s="1">
        <v>6700000</v>
      </c>
    </row>
    <row r="1105" spans="1:8" ht="13.5" customHeight="1" x14ac:dyDescent="0.3">
      <c r="A1105" s="1" t="s">
        <v>186</v>
      </c>
      <c r="B1105" s="1" t="s">
        <v>2499</v>
      </c>
      <c r="C1105" s="1" t="s">
        <v>4510</v>
      </c>
      <c r="D1105" s="1">
        <v>2022</v>
      </c>
      <c r="E1105" s="1" t="str">
        <f t="shared" si="4"/>
        <v>SOLUTOSOLUTO 1.42022</v>
      </c>
      <c r="F1105" s="1" t="s">
        <v>674</v>
      </c>
      <c r="G1105" s="1">
        <v>8289060</v>
      </c>
      <c r="H1105" s="1">
        <v>7000000</v>
      </c>
    </row>
    <row r="1106" spans="1:8" ht="13.5" customHeight="1" x14ac:dyDescent="0.3">
      <c r="A1106" s="1" t="s">
        <v>186</v>
      </c>
      <c r="B1106" s="1" t="s">
        <v>2499</v>
      </c>
      <c r="C1106" s="1" t="s">
        <v>4510</v>
      </c>
      <c r="D1106" s="1">
        <v>2022</v>
      </c>
      <c r="E1106" s="1" t="str">
        <f t="shared" si="4"/>
        <v>SOLUTOSOLUTO 1.42022</v>
      </c>
      <c r="F1106" s="1" t="s">
        <v>1065</v>
      </c>
      <c r="G1106" s="1">
        <v>7990000</v>
      </c>
      <c r="H1106" s="1">
        <v>6800000</v>
      </c>
    </row>
    <row r="1107" spans="1:8" ht="13.5" customHeight="1" x14ac:dyDescent="0.3">
      <c r="A1107" s="1" t="s">
        <v>186</v>
      </c>
      <c r="B1107" s="1" t="s">
        <v>2499</v>
      </c>
      <c r="C1107" s="1" t="s">
        <v>4510</v>
      </c>
      <c r="D1107" s="1">
        <v>2022</v>
      </c>
      <c r="E1107" s="1" t="str">
        <f t="shared" si="4"/>
        <v>SOLUTOSOLUTO 1.42022</v>
      </c>
      <c r="F1107" s="1" t="s">
        <v>838</v>
      </c>
      <c r="G1107" s="1">
        <v>7890000</v>
      </c>
      <c r="H1107" s="1">
        <v>6500000</v>
      </c>
    </row>
    <row r="1108" spans="1:8" ht="13.5" customHeight="1" x14ac:dyDescent="0.3">
      <c r="A1108" s="1" t="s">
        <v>186</v>
      </c>
      <c r="B1108" s="1" t="s">
        <v>2499</v>
      </c>
      <c r="C1108" s="1" t="s">
        <v>4510</v>
      </c>
      <c r="D1108" s="1">
        <v>2023</v>
      </c>
      <c r="E1108" s="1" t="str">
        <f t="shared" si="4"/>
        <v>SOLUTOSOLUTO 1.42023</v>
      </c>
      <c r="F1108" s="1" t="s">
        <v>756</v>
      </c>
      <c r="G1108" s="1">
        <v>8790000</v>
      </c>
      <c r="H1108" s="1">
        <v>7200000</v>
      </c>
    </row>
    <row r="1109" spans="1:8" ht="13.5" customHeight="1" x14ac:dyDescent="0.3">
      <c r="A1109" s="1" t="s">
        <v>186</v>
      </c>
      <c r="B1109" s="1" t="s">
        <v>2499</v>
      </c>
      <c r="C1109" s="1" t="s">
        <v>4510</v>
      </c>
      <c r="D1109" s="1">
        <v>2023</v>
      </c>
      <c r="E1109" s="1" t="str">
        <f t="shared" si="4"/>
        <v>SOLUTOSOLUTO 1.42023</v>
      </c>
      <c r="F1109" s="1" t="s">
        <v>829</v>
      </c>
      <c r="G1109" s="1">
        <v>8790000</v>
      </c>
      <c r="H1109" s="1">
        <v>7200000</v>
      </c>
    </row>
    <row r="1110" spans="1:8" ht="13.5" customHeight="1" x14ac:dyDescent="0.3">
      <c r="A1110" s="1" t="s">
        <v>186</v>
      </c>
      <c r="B1110" s="1" t="s">
        <v>2499</v>
      </c>
      <c r="C1110" s="1" t="s">
        <v>4510</v>
      </c>
      <c r="D1110" s="1">
        <v>2023</v>
      </c>
      <c r="E1110" s="1" t="str">
        <f t="shared" si="4"/>
        <v>SOLUTOSOLUTO 1.42023</v>
      </c>
      <c r="F1110" s="1" t="s">
        <v>1169</v>
      </c>
      <c r="G1110" s="1">
        <v>9290000</v>
      </c>
      <c r="H1110" s="1">
        <v>7500000</v>
      </c>
    </row>
    <row r="1111" spans="1:8" ht="13.5" customHeight="1" x14ac:dyDescent="0.3">
      <c r="A1111" s="1" t="s">
        <v>186</v>
      </c>
      <c r="B1111" s="1" t="s">
        <v>2499</v>
      </c>
      <c r="C1111" s="1" t="s">
        <v>4510</v>
      </c>
      <c r="D1111" s="1">
        <v>2023</v>
      </c>
      <c r="E1111" s="1" t="str">
        <f t="shared" si="4"/>
        <v>SOLUTOSOLUTO 1.42023</v>
      </c>
      <c r="F1111" s="1" t="s">
        <v>328</v>
      </c>
      <c r="G1111" s="1">
        <v>8990000</v>
      </c>
      <c r="H1111" s="1">
        <v>7200000</v>
      </c>
    </row>
    <row r="1112" spans="1:8" ht="13.5" customHeight="1" x14ac:dyDescent="0.3">
      <c r="A1112" s="1" t="s">
        <v>186</v>
      </c>
      <c r="B1112" s="1" t="s">
        <v>2499</v>
      </c>
      <c r="C1112" s="1" t="s">
        <v>4511</v>
      </c>
      <c r="D1112" s="1">
        <v>2020</v>
      </c>
      <c r="E1112" s="1" t="str">
        <f t="shared" si="4"/>
        <v>SOLUTOSOLUTO LX 1.42020</v>
      </c>
      <c r="F1112" s="1" t="s">
        <v>2321</v>
      </c>
      <c r="G1112" s="1">
        <v>7220000</v>
      </c>
      <c r="H1112" s="1">
        <v>6000000</v>
      </c>
    </row>
    <row r="1113" spans="1:8" ht="13.5" customHeight="1" x14ac:dyDescent="0.3">
      <c r="A1113" s="1" t="s">
        <v>186</v>
      </c>
      <c r="B1113" s="1" t="s">
        <v>2499</v>
      </c>
      <c r="C1113" s="1" t="s">
        <v>4511</v>
      </c>
      <c r="D1113" s="1">
        <v>2020</v>
      </c>
      <c r="E1113" s="1" t="str">
        <f t="shared" si="4"/>
        <v>SOLUTOSOLUTO LX 1.42020</v>
      </c>
      <c r="F1113" s="1" t="s">
        <v>2331</v>
      </c>
      <c r="G1113" s="1">
        <v>7990000</v>
      </c>
      <c r="H1113" s="1">
        <v>6500000</v>
      </c>
    </row>
    <row r="1114" spans="1:8" ht="13.5" customHeight="1" x14ac:dyDescent="0.3">
      <c r="A1114" s="1" t="s">
        <v>186</v>
      </c>
      <c r="B1114" s="1" t="s">
        <v>2499</v>
      </c>
      <c r="C1114" s="1" t="s">
        <v>4511</v>
      </c>
      <c r="D1114" s="1">
        <v>2020</v>
      </c>
      <c r="E1114" s="1" t="str">
        <f t="shared" si="4"/>
        <v>SOLUTOSOLUTO LX 1.42020</v>
      </c>
      <c r="F1114" s="1" t="s">
        <v>4512</v>
      </c>
      <c r="G1114" s="1">
        <v>6990000</v>
      </c>
      <c r="H1114" s="1">
        <v>5800000</v>
      </c>
    </row>
    <row r="1115" spans="1:8" ht="13.5" customHeight="1" x14ac:dyDescent="0.3">
      <c r="A1115" s="1" t="s">
        <v>186</v>
      </c>
      <c r="B1115" s="1" t="s">
        <v>2499</v>
      </c>
      <c r="C1115" s="1" t="s">
        <v>4511</v>
      </c>
      <c r="D1115" s="1">
        <v>2020</v>
      </c>
      <c r="E1115" s="1" t="str">
        <f t="shared" si="4"/>
        <v>SOLUTOSOLUTO LX 1.42020</v>
      </c>
      <c r="F1115" s="1" t="s">
        <v>2196</v>
      </c>
      <c r="G1115" s="1">
        <v>6855000</v>
      </c>
      <c r="H1115" s="1">
        <v>5300000</v>
      </c>
    </row>
    <row r="1116" spans="1:8" ht="13.5" customHeight="1" x14ac:dyDescent="0.3">
      <c r="A1116" s="1" t="s">
        <v>186</v>
      </c>
      <c r="B1116" s="1" t="s">
        <v>2499</v>
      </c>
      <c r="C1116" s="1" t="s">
        <v>4511</v>
      </c>
      <c r="D1116" s="1">
        <v>2020</v>
      </c>
      <c r="E1116" s="1" t="str">
        <f t="shared" si="4"/>
        <v>SOLUTOSOLUTO LX 1.42020</v>
      </c>
      <c r="F1116" s="1" t="s">
        <v>2110</v>
      </c>
      <c r="G1116" s="1">
        <v>8190000</v>
      </c>
      <c r="H1116" s="1">
        <v>6500000</v>
      </c>
    </row>
    <row r="1117" spans="1:8" ht="13.5" customHeight="1" x14ac:dyDescent="0.3">
      <c r="A1117" s="1" t="s">
        <v>186</v>
      </c>
      <c r="B1117" s="1" t="s">
        <v>2499</v>
      </c>
      <c r="C1117" s="1" t="s">
        <v>4511</v>
      </c>
      <c r="D1117" s="1">
        <v>2024</v>
      </c>
      <c r="E1117" s="1" t="str">
        <f t="shared" si="4"/>
        <v>SOLUTOSOLUTO LX 1.42024</v>
      </c>
      <c r="F1117" s="1" t="s">
        <v>464</v>
      </c>
      <c r="G1117" s="1">
        <v>9490000</v>
      </c>
      <c r="H1117" s="1">
        <v>7850000</v>
      </c>
    </row>
    <row r="1118" spans="1:8" ht="13.5" customHeight="1" x14ac:dyDescent="0.3">
      <c r="A1118" s="1" t="s">
        <v>186</v>
      </c>
      <c r="B1118" s="1" t="s">
        <v>2499</v>
      </c>
      <c r="C1118" s="1" t="s">
        <v>4513</v>
      </c>
      <c r="D1118" s="1">
        <v>2024</v>
      </c>
      <c r="E1118" s="1" t="str">
        <f t="shared" si="4"/>
        <v>SOLUTOSOLUTO MPI 1.42024</v>
      </c>
      <c r="F1118" s="1" t="s">
        <v>1007</v>
      </c>
      <c r="G1118" s="1">
        <v>10290000</v>
      </c>
      <c r="H1118" s="1">
        <v>8500000</v>
      </c>
    </row>
    <row r="1119" spans="1:8" ht="13.5" customHeight="1" x14ac:dyDescent="0.3">
      <c r="A1119" s="1" t="s">
        <v>186</v>
      </c>
      <c r="B1119" s="1" t="s">
        <v>2499</v>
      </c>
      <c r="C1119" s="1" t="s">
        <v>4513</v>
      </c>
      <c r="D1119" s="1">
        <v>2024</v>
      </c>
      <c r="E1119" s="1" t="str">
        <f t="shared" si="4"/>
        <v>SOLUTOSOLUTO MPI 1.42024</v>
      </c>
      <c r="F1119" s="1" t="s">
        <v>673</v>
      </c>
      <c r="G1119" s="1">
        <v>9490000</v>
      </c>
      <c r="H1119" s="1">
        <v>8000000</v>
      </c>
    </row>
    <row r="1120" spans="1:8" ht="13.5" customHeight="1" x14ac:dyDescent="0.3">
      <c r="A1120" s="1" t="s">
        <v>186</v>
      </c>
      <c r="B1120" s="1" t="s">
        <v>2499</v>
      </c>
      <c r="C1120" s="1" t="s">
        <v>4513</v>
      </c>
      <c r="D1120" s="1">
        <v>2024</v>
      </c>
      <c r="E1120" s="1" t="str">
        <f t="shared" si="4"/>
        <v>SOLUTOSOLUTO MPI 1.42024</v>
      </c>
      <c r="F1120" s="1" t="s">
        <v>778</v>
      </c>
      <c r="G1120" s="1">
        <v>9690000</v>
      </c>
      <c r="H1120" s="1">
        <v>8000000</v>
      </c>
    </row>
    <row r="1121" spans="1:8" ht="13.5" customHeight="1" x14ac:dyDescent="0.3">
      <c r="A1121" s="1" t="s">
        <v>186</v>
      </c>
      <c r="B1121" s="1" t="s">
        <v>2499</v>
      </c>
      <c r="C1121" s="1" t="s">
        <v>4513</v>
      </c>
      <c r="D1121" s="1">
        <v>2026</v>
      </c>
      <c r="E1121" s="1" t="str">
        <f t="shared" si="4"/>
        <v>SOLUTOSOLUTO MPI 1.42026</v>
      </c>
      <c r="F1121" s="1" t="s">
        <v>554</v>
      </c>
      <c r="G1121" s="1">
        <v>11413000</v>
      </c>
      <c r="H1121" s="1">
        <v>10000000</v>
      </c>
    </row>
    <row r="1122" spans="1:8" ht="13.5" customHeight="1" x14ac:dyDescent="0.3">
      <c r="A1122" s="1" t="s">
        <v>186</v>
      </c>
      <c r="B1122" s="1" t="s">
        <v>2664</v>
      </c>
      <c r="C1122" s="1" t="s">
        <v>4514</v>
      </c>
      <c r="D1122" s="1">
        <v>2021</v>
      </c>
      <c r="E1122" s="1" t="str">
        <f t="shared" si="4"/>
        <v>SONETSONET EX 1.52021</v>
      </c>
      <c r="F1122" s="1" t="s">
        <v>457</v>
      </c>
      <c r="G1122" s="1">
        <v>12190000</v>
      </c>
      <c r="H1122" s="1">
        <v>9750000</v>
      </c>
    </row>
    <row r="1123" spans="1:8" ht="13.5" customHeight="1" x14ac:dyDescent="0.3">
      <c r="A1123" s="1" t="s">
        <v>186</v>
      </c>
      <c r="B1123" s="1" t="s">
        <v>2664</v>
      </c>
      <c r="C1123" s="1" t="s">
        <v>4514</v>
      </c>
      <c r="D1123" s="1">
        <v>2021</v>
      </c>
      <c r="E1123" s="1" t="str">
        <f t="shared" si="4"/>
        <v>SONETSONET EX 1.52021</v>
      </c>
      <c r="F1123" s="1" t="s">
        <v>1582</v>
      </c>
      <c r="G1123" s="1">
        <v>11890000</v>
      </c>
      <c r="H1123" s="1">
        <v>10000000</v>
      </c>
    </row>
    <row r="1124" spans="1:8" ht="13.5" customHeight="1" x14ac:dyDescent="0.3">
      <c r="A1124" s="1" t="s">
        <v>186</v>
      </c>
      <c r="B1124" s="1" t="s">
        <v>2664</v>
      </c>
      <c r="C1124" s="1" t="s">
        <v>4514</v>
      </c>
      <c r="D1124" s="1">
        <v>2021</v>
      </c>
      <c r="E1124" s="1" t="str">
        <f t="shared" si="4"/>
        <v>SONETSONET EX 1.52021</v>
      </c>
      <c r="F1124" s="1" t="s">
        <v>1992</v>
      </c>
      <c r="G1124" s="1">
        <v>13290000</v>
      </c>
      <c r="H1124" s="1">
        <v>10300000</v>
      </c>
    </row>
    <row r="1125" spans="1:8" ht="13.5" customHeight="1" x14ac:dyDescent="0.3">
      <c r="A1125" s="1" t="s">
        <v>186</v>
      </c>
      <c r="B1125" s="1" t="s">
        <v>2664</v>
      </c>
      <c r="C1125" s="1" t="s">
        <v>4514</v>
      </c>
      <c r="D1125" s="1">
        <v>2021</v>
      </c>
      <c r="E1125" s="1" t="str">
        <f t="shared" si="4"/>
        <v>SONETSONET EX 1.52021</v>
      </c>
      <c r="F1125" s="1" t="s">
        <v>996</v>
      </c>
      <c r="G1125" s="1">
        <v>11290000</v>
      </c>
      <c r="H1125" s="1">
        <v>9000000</v>
      </c>
    </row>
    <row r="1126" spans="1:8" ht="13.5" customHeight="1" x14ac:dyDescent="0.3">
      <c r="A1126" s="1" t="s">
        <v>186</v>
      </c>
      <c r="B1126" s="1" t="s">
        <v>2664</v>
      </c>
      <c r="C1126" s="1" t="s">
        <v>4514</v>
      </c>
      <c r="D1126" s="1">
        <v>2021</v>
      </c>
      <c r="E1126" s="1" t="str">
        <f t="shared" si="4"/>
        <v>SONETSONET EX 1.52021</v>
      </c>
      <c r="F1126" s="1" t="s">
        <v>635</v>
      </c>
      <c r="G1126" s="1">
        <v>11990000</v>
      </c>
      <c r="H1126" s="1">
        <v>10500000</v>
      </c>
    </row>
    <row r="1127" spans="1:8" ht="13.5" customHeight="1" x14ac:dyDescent="0.3">
      <c r="A1127" s="1" t="s">
        <v>186</v>
      </c>
      <c r="B1127" s="1" t="s">
        <v>2664</v>
      </c>
      <c r="C1127" s="1" t="s">
        <v>4514</v>
      </c>
      <c r="D1127" s="1">
        <v>2021</v>
      </c>
      <c r="E1127" s="1" t="str">
        <f t="shared" si="4"/>
        <v>SONETSONET EX 1.52021</v>
      </c>
      <c r="F1127" s="1" t="s">
        <v>1808</v>
      </c>
      <c r="G1127" s="1">
        <v>11990000</v>
      </c>
      <c r="H1127" s="1">
        <v>9000000</v>
      </c>
    </row>
    <row r="1128" spans="1:8" ht="13.5" customHeight="1" x14ac:dyDescent="0.3">
      <c r="A1128" s="1" t="s">
        <v>186</v>
      </c>
      <c r="B1128" s="1" t="s">
        <v>2664</v>
      </c>
      <c r="C1128" s="1" t="s">
        <v>4514</v>
      </c>
      <c r="D1128" s="1">
        <v>2021</v>
      </c>
      <c r="E1128" s="1" t="str">
        <f t="shared" si="4"/>
        <v>SONETSONET EX 1.52021</v>
      </c>
      <c r="F1128" s="1" t="s">
        <v>748</v>
      </c>
      <c r="G1128" s="1">
        <v>12690000</v>
      </c>
      <c r="H1128" s="1">
        <v>10350000</v>
      </c>
    </row>
    <row r="1129" spans="1:8" ht="13.5" customHeight="1" x14ac:dyDescent="0.3">
      <c r="A1129" s="1" t="s">
        <v>186</v>
      </c>
      <c r="B1129" s="1" t="s">
        <v>2664</v>
      </c>
      <c r="C1129" s="1" t="s">
        <v>4514</v>
      </c>
      <c r="D1129" s="1">
        <v>2022</v>
      </c>
      <c r="E1129" s="1" t="str">
        <f t="shared" si="4"/>
        <v>SONETSONET EX 1.52022</v>
      </c>
      <c r="F1129" s="1" t="s">
        <v>1358</v>
      </c>
      <c r="G1129" s="1">
        <v>12670000</v>
      </c>
      <c r="H1129" s="1">
        <v>11500000</v>
      </c>
    </row>
    <row r="1130" spans="1:8" ht="13.5" customHeight="1" x14ac:dyDescent="0.3">
      <c r="A1130" s="1" t="s">
        <v>186</v>
      </c>
      <c r="B1130" s="1" t="s">
        <v>2664</v>
      </c>
      <c r="C1130" s="1" t="s">
        <v>4514</v>
      </c>
      <c r="D1130" s="1">
        <v>2022</v>
      </c>
      <c r="E1130" s="1" t="str">
        <f t="shared" si="4"/>
        <v>SONETSONET EX 1.52022</v>
      </c>
      <c r="F1130" s="1" t="s">
        <v>1207</v>
      </c>
      <c r="G1130" s="1">
        <v>12490000</v>
      </c>
      <c r="H1130" s="1">
        <v>10000000</v>
      </c>
    </row>
    <row r="1131" spans="1:8" ht="13.5" customHeight="1" x14ac:dyDescent="0.3">
      <c r="A1131" s="1" t="s">
        <v>186</v>
      </c>
      <c r="B1131" s="1" t="s">
        <v>2664</v>
      </c>
      <c r="C1131" s="1" t="s">
        <v>4514</v>
      </c>
      <c r="D1131" s="1">
        <v>2022</v>
      </c>
      <c r="E1131" s="1" t="str">
        <f t="shared" si="4"/>
        <v>SONETSONET EX 1.52022</v>
      </c>
      <c r="F1131" s="1" t="s">
        <v>1047</v>
      </c>
      <c r="G1131" s="1">
        <v>12990000</v>
      </c>
      <c r="H1131" s="1">
        <v>11000000</v>
      </c>
    </row>
    <row r="1132" spans="1:8" ht="13.5" customHeight="1" x14ac:dyDescent="0.3">
      <c r="A1132" s="1" t="s">
        <v>186</v>
      </c>
      <c r="B1132" s="1" t="s">
        <v>2664</v>
      </c>
      <c r="C1132" s="1" t="s">
        <v>4514</v>
      </c>
      <c r="D1132" s="1">
        <v>2022</v>
      </c>
      <c r="E1132" s="1" t="str">
        <f t="shared" si="4"/>
        <v>SONETSONET EX 1.52022</v>
      </c>
      <c r="F1132" s="1" t="s">
        <v>507</v>
      </c>
      <c r="G1132" s="1">
        <v>12590000</v>
      </c>
      <c r="H1132" s="1">
        <v>10600000</v>
      </c>
    </row>
    <row r="1133" spans="1:8" ht="13.5" customHeight="1" x14ac:dyDescent="0.3">
      <c r="A1133" s="1" t="s">
        <v>186</v>
      </c>
      <c r="B1133" s="1" t="s">
        <v>2664</v>
      </c>
      <c r="C1133" s="1" t="s">
        <v>4514</v>
      </c>
      <c r="D1133" s="1">
        <v>2022</v>
      </c>
      <c r="E1133" s="1" t="str">
        <f t="shared" si="4"/>
        <v>SONETSONET EX 1.52022</v>
      </c>
      <c r="F1133" s="1" t="s">
        <v>845</v>
      </c>
      <c r="G1133" s="1">
        <v>12590000</v>
      </c>
      <c r="H1133" s="1">
        <v>10500000</v>
      </c>
    </row>
    <row r="1134" spans="1:8" ht="13.5" customHeight="1" x14ac:dyDescent="0.3">
      <c r="A1134" s="1" t="s">
        <v>186</v>
      </c>
      <c r="B1134" s="1" t="s">
        <v>2664</v>
      </c>
      <c r="C1134" s="1" t="s">
        <v>4514</v>
      </c>
      <c r="D1134" s="1">
        <v>2022</v>
      </c>
      <c r="E1134" s="1" t="str">
        <f t="shared" si="4"/>
        <v>SONETSONET EX 1.52022</v>
      </c>
      <c r="F1134" s="1" t="s">
        <v>847</v>
      </c>
      <c r="G1134" s="1">
        <v>13190000</v>
      </c>
      <c r="H1134" s="1">
        <v>11000000</v>
      </c>
    </row>
    <row r="1135" spans="1:8" ht="13.5" customHeight="1" x14ac:dyDescent="0.3">
      <c r="A1135" s="1" t="s">
        <v>186</v>
      </c>
      <c r="B1135" s="1" t="s">
        <v>2664</v>
      </c>
      <c r="C1135" s="1" t="s">
        <v>4514</v>
      </c>
      <c r="D1135" s="1">
        <v>2022</v>
      </c>
      <c r="E1135" s="1" t="str">
        <f t="shared" si="4"/>
        <v>SONETSONET EX 1.52022</v>
      </c>
      <c r="F1135" s="1" t="s">
        <v>1706</v>
      </c>
      <c r="G1135" s="1">
        <v>12990000</v>
      </c>
      <c r="H1135" s="1">
        <v>11000000</v>
      </c>
    </row>
    <row r="1136" spans="1:8" ht="13.5" customHeight="1" x14ac:dyDescent="0.3">
      <c r="A1136" s="1" t="s">
        <v>186</v>
      </c>
      <c r="B1136" s="1" t="s">
        <v>2664</v>
      </c>
      <c r="C1136" s="1" t="s">
        <v>4514</v>
      </c>
      <c r="D1136" s="1">
        <v>2022</v>
      </c>
      <c r="E1136" s="1" t="str">
        <f t="shared" si="4"/>
        <v>SONETSONET EX 1.52022</v>
      </c>
      <c r="F1136" s="1" t="s">
        <v>2221</v>
      </c>
      <c r="G1136" s="1">
        <v>13990000</v>
      </c>
      <c r="H1136" s="1">
        <v>12000000</v>
      </c>
    </row>
    <row r="1137" spans="1:8" ht="13.5" customHeight="1" x14ac:dyDescent="0.3">
      <c r="A1137" s="1" t="s">
        <v>186</v>
      </c>
      <c r="B1137" s="1" t="s">
        <v>2664</v>
      </c>
      <c r="C1137" s="1" t="s">
        <v>4514</v>
      </c>
      <c r="D1137" s="1">
        <v>2022</v>
      </c>
      <c r="E1137" s="1" t="str">
        <f t="shared" si="4"/>
        <v>SONETSONET EX 1.52022</v>
      </c>
      <c r="F1137" s="1" t="s">
        <v>1578</v>
      </c>
      <c r="G1137" s="1">
        <v>13390002</v>
      </c>
      <c r="H1137" s="1">
        <v>11500000</v>
      </c>
    </row>
    <row r="1138" spans="1:8" ht="13.5" customHeight="1" x14ac:dyDescent="0.3">
      <c r="A1138" s="1" t="s">
        <v>186</v>
      </c>
      <c r="B1138" s="1" t="s">
        <v>2664</v>
      </c>
      <c r="C1138" s="1" t="s">
        <v>4514</v>
      </c>
      <c r="D1138" s="1">
        <v>2022</v>
      </c>
      <c r="E1138" s="1" t="str">
        <f t="shared" si="4"/>
        <v>SONETSONET EX 1.52022</v>
      </c>
      <c r="F1138" s="1" t="s">
        <v>1088</v>
      </c>
      <c r="G1138" s="1">
        <v>12990000</v>
      </c>
      <c r="H1138" s="1">
        <v>9700000</v>
      </c>
    </row>
    <row r="1139" spans="1:8" ht="13.5" customHeight="1" x14ac:dyDescent="0.3">
      <c r="A1139" s="1" t="s">
        <v>186</v>
      </c>
      <c r="B1139" s="1" t="s">
        <v>2664</v>
      </c>
      <c r="C1139" s="1" t="s">
        <v>4514</v>
      </c>
      <c r="D1139" s="1">
        <v>2023</v>
      </c>
      <c r="E1139" s="1" t="str">
        <f t="shared" si="4"/>
        <v>SONETSONET EX 1.52023</v>
      </c>
      <c r="F1139" s="1" t="s">
        <v>1681</v>
      </c>
      <c r="G1139" s="1">
        <v>13990000</v>
      </c>
      <c r="H1139" s="1">
        <v>11500000</v>
      </c>
    </row>
    <row r="1140" spans="1:8" ht="13.5" customHeight="1" x14ac:dyDescent="0.3">
      <c r="A1140" s="1" t="s">
        <v>186</v>
      </c>
      <c r="B1140" s="1" t="s">
        <v>2664</v>
      </c>
      <c r="C1140" s="1" t="s">
        <v>4514</v>
      </c>
      <c r="D1140" s="1">
        <v>2023</v>
      </c>
      <c r="E1140" s="1" t="str">
        <f t="shared" si="4"/>
        <v>SONETSONET EX 1.52023</v>
      </c>
      <c r="F1140" s="1" t="s">
        <v>1874</v>
      </c>
      <c r="G1140" s="1">
        <v>15690000</v>
      </c>
      <c r="H1140" s="1">
        <v>13000000</v>
      </c>
    </row>
    <row r="1141" spans="1:8" ht="13.5" customHeight="1" x14ac:dyDescent="0.3">
      <c r="A1141" s="1" t="s">
        <v>186</v>
      </c>
      <c r="B1141" s="1" t="s">
        <v>2664</v>
      </c>
      <c r="C1141" s="1" t="s">
        <v>4514</v>
      </c>
      <c r="D1141" s="1">
        <v>2023</v>
      </c>
      <c r="E1141" s="1" t="str">
        <f t="shared" si="4"/>
        <v>SONETSONET EX 1.52023</v>
      </c>
      <c r="F1141" s="1" t="s">
        <v>753</v>
      </c>
      <c r="G1141" s="1">
        <v>13290000</v>
      </c>
      <c r="H1141" s="1">
        <v>11000000</v>
      </c>
    </row>
    <row r="1142" spans="1:8" ht="13.5" customHeight="1" x14ac:dyDescent="0.3">
      <c r="A1142" s="1" t="s">
        <v>186</v>
      </c>
      <c r="B1142" s="1" t="s">
        <v>2664</v>
      </c>
      <c r="C1142" s="1" t="s">
        <v>4514</v>
      </c>
      <c r="D1142" s="1">
        <v>2024</v>
      </c>
      <c r="E1142" s="1" t="str">
        <f t="shared" si="4"/>
        <v>SONETSONET EX 1.52024</v>
      </c>
      <c r="F1142" s="1" t="s">
        <v>1260</v>
      </c>
      <c r="G1142" s="1">
        <v>16490000</v>
      </c>
      <c r="H1142" s="1">
        <v>14000000</v>
      </c>
    </row>
    <row r="1143" spans="1:8" ht="13.5" customHeight="1" x14ac:dyDescent="0.3">
      <c r="A1143" s="1" t="s">
        <v>186</v>
      </c>
      <c r="B1143" s="1" t="s">
        <v>2664</v>
      </c>
      <c r="C1143" s="1" t="s">
        <v>4514</v>
      </c>
      <c r="D1143" s="1">
        <v>2024</v>
      </c>
      <c r="E1143" s="1" t="str">
        <f t="shared" si="4"/>
        <v>SONETSONET EX 1.52024</v>
      </c>
      <c r="F1143" s="1" t="s">
        <v>485</v>
      </c>
      <c r="G1143" s="1">
        <v>14045560</v>
      </c>
      <c r="H1143" s="1">
        <v>12100000</v>
      </c>
    </row>
    <row r="1144" spans="1:8" ht="13.5" customHeight="1" x14ac:dyDescent="0.3">
      <c r="A1144" s="1" t="s">
        <v>186</v>
      </c>
      <c r="B1144" s="1" t="s">
        <v>2664</v>
      </c>
      <c r="C1144" s="1" t="s">
        <v>4514</v>
      </c>
      <c r="D1144" s="1">
        <v>2024</v>
      </c>
      <c r="E1144" s="1" t="str">
        <f t="shared" si="4"/>
        <v>SONETSONET EX 1.52024</v>
      </c>
      <c r="F1144" s="1" t="s">
        <v>683</v>
      </c>
      <c r="G1144" s="1">
        <v>13190000</v>
      </c>
      <c r="H1144" s="1">
        <v>11200000</v>
      </c>
    </row>
    <row r="1145" spans="1:8" ht="13.5" customHeight="1" x14ac:dyDescent="0.3">
      <c r="A1145" s="1" t="s">
        <v>186</v>
      </c>
      <c r="B1145" s="1" t="s">
        <v>2664</v>
      </c>
      <c r="C1145" s="1" t="s">
        <v>4515</v>
      </c>
      <c r="D1145" s="1">
        <v>2025</v>
      </c>
      <c r="E1145" s="1" t="str">
        <f t="shared" si="4"/>
        <v>SONETSONET EX 4X2 MT 1.52025</v>
      </c>
      <c r="F1145" s="1" t="s">
        <v>681</v>
      </c>
      <c r="G1145" s="1">
        <v>13704120</v>
      </c>
      <c r="H1145" s="1">
        <v>12000000</v>
      </c>
    </row>
    <row r="1146" spans="1:8" ht="13.5" customHeight="1" x14ac:dyDescent="0.3">
      <c r="A1146" s="1" t="s">
        <v>186</v>
      </c>
      <c r="B1146" s="1" t="s">
        <v>2664</v>
      </c>
      <c r="C1146" s="1" t="s">
        <v>4516</v>
      </c>
      <c r="D1146" s="1">
        <v>2021</v>
      </c>
      <c r="E1146" s="1" t="str">
        <f t="shared" si="4"/>
        <v>SONETSONET EX IVT 1.5 AUT2021</v>
      </c>
      <c r="F1146" s="1" t="s">
        <v>1568</v>
      </c>
      <c r="G1146" s="1">
        <v>12990000</v>
      </c>
      <c r="H1146" s="1">
        <v>11000000</v>
      </c>
    </row>
    <row r="1147" spans="1:8" ht="13.5" customHeight="1" x14ac:dyDescent="0.3">
      <c r="A1147" s="1" t="s">
        <v>186</v>
      </c>
      <c r="B1147" s="1" t="s">
        <v>2664</v>
      </c>
      <c r="C1147" s="1" t="s">
        <v>4516</v>
      </c>
      <c r="D1147" s="1">
        <v>2021</v>
      </c>
      <c r="E1147" s="1" t="str">
        <f t="shared" si="4"/>
        <v>SONETSONET EX IVT 1.5 AUT2021</v>
      </c>
      <c r="F1147" s="1" t="s">
        <v>1498</v>
      </c>
      <c r="G1147" s="1">
        <v>13910000</v>
      </c>
      <c r="H1147" s="1">
        <v>12000000</v>
      </c>
    </row>
    <row r="1148" spans="1:8" ht="13.5" customHeight="1" x14ac:dyDescent="0.3">
      <c r="A1148" s="1" t="s">
        <v>186</v>
      </c>
      <c r="B1148" s="1" t="s">
        <v>2664</v>
      </c>
      <c r="C1148" s="1" t="s">
        <v>4516</v>
      </c>
      <c r="D1148" s="1">
        <v>2024</v>
      </c>
      <c r="E1148" s="1" t="str">
        <f t="shared" si="4"/>
        <v>SONETSONET EX IVT 1.5 AUT2024</v>
      </c>
      <c r="F1148" s="1" t="s">
        <v>727</v>
      </c>
      <c r="G1148" s="1">
        <v>14492120</v>
      </c>
      <c r="H1148" s="1">
        <v>12500000</v>
      </c>
    </row>
    <row r="1149" spans="1:8" ht="13.5" customHeight="1" x14ac:dyDescent="0.3">
      <c r="A1149" s="1" t="s">
        <v>186</v>
      </c>
      <c r="B1149" s="1" t="s">
        <v>2664</v>
      </c>
      <c r="C1149" s="1" t="s">
        <v>4516</v>
      </c>
      <c r="D1149" s="1">
        <v>2024</v>
      </c>
      <c r="E1149" s="1" t="str">
        <f t="shared" si="4"/>
        <v>SONETSONET EX IVT 1.5 AUT2024</v>
      </c>
      <c r="F1149" s="1" t="s">
        <v>1776</v>
      </c>
      <c r="G1149" s="1">
        <v>15890000</v>
      </c>
      <c r="H1149" s="1">
        <v>14000000</v>
      </c>
    </row>
    <row r="1150" spans="1:8" ht="13.5" customHeight="1" x14ac:dyDescent="0.3">
      <c r="A1150" s="1" t="s">
        <v>186</v>
      </c>
      <c r="B1150" s="1" t="s">
        <v>2664</v>
      </c>
      <c r="C1150" s="1" t="s">
        <v>4516</v>
      </c>
      <c r="D1150" s="1">
        <v>2024</v>
      </c>
      <c r="E1150" s="1" t="str">
        <f t="shared" si="4"/>
        <v>SONETSONET EX IVT 1.5 AUT2024</v>
      </c>
      <c r="F1150" s="1" t="s">
        <v>1072</v>
      </c>
      <c r="G1150" s="1">
        <v>16490000</v>
      </c>
      <c r="H1150" s="1">
        <v>15500000</v>
      </c>
    </row>
    <row r="1151" spans="1:8" ht="13.5" customHeight="1" x14ac:dyDescent="0.3">
      <c r="A1151" s="1" t="s">
        <v>186</v>
      </c>
      <c r="B1151" s="1" t="s">
        <v>196</v>
      </c>
      <c r="C1151" s="1" t="s">
        <v>4517</v>
      </c>
      <c r="D1151" s="1">
        <v>2019</v>
      </c>
      <c r="E1151" s="1" t="str">
        <f t="shared" si="4"/>
        <v>SORENTOSORENTO 2.2 AUT2019</v>
      </c>
      <c r="F1151" s="1" t="s">
        <v>2141</v>
      </c>
      <c r="G1151" s="1">
        <v>23490000</v>
      </c>
      <c r="H1151" s="1">
        <v>19000000</v>
      </c>
    </row>
    <row r="1152" spans="1:8" ht="13.5" customHeight="1" x14ac:dyDescent="0.3">
      <c r="A1152" s="1" t="s">
        <v>186</v>
      </c>
      <c r="B1152" s="1" t="s">
        <v>196</v>
      </c>
      <c r="C1152" s="1" t="s">
        <v>4518</v>
      </c>
      <c r="D1152" s="1">
        <v>2022</v>
      </c>
      <c r="E1152" s="1" t="str">
        <f t="shared" si="4"/>
        <v>SORENTOSORENTO 2WD 2.5 AUT2022</v>
      </c>
      <c r="F1152" s="1" t="s">
        <v>1202</v>
      </c>
      <c r="G1152" s="1">
        <v>25190000</v>
      </c>
      <c r="H1152" s="1">
        <v>22000000</v>
      </c>
    </row>
    <row r="1153" spans="1:8" ht="13.5" customHeight="1" x14ac:dyDescent="0.3">
      <c r="A1153" s="1" t="s">
        <v>186</v>
      </c>
      <c r="B1153" s="1" t="s">
        <v>196</v>
      </c>
      <c r="C1153" s="1" t="s">
        <v>4518</v>
      </c>
      <c r="D1153" s="1">
        <v>2024</v>
      </c>
      <c r="E1153" s="1" t="str">
        <f t="shared" si="4"/>
        <v>SORENTOSORENTO 2WD 2.5 AUT2024</v>
      </c>
      <c r="F1153" s="1" t="s">
        <v>811</v>
      </c>
      <c r="G1153" s="1">
        <v>29800000</v>
      </c>
      <c r="H1153" s="1">
        <v>26000000</v>
      </c>
    </row>
    <row r="1154" spans="1:8" ht="13.5" customHeight="1" x14ac:dyDescent="0.3">
      <c r="A1154" s="1" t="s">
        <v>186</v>
      </c>
      <c r="B1154" s="1" t="s">
        <v>196</v>
      </c>
      <c r="C1154" s="1" t="s">
        <v>4519</v>
      </c>
      <c r="D1154" s="1">
        <v>2018</v>
      </c>
      <c r="E1154" s="1" t="str">
        <f t="shared" si="4"/>
        <v>SORENTOSORENTO DOHC 2.42018</v>
      </c>
      <c r="F1154" s="1" t="s">
        <v>678</v>
      </c>
      <c r="G1154" s="1">
        <v>11658000</v>
      </c>
      <c r="H1154" s="1">
        <v>9500000</v>
      </c>
    </row>
    <row r="1155" spans="1:8" ht="13.5" customHeight="1" x14ac:dyDescent="0.3">
      <c r="A1155" s="1" t="s">
        <v>186</v>
      </c>
      <c r="B1155" s="1" t="s">
        <v>196</v>
      </c>
      <c r="C1155" s="1" t="s">
        <v>4520</v>
      </c>
      <c r="D1155" s="1">
        <v>2021</v>
      </c>
      <c r="E1155" s="1" t="str">
        <f t="shared" si="4"/>
        <v>SORENTOSORENTO DOHC 2.4 AT2021</v>
      </c>
      <c r="F1155" s="1" t="s">
        <v>634</v>
      </c>
      <c r="G1155" s="1">
        <v>17890000</v>
      </c>
      <c r="H1155" s="1">
        <v>15000000</v>
      </c>
    </row>
    <row r="1156" spans="1:8" ht="13.5" customHeight="1" x14ac:dyDescent="0.3">
      <c r="A1156" s="1" t="s">
        <v>186</v>
      </c>
      <c r="B1156" s="1" t="s">
        <v>196</v>
      </c>
      <c r="C1156" s="1" t="s">
        <v>4521</v>
      </c>
      <c r="D1156" s="1">
        <v>2020</v>
      </c>
      <c r="E1156" s="1" t="str">
        <f t="shared" si="4"/>
        <v>SORENTOSORENTO EX 2.22020</v>
      </c>
      <c r="F1156" s="1" t="s">
        <v>519</v>
      </c>
      <c r="G1156" s="1">
        <v>15990000</v>
      </c>
      <c r="H1156" s="1">
        <v>14000000</v>
      </c>
    </row>
    <row r="1157" spans="1:8" ht="13.5" customHeight="1" x14ac:dyDescent="0.3">
      <c r="A1157" s="1" t="s">
        <v>186</v>
      </c>
      <c r="B1157" s="1" t="s">
        <v>196</v>
      </c>
      <c r="C1157" s="1" t="s">
        <v>4522</v>
      </c>
      <c r="D1157" s="1">
        <v>2018</v>
      </c>
      <c r="E1157" s="1" t="str">
        <f t="shared" si="4"/>
        <v>SORENTOSORENTO EX 2.2 AUT2018</v>
      </c>
      <c r="F1157" s="1" t="s">
        <v>1923</v>
      </c>
      <c r="G1157" s="1">
        <v>14190000</v>
      </c>
      <c r="H1157" s="1">
        <v>12300000</v>
      </c>
    </row>
    <row r="1158" spans="1:8" ht="13.5" customHeight="1" x14ac:dyDescent="0.3">
      <c r="A1158" s="1" t="s">
        <v>186</v>
      </c>
      <c r="B1158" s="1" t="s">
        <v>196</v>
      </c>
      <c r="C1158" s="1" t="s">
        <v>4522</v>
      </c>
      <c r="D1158" s="1">
        <v>2019</v>
      </c>
      <c r="E1158" s="1" t="str">
        <f t="shared" si="4"/>
        <v>SORENTOSORENTO EX 2.2 AUT2019</v>
      </c>
      <c r="F1158" s="1" t="s">
        <v>1506</v>
      </c>
      <c r="G1158" s="1">
        <v>17690000</v>
      </c>
      <c r="H1158" s="1">
        <v>14350000</v>
      </c>
    </row>
    <row r="1159" spans="1:8" ht="13.5" customHeight="1" x14ac:dyDescent="0.3">
      <c r="A1159" s="1" t="s">
        <v>186</v>
      </c>
      <c r="B1159" s="1" t="s">
        <v>196</v>
      </c>
      <c r="C1159" s="1" t="s">
        <v>4523</v>
      </c>
      <c r="D1159" s="1">
        <v>2020</v>
      </c>
      <c r="E1159" s="1" t="str">
        <f t="shared" si="4"/>
        <v>SORENTOSORENTO EX 2.42020</v>
      </c>
      <c r="F1159" s="1" t="s">
        <v>1599</v>
      </c>
      <c r="G1159" s="1">
        <v>16590000</v>
      </c>
      <c r="H1159" s="1">
        <v>14300000</v>
      </c>
    </row>
    <row r="1160" spans="1:8" ht="13.5" customHeight="1" x14ac:dyDescent="0.3">
      <c r="A1160" s="1" t="s">
        <v>186</v>
      </c>
      <c r="B1160" s="1" t="s">
        <v>196</v>
      </c>
      <c r="C1160" s="1" t="s">
        <v>4523</v>
      </c>
      <c r="D1160" s="1">
        <v>2020</v>
      </c>
      <c r="E1160" s="1" t="str">
        <f t="shared" si="4"/>
        <v>SORENTOSORENTO EX 2.42020</v>
      </c>
      <c r="F1160" s="1" t="s">
        <v>1056</v>
      </c>
      <c r="G1160" s="1">
        <v>14990000</v>
      </c>
      <c r="H1160" s="1">
        <v>12600000</v>
      </c>
    </row>
    <row r="1161" spans="1:8" ht="13.5" customHeight="1" x14ac:dyDescent="0.3">
      <c r="A1161" s="1" t="s">
        <v>186</v>
      </c>
      <c r="B1161" s="1" t="s">
        <v>196</v>
      </c>
      <c r="C1161" s="1" t="s">
        <v>4524</v>
      </c>
      <c r="D1161" s="1">
        <v>2017</v>
      </c>
      <c r="E1161" s="1" t="str">
        <f t="shared" si="4"/>
        <v>SORENTOSORENTO EX 2.4 AT2017</v>
      </c>
      <c r="F1161" s="1" t="s">
        <v>1328</v>
      </c>
      <c r="G1161" s="1">
        <v>13713970</v>
      </c>
      <c r="H1161" s="1">
        <v>10500000</v>
      </c>
    </row>
    <row r="1162" spans="1:8" ht="13.5" customHeight="1" x14ac:dyDescent="0.3">
      <c r="A1162" s="1" t="s">
        <v>186</v>
      </c>
      <c r="B1162" s="1" t="s">
        <v>196</v>
      </c>
      <c r="C1162" s="1" t="s">
        <v>4525</v>
      </c>
      <c r="D1162" s="1">
        <v>2019</v>
      </c>
      <c r="E1162" s="1" t="str">
        <f t="shared" si="4"/>
        <v>SORENTOSORENTO EX 2.4 AUT2019</v>
      </c>
      <c r="F1162" s="1" t="s">
        <v>757</v>
      </c>
      <c r="G1162" s="1">
        <v>16490000</v>
      </c>
      <c r="H1162" s="1">
        <v>14000000</v>
      </c>
    </row>
    <row r="1163" spans="1:8" ht="13.5" customHeight="1" x14ac:dyDescent="0.3">
      <c r="A1163" s="1" t="s">
        <v>186</v>
      </c>
      <c r="B1163" s="1" t="s">
        <v>196</v>
      </c>
      <c r="C1163" s="1" t="s">
        <v>4525</v>
      </c>
      <c r="D1163" s="1">
        <v>2019</v>
      </c>
      <c r="E1163" s="1" t="str">
        <f t="shared" si="4"/>
        <v>SORENTOSORENTO EX 2.4 AUT2019</v>
      </c>
      <c r="F1163" s="1" t="s">
        <v>1612</v>
      </c>
      <c r="G1163" s="1">
        <v>34990000</v>
      </c>
      <c r="H1163" s="1">
        <v>29800000</v>
      </c>
    </row>
    <row r="1164" spans="1:8" ht="13.5" customHeight="1" x14ac:dyDescent="0.3">
      <c r="A1164" s="1" t="s">
        <v>186</v>
      </c>
      <c r="B1164" s="1" t="s">
        <v>196</v>
      </c>
      <c r="C1164" s="1" t="s">
        <v>4526</v>
      </c>
      <c r="D1164" s="1">
        <v>2021</v>
      </c>
      <c r="E1164" s="1" t="str">
        <f t="shared" si="4"/>
        <v>SORENTOSORENTO EX 2WD 2.22021</v>
      </c>
      <c r="F1164" s="1" t="s">
        <v>2066</v>
      </c>
      <c r="G1164" s="1">
        <v>21190000</v>
      </c>
      <c r="H1164" s="1">
        <v>17352942</v>
      </c>
    </row>
    <row r="1165" spans="1:8" ht="13.5" customHeight="1" x14ac:dyDescent="0.3">
      <c r="A1165" s="1" t="s">
        <v>186</v>
      </c>
      <c r="B1165" s="1" t="s">
        <v>196</v>
      </c>
      <c r="C1165" s="1" t="s">
        <v>4527</v>
      </c>
      <c r="D1165" s="1">
        <v>2017</v>
      </c>
      <c r="E1165" s="1" t="str">
        <f t="shared" si="4"/>
        <v>SORENTOSORENTO EX 4X4 2.2 AUT2017</v>
      </c>
      <c r="F1165" s="1" t="s">
        <v>2356</v>
      </c>
      <c r="G1165" s="1">
        <v>18990000</v>
      </c>
      <c r="H1165" s="1">
        <v>16500000</v>
      </c>
    </row>
    <row r="1166" spans="1:8" ht="13.5" customHeight="1" x14ac:dyDescent="0.3">
      <c r="A1166" s="1" t="s">
        <v>186</v>
      </c>
      <c r="B1166" s="1" t="s">
        <v>196</v>
      </c>
      <c r="C1166" s="1" t="s">
        <v>4527</v>
      </c>
      <c r="D1166" s="1">
        <v>2018</v>
      </c>
      <c r="E1166" s="1" t="str">
        <f t="shared" si="4"/>
        <v>SORENTOSORENTO EX 4X4 2.2 AUT2018</v>
      </c>
      <c r="F1166" s="1" t="s">
        <v>2343</v>
      </c>
      <c r="G1166" s="1">
        <v>19690000</v>
      </c>
      <c r="H1166" s="1">
        <v>17700000</v>
      </c>
    </row>
    <row r="1167" spans="1:8" ht="13.5" customHeight="1" x14ac:dyDescent="0.3">
      <c r="A1167" s="1" t="s">
        <v>186</v>
      </c>
      <c r="B1167" s="1" t="s">
        <v>4528</v>
      </c>
      <c r="C1167" s="1" t="s">
        <v>4529</v>
      </c>
      <c r="D1167" s="1">
        <v>2018</v>
      </c>
      <c r="E1167" s="1" t="str">
        <f t="shared" si="4"/>
        <v>SOULSOUL EX 1.62018</v>
      </c>
      <c r="F1167" s="1" t="s">
        <v>1525</v>
      </c>
      <c r="G1167" s="1">
        <v>9590000</v>
      </c>
      <c r="H1167" s="1">
        <v>8000000</v>
      </c>
    </row>
    <row r="1168" spans="1:8" ht="13.5" customHeight="1" x14ac:dyDescent="0.3">
      <c r="A1168" s="1" t="s">
        <v>186</v>
      </c>
      <c r="B1168" s="1" t="s">
        <v>4528</v>
      </c>
      <c r="C1168" s="1" t="s">
        <v>4530</v>
      </c>
      <c r="D1168" s="1">
        <v>2017</v>
      </c>
      <c r="E1168" s="1" t="str">
        <f t="shared" si="4"/>
        <v>SOULSOUL EX 1.6 AUT2017</v>
      </c>
      <c r="F1168" s="1" t="s">
        <v>2301</v>
      </c>
      <c r="G1168" s="1">
        <v>7990000</v>
      </c>
      <c r="H1168" s="1">
        <v>6800000</v>
      </c>
    </row>
    <row r="1169" spans="1:8" ht="13.5" customHeight="1" x14ac:dyDescent="0.3">
      <c r="A1169" s="1" t="s">
        <v>186</v>
      </c>
      <c r="B1169" s="1" t="s">
        <v>4528</v>
      </c>
      <c r="C1169" s="1" t="s">
        <v>4530</v>
      </c>
      <c r="D1169" s="1">
        <v>2017</v>
      </c>
      <c r="E1169" s="1" t="str">
        <f t="shared" si="4"/>
        <v>SOULSOUL EX 1.6 AUT2017</v>
      </c>
      <c r="F1169" s="1" t="s">
        <v>821</v>
      </c>
      <c r="G1169" s="1">
        <v>9690000</v>
      </c>
      <c r="H1169" s="1">
        <v>7500000</v>
      </c>
    </row>
    <row r="1170" spans="1:8" ht="13.5" customHeight="1" x14ac:dyDescent="0.3">
      <c r="A1170" s="1" t="s">
        <v>186</v>
      </c>
      <c r="B1170" s="1" t="s">
        <v>199</v>
      </c>
      <c r="C1170" s="1" t="s">
        <v>4531</v>
      </c>
      <c r="D1170" s="1">
        <v>2019</v>
      </c>
      <c r="E1170" s="1" t="str">
        <f t="shared" si="4"/>
        <v>SPORTAGESPORTAGE 2.02019</v>
      </c>
      <c r="F1170" s="1" t="s">
        <v>516</v>
      </c>
      <c r="G1170" s="1">
        <v>10990000</v>
      </c>
      <c r="H1170" s="1">
        <v>9250000</v>
      </c>
    </row>
    <row r="1171" spans="1:8" ht="13.5" customHeight="1" x14ac:dyDescent="0.3">
      <c r="A1171" s="1" t="s">
        <v>186</v>
      </c>
      <c r="B1171" s="1" t="s">
        <v>199</v>
      </c>
      <c r="C1171" s="1" t="s">
        <v>4531</v>
      </c>
      <c r="D1171" s="1">
        <v>2019</v>
      </c>
      <c r="E1171" s="1" t="str">
        <f t="shared" si="4"/>
        <v>SPORTAGESPORTAGE 2.02019</v>
      </c>
      <c r="F1171" s="1" t="s">
        <v>2447</v>
      </c>
      <c r="G1171" s="1">
        <v>13840000</v>
      </c>
      <c r="H1171" s="1">
        <v>15700000</v>
      </c>
    </row>
    <row r="1172" spans="1:8" ht="13.5" customHeight="1" x14ac:dyDescent="0.3">
      <c r="A1172" s="1" t="s">
        <v>186</v>
      </c>
      <c r="B1172" s="1" t="s">
        <v>199</v>
      </c>
      <c r="C1172" s="1" t="s">
        <v>4532</v>
      </c>
      <c r="D1172" s="1">
        <v>2019</v>
      </c>
      <c r="E1172" s="1" t="str">
        <f t="shared" si="4"/>
        <v>SPORTAGESPORTAGE 2.0 AUT2019</v>
      </c>
      <c r="F1172" s="1" t="s">
        <v>2153</v>
      </c>
      <c r="G1172" s="1">
        <v>16790000</v>
      </c>
      <c r="H1172" s="1">
        <v>15000000</v>
      </c>
    </row>
    <row r="1173" spans="1:8" ht="13.5" customHeight="1" x14ac:dyDescent="0.3">
      <c r="A1173" s="1" t="s">
        <v>186</v>
      </c>
      <c r="B1173" s="1" t="s">
        <v>199</v>
      </c>
      <c r="C1173" s="1" t="s">
        <v>4532</v>
      </c>
      <c r="D1173" s="1">
        <v>2019</v>
      </c>
      <c r="E1173" s="1" t="str">
        <f t="shared" si="4"/>
        <v>SPORTAGESPORTAGE 2.0 AUT2019</v>
      </c>
      <c r="F1173" s="1" t="s">
        <v>2446</v>
      </c>
      <c r="G1173" s="1">
        <v>16990000</v>
      </c>
      <c r="H1173" s="1">
        <v>17500000</v>
      </c>
    </row>
    <row r="1174" spans="1:8" ht="13.5" customHeight="1" x14ac:dyDescent="0.3">
      <c r="A1174" s="1" t="s">
        <v>186</v>
      </c>
      <c r="B1174" s="1" t="s">
        <v>199</v>
      </c>
      <c r="C1174" s="1" t="s">
        <v>4533</v>
      </c>
      <c r="D1174" s="1">
        <v>2023</v>
      </c>
      <c r="E1174" s="1" t="str">
        <f t="shared" si="4"/>
        <v>SPORTAGESPORTAGE EX 2.02023</v>
      </c>
      <c r="F1174" s="1" t="s">
        <v>501</v>
      </c>
      <c r="G1174" s="1">
        <v>19290000</v>
      </c>
      <c r="H1174" s="1">
        <v>15700000</v>
      </c>
    </row>
    <row r="1175" spans="1:8" ht="13.5" customHeight="1" x14ac:dyDescent="0.3">
      <c r="A1175" s="1" t="s">
        <v>186</v>
      </c>
      <c r="B1175" s="1" t="s">
        <v>199</v>
      </c>
      <c r="C1175" s="1" t="s">
        <v>200</v>
      </c>
      <c r="D1175" s="1">
        <v>2022</v>
      </c>
      <c r="E1175" s="1" t="str">
        <f t="shared" si="4"/>
        <v>SPORTAGESPORTAGE EX 2.0 AUT2022</v>
      </c>
      <c r="F1175" s="1" t="s">
        <v>1408</v>
      </c>
      <c r="G1175" s="1">
        <v>47589120</v>
      </c>
      <c r="H1175" s="1">
        <v>40500000</v>
      </c>
    </row>
    <row r="1176" spans="1:8" ht="13.5" customHeight="1" x14ac:dyDescent="0.3">
      <c r="A1176" s="1" t="s">
        <v>186</v>
      </c>
      <c r="B1176" s="1" t="s">
        <v>199</v>
      </c>
      <c r="C1176" s="1" t="s">
        <v>200</v>
      </c>
      <c r="D1176" s="1">
        <v>2022</v>
      </c>
      <c r="E1176" s="1" t="str">
        <f t="shared" si="4"/>
        <v>SPORTAGESPORTAGE EX 2.0 AUT2022</v>
      </c>
      <c r="F1176" s="1" t="s">
        <v>726</v>
      </c>
      <c r="G1176" s="1">
        <v>20990000</v>
      </c>
      <c r="H1176" s="1">
        <v>18000000</v>
      </c>
    </row>
    <row r="1177" spans="1:8" ht="13.5" customHeight="1" x14ac:dyDescent="0.3">
      <c r="A1177" s="1" t="s">
        <v>186</v>
      </c>
      <c r="B1177" s="1" t="s">
        <v>199</v>
      </c>
      <c r="C1177" s="1" t="s">
        <v>200</v>
      </c>
      <c r="D1177" s="1">
        <v>2022</v>
      </c>
      <c r="E1177" s="1" t="str">
        <f t="shared" si="4"/>
        <v>SPORTAGESPORTAGE EX 2.0 AUT2022</v>
      </c>
      <c r="F1177" s="1" t="s">
        <v>2002</v>
      </c>
      <c r="G1177" s="1">
        <v>22490000</v>
      </c>
      <c r="H1177" s="1">
        <v>18500000</v>
      </c>
    </row>
    <row r="1178" spans="1:8" ht="13.5" customHeight="1" x14ac:dyDescent="0.3">
      <c r="A1178" s="1" t="s">
        <v>186</v>
      </c>
      <c r="B1178" s="1" t="s">
        <v>199</v>
      </c>
      <c r="C1178" s="1" t="s">
        <v>200</v>
      </c>
      <c r="D1178" s="1">
        <v>2023</v>
      </c>
      <c r="E1178" s="1" t="str">
        <f t="shared" si="4"/>
        <v>SPORTAGESPORTAGE EX 2.0 AUT2023</v>
      </c>
      <c r="F1178" s="1" t="s">
        <v>1318</v>
      </c>
      <c r="G1178" s="1">
        <v>21288620</v>
      </c>
      <c r="H1178" s="1">
        <v>18500000</v>
      </c>
    </row>
    <row r="1179" spans="1:8" ht="13.5" customHeight="1" x14ac:dyDescent="0.3">
      <c r="A1179" s="1" t="s">
        <v>186</v>
      </c>
      <c r="B1179" s="1" t="s">
        <v>199</v>
      </c>
      <c r="C1179" s="1" t="s">
        <v>200</v>
      </c>
      <c r="D1179" s="1">
        <v>2024</v>
      </c>
      <c r="E1179" s="1" t="str">
        <f t="shared" si="4"/>
        <v>SPORTAGESPORTAGE EX 2.0 AUT2024</v>
      </c>
      <c r="F1179" s="1" t="s">
        <v>714</v>
      </c>
      <c r="G1179" s="1">
        <v>21590000</v>
      </c>
      <c r="H1179" s="1">
        <v>18500000</v>
      </c>
    </row>
    <row r="1180" spans="1:8" ht="13.5" customHeight="1" x14ac:dyDescent="0.3">
      <c r="A1180" s="1" t="s">
        <v>186</v>
      </c>
      <c r="B1180" s="1" t="s">
        <v>199</v>
      </c>
      <c r="C1180" s="1" t="s">
        <v>200</v>
      </c>
      <c r="D1180" s="1">
        <v>2025</v>
      </c>
      <c r="E1180" s="1" t="str">
        <f t="shared" si="4"/>
        <v>SPORTAGESPORTAGE EX 2.0 AUT2025</v>
      </c>
      <c r="F1180" s="1" t="s">
        <v>916</v>
      </c>
      <c r="G1180" s="1">
        <v>24243620</v>
      </c>
      <c r="H1180" s="1">
        <v>22000000</v>
      </c>
    </row>
    <row r="1181" spans="1:8" ht="13.5" customHeight="1" x14ac:dyDescent="0.3">
      <c r="A1181" s="1" t="s">
        <v>186</v>
      </c>
      <c r="B1181" s="1" t="s">
        <v>199</v>
      </c>
      <c r="C1181" s="1" t="s">
        <v>202</v>
      </c>
      <c r="D1181" s="1">
        <v>2023</v>
      </c>
      <c r="E1181" s="1" t="str">
        <f t="shared" si="4"/>
        <v>SPORTAGESPORTAGE EX 2.0L2023</v>
      </c>
      <c r="F1181" s="1" t="s">
        <v>630</v>
      </c>
      <c r="G1181" s="1">
        <v>18890000</v>
      </c>
      <c r="H1181" s="1">
        <v>16000000</v>
      </c>
    </row>
    <row r="1182" spans="1:8" ht="13.5" customHeight="1" x14ac:dyDescent="0.3">
      <c r="A1182" s="1" t="s">
        <v>186</v>
      </c>
      <c r="B1182" s="1" t="s">
        <v>199</v>
      </c>
      <c r="C1182" s="1" t="s">
        <v>202</v>
      </c>
      <c r="D1182" s="1">
        <v>2023</v>
      </c>
      <c r="E1182" s="1" t="str">
        <f t="shared" si="4"/>
        <v>SPORTAGESPORTAGE EX 2.0L2023</v>
      </c>
      <c r="F1182" s="1" t="s">
        <v>594</v>
      </c>
      <c r="G1182" s="1">
        <v>20600000</v>
      </c>
      <c r="H1182" s="1">
        <v>17650000</v>
      </c>
    </row>
    <row r="1183" spans="1:8" ht="13.5" customHeight="1" x14ac:dyDescent="0.3">
      <c r="A1183" s="1" t="s">
        <v>186</v>
      </c>
      <c r="B1183" s="1" t="s">
        <v>199</v>
      </c>
      <c r="C1183" s="1" t="s">
        <v>4534</v>
      </c>
      <c r="D1183" s="1">
        <v>2022</v>
      </c>
      <c r="E1183" s="1" t="str">
        <f t="shared" si="4"/>
        <v>SPORTAGESPORTAGE EX DSL 2.0 AUT2022</v>
      </c>
      <c r="F1183" s="1" t="s">
        <v>1372</v>
      </c>
      <c r="G1183" s="1">
        <v>18990000</v>
      </c>
      <c r="H1183" s="1">
        <v>17850000</v>
      </c>
    </row>
    <row r="1184" spans="1:8" ht="13.5" customHeight="1" x14ac:dyDescent="0.3">
      <c r="A1184" s="1" t="s">
        <v>186</v>
      </c>
      <c r="B1184" s="1" t="s">
        <v>199</v>
      </c>
      <c r="C1184" s="1" t="s">
        <v>4534</v>
      </c>
      <c r="D1184" s="1">
        <v>2022</v>
      </c>
      <c r="E1184" s="1" t="str">
        <f t="shared" si="4"/>
        <v>SPORTAGESPORTAGE EX DSL 2.0 AUT2022</v>
      </c>
      <c r="F1184" s="1" t="s">
        <v>1716</v>
      </c>
      <c r="G1184" s="1">
        <v>23190000</v>
      </c>
      <c r="H1184" s="1">
        <v>20000000</v>
      </c>
    </row>
    <row r="1185" spans="1:8" ht="13.5" customHeight="1" x14ac:dyDescent="0.3">
      <c r="A1185" s="1" t="s">
        <v>186</v>
      </c>
      <c r="B1185" s="1" t="s">
        <v>199</v>
      </c>
      <c r="C1185" s="1" t="s">
        <v>4534</v>
      </c>
      <c r="D1185" s="1">
        <v>2023</v>
      </c>
      <c r="E1185" s="1" t="str">
        <f t="shared" si="4"/>
        <v>SPORTAGESPORTAGE EX DSL 2.0 AUT2023</v>
      </c>
      <c r="F1185" s="1" t="s">
        <v>652</v>
      </c>
      <c r="G1185" s="1">
        <v>20990000</v>
      </c>
      <c r="H1185" s="1">
        <v>18000000</v>
      </c>
    </row>
    <row r="1186" spans="1:8" ht="13.5" customHeight="1" x14ac:dyDescent="0.3">
      <c r="A1186" s="1" t="s">
        <v>186</v>
      </c>
      <c r="B1186" s="1" t="s">
        <v>199</v>
      </c>
      <c r="C1186" s="1" t="s">
        <v>4534</v>
      </c>
      <c r="D1186" s="1">
        <v>2023</v>
      </c>
      <c r="E1186" s="1" t="str">
        <f t="shared" si="4"/>
        <v>SPORTAGESPORTAGE EX DSL 2.0 AUT2023</v>
      </c>
      <c r="F1186" s="1" t="s">
        <v>4535</v>
      </c>
      <c r="G1186" s="1">
        <v>23990000</v>
      </c>
      <c r="H1186" s="1">
        <v>22000000</v>
      </c>
    </row>
    <row r="1187" spans="1:8" ht="13.5" customHeight="1" x14ac:dyDescent="0.3">
      <c r="A1187" s="1" t="s">
        <v>186</v>
      </c>
      <c r="B1187" s="1" t="s">
        <v>199</v>
      </c>
      <c r="C1187" s="1" t="s">
        <v>4534</v>
      </c>
      <c r="D1187" s="1">
        <v>2024</v>
      </c>
      <c r="E1187" s="1" t="str">
        <f t="shared" si="4"/>
        <v>SPORTAGESPORTAGE EX DSL 2.0 AUT2024</v>
      </c>
      <c r="F1187" s="1" t="s">
        <v>935</v>
      </c>
      <c r="G1187" s="1">
        <v>25190000</v>
      </c>
      <c r="H1187" s="1">
        <v>22000000</v>
      </c>
    </row>
    <row r="1188" spans="1:8" ht="13.5" customHeight="1" x14ac:dyDescent="0.3">
      <c r="A1188" s="1" t="s">
        <v>186</v>
      </c>
      <c r="B1188" s="1" t="s">
        <v>199</v>
      </c>
      <c r="C1188" s="1" t="s">
        <v>4536</v>
      </c>
      <c r="D1188" s="1">
        <v>2022</v>
      </c>
      <c r="E1188" s="1" t="str">
        <f t="shared" si="4"/>
        <v>SPORTAGESPORTAGE EX DVGT 4X4 1.6 AUT2022</v>
      </c>
      <c r="F1188" s="1" t="s">
        <v>1195</v>
      </c>
      <c r="G1188" s="1">
        <v>22690000</v>
      </c>
      <c r="H1188" s="1">
        <v>19000000</v>
      </c>
    </row>
    <row r="1189" spans="1:8" ht="13.5" customHeight="1" x14ac:dyDescent="0.3">
      <c r="A1189" s="1" t="s">
        <v>186</v>
      </c>
      <c r="B1189" s="1" t="s">
        <v>199</v>
      </c>
      <c r="C1189" s="1" t="s">
        <v>4537</v>
      </c>
      <c r="D1189" s="1">
        <v>2017</v>
      </c>
      <c r="E1189" s="1" t="str">
        <f t="shared" si="4"/>
        <v>SPORTAGESPORTAGE LX  2.02017</v>
      </c>
      <c r="F1189" s="1" t="s">
        <v>2108</v>
      </c>
      <c r="G1189" s="1">
        <v>12890000</v>
      </c>
      <c r="H1189" s="1">
        <v>10500000</v>
      </c>
    </row>
    <row r="1190" spans="1:8" ht="13.5" customHeight="1" x14ac:dyDescent="0.3">
      <c r="A1190" s="1" t="s">
        <v>186</v>
      </c>
      <c r="B1190" s="1" t="s">
        <v>199</v>
      </c>
      <c r="C1190" s="1" t="s">
        <v>4537</v>
      </c>
      <c r="D1190" s="1">
        <v>2017</v>
      </c>
      <c r="E1190" s="1" t="str">
        <f t="shared" si="4"/>
        <v>SPORTAGESPORTAGE LX  2.02017</v>
      </c>
      <c r="F1190" s="1" t="s">
        <v>1817</v>
      </c>
      <c r="G1190" s="1">
        <v>10000000</v>
      </c>
      <c r="H1190" s="1">
        <v>8300000</v>
      </c>
    </row>
    <row r="1191" spans="1:8" ht="13.5" customHeight="1" x14ac:dyDescent="0.3">
      <c r="A1191" s="1" t="s">
        <v>186</v>
      </c>
      <c r="B1191" s="1" t="s">
        <v>199</v>
      </c>
      <c r="C1191" s="1" t="s">
        <v>4537</v>
      </c>
      <c r="D1191" s="1">
        <v>2017</v>
      </c>
      <c r="E1191" s="1" t="str">
        <f t="shared" si="4"/>
        <v>SPORTAGESPORTAGE LX  2.02017</v>
      </c>
      <c r="F1191" s="1" t="s">
        <v>1247</v>
      </c>
      <c r="G1191" s="1">
        <v>11190000</v>
      </c>
      <c r="H1191" s="1">
        <v>9500000</v>
      </c>
    </row>
    <row r="1192" spans="1:8" ht="13.5" customHeight="1" x14ac:dyDescent="0.3">
      <c r="A1192" s="1" t="s">
        <v>186</v>
      </c>
      <c r="B1192" s="1" t="s">
        <v>199</v>
      </c>
      <c r="C1192" s="1" t="s">
        <v>4537</v>
      </c>
      <c r="D1192" s="1">
        <v>2017</v>
      </c>
      <c r="E1192" s="1" t="str">
        <f t="shared" si="4"/>
        <v>SPORTAGESPORTAGE LX  2.02017</v>
      </c>
      <c r="F1192" s="1" t="s">
        <v>2320</v>
      </c>
      <c r="G1192" s="1">
        <v>13490000</v>
      </c>
      <c r="H1192" s="1">
        <v>12500000</v>
      </c>
    </row>
    <row r="1193" spans="1:8" ht="13.5" customHeight="1" x14ac:dyDescent="0.3">
      <c r="A1193" s="1" t="s">
        <v>186</v>
      </c>
      <c r="B1193" s="1" t="s">
        <v>199</v>
      </c>
      <c r="C1193" s="1" t="s">
        <v>4537</v>
      </c>
      <c r="D1193" s="1">
        <v>2018</v>
      </c>
      <c r="E1193" s="1" t="str">
        <f t="shared" si="4"/>
        <v>SPORTAGESPORTAGE LX  2.02018</v>
      </c>
      <c r="F1193" s="1" t="s">
        <v>2009</v>
      </c>
      <c r="G1193" s="1">
        <v>12290000</v>
      </c>
      <c r="H1193" s="1">
        <v>10000000</v>
      </c>
    </row>
    <row r="1194" spans="1:8" ht="13.5" customHeight="1" x14ac:dyDescent="0.3">
      <c r="A1194" s="1" t="s">
        <v>186</v>
      </c>
      <c r="B1194" s="1" t="s">
        <v>199</v>
      </c>
      <c r="C1194" s="1" t="s">
        <v>4537</v>
      </c>
      <c r="D1194" s="1">
        <v>2019</v>
      </c>
      <c r="E1194" s="1" t="str">
        <f t="shared" si="4"/>
        <v>SPORTAGESPORTAGE LX  2.02019</v>
      </c>
      <c r="F1194" s="1" t="s">
        <v>2462</v>
      </c>
      <c r="G1194" s="1">
        <v>13990000</v>
      </c>
      <c r="H1194" s="1">
        <v>17000000</v>
      </c>
    </row>
    <row r="1195" spans="1:8" ht="13.5" customHeight="1" x14ac:dyDescent="0.3">
      <c r="A1195" s="1" t="s">
        <v>186</v>
      </c>
      <c r="B1195" s="1" t="s">
        <v>199</v>
      </c>
      <c r="C1195" s="1" t="s">
        <v>4537</v>
      </c>
      <c r="D1195" s="1">
        <v>2019</v>
      </c>
      <c r="E1195" s="1" t="str">
        <f t="shared" si="4"/>
        <v>SPORTAGESPORTAGE LX  2.02019</v>
      </c>
      <c r="F1195" s="1" t="s">
        <v>436</v>
      </c>
      <c r="G1195" s="1">
        <v>13790000</v>
      </c>
      <c r="H1195" s="1">
        <v>11000000</v>
      </c>
    </row>
    <row r="1196" spans="1:8" ht="13.5" customHeight="1" x14ac:dyDescent="0.3">
      <c r="A1196" s="1" t="s">
        <v>186</v>
      </c>
      <c r="B1196" s="1" t="s">
        <v>199</v>
      </c>
      <c r="C1196" s="1" t="s">
        <v>4537</v>
      </c>
      <c r="D1196" s="1">
        <v>2020</v>
      </c>
      <c r="E1196" s="1" t="str">
        <f t="shared" si="4"/>
        <v>SPORTAGESPORTAGE LX  2.02020</v>
      </c>
      <c r="F1196" s="1" t="s">
        <v>2315</v>
      </c>
      <c r="G1196" s="1">
        <v>15990000</v>
      </c>
      <c r="H1196" s="1">
        <v>13000000</v>
      </c>
    </row>
    <row r="1197" spans="1:8" ht="13.5" customHeight="1" x14ac:dyDescent="0.3">
      <c r="A1197" s="1" t="s">
        <v>186</v>
      </c>
      <c r="B1197" s="1" t="s">
        <v>199</v>
      </c>
      <c r="C1197" s="1" t="s">
        <v>4537</v>
      </c>
      <c r="D1197" s="1">
        <v>2020</v>
      </c>
      <c r="E1197" s="1" t="str">
        <f t="shared" si="4"/>
        <v>SPORTAGESPORTAGE LX  2.02020</v>
      </c>
      <c r="F1197" s="1" t="s">
        <v>1613</v>
      </c>
      <c r="G1197" s="1">
        <v>13590000</v>
      </c>
      <c r="H1197" s="1">
        <v>11500000</v>
      </c>
    </row>
    <row r="1198" spans="1:8" ht="13.5" customHeight="1" x14ac:dyDescent="0.3">
      <c r="A1198" s="1" t="s">
        <v>186</v>
      </c>
      <c r="B1198" s="1" t="s">
        <v>199</v>
      </c>
      <c r="C1198" s="1" t="s">
        <v>4537</v>
      </c>
      <c r="D1198" s="1">
        <v>2020</v>
      </c>
      <c r="E1198" s="1" t="str">
        <f t="shared" si="4"/>
        <v>SPORTAGESPORTAGE LX  2.02020</v>
      </c>
      <c r="F1198" s="1" t="s">
        <v>708</v>
      </c>
      <c r="G1198" s="1">
        <v>31580000</v>
      </c>
      <c r="H1198" s="1">
        <v>25852592</v>
      </c>
    </row>
    <row r="1199" spans="1:8" ht="13.5" customHeight="1" x14ac:dyDescent="0.3">
      <c r="A1199" s="1" t="s">
        <v>186</v>
      </c>
      <c r="B1199" s="1" t="s">
        <v>199</v>
      </c>
      <c r="C1199" s="1" t="s">
        <v>4537</v>
      </c>
      <c r="D1199" s="1">
        <v>2021</v>
      </c>
      <c r="E1199" s="1" t="str">
        <f t="shared" si="4"/>
        <v>SPORTAGESPORTAGE LX  2.02021</v>
      </c>
      <c r="F1199" s="1" t="s">
        <v>1470</v>
      </c>
      <c r="G1199" s="1">
        <v>13590000</v>
      </c>
      <c r="H1199" s="1">
        <v>11500000</v>
      </c>
    </row>
    <row r="1200" spans="1:8" ht="13.5" customHeight="1" x14ac:dyDescent="0.3">
      <c r="A1200" s="1" t="s">
        <v>186</v>
      </c>
      <c r="B1200" s="1" t="s">
        <v>199</v>
      </c>
      <c r="C1200" s="1" t="s">
        <v>4538</v>
      </c>
      <c r="D1200" s="1">
        <v>2018</v>
      </c>
      <c r="E1200" s="1" t="str">
        <f t="shared" si="4"/>
        <v>SPORTAGESPORTAGE LX 2.02018</v>
      </c>
      <c r="F1200" s="1" t="s">
        <v>1966</v>
      </c>
      <c r="G1200" s="1">
        <v>12490000</v>
      </c>
      <c r="H1200" s="1">
        <v>10000000</v>
      </c>
    </row>
    <row r="1201" spans="1:8" ht="13.5" customHeight="1" x14ac:dyDescent="0.3">
      <c r="A1201" s="1" t="s">
        <v>186</v>
      </c>
      <c r="B1201" s="1" t="s">
        <v>199</v>
      </c>
      <c r="C1201" s="1" t="s">
        <v>4538</v>
      </c>
      <c r="D1201" s="1">
        <v>2018</v>
      </c>
      <c r="E1201" s="1" t="str">
        <f t="shared" si="4"/>
        <v>SPORTAGESPORTAGE LX 2.02018</v>
      </c>
      <c r="F1201" s="1" t="s">
        <v>1932</v>
      </c>
      <c r="G1201" s="1">
        <v>11945000</v>
      </c>
      <c r="H1201" s="1">
        <v>10500000</v>
      </c>
    </row>
    <row r="1202" spans="1:8" ht="13.5" customHeight="1" x14ac:dyDescent="0.3">
      <c r="A1202" s="1" t="s">
        <v>186</v>
      </c>
      <c r="B1202" s="1" t="s">
        <v>199</v>
      </c>
      <c r="C1202" s="1" t="s">
        <v>4538</v>
      </c>
      <c r="D1202" s="1">
        <v>2019</v>
      </c>
      <c r="E1202" s="1" t="str">
        <f t="shared" si="4"/>
        <v>SPORTAGESPORTAGE LX 2.02019</v>
      </c>
      <c r="F1202" s="1" t="s">
        <v>2453</v>
      </c>
      <c r="G1202" s="1">
        <v>13990000</v>
      </c>
      <c r="H1202" s="1">
        <v>16500000</v>
      </c>
    </row>
    <row r="1203" spans="1:8" ht="13.5" customHeight="1" x14ac:dyDescent="0.3">
      <c r="A1203" s="1" t="s">
        <v>186</v>
      </c>
      <c r="B1203" s="1" t="s">
        <v>199</v>
      </c>
      <c r="C1203" s="1" t="s">
        <v>4538</v>
      </c>
      <c r="D1203" s="1">
        <v>2020</v>
      </c>
      <c r="E1203" s="1" t="str">
        <f t="shared" si="4"/>
        <v>SPORTAGESPORTAGE LX 2.02020</v>
      </c>
      <c r="F1203" s="1" t="s">
        <v>1046</v>
      </c>
      <c r="G1203" s="1">
        <v>12696650</v>
      </c>
      <c r="H1203" s="1">
        <v>10500000</v>
      </c>
    </row>
    <row r="1204" spans="1:8" ht="13.5" customHeight="1" x14ac:dyDescent="0.3">
      <c r="A1204" s="1" t="s">
        <v>186</v>
      </c>
      <c r="B1204" s="1" t="s">
        <v>199</v>
      </c>
      <c r="C1204" s="1" t="s">
        <v>4538</v>
      </c>
      <c r="D1204" s="1">
        <v>2020</v>
      </c>
      <c r="E1204" s="1" t="str">
        <f t="shared" si="4"/>
        <v>SPORTAGESPORTAGE LX 2.02020</v>
      </c>
      <c r="F1204" s="1" t="s">
        <v>2403</v>
      </c>
      <c r="G1204" s="1">
        <v>15490000</v>
      </c>
      <c r="H1204" s="1">
        <v>16000000</v>
      </c>
    </row>
    <row r="1205" spans="1:8" ht="13.5" customHeight="1" x14ac:dyDescent="0.3">
      <c r="A1205" s="1" t="s">
        <v>186</v>
      </c>
      <c r="B1205" s="1" t="s">
        <v>199</v>
      </c>
      <c r="C1205" s="1" t="s">
        <v>4538</v>
      </c>
      <c r="D1205" s="1">
        <v>2020</v>
      </c>
      <c r="E1205" s="1" t="str">
        <f t="shared" si="4"/>
        <v>SPORTAGESPORTAGE LX 2.02020</v>
      </c>
      <c r="F1205" s="1" t="s">
        <v>2228</v>
      </c>
      <c r="G1205" s="1">
        <v>14990000</v>
      </c>
      <c r="H1205" s="1">
        <v>13000000</v>
      </c>
    </row>
    <row r="1206" spans="1:8" ht="13.5" customHeight="1" x14ac:dyDescent="0.3">
      <c r="A1206" s="1" t="s">
        <v>186</v>
      </c>
      <c r="B1206" s="1" t="s">
        <v>199</v>
      </c>
      <c r="C1206" s="1" t="s">
        <v>4539</v>
      </c>
      <c r="D1206" s="1">
        <v>2017</v>
      </c>
      <c r="E1206" s="1" t="str">
        <f t="shared" si="4"/>
        <v>SPORTAGESPORTAGE LX 2.0 AT2017</v>
      </c>
      <c r="F1206" s="1" t="s">
        <v>863</v>
      </c>
      <c r="G1206" s="1">
        <v>12490000</v>
      </c>
      <c r="H1206" s="1">
        <v>10300000</v>
      </c>
    </row>
    <row r="1207" spans="1:8" ht="13.5" customHeight="1" x14ac:dyDescent="0.3">
      <c r="A1207" s="1" t="s">
        <v>186</v>
      </c>
      <c r="B1207" s="1" t="s">
        <v>199</v>
      </c>
      <c r="C1207" s="1" t="s">
        <v>4540</v>
      </c>
      <c r="D1207" s="1">
        <v>2016</v>
      </c>
      <c r="E1207" s="1" t="str">
        <f t="shared" si="4"/>
        <v>SPORTAGESPORTAGE LX 4X4 2.02016</v>
      </c>
      <c r="F1207" s="1" t="s">
        <v>2415</v>
      </c>
      <c r="G1207" s="1">
        <v>15990000</v>
      </c>
      <c r="H1207" s="1">
        <v>12500000</v>
      </c>
    </row>
    <row r="1208" spans="1:8" ht="13.5" customHeight="1" x14ac:dyDescent="0.3">
      <c r="A1208" s="1" t="s">
        <v>186</v>
      </c>
      <c r="B1208" s="1" t="s">
        <v>199</v>
      </c>
      <c r="C1208" s="1" t="s">
        <v>4541</v>
      </c>
      <c r="D1208" s="1">
        <v>2021</v>
      </c>
      <c r="E1208" s="1" t="str">
        <f t="shared" si="4"/>
        <v>SPORTAGESPORTAGE QL 2.0 AUT2021</v>
      </c>
      <c r="F1208" s="1" t="s">
        <v>2036</v>
      </c>
      <c r="G1208" s="1">
        <v>18190000</v>
      </c>
      <c r="H1208" s="1">
        <v>14500000</v>
      </c>
    </row>
    <row r="1209" spans="1:8" ht="13.5" customHeight="1" x14ac:dyDescent="0.3">
      <c r="A1209" s="1" t="s">
        <v>186</v>
      </c>
      <c r="B1209" s="1" t="s">
        <v>199</v>
      </c>
      <c r="C1209" s="1" t="s">
        <v>4542</v>
      </c>
      <c r="D1209" s="1">
        <v>2019</v>
      </c>
      <c r="E1209" s="1" t="str">
        <f t="shared" si="4"/>
        <v>SPORTAGESPORTAGE QL MT 2.02019</v>
      </c>
      <c r="F1209" s="1" t="s">
        <v>2041</v>
      </c>
      <c r="G1209" s="1">
        <v>14490000</v>
      </c>
      <c r="H1209" s="1">
        <v>14000000</v>
      </c>
    </row>
    <row r="1210" spans="1:8" ht="13.5" customHeight="1" x14ac:dyDescent="0.3">
      <c r="A1210" s="1" t="s">
        <v>186</v>
      </c>
      <c r="B1210" s="1" t="s">
        <v>199</v>
      </c>
      <c r="C1210" s="1" t="s">
        <v>4542</v>
      </c>
      <c r="D1210" s="1">
        <v>2021</v>
      </c>
      <c r="E1210" s="1" t="str">
        <f t="shared" si="4"/>
        <v>SPORTAGESPORTAGE QL MT 2.02021</v>
      </c>
      <c r="F1210" s="1" t="s">
        <v>2438</v>
      </c>
      <c r="G1210" s="1">
        <v>17990000</v>
      </c>
      <c r="H1210" s="1">
        <v>18972689</v>
      </c>
    </row>
    <row r="1211" spans="1:8" ht="13.5" customHeight="1" x14ac:dyDescent="0.3">
      <c r="A1211" s="1" t="s">
        <v>186</v>
      </c>
      <c r="B1211" s="1" t="s">
        <v>199</v>
      </c>
      <c r="C1211" s="1" t="s">
        <v>4542</v>
      </c>
      <c r="D1211" s="1">
        <v>2021</v>
      </c>
      <c r="E1211" s="1" t="str">
        <f t="shared" si="4"/>
        <v>SPORTAGESPORTAGE QL MT 2.02021</v>
      </c>
      <c r="F1211" s="1" t="s">
        <v>1473</v>
      </c>
      <c r="G1211" s="1">
        <v>13590000</v>
      </c>
      <c r="H1211" s="1">
        <v>11500000</v>
      </c>
    </row>
    <row r="1212" spans="1:8" ht="13.5" customHeight="1" x14ac:dyDescent="0.3">
      <c r="A1212" s="1" t="s">
        <v>186</v>
      </c>
      <c r="B1212" s="1" t="s">
        <v>199</v>
      </c>
      <c r="C1212" s="1" t="s">
        <v>4542</v>
      </c>
      <c r="D1212" s="1">
        <v>2021</v>
      </c>
      <c r="E1212" s="1" t="str">
        <f t="shared" si="4"/>
        <v>SPORTAGESPORTAGE QL MT 2.02021</v>
      </c>
      <c r="F1212" s="1" t="s">
        <v>1454</v>
      </c>
      <c r="G1212" s="1">
        <v>13890000</v>
      </c>
      <c r="H1212" s="1">
        <v>11700000</v>
      </c>
    </row>
    <row r="1213" spans="1:8" ht="13.5" customHeight="1" x14ac:dyDescent="0.3">
      <c r="A1213" s="1" t="s">
        <v>4543</v>
      </c>
      <c r="B1213" s="1" t="s">
        <v>4543</v>
      </c>
      <c r="C1213" s="1" t="s">
        <v>4544</v>
      </c>
      <c r="D1213" s="1">
        <v>2023</v>
      </c>
      <c r="E1213" s="1" t="str">
        <f t="shared" si="4"/>
        <v>LEXUSRX350 4X4 3.5 AT2023</v>
      </c>
      <c r="F1213" s="1" t="s">
        <v>1814</v>
      </c>
      <c r="G1213" s="1">
        <v>34990000</v>
      </c>
      <c r="H1213" s="1">
        <v>36000000</v>
      </c>
    </row>
    <row r="1214" spans="1:8" ht="13.5" customHeight="1" x14ac:dyDescent="0.3">
      <c r="A1214" s="1" t="s">
        <v>4545</v>
      </c>
      <c r="B1214" s="1" t="s">
        <v>4545</v>
      </c>
      <c r="C1214" s="1" t="s">
        <v>4546</v>
      </c>
      <c r="D1214" s="1">
        <v>2021</v>
      </c>
      <c r="E1214" s="1" t="str">
        <f t="shared" si="4"/>
        <v>LIFANLF X7 SX 1.82021</v>
      </c>
      <c r="F1214" s="1" t="s">
        <v>759</v>
      </c>
      <c r="G1214" s="1">
        <v>7290000</v>
      </c>
      <c r="H1214" s="1">
        <v>6100000</v>
      </c>
    </row>
    <row r="1215" spans="1:8" ht="13.5" customHeight="1" x14ac:dyDescent="0.3">
      <c r="A1215" s="1" t="s">
        <v>204</v>
      </c>
      <c r="B1215" s="1" t="s">
        <v>204</v>
      </c>
      <c r="C1215" s="1" t="s">
        <v>205</v>
      </c>
      <c r="D1215" s="1">
        <v>2020</v>
      </c>
      <c r="E1215" s="1" t="str">
        <f t="shared" si="4"/>
        <v>MAHINDRAKUV 100 HATCH BACK 1.22020</v>
      </c>
      <c r="F1215" s="1" t="s">
        <v>1295</v>
      </c>
      <c r="G1215" s="1">
        <v>5590000</v>
      </c>
      <c r="H1215" s="1">
        <v>4000000</v>
      </c>
    </row>
    <row r="1216" spans="1:8" ht="13.5" customHeight="1" x14ac:dyDescent="0.3">
      <c r="A1216" s="1" t="s">
        <v>204</v>
      </c>
      <c r="B1216" s="1" t="s">
        <v>204</v>
      </c>
      <c r="C1216" s="1" t="s">
        <v>205</v>
      </c>
      <c r="D1216" s="1">
        <v>2022</v>
      </c>
      <c r="E1216" s="1" t="str">
        <f t="shared" si="4"/>
        <v>MAHINDRAKUV 100 HATCH BACK 1.22022</v>
      </c>
      <c r="F1216" s="1" t="s">
        <v>206</v>
      </c>
      <c r="G1216" s="1">
        <v>6490000</v>
      </c>
      <c r="H1216" s="1">
        <v>4850000</v>
      </c>
    </row>
    <row r="1217" spans="1:8" ht="13.5" customHeight="1" x14ac:dyDescent="0.3">
      <c r="A1217" s="1" t="s">
        <v>204</v>
      </c>
      <c r="B1217" s="1" t="s">
        <v>204</v>
      </c>
      <c r="C1217" s="1" t="s">
        <v>4547</v>
      </c>
      <c r="D1217" s="1">
        <v>2022</v>
      </c>
      <c r="E1217" s="1" t="str">
        <f t="shared" si="4"/>
        <v>MAHINDRAKUV100 ELITE 1.22022</v>
      </c>
      <c r="F1217" s="1" t="s">
        <v>598</v>
      </c>
      <c r="G1217" s="1">
        <v>13680000</v>
      </c>
      <c r="H1217" s="1">
        <v>10550000</v>
      </c>
    </row>
    <row r="1218" spans="1:8" ht="13.5" customHeight="1" x14ac:dyDescent="0.3">
      <c r="A1218" s="1" t="s">
        <v>204</v>
      </c>
      <c r="B1218" s="1" t="s">
        <v>204</v>
      </c>
      <c r="C1218" s="1" t="s">
        <v>4548</v>
      </c>
      <c r="D1218" s="1">
        <v>2019</v>
      </c>
      <c r="E1218" s="1" t="str">
        <f t="shared" si="4"/>
        <v>MAHINDRAXUV 500 2.2 AUT2019</v>
      </c>
      <c r="F1218" s="1" t="s">
        <v>2362</v>
      </c>
      <c r="G1218" s="1">
        <v>7000000</v>
      </c>
      <c r="H1218" s="1">
        <v>10115966</v>
      </c>
    </row>
    <row r="1219" spans="1:8" ht="13.5" customHeight="1" x14ac:dyDescent="0.3">
      <c r="A1219" s="1" t="s">
        <v>204</v>
      </c>
      <c r="B1219" s="1" t="s">
        <v>204</v>
      </c>
      <c r="C1219" s="1" t="s">
        <v>4549</v>
      </c>
      <c r="D1219" s="1">
        <v>2017</v>
      </c>
      <c r="E1219" s="1" t="str">
        <f t="shared" si="4"/>
        <v>MAHINDRAXUV500 FL CRDE 2.22017</v>
      </c>
      <c r="F1219" s="1" t="s">
        <v>2425</v>
      </c>
      <c r="G1219" s="1">
        <v>4750000</v>
      </c>
      <c r="H1219" s="1">
        <v>10000000</v>
      </c>
    </row>
    <row r="1220" spans="1:8" ht="13.5" customHeight="1" x14ac:dyDescent="0.3">
      <c r="A1220" s="1" t="s">
        <v>3218</v>
      </c>
      <c r="B1220" s="1" t="s">
        <v>3218</v>
      </c>
      <c r="C1220" s="1" t="s">
        <v>4550</v>
      </c>
      <c r="D1220" s="1">
        <v>2022</v>
      </c>
      <c r="E1220" s="1" t="str">
        <f t="shared" si="4"/>
        <v>MAXUST60 DCAB 2.82022</v>
      </c>
      <c r="F1220" s="1" t="s">
        <v>2029</v>
      </c>
      <c r="G1220" s="1">
        <v>13990000</v>
      </c>
      <c r="H1220" s="1">
        <v>11500000</v>
      </c>
    </row>
    <row r="1221" spans="1:8" ht="13.5" customHeight="1" x14ac:dyDescent="0.3">
      <c r="A1221" s="1" t="s">
        <v>3218</v>
      </c>
      <c r="B1221" s="1" t="s">
        <v>3218</v>
      </c>
      <c r="C1221" s="1" t="s">
        <v>4551</v>
      </c>
      <c r="D1221" s="1">
        <v>2022</v>
      </c>
      <c r="E1221" s="1" t="str">
        <f t="shared" si="4"/>
        <v>MAXUST60 DCAB 4X4 2.0 AUT2022</v>
      </c>
      <c r="F1221" s="1" t="s">
        <v>1505</v>
      </c>
      <c r="G1221" s="1">
        <v>14690000</v>
      </c>
      <c r="H1221" s="1">
        <v>12500000</v>
      </c>
    </row>
    <row r="1222" spans="1:8" ht="13.5" customHeight="1" x14ac:dyDescent="0.3">
      <c r="A1222" s="1" t="s">
        <v>3218</v>
      </c>
      <c r="B1222" s="1" t="s">
        <v>3218</v>
      </c>
      <c r="C1222" s="1" t="s">
        <v>4551</v>
      </c>
      <c r="D1222" s="1">
        <v>2022</v>
      </c>
      <c r="E1222" s="1" t="str">
        <f t="shared" si="4"/>
        <v>MAXUST60 DCAB 4X4 2.0 AUT2022</v>
      </c>
      <c r="F1222" s="1" t="s">
        <v>1342</v>
      </c>
      <c r="G1222" s="1">
        <v>16690000</v>
      </c>
      <c r="H1222" s="1">
        <v>14200000</v>
      </c>
    </row>
    <row r="1223" spans="1:8" ht="13.5" customHeight="1" x14ac:dyDescent="0.3">
      <c r="A1223" s="1" t="s">
        <v>3218</v>
      </c>
      <c r="B1223" s="1" t="s">
        <v>3218</v>
      </c>
      <c r="C1223" s="1" t="s">
        <v>4552</v>
      </c>
      <c r="D1223" s="1">
        <v>2024</v>
      </c>
      <c r="E1223" s="1" t="str">
        <f t="shared" si="4"/>
        <v>MAXUST90 4WD 2.0 AUT2024</v>
      </c>
      <c r="F1223" s="1" t="s">
        <v>1738</v>
      </c>
      <c r="G1223" s="1">
        <v>27690000</v>
      </c>
      <c r="H1223" s="1">
        <v>24000000</v>
      </c>
    </row>
    <row r="1224" spans="1:8" ht="13.5" customHeight="1" x14ac:dyDescent="0.3">
      <c r="A1224" s="1" t="s">
        <v>3218</v>
      </c>
      <c r="B1224" s="1" t="s">
        <v>3218</v>
      </c>
      <c r="C1224" s="1" t="s">
        <v>4553</v>
      </c>
      <c r="D1224" s="1">
        <v>2023</v>
      </c>
      <c r="E1224" s="1" t="str">
        <f t="shared" si="4"/>
        <v>MAXUST90 4X4 2.0 AUT2023</v>
      </c>
      <c r="F1224" s="1" t="s">
        <v>1319</v>
      </c>
      <c r="G1224" s="1">
        <v>20599120</v>
      </c>
      <c r="H1224" s="1">
        <v>17500000</v>
      </c>
    </row>
    <row r="1225" spans="1:8" ht="13.5" customHeight="1" x14ac:dyDescent="0.3">
      <c r="A1225" s="1" t="s">
        <v>207</v>
      </c>
      <c r="B1225" s="1" t="s">
        <v>208</v>
      </c>
      <c r="C1225" s="1" t="s">
        <v>4554</v>
      </c>
      <c r="D1225" s="1">
        <v>2022</v>
      </c>
      <c r="E1225" s="1" t="str">
        <f t="shared" si="4"/>
        <v>CX-30ALL NEW CX30 GTX 4X4 2.0 AUT2022</v>
      </c>
      <c r="F1225" s="1" t="s">
        <v>446</v>
      </c>
      <c r="G1225" s="1">
        <v>20990000</v>
      </c>
      <c r="H1225" s="1">
        <v>18000000</v>
      </c>
    </row>
    <row r="1226" spans="1:8" ht="13.5" customHeight="1" x14ac:dyDescent="0.3">
      <c r="A1226" s="1" t="s">
        <v>207</v>
      </c>
      <c r="B1226" s="1" t="s">
        <v>207</v>
      </c>
      <c r="C1226" s="1" t="s">
        <v>4555</v>
      </c>
      <c r="D1226" s="1">
        <v>2019</v>
      </c>
      <c r="E1226" s="1" t="str">
        <f t="shared" si="4"/>
        <v>MAZDA3  1.62019</v>
      </c>
      <c r="F1226" s="1" t="s">
        <v>1919</v>
      </c>
      <c r="G1226" s="1">
        <v>10190000</v>
      </c>
      <c r="H1226" s="1">
        <v>7915966</v>
      </c>
    </row>
    <row r="1227" spans="1:8" ht="13.5" customHeight="1" x14ac:dyDescent="0.3">
      <c r="A1227" s="1" t="s">
        <v>207</v>
      </c>
      <c r="B1227" s="1" t="s">
        <v>207</v>
      </c>
      <c r="C1227" s="1" t="s">
        <v>4556</v>
      </c>
      <c r="D1227" s="1">
        <v>2022</v>
      </c>
      <c r="E1227" s="1" t="str">
        <f t="shared" si="4"/>
        <v>MAZDA3 SEDAN 2.02022</v>
      </c>
      <c r="F1227" s="1" t="s">
        <v>2166</v>
      </c>
      <c r="G1227" s="1">
        <v>15990000</v>
      </c>
      <c r="H1227" s="1">
        <v>13270000</v>
      </c>
    </row>
    <row r="1228" spans="1:8" ht="13.5" customHeight="1" x14ac:dyDescent="0.3">
      <c r="A1228" s="1" t="s">
        <v>207</v>
      </c>
      <c r="B1228" s="1" t="s">
        <v>207</v>
      </c>
      <c r="C1228" s="1" t="s">
        <v>4557</v>
      </c>
      <c r="D1228" s="1">
        <v>2016</v>
      </c>
      <c r="E1228" s="1" t="str">
        <f t="shared" si="4"/>
        <v>MAZDAALL NEW 2 SPORT GT HB 1.52016</v>
      </c>
      <c r="F1228" s="1" t="s">
        <v>1785</v>
      </c>
      <c r="G1228" s="1">
        <v>7790000</v>
      </c>
      <c r="H1228" s="1">
        <v>5915966</v>
      </c>
    </row>
    <row r="1229" spans="1:8" ht="13.5" customHeight="1" x14ac:dyDescent="0.3">
      <c r="A1229" s="1" t="s">
        <v>207</v>
      </c>
      <c r="B1229" s="1" t="s">
        <v>207</v>
      </c>
      <c r="C1229" s="1" t="s">
        <v>4558</v>
      </c>
      <c r="D1229" s="1">
        <v>2020</v>
      </c>
      <c r="E1229" s="1" t="str">
        <f t="shared" si="4"/>
        <v>MAZDAALL NEW 3 2.02020</v>
      </c>
      <c r="F1229" s="1" t="s">
        <v>2420</v>
      </c>
      <c r="G1229" s="1">
        <v>14990000</v>
      </c>
      <c r="H1229" s="1">
        <v>13000000</v>
      </c>
    </row>
    <row r="1230" spans="1:8" ht="13.5" customHeight="1" x14ac:dyDescent="0.3">
      <c r="A1230" s="1" t="s">
        <v>207</v>
      </c>
      <c r="B1230" s="1" t="s">
        <v>207</v>
      </c>
      <c r="C1230" s="1" t="s">
        <v>4559</v>
      </c>
      <c r="D1230" s="1">
        <v>2021</v>
      </c>
      <c r="E1230" s="1" t="str">
        <f t="shared" si="4"/>
        <v>MAZDAALL NEW 3 HB 2.02021</v>
      </c>
      <c r="F1230" s="1" t="s">
        <v>1664</v>
      </c>
      <c r="G1230" s="1">
        <v>14790000</v>
      </c>
      <c r="H1230" s="1">
        <v>12500000</v>
      </c>
    </row>
    <row r="1231" spans="1:8" ht="13.5" customHeight="1" x14ac:dyDescent="0.3">
      <c r="A1231" s="1" t="s">
        <v>207</v>
      </c>
      <c r="B1231" s="1" t="s">
        <v>207</v>
      </c>
      <c r="C1231" s="1" t="s">
        <v>4560</v>
      </c>
      <c r="D1231" s="1">
        <v>2020</v>
      </c>
      <c r="E1231" s="1" t="str">
        <f t="shared" si="4"/>
        <v>MAZDAALL NEW 6 2.02020</v>
      </c>
      <c r="F1231" s="1" t="s">
        <v>1604</v>
      </c>
      <c r="G1231" s="1">
        <v>15490000</v>
      </c>
      <c r="H1231" s="1">
        <v>13500000</v>
      </c>
    </row>
    <row r="1232" spans="1:8" ht="13.5" customHeight="1" x14ac:dyDescent="0.3">
      <c r="A1232" s="1" t="s">
        <v>207</v>
      </c>
      <c r="B1232" s="1" t="s">
        <v>207</v>
      </c>
      <c r="C1232" s="1" t="s">
        <v>4561</v>
      </c>
      <c r="D1232" s="1">
        <v>2017</v>
      </c>
      <c r="E1232" s="1" t="str">
        <f t="shared" si="4"/>
        <v>MAZDAALL NEW CX 3 R 2.0 AUT2017</v>
      </c>
      <c r="F1232" s="1" t="s">
        <v>1903</v>
      </c>
      <c r="G1232" s="1">
        <v>10600000</v>
      </c>
      <c r="H1232" s="1">
        <v>10200000</v>
      </c>
    </row>
    <row r="1233" spans="1:8" ht="13.5" customHeight="1" x14ac:dyDescent="0.3">
      <c r="A1233" s="1" t="s">
        <v>207</v>
      </c>
      <c r="B1233" s="1" t="s">
        <v>207</v>
      </c>
      <c r="C1233" s="1" t="s">
        <v>4561</v>
      </c>
      <c r="D1233" s="1">
        <v>2020</v>
      </c>
      <c r="E1233" s="1" t="str">
        <f t="shared" si="4"/>
        <v>MAZDAALL NEW CX 3 R 2.0 AUT2020</v>
      </c>
      <c r="F1233" s="1" t="s">
        <v>1673</v>
      </c>
      <c r="G1233" s="1">
        <v>12850000</v>
      </c>
      <c r="H1233" s="1">
        <v>11000000</v>
      </c>
    </row>
    <row r="1234" spans="1:8" ht="13.5" customHeight="1" x14ac:dyDescent="0.3">
      <c r="A1234" s="1" t="s">
        <v>207</v>
      </c>
      <c r="B1234" s="1" t="s">
        <v>207</v>
      </c>
      <c r="C1234" s="1" t="s">
        <v>4562</v>
      </c>
      <c r="D1234" s="1">
        <v>2020</v>
      </c>
      <c r="E1234" s="1" t="str">
        <f t="shared" si="4"/>
        <v>MAZDAALL NEW CX 5 2.0 AUT2020</v>
      </c>
      <c r="F1234" s="1" t="s">
        <v>1000</v>
      </c>
      <c r="G1234" s="1">
        <v>14990000</v>
      </c>
      <c r="H1234" s="1">
        <v>12800000</v>
      </c>
    </row>
    <row r="1235" spans="1:8" ht="13.5" customHeight="1" x14ac:dyDescent="0.3">
      <c r="A1235" s="1" t="s">
        <v>207</v>
      </c>
      <c r="B1235" s="1" t="s">
        <v>207</v>
      </c>
      <c r="C1235" s="1" t="s">
        <v>4563</v>
      </c>
      <c r="D1235" s="1">
        <v>2018</v>
      </c>
      <c r="E1235" s="1" t="str">
        <f t="shared" si="4"/>
        <v>MAZDAALL NEW CX 5 R 2.0 AUT2018</v>
      </c>
      <c r="F1235" s="1" t="s">
        <v>1869</v>
      </c>
      <c r="G1235" s="1">
        <v>15790000</v>
      </c>
      <c r="H1235" s="1">
        <v>13000000</v>
      </c>
    </row>
    <row r="1236" spans="1:8" ht="13.5" customHeight="1" x14ac:dyDescent="0.3">
      <c r="A1236" s="1" t="s">
        <v>207</v>
      </c>
      <c r="B1236" s="1" t="s">
        <v>207</v>
      </c>
      <c r="C1236" s="1" t="s">
        <v>4563</v>
      </c>
      <c r="D1236" s="1">
        <v>2019</v>
      </c>
      <c r="E1236" s="1" t="str">
        <f t="shared" si="4"/>
        <v>MAZDAALL NEW CX 5 R 2.0 AUT2019</v>
      </c>
      <c r="F1236" s="1" t="s">
        <v>2445</v>
      </c>
      <c r="G1236" s="1">
        <v>20990000</v>
      </c>
      <c r="H1236" s="1">
        <v>19000000</v>
      </c>
    </row>
    <row r="1237" spans="1:8" ht="13.5" customHeight="1" x14ac:dyDescent="0.3">
      <c r="A1237" s="1" t="s">
        <v>207</v>
      </c>
      <c r="B1237" s="1" t="s">
        <v>207</v>
      </c>
      <c r="C1237" s="1" t="s">
        <v>4564</v>
      </c>
      <c r="D1237" s="1">
        <v>2020</v>
      </c>
      <c r="E1237" s="1" t="str">
        <f t="shared" si="4"/>
        <v>MAZDAALL NEW CX 5 R 4X4 2.02020</v>
      </c>
      <c r="F1237" s="1" t="s">
        <v>1552</v>
      </c>
      <c r="G1237" s="1">
        <v>15890000</v>
      </c>
      <c r="H1237" s="1">
        <v>13500000</v>
      </c>
    </row>
    <row r="1238" spans="1:8" ht="13.5" customHeight="1" x14ac:dyDescent="0.3">
      <c r="A1238" s="1" t="s">
        <v>207</v>
      </c>
      <c r="B1238" s="1" t="s">
        <v>207</v>
      </c>
      <c r="C1238" s="1" t="s">
        <v>4565</v>
      </c>
      <c r="D1238" s="1">
        <v>2018</v>
      </c>
      <c r="E1238" s="1" t="str">
        <f t="shared" si="4"/>
        <v>MAZDAALL NEW CX 5 R 4X4 2.0 AUT2018</v>
      </c>
      <c r="F1238" s="1" t="s">
        <v>2092</v>
      </c>
      <c r="G1238" s="1">
        <v>16990000</v>
      </c>
      <c r="H1238" s="1">
        <v>14000000</v>
      </c>
    </row>
    <row r="1239" spans="1:8" ht="13.5" customHeight="1" x14ac:dyDescent="0.3">
      <c r="A1239" s="1" t="s">
        <v>207</v>
      </c>
      <c r="B1239" s="1" t="s">
        <v>207</v>
      </c>
      <c r="C1239" s="1" t="s">
        <v>4566</v>
      </c>
      <c r="D1239" s="1">
        <v>2020</v>
      </c>
      <c r="E1239" s="1" t="str">
        <f t="shared" si="4"/>
        <v>MAZDAALL NEW CX30 2.02020</v>
      </c>
      <c r="F1239" s="1" t="s">
        <v>2258</v>
      </c>
      <c r="G1239" s="1">
        <v>16990000</v>
      </c>
      <c r="H1239" s="1">
        <v>14000000</v>
      </c>
    </row>
    <row r="1240" spans="1:8" ht="13.5" customHeight="1" x14ac:dyDescent="0.3">
      <c r="A1240" s="1" t="s">
        <v>207</v>
      </c>
      <c r="B1240" s="1" t="s">
        <v>207</v>
      </c>
      <c r="C1240" s="1" t="s">
        <v>4567</v>
      </c>
      <c r="D1240" s="1">
        <v>2020</v>
      </c>
      <c r="E1240" s="1" t="str">
        <f t="shared" si="4"/>
        <v>MAZDAALL NEW CX30 2.0 AUT2020</v>
      </c>
      <c r="F1240" s="1" t="s">
        <v>911</v>
      </c>
      <c r="G1240" s="1">
        <v>15790000</v>
      </c>
      <c r="H1240" s="1">
        <v>11409244</v>
      </c>
    </row>
    <row r="1241" spans="1:8" ht="13.5" customHeight="1" x14ac:dyDescent="0.3">
      <c r="A1241" s="1" t="s">
        <v>207</v>
      </c>
      <c r="B1241" s="1" t="s">
        <v>207</v>
      </c>
      <c r="C1241" s="1" t="s">
        <v>4567</v>
      </c>
      <c r="D1241" s="1">
        <v>2021</v>
      </c>
      <c r="E1241" s="1" t="str">
        <f t="shared" si="4"/>
        <v>MAZDAALL NEW CX30 2.0 AUT2021</v>
      </c>
      <c r="F1241" s="1" t="s">
        <v>2144</v>
      </c>
      <c r="G1241" s="1">
        <v>17490000</v>
      </c>
      <c r="H1241" s="1">
        <v>14500000</v>
      </c>
    </row>
    <row r="1242" spans="1:8" ht="13.5" customHeight="1" x14ac:dyDescent="0.3">
      <c r="A1242" s="1" t="s">
        <v>207</v>
      </c>
      <c r="B1242" s="1" t="s">
        <v>207</v>
      </c>
      <c r="C1242" s="1" t="s">
        <v>4567</v>
      </c>
      <c r="D1242" s="1">
        <v>2022</v>
      </c>
      <c r="E1242" s="1" t="str">
        <f t="shared" si="4"/>
        <v>MAZDAALL NEW CX30 2.0 AUT2022</v>
      </c>
      <c r="F1242" s="1" t="s">
        <v>1269</v>
      </c>
      <c r="G1242" s="1">
        <v>17540000</v>
      </c>
      <c r="H1242" s="1">
        <v>15200000</v>
      </c>
    </row>
    <row r="1243" spans="1:8" ht="13.5" customHeight="1" x14ac:dyDescent="0.3">
      <c r="A1243" s="1" t="s">
        <v>207</v>
      </c>
      <c r="B1243" s="1" t="s">
        <v>207</v>
      </c>
      <c r="C1243" s="1" t="s">
        <v>4568</v>
      </c>
      <c r="D1243" s="1">
        <v>2020</v>
      </c>
      <c r="E1243" s="1" t="str">
        <f t="shared" si="4"/>
        <v>MAZDAALL NEW CX30 GTX 2.0 AUT2020</v>
      </c>
      <c r="F1243" s="1" t="s">
        <v>2138</v>
      </c>
      <c r="G1243" s="1">
        <v>14490000</v>
      </c>
      <c r="H1243" s="1">
        <v>11800000</v>
      </c>
    </row>
    <row r="1244" spans="1:8" ht="13.5" customHeight="1" x14ac:dyDescent="0.3">
      <c r="A1244" s="1" t="s">
        <v>207</v>
      </c>
      <c r="B1244" s="1" t="s">
        <v>207</v>
      </c>
      <c r="C1244" s="1" t="s">
        <v>4569</v>
      </c>
      <c r="D1244" s="1">
        <v>2020</v>
      </c>
      <c r="E1244" s="1" t="str">
        <f t="shared" si="4"/>
        <v>MAZDABT 50 4X4 2.22020</v>
      </c>
      <c r="F1244" s="1" t="s">
        <v>2274</v>
      </c>
      <c r="G1244" s="1">
        <v>18290000</v>
      </c>
      <c r="H1244" s="1">
        <v>15900000</v>
      </c>
    </row>
    <row r="1245" spans="1:8" ht="13.5" customHeight="1" x14ac:dyDescent="0.3">
      <c r="A1245" s="1" t="s">
        <v>207</v>
      </c>
      <c r="B1245" s="1" t="s">
        <v>207</v>
      </c>
      <c r="C1245" s="1" t="s">
        <v>4570</v>
      </c>
      <c r="D1245" s="1">
        <v>2022</v>
      </c>
      <c r="E1245" s="1" t="str">
        <f t="shared" si="4"/>
        <v>MAZDABT 50 4X4 DCAB 3.2 AUT2022</v>
      </c>
      <c r="F1245" s="1" t="s">
        <v>2194</v>
      </c>
      <c r="G1245" s="1">
        <v>25490000</v>
      </c>
      <c r="H1245" s="1">
        <v>22000000</v>
      </c>
    </row>
    <row r="1246" spans="1:8" ht="13.5" customHeight="1" x14ac:dyDescent="0.3">
      <c r="A1246" s="1" t="s">
        <v>207</v>
      </c>
      <c r="B1246" s="1" t="s">
        <v>207</v>
      </c>
      <c r="C1246" s="1" t="s">
        <v>4571</v>
      </c>
      <c r="D1246" s="1">
        <v>2012</v>
      </c>
      <c r="E1246" s="1" t="str">
        <f t="shared" si="4"/>
        <v>MAZDACX 5 GT 4WD 2.0 AUT2012</v>
      </c>
      <c r="F1246" s="1" t="s">
        <v>2270</v>
      </c>
      <c r="G1246" s="1">
        <v>8900000</v>
      </c>
      <c r="H1246" s="1">
        <v>7700000</v>
      </c>
    </row>
    <row r="1247" spans="1:8" ht="13.5" customHeight="1" x14ac:dyDescent="0.3">
      <c r="A1247" s="1" t="s">
        <v>207</v>
      </c>
      <c r="B1247" s="1" t="s">
        <v>207</v>
      </c>
      <c r="C1247" s="1" t="s">
        <v>4572</v>
      </c>
      <c r="D1247" s="1">
        <v>2020</v>
      </c>
      <c r="E1247" s="1" t="str">
        <f t="shared" si="4"/>
        <v>MAZDACX5 OTTO 2.02020</v>
      </c>
      <c r="F1247" s="1" t="s">
        <v>939</v>
      </c>
      <c r="G1247" s="1">
        <v>15675000</v>
      </c>
      <c r="H1247" s="1">
        <v>13000000</v>
      </c>
    </row>
    <row r="1248" spans="1:8" ht="13.5" customHeight="1" x14ac:dyDescent="0.3">
      <c r="A1248" s="1" t="s">
        <v>207</v>
      </c>
      <c r="B1248" s="1" t="s">
        <v>207</v>
      </c>
      <c r="C1248" s="1" t="s">
        <v>4573</v>
      </c>
      <c r="D1248" s="1">
        <v>2020</v>
      </c>
      <c r="E1248" s="1" t="str">
        <f t="shared" si="4"/>
        <v>MAZDACX5 OTTO 2.0 AUT2020</v>
      </c>
      <c r="F1248" s="1" t="s">
        <v>1336</v>
      </c>
      <c r="G1248" s="1">
        <v>16490000</v>
      </c>
      <c r="H1248" s="1">
        <v>14000000</v>
      </c>
    </row>
    <row r="1249" spans="1:8" ht="13.5" customHeight="1" x14ac:dyDescent="0.3">
      <c r="A1249" s="1" t="s">
        <v>207</v>
      </c>
      <c r="B1249" s="1" t="s">
        <v>207</v>
      </c>
      <c r="C1249" s="1" t="s">
        <v>4573</v>
      </c>
      <c r="D1249" s="1">
        <v>2022</v>
      </c>
      <c r="E1249" s="1" t="str">
        <f t="shared" si="4"/>
        <v>MAZDACX5 OTTO 2.0 AUT2022</v>
      </c>
      <c r="F1249" s="1" t="s">
        <v>1448</v>
      </c>
      <c r="G1249" s="1">
        <v>18690000</v>
      </c>
      <c r="H1249" s="1">
        <v>16350000</v>
      </c>
    </row>
    <row r="1250" spans="1:8" ht="13.5" customHeight="1" x14ac:dyDescent="0.3">
      <c r="A1250" s="1" t="s">
        <v>207</v>
      </c>
      <c r="B1250" s="1" t="s">
        <v>207</v>
      </c>
      <c r="C1250" s="1" t="s">
        <v>4573</v>
      </c>
      <c r="D1250" s="1">
        <v>2022</v>
      </c>
      <c r="E1250" s="1" t="str">
        <f t="shared" si="4"/>
        <v>MAZDACX5 OTTO 2.0 AUT2022</v>
      </c>
      <c r="F1250" s="1" t="s">
        <v>1034</v>
      </c>
      <c r="G1250" s="1">
        <v>17990000</v>
      </c>
      <c r="H1250" s="1">
        <v>15500000</v>
      </c>
    </row>
    <row r="1251" spans="1:8" ht="13.5" customHeight="1" x14ac:dyDescent="0.3">
      <c r="A1251" s="1" t="s">
        <v>207</v>
      </c>
      <c r="B1251" s="1" t="s">
        <v>207</v>
      </c>
      <c r="C1251" s="1" t="s">
        <v>4574</v>
      </c>
      <c r="D1251" s="1">
        <v>2016</v>
      </c>
      <c r="E1251" s="1" t="str">
        <f t="shared" si="4"/>
        <v>MAZDANEW 3 1.62016</v>
      </c>
      <c r="F1251" s="1" t="s">
        <v>2213</v>
      </c>
      <c r="G1251" s="1">
        <v>9390000</v>
      </c>
      <c r="H1251" s="1">
        <v>7000000</v>
      </c>
    </row>
    <row r="1252" spans="1:8" ht="13.5" customHeight="1" x14ac:dyDescent="0.3">
      <c r="A1252" s="1" t="s">
        <v>207</v>
      </c>
      <c r="B1252" s="1" t="s">
        <v>207</v>
      </c>
      <c r="C1252" s="1" t="s">
        <v>4575</v>
      </c>
      <c r="D1252" s="1">
        <v>2018</v>
      </c>
      <c r="E1252" s="1" t="str">
        <f t="shared" si="4"/>
        <v>MAZDANEW 3 1.6 AUT2018</v>
      </c>
      <c r="F1252" s="1" t="s">
        <v>461</v>
      </c>
      <c r="G1252" s="1">
        <v>9990000</v>
      </c>
      <c r="H1252" s="1">
        <v>8000000</v>
      </c>
    </row>
    <row r="1253" spans="1:8" ht="13.5" customHeight="1" x14ac:dyDescent="0.3">
      <c r="A1253" s="1" t="s">
        <v>207</v>
      </c>
      <c r="B1253" s="1" t="s">
        <v>207</v>
      </c>
      <c r="C1253" s="1" t="s">
        <v>4576</v>
      </c>
      <c r="D1253" s="1">
        <v>2018</v>
      </c>
      <c r="E1253" s="1" t="str">
        <f t="shared" si="4"/>
        <v>MAZDANEW 3 HB 2.02018</v>
      </c>
      <c r="F1253" s="1" t="s">
        <v>2128</v>
      </c>
      <c r="G1253" s="1">
        <v>12290000</v>
      </c>
      <c r="H1253" s="1">
        <v>10000000</v>
      </c>
    </row>
    <row r="1254" spans="1:8" ht="13.5" customHeight="1" x14ac:dyDescent="0.3">
      <c r="A1254" s="1" t="s">
        <v>207</v>
      </c>
      <c r="B1254" s="1" t="s">
        <v>207</v>
      </c>
      <c r="C1254" s="1" t="s">
        <v>4577</v>
      </c>
      <c r="D1254" s="1">
        <v>2022</v>
      </c>
      <c r="E1254" s="1" t="str">
        <f t="shared" si="4"/>
        <v>MAZDANEW 6 2.02022</v>
      </c>
      <c r="F1254" s="1" t="s">
        <v>1413</v>
      </c>
      <c r="G1254" s="1">
        <v>16890000</v>
      </c>
      <c r="H1254" s="1">
        <v>14700000</v>
      </c>
    </row>
    <row r="1255" spans="1:8" ht="13.5" customHeight="1" x14ac:dyDescent="0.3">
      <c r="A1255" s="1" t="s">
        <v>207</v>
      </c>
      <c r="B1255" s="1" t="s">
        <v>207</v>
      </c>
      <c r="C1255" s="1" t="s">
        <v>4577</v>
      </c>
      <c r="D1255" s="1">
        <v>2023</v>
      </c>
      <c r="E1255" s="1" t="str">
        <f t="shared" si="4"/>
        <v>MAZDANEW 6 2.02023</v>
      </c>
      <c r="F1255" s="1" t="s">
        <v>1392</v>
      </c>
      <c r="G1255" s="1">
        <v>17290000</v>
      </c>
      <c r="H1255" s="1">
        <v>14700000</v>
      </c>
    </row>
    <row r="1256" spans="1:8" ht="13.5" customHeight="1" x14ac:dyDescent="0.3">
      <c r="A1256" s="1" t="s">
        <v>207</v>
      </c>
      <c r="B1256" s="1" t="s">
        <v>207</v>
      </c>
      <c r="C1256" s="1" t="s">
        <v>4578</v>
      </c>
      <c r="D1256" s="1">
        <v>2017</v>
      </c>
      <c r="E1256" s="1" t="str">
        <f t="shared" si="4"/>
        <v>MAZDANEW 6 2.5 AUT2017</v>
      </c>
      <c r="F1256" s="1" t="s">
        <v>2123</v>
      </c>
      <c r="G1256" s="1">
        <v>9990000</v>
      </c>
      <c r="H1256" s="1">
        <v>8300000</v>
      </c>
    </row>
    <row r="1257" spans="1:8" ht="13.5" customHeight="1" x14ac:dyDescent="0.3">
      <c r="A1257" s="1" t="s">
        <v>207</v>
      </c>
      <c r="B1257" s="1" t="s">
        <v>207</v>
      </c>
      <c r="C1257" s="1" t="s">
        <v>4579</v>
      </c>
      <c r="D1257" s="1">
        <v>2015</v>
      </c>
      <c r="E1257" s="1" t="str">
        <f t="shared" si="4"/>
        <v>MAZDANEW 6 V 2.0 AUT2015</v>
      </c>
      <c r="F1257" s="1" t="s">
        <v>1551</v>
      </c>
      <c r="G1257" s="1">
        <v>8990000</v>
      </c>
      <c r="H1257" s="1">
        <v>7300000</v>
      </c>
    </row>
    <row r="1258" spans="1:8" ht="13.5" customHeight="1" x14ac:dyDescent="0.3">
      <c r="A1258" s="1" t="s">
        <v>207</v>
      </c>
      <c r="B1258" s="1" t="s">
        <v>207</v>
      </c>
      <c r="C1258" s="1" t="s">
        <v>4580</v>
      </c>
      <c r="D1258" s="1">
        <v>2018</v>
      </c>
      <c r="E1258" s="1" t="str">
        <f t="shared" si="4"/>
        <v>MAZDANEW CX 3 GT 4X4 2.0 AUT2018</v>
      </c>
      <c r="F1258" s="1" t="s">
        <v>1746</v>
      </c>
      <c r="G1258" s="1">
        <v>10890000</v>
      </c>
      <c r="H1258" s="1">
        <v>9215966</v>
      </c>
    </row>
    <row r="1259" spans="1:8" ht="13.5" customHeight="1" x14ac:dyDescent="0.3">
      <c r="A1259" s="1" t="s">
        <v>207</v>
      </c>
      <c r="B1259" s="1" t="s">
        <v>207</v>
      </c>
      <c r="C1259" s="1" t="s">
        <v>4581</v>
      </c>
      <c r="D1259" s="1">
        <v>2019</v>
      </c>
      <c r="E1259" s="1" t="str">
        <f t="shared" si="4"/>
        <v>MAZDANEW CX 3 R 2.02019</v>
      </c>
      <c r="F1259" s="1" t="s">
        <v>1346</v>
      </c>
      <c r="G1259" s="1">
        <v>13390000</v>
      </c>
      <c r="H1259" s="1">
        <v>11300000</v>
      </c>
    </row>
    <row r="1260" spans="1:8" ht="13.5" customHeight="1" x14ac:dyDescent="0.3">
      <c r="A1260" s="1" t="s">
        <v>207</v>
      </c>
      <c r="B1260" s="1" t="s">
        <v>207</v>
      </c>
      <c r="C1260" s="1" t="s">
        <v>4582</v>
      </c>
      <c r="D1260" s="1">
        <v>2017</v>
      </c>
      <c r="E1260" s="1" t="str">
        <f t="shared" si="4"/>
        <v>MAZDANEW CX 5 R 2.02017</v>
      </c>
      <c r="F1260" s="1" t="s">
        <v>2304</v>
      </c>
      <c r="G1260" s="1">
        <v>13500000</v>
      </c>
      <c r="H1260" s="1">
        <v>11800000</v>
      </c>
    </row>
    <row r="1261" spans="1:8" ht="13.5" customHeight="1" x14ac:dyDescent="0.3">
      <c r="A1261" s="1" t="s">
        <v>207</v>
      </c>
      <c r="B1261" s="1" t="s">
        <v>207</v>
      </c>
      <c r="C1261" s="1" t="s">
        <v>4583</v>
      </c>
      <c r="D1261" s="1">
        <v>2016</v>
      </c>
      <c r="E1261" s="1" t="str">
        <f t="shared" si="4"/>
        <v>MAZDANEW CX 5 R 2.0 AUT2016</v>
      </c>
      <c r="F1261" s="1" t="s">
        <v>2327</v>
      </c>
      <c r="G1261" s="1">
        <v>13990000</v>
      </c>
      <c r="H1261" s="1">
        <v>11500000</v>
      </c>
    </row>
    <row r="1262" spans="1:8" ht="13.5" customHeight="1" x14ac:dyDescent="0.3">
      <c r="A1262" s="1" t="s">
        <v>207</v>
      </c>
      <c r="B1262" s="1" t="s">
        <v>207</v>
      </c>
      <c r="C1262" s="1" t="s">
        <v>4584</v>
      </c>
      <c r="D1262" s="1">
        <v>2020</v>
      </c>
      <c r="E1262" s="1" t="str">
        <f t="shared" si="4"/>
        <v>MAZDANEW CX 9 GTX 4X4 2.5 AUT2020</v>
      </c>
      <c r="F1262" s="1" t="s">
        <v>2175</v>
      </c>
      <c r="G1262" s="1">
        <v>24990000</v>
      </c>
      <c r="H1262" s="1">
        <v>20500000</v>
      </c>
    </row>
    <row r="1263" spans="1:8" ht="13.5" customHeight="1" x14ac:dyDescent="0.3">
      <c r="A1263" s="1" t="s">
        <v>207</v>
      </c>
      <c r="B1263" s="1" t="s">
        <v>207</v>
      </c>
      <c r="C1263" s="1" t="s">
        <v>4584</v>
      </c>
      <c r="D1263" s="1">
        <v>2021</v>
      </c>
      <c r="E1263" s="1" t="str">
        <f t="shared" si="4"/>
        <v>MAZDANEW CX 9 GTX 4X4 2.5 AUT2021</v>
      </c>
      <c r="F1263" s="1" t="s">
        <v>706</v>
      </c>
      <c r="G1263" s="1">
        <v>25490000</v>
      </c>
      <c r="H1263" s="1">
        <v>21500000</v>
      </c>
    </row>
    <row r="1264" spans="1:8" ht="13.5" customHeight="1" x14ac:dyDescent="0.3">
      <c r="A1264" s="1" t="s">
        <v>207</v>
      </c>
      <c r="B1264" s="1" t="s">
        <v>207</v>
      </c>
      <c r="C1264" s="1" t="s">
        <v>4584</v>
      </c>
      <c r="D1264" s="1">
        <v>2023</v>
      </c>
      <c r="E1264" s="1" t="str">
        <f t="shared" si="4"/>
        <v>MAZDANEW CX 9 GTX 4X4 2.5 AUT2023</v>
      </c>
      <c r="F1264" s="1" t="s">
        <v>697</v>
      </c>
      <c r="G1264" s="1">
        <v>28490000</v>
      </c>
      <c r="H1264" s="1">
        <v>27500000</v>
      </c>
    </row>
    <row r="1265" spans="1:8" ht="13.5" customHeight="1" x14ac:dyDescent="0.3">
      <c r="A1265" s="1" t="s">
        <v>207</v>
      </c>
      <c r="B1265" s="1" t="s">
        <v>207</v>
      </c>
      <c r="C1265" s="1" t="s">
        <v>4585</v>
      </c>
      <c r="D1265" s="1">
        <v>2021</v>
      </c>
      <c r="E1265" s="1" t="str">
        <f t="shared" si="4"/>
        <v>MAZDANEW CX3 2.02021</v>
      </c>
      <c r="F1265" s="1" t="s">
        <v>1797</v>
      </c>
      <c r="G1265" s="1">
        <v>11690000</v>
      </c>
      <c r="H1265" s="1">
        <v>9500000</v>
      </c>
    </row>
    <row r="1266" spans="1:8" ht="13.5" customHeight="1" x14ac:dyDescent="0.3">
      <c r="A1266" s="1" t="s">
        <v>207</v>
      </c>
      <c r="B1266" s="1" t="s">
        <v>207</v>
      </c>
      <c r="C1266" s="1" t="s">
        <v>4586</v>
      </c>
      <c r="D1266" s="1">
        <v>2017</v>
      </c>
      <c r="E1266" s="1" t="str">
        <f t="shared" si="4"/>
        <v>MAZDANEW CX5 GT 4X4 2.2 AUT2017</v>
      </c>
      <c r="F1266" s="1" t="s">
        <v>1256</v>
      </c>
      <c r="G1266" s="1">
        <v>12390000</v>
      </c>
      <c r="H1266" s="1">
        <v>10500000</v>
      </c>
    </row>
    <row r="1267" spans="1:8" ht="13.5" customHeight="1" x14ac:dyDescent="0.3">
      <c r="A1267" s="1" t="s">
        <v>207</v>
      </c>
      <c r="B1267" s="1" t="s">
        <v>4587</v>
      </c>
      <c r="C1267" s="1" t="s">
        <v>4588</v>
      </c>
      <c r="D1267" s="1">
        <v>2020</v>
      </c>
      <c r="E1267" s="1" t="str">
        <f t="shared" si="4"/>
        <v>NEW CX 5NEW CX 5 4X4 2.0 AUT2020</v>
      </c>
      <c r="F1267" s="1" t="s">
        <v>907</v>
      </c>
      <c r="G1267" s="1">
        <v>16660000</v>
      </c>
      <c r="H1267" s="1">
        <v>14200000</v>
      </c>
    </row>
    <row r="1268" spans="1:8" ht="13.5" customHeight="1" x14ac:dyDescent="0.3">
      <c r="A1268" s="1" t="s">
        <v>207</v>
      </c>
      <c r="B1268" s="1" t="s">
        <v>4587</v>
      </c>
      <c r="C1268" s="1" t="s">
        <v>4589</v>
      </c>
      <c r="D1268" s="1">
        <v>2021</v>
      </c>
      <c r="E1268" s="1" t="str">
        <f t="shared" si="4"/>
        <v>NEW CX 5NEW CX 5 R 2.0 AT2021</v>
      </c>
      <c r="F1268" s="1" t="s">
        <v>851</v>
      </c>
      <c r="G1268" s="1">
        <v>17490000</v>
      </c>
      <c r="H1268" s="1">
        <v>15000000</v>
      </c>
    </row>
    <row r="1269" spans="1:8" ht="13.5" customHeight="1" x14ac:dyDescent="0.3">
      <c r="A1269" s="1" t="s">
        <v>3021</v>
      </c>
      <c r="B1269" s="1" t="s">
        <v>3021</v>
      </c>
      <c r="C1269" s="1" t="s">
        <v>4590</v>
      </c>
      <c r="D1269" s="1">
        <v>2019</v>
      </c>
      <c r="E1269" s="1" t="str">
        <f t="shared" si="4"/>
        <v>MERCEDES BENZA200 HATCH BACK 1.3 AUT2019</v>
      </c>
      <c r="F1269" s="1" t="s">
        <v>1325</v>
      </c>
      <c r="G1269" s="1">
        <v>18990000</v>
      </c>
      <c r="H1269" s="1">
        <v>15500000</v>
      </c>
    </row>
    <row r="1270" spans="1:8" ht="13.5" customHeight="1" x14ac:dyDescent="0.3">
      <c r="A1270" s="1" t="s">
        <v>3021</v>
      </c>
      <c r="B1270" s="1" t="s">
        <v>3021</v>
      </c>
      <c r="C1270" s="1" t="s">
        <v>4591</v>
      </c>
      <c r="D1270" s="1">
        <v>2013</v>
      </c>
      <c r="E1270" s="1" t="str">
        <f t="shared" si="4"/>
        <v>MERCEDES BENZE200 COUPE2013</v>
      </c>
      <c r="F1270" s="1" t="s">
        <v>4592</v>
      </c>
      <c r="G1270" s="1">
        <v>11000000</v>
      </c>
      <c r="H1270" s="1">
        <v>13764030</v>
      </c>
    </row>
    <row r="1271" spans="1:8" ht="13.5" customHeight="1" x14ac:dyDescent="0.3">
      <c r="A1271" s="1" t="s">
        <v>3021</v>
      </c>
      <c r="B1271" s="1" t="s">
        <v>3021</v>
      </c>
      <c r="C1271" s="1" t="s">
        <v>4593</v>
      </c>
      <c r="D1271" s="1">
        <v>2022</v>
      </c>
      <c r="E1271" s="1" t="str">
        <f t="shared" si="4"/>
        <v>MERCEDES BENZGLC 220D COUPE 4X4 1.92022</v>
      </c>
      <c r="F1271" s="1" t="s">
        <v>1848</v>
      </c>
      <c r="G1271" s="1">
        <v>35990000</v>
      </c>
      <c r="H1271" s="1">
        <v>30000000</v>
      </c>
    </row>
    <row r="1272" spans="1:8" ht="13.5" customHeight="1" x14ac:dyDescent="0.3">
      <c r="A1272" s="1" t="s">
        <v>2533</v>
      </c>
      <c r="B1272" s="1" t="s">
        <v>2533</v>
      </c>
      <c r="C1272" s="1" t="s">
        <v>4594</v>
      </c>
      <c r="D1272" s="1">
        <v>2018</v>
      </c>
      <c r="E1272" s="1" t="str">
        <f t="shared" si="4"/>
        <v>MG3 1.52018</v>
      </c>
      <c r="F1272" s="1" t="s">
        <v>1469</v>
      </c>
      <c r="G1272" s="1">
        <v>5990000</v>
      </c>
      <c r="H1272" s="1">
        <v>4200000</v>
      </c>
    </row>
    <row r="1273" spans="1:8" ht="13.5" customHeight="1" x14ac:dyDescent="0.3">
      <c r="A1273" s="1" t="s">
        <v>2533</v>
      </c>
      <c r="B1273" s="1" t="s">
        <v>2533</v>
      </c>
      <c r="C1273" s="1" t="s">
        <v>4594</v>
      </c>
      <c r="D1273" s="1">
        <v>2020</v>
      </c>
      <c r="E1273" s="1" t="str">
        <f t="shared" si="4"/>
        <v>MG3 1.52020</v>
      </c>
      <c r="F1273" s="1" t="s">
        <v>1366</v>
      </c>
      <c r="G1273" s="1">
        <v>6590000</v>
      </c>
      <c r="H1273" s="1">
        <v>5000000</v>
      </c>
    </row>
    <row r="1274" spans="1:8" ht="13.5" customHeight="1" x14ac:dyDescent="0.3">
      <c r="A1274" s="1" t="s">
        <v>2533</v>
      </c>
      <c r="B1274" s="1" t="s">
        <v>2533</v>
      </c>
      <c r="C1274" s="1" t="s">
        <v>4594</v>
      </c>
      <c r="D1274" s="1">
        <v>2021</v>
      </c>
      <c r="E1274" s="1" t="str">
        <f t="shared" si="4"/>
        <v>MG3 1.52021</v>
      </c>
      <c r="F1274" s="1" t="s">
        <v>2202</v>
      </c>
      <c r="G1274" s="1">
        <v>6990000</v>
      </c>
      <c r="H1274" s="1">
        <v>5700000</v>
      </c>
    </row>
    <row r="1275" spans="1:8" ht="13.5" customHeight="1" x14ac:dyDescent="0.3">
      <c r="A1275" s="1" t="s">
        <v>2533</v>
      </c>
      <c r="B1275" s="1" t="s">
        <v>2533</v>
      </c>
      <c r="C1275" s="1" t="s">
        <v>4595</v>
      </c>
      <c r="D1275" s="1">
        <v>2013</v>
      </c>
      <c r="E1275" s="1" t="str">
        <f t="shared" si="4"/>
        <v>MG350 1.52013</v>
      </c>
      <c r="F1275" s="1" t="s">
        <v>4596</v>
      </c>
      <c r="G1275" s="1">
        <v>3990000</v>
      </c>
      <c r="H1275" s="1">
        <v>5500000</v>
      </c>
    </row>
    <row r="1276" spans="1:8" ht="13.5" customHeight="1" x14ac:dyDescent="0.3">
      <c r="A1276" s="1" t="s">
        <v>2533</v>
      </c>
      <c r="B1276" s="1" t="s">
        <v>4597</v>
      </c>
      <c r="C1276" s="1" t="s">
        <v>4598</v>
      </c>
      <c r="D1276" s="1">
        <v>2023</v>
      </c>
      <c r="E1276" s="1" t="str">
        <f t="shared" si="4"/>
        <v>MG33 1.5 AT2023</v>
      </c>
      <c r="F1276" s="1" t="s">
        <v>435</v>
      </c>
      <c r="G1276" s="1">
        <v>7990000</v>
      </c>
      <c r="H1276" s="1">
        <v>6600000</v>
      </c>
    </row>
    <row r="1277" spans="1:8" ht="13.5" customHeight="1" x14ac:dyDescent="0.3">
      <c r="A1277" s="1" t="s">
        <v>2533</v>
      </c>
      <c r="B1277" s="1" t="s">
        <v>4597</v>
      </c>
      <c r="C1277" s="1" t="s">
        <v>4599</v>
      </c>
      <c r="D1277" s="1">
        <v>2022</v>
      </c>
      <c r="E1277" s="1" t="str">
        <f t="shared" si="4"/>
        <v>MG33 1.5 AUT2022</v>
      </c>
      <c r="F1277" s="1" t="s">
        <v>605</v>
      </c>
      <c r="G1277" s="1">
        <v>7290000</v>
      </c>
      <c r="H1277" s="1">
        <v>5700000</v>
      </c>
    </row>
    <row r="1278" spans="1:8" ht="13.5" customHeight="1" x14ac:dyDescent="0.3">
      <c r="A1278" s="1" t="s">
        <v>2533</v>
      </c>
      <c r="B1278" s="1" t="s">
        <v>4597</v>
      </c>
      <c r="C1278" s="1" t="s">
        <v>4600</v>
      </c>
      <c r="D1278" s="1">
        <v>2021</v>
      </c>
      <c r="E1278" s="1" t="str">
        <f t="shared" ref="E1278:E1532" si="5">CONCATENATE(B1278,C1278,D1278)</f>
        <v>MG33 HATCH BACK 1.52021</v>
      </c>
      <c r="F1278" s="1" t="s">
        <v>591</v>
      </c>
      <c r="G1278" s="1">
        <v>5990000</v>
      </c>
      <c r="H1278" s="1">
        <v>3500000</v>
      </c>
    </row>
    <row r="1279" spans="1:8" ht="13.5" customHeight="1" x14ac:dyDescent="0.3">
      <c r="A1279" s="1" t="s">
        <v>2533</v>
      </c>
      <c r="B1279" s="1" t="s">
        <v>4597</v>
      </c>
      <c r="C1279" s="1" t="s">
        <v>4600</v>
      </c>
      <c r="D1279" s="1">
        <v>2022</v>
      </c>
      <c r="E1279" s="1" t="str">
        <f t="shared" si="5"/>
        <v>MG33 HATCH BACK 1.52022</v>
      </c>
      <c r="F1279" s="1" t="s">
        <v>900</v>
      </c>
      <c r="G1279" s="1">
        <v>7690000</v>
      </c>
      <c r="H1279" s="1">
        <v>6300000</v>
      </c>
    </row>
    <row r="1280" spans="1:8" ht="13.5" customHeight="1" x14ac:dyDescent="0.3">
      <c r="A1280" s="1" t="s">
        <v>2533</v>
      </c>
      <c r="B1280" s="1" t="s">
        <v>4597</v>
      </c>
      <c r="C1280" s="1" t="s">
        <v>4600</v>
      </c>
      <c r="D1280" s="1">
        <v>2022</v>
      </c>
      <c r="E1280" s="1" t="str">
        <f t="shared" si="5"/>
        <v>MG33 HATCH BACK 1.52022</v>
      </c>
      <c r="F1280" s="1" t="s">
        <v>2379</v>
      </c>
      <c r="G1280" s="1">
        <v>9990000</v>
      </c>
      <c r="H1280" s="1">
        <v>7100000</v>
      </c>
    </row>
    <row r="1281" spans="1:8" ht="13.5" customHeight="1" x14ac:dyDescent="0.3">
      <c r="A1281" s="1" t="s">
        <v>2533</v>
      </c>
      <c r="B1281" s="1" t="s">
        <v>4597</v>
      </c>
      <c r="C1281" s="1" t="s">
        <v>4600</v>
      </c>
      <c r="D1281" s="1">
        <v>2022</v>
      </c>
      <c r="E1281" s="1" t="str">
        <f t="shared" si="5"/>
        <v>MG33 HATCH BACK 1.52022</v>
      </c>
      <c r="F1281" s="1" t="s">
        <v>589</v>
      </c>
      <c r="G1281" s="1">
        <v>6710620</v>
      </c>
      <c r="H1281" s="1">
        <v>5200000</v>
      </c>
    </row>
    <row r="1282" spans="1:8" ht="13.5" customHeight="1" x14ac:dyDescent="0.3">
      <c r="A1282" s="1" t="s">
        <v>2533</v>
      </c>
      <c r="B1282" s="1" t="s">
        <v>4597</v>
      </c>
      <c r="C1282" s="1" t="s">
        <v>4600</v>
      </c>
      <c r="D1282" s="1">
        <v>2022</v>
      </c>
      <c r="E1282" s="1" t="str">
        <f t="shared" si="5"/>
        <v>MG33 HATCH BACK 1.52022</v>
      </c>
      <c r="F1282" s="1" t="s">
        <v>904</v>
      </c>
      <c r="G1282" s="1">
        <v>7490000</v>
      </c>
      <c r="H1282" s="1">
        <v>6000000</v>
      </c>
    </row>
    <row r="1283" spans="1:8" ht="13.5" customHeight="1" x14ac:dyDescent="0.3">
      <c r="A1283" s="1" t="s">
        <v>2533</v>
      </c>
      <c r="B1283" s="1" t="s">
        <v>4597</v>
      </c>
      <c r="C1283" s="1" t="s">
        <v>4600</v>
      </c>
      <c r="D1283" s="1">
        <v>2022</v>
      </c>
      <c r="E1283" s="1" t="str">
        <f t="shared" si="5"/>
        <v>MG33 HATCH BACK 1.52022</v>
      </c>
      <c r="F1283" s="1" t="s">
        <v>921</v>
      </c>
      <c r="G1283" s="1">
        <v>7390000</v>
      </c>
      <c r="H1283" s="1">
        <v>6200000</v>
      </c>
    </row>
    <row r="1284" spans="1:8" ht="13.5" customHeight="1" x14ac:dyDescent="0.3">
      <c r="A1284" s="1" t="s">
        <v>2533</v>
      </c>
      <c r="B1284" s="1" t="s">
        <v>4597</v>
      </c>
      <c r="C1284" s="1" t="s">
        <v>4601</v>
      </c>
      <c r="D1284" s="1">
        <v>2021</v>
      </c>
      <c r="E1284" s="1" t="str">
        <f t="shared" si="5"/>
        <v>MG33 HATCH BACK 1.5 AUT2021</v>
      </c>
      <c r="F1284" s="1" t="s">
        <v>1039</v>
      </c>
      <c r="G1284" s="1">
        <v>7590000</v>
      </c>
      <c r="H1284" s="1">
        <v>5800000</v>
      </c>
    </row>
    <row r="1285" spans="1:8" ht="13.5" customHeight="1" x14ac:dyDescent="0.3">
      <c r="A1285" s="1" t="s">
        <v>2533</v>
      </c>
      <c r="B1285" s="1" t="s">
        <v>4597</v>
      </c>
      <c r="C1285" s="1" t="s">
        <v>4601</v>
      </c>
      <c r="D1285" s="1">
        <v>2023</v>
      </c>
      <c r="E1285" s="1" t="str">
        <f t="shared" si="5"/>
        <v>MG33 HATCH BACK 1.5 AUT2023</v>
      </c>
      <c r="F1285" s="1" t="s">
        <v>478</v>
      </c>
      <c r="G1285" s="1">
        <v>8390000</v>
      </c>
      <c r="H1285" s="1">
        <v>6500000</v>
      </c>
    </row>
    <row r="1286" spans="1:8" ht="13.5" customHeight="1" x14ac:dyDescent="0.3">
      <c r="A1286" s="1" t="s">
        <v>2533</v>
      </c>
      <c r="B1286" s="1" t="s">
        <v>4597</v>
      </c>
      <c r="C1286" s="1" t="s">
        <v>4602</v>
      </c>
      <c r="D1286" s="1">
        <v>2019</v>
      </c>
      <c r="E1286" s="1" t="str">
        <f t="shared" si="5"/>
        <v>MG3NEW 3 1.52019</v>
      </c>
      <c r="F1286" s="1" t="s">
        <v>2261</v>
      </c>
      <c r="G1286" s="1">
        <v>6590000</v>
      </c>
      <c r="H1286" s="1">
        <v>5300000</v>
      </c>
    </row>
    <row r="1287" spans="1:8" ht="13.5" customHeight="1" x14ac:dyDescent="0.3">
      <c r="A1287" s="1" t="s">
        <v>2533</v>
      </c>
      <c r="B1287" s="1" t="s">
        <v>4597</v>
      </c>
      <c r="C1287" s="1" t="s">
        <v>4603</v>
      </c>
      <c r="D1287" s="1">
        <v>2020</v>
      </c>
      <c r="E1287" s="1" t="str">
        <f t="shared" si="5"/>
        <v>MG3NEW 3 1.5 AUT2020</v>
      </c>
      <c r="F1287" s="1" t="s">
        <v>1100</v>
      </c>
      <c r="G1287" s="1">
        <v>7390000</v>
      </c>
      <c r="H1287" s="1">
        <v>6000000</v>
      </c>
    </row>
    <row r="1288" spans="1:8" ht="13.5" customHeight="1" x14ac:dyDescent="0.3">
      <c r="A1288" s="1" t="s">
        <v>2533</v>
      </c>
      <c r="B1288" s="1" t="s">
        <v>4604</v>
      </c>
      <c r="C1288" s="1" t="s">
        <v>4605</v>
      </c>
      <c r="D1288" s="1">
        <v>2023</v>
      </c>
      <c r="E1288" s="1" t="str">
        <f t="shared" si="5"/>
        <v>MGGTGT 1.52023</v>
      </c>
      <c r="F1288" s="1" t="s">
        <v>587</v>
      </c>
      <c r="G1288" s="1">
        <v>9990000</v>
      </c>
      <c r="H1288" s="1">
        <v>8400000</v>
      </c>
    </row>
    <row r="1289" spans="1:8" ht="13.5" customHeight="1" x14ac:dyDescent="0.3">
      <c r="A1289" s="1" t="s">
        <v>2533</v>
      </c>
      <c r="B1289" s="1" t="s">
        <v>4604</v>
      </c>
      <c r="C1289" s="1" t="s">
        <v>4606</v>
      </c>
      <c r="D1289" s="1">
        <v>2023</v>
      </c>
      <c r="E1289" s="1" t="str">
        <f t="shared" si="5"/>
        <v>MGGTGT SEDAN 1.52023</v>
      </c>
      <c r="F1289" s="1" t="s">
        <v>890</v>
      </c>
      <c r="G1289" s="1">
        <v>10790000</v>
      </c>
      <c r="H1289" s="1">
        <v>8800000</v>
      </c>
    </row>
    <row r="1290" spans="1:8" ht="13.5" customHeight="1" x14ac:dyDescent="0.3">
      <c r="A1290" s="1" t="s">
        <v>2533</v>
      </c>
      <c r="B1290" s="1" t="s">
        <v>4607</v>
      </c>
      <c r="C1290" s="1" t="s">
        <v>4608</v>
      </c>
      <c r="D1290" s="1">
        <v>2021</v>
      </c>
      <c r="E1290" s="1" t="str">
        <f t="shared" si="5"/>
        <v>MGHSHS 2.0T DCT TROPHY AWD2021</v>
      </c>
      <c r="F1290" s="1" t="s">
        <v>487</v>
      </c>
      <c r="G1290" s="1">
        <v>10690000</v>
      </c>
      <c r="H1290" s="1">
        <v>8800000</v>
      </c>
    </row>
    <row r="1291" spans="1:8" ht="13.5" customHeight="1" x14ac:dyDescent="0.3">
      <c r="A1291" s="1" t="s">
        <v>2533</v>
      </c>
      <c r="B1291" s="1" t="s">
        <v>4607</v>
      </c>
      <c r="C1291" s="1" t="s">
        <v>4609</v>
      </c>
      <c r="D1291" s="1">
        <v>2022</v>
      </c>
      <c r="E1291" s="1" t="str">
        <f t="shared" si="5"/>
        <v>MGHSHS DCT 4X4 2.0 AUT2022</v>
      </c>
      <c r="F1291" s="1" t="s">
        <v>588</v>
      </c>
      <c r="G1291" s="1">
        <v>10324830</v>
      </c>
      <c r="H1291" s="1">
        <v>8900000</v>
      </c>
    </row>
    <row r="1292" spans="1:8" ht="13.5" customHeight="1" x14ac:dyDescent="0.3">
      <c r="A1292" s="1" t="s">
        <v>2533</v>
      </c>
      <c r="B1292" s="1" t="s">
        <v>4610</v>
      </c>
      <c r="C1292" s="1" t="s">
        <v>4611</v>
      </c>
      <c r="D1292" s="1">
        <v>2019</v>
      </c>
      <c r="E1292" s="1" t="str">
        <f t="shared" si="5"/>
        <v>MGRX5RX5 1.52019</v>
      </c>
      <c r="F1292" s="1" t="s">
        <v>2607</v>
      </c>
      <c r="G1292" s="1">
        <v>7900000</v>
      </c>
      <c r="H1292" s="1">
        <v>7290000</v>
      </c>
    </row>
    <row r="1293" spans="1:8" ht="13.5" customHeight="1" x14ac:dyDescent="0.3">
      <c r="A1293" s="1" t="s">
        <v>2533</v>
      </c>
      <c r="B1293" s="1" t="s">
        <v>4610</v>
      </c>
      <c r="C1293" s="1" t="s">
        <v>4612</v>
      </c>
      <c r="D1293" s="1">
        <v>2021</v>
      </c>
      <c r="E1293" s="1" t="str">
        <f t="shared" si="5"/>
        <v>MGRX5RX5 1.5 AT2021</v>
      </c>
      <c r="F1293" s="1" t="s">
        <v>1554</v>
      </c>
      <c r="G1293" s="1">
        <v>11590000</v>
      </c>
      <c r="H1293" s="1">
        <v>8378992</v>
      </c>
    </row>
    <row r="1294" spans="1:8" ht="13.5" customHeight="1" x14ac:dyDescent="0.3">
      <c r="A1294" s="1" t="s">
        <v>2533</v>
      </c>
      <c r="B1294" s="1" t="s">
        <v>4613</v>
      </c>
      <c r="C1294" s="1" t="s">
        <v>4614</v>
      </c>
      <c r="D1294" s="1">
        <v>2018</v>
      </c>
      <c r="E1294" s="1" t="str">
        <f t="shared" si="5"/>
        <v>MGZSZS 1.52018</v>
      </c>
      <c r="F1294" s="1" t="s">
        <v>2283</v>
      </c>
      <c r="G1294" s="1">
        <v>8990000</v>
      </c>
      <c r="H1294" s="1">
        <v>7000000</v>
      </c>
    </row>
    <row r="1295" spans="1:8" ht="13.5" customHeight="1" x14ac:dyDescent="0.3">
      <c r="A1295" s="1" t="s">
        <v>2533</v>
      </c>
      <c r="B1295" s="1" t="s">
        <v>4613</v>
      </c>
      <c r="C1295" s="1" t="s">
        <v>4614</v>
      </c>
      <c r="D1295" s="1">
        <v>2019</v>
      </c>
      <c r="E1295" s="1" t="str">
        <f t="shared" si="5"/>
        <v>MGZSZS 1.52019</v>
      </c>
      <c r="F1295" s="1" t="s">
        <v>2216</v>
      </c>
      <c r="G1295" s="1">
        <v>8240000</v>
      </c>
      <c r="H1295" s="1">
        <v>7000000</v>
      </c>
    </row>
    <row r="1296" spans="1:8" ht="13.5" customHeight="1" x14ac:dyDescent="0.3">
      <c r="A1296" s="1" t="s">
        <v>2533</v>
      </c>
      <c r="B1296" s="1" t="s">
        <v>4613</v>
      </c>
      <c r="C1296" s="1" t="s">
        <v>4614</v>
      </c>
      <c r="D1296" s="1">
        <v>2020</v>
      </c>
      <c r="E1296" s="1" t="str">
        <f t="shared" si="5"/>
        <v>MGZSZS 1.52020</v>
      </c>
      <c r="F1296" s="1" t="s">
        <v>1895</v>
      </c>
      <c r="G1296" s="1">
        <v>8290000</v>
      </c>
      <c r="H1296" s="1">
        <v>6800000</v>
      </c>
    </row>
    <row r="1297" spans="1:8" ht="13.5" customHeight="1" x14ac:dyDescent="0.3">
      <c r="A1297" s="1" t="s">
        <v>2533</v>
      </c>
      <c r="B1297" s="1" t="s">
        <v>4613</v>
      </c>
      <c r="C1297" s="1" t="s">
        <v>4614</v>
      </c>
      <c r="D1297" s="1">
        <v>2020</v>
      </c>
      <c r="E1297" s="1" t="str">
        <f t="shared" si="5"/>
        <v>MGZSZS 1.52020</v>
      </c>
      <c r="F1297" s="1" t="s">
        <v>1301</v>
      </c>
      <c r="G1297" s="1">
        <v>6990000</v>
      </c>
      <c r="H1297" s="1">
        <v>5800000</v>
      </c>
    </row>
    <row r="1298" spans="1:8" ht="13.5" customHeight="1" x14ac:dyDescent="0.3">
      <c r="A1298" s="1" t="s">
        <v>2533</v>
      </c>
      <c r="B1298" s="1" t="s">
        <v>4613</v>
      </c>
      <c r="C1298" s="1" t="s">
        <v>4614</v>
      </c>
      <c r="D1298" s="1">
        <v>2020</v>
      </c>
      <c r="E1298" s="1" t="str">
        <f t="shared" si="5"/>
        <v>MGZSZS 1.52020</v>
      </c>
      <c r="F1298" s="1" t="s">
        <v>1375</v>
      </c>
      <c r="G1298" s="1">
        <v>8990000</v>
      </c>
      <c r="H1298" s="1">
        <v>6000000</v>
      </c>
    </row>
    <row r="1299" spans="1:8" ht="13.5" customHeight="1" x14ac:dyDescent="0.3">
      <c r="A1299" s="1" t="s">
        <v>2533</v>
      </c>
      <c r="B1299" s="1" t="s">
        <v>4613</v>
      </c>
      <c r="C1299" s="1" t="s">
        <v>4614</v>
      </c>
      <c r="D1299" s="1">
        <v>2020</v>
      </c>
      <c r="E1299" s="1" t="str">
        <f t="shared" si="5"/>
        <v>MGZSZS 1.52020</v>
      </c>
      <c r="F1299" s="1" t="s">
        <v>2338</v>
      </c>
      <c r="G1299" s="1">
        <v>9990000</v>
      </c>
      <c r="H1299" s="1">
        <v>8000000</v>
      </c>
    </row>
    <row r="1300" spans="1:8" ht="13.5" customHeight="1" x14ac:dyDescent="0.3">
      <c r="A1300" s="1" t="s">
        <v>2533</v>
      </c>
      <c r="B1300" s="1" t="s">
        <v>4613</v>
      </c>
      <c r="C1300" s="1" t="s">
        <v>4614</v>
      </c>
      <c r="D1300" s="1">
        <v>2020</v>
      </c>
      <c r="E1300" s="1" t="str">
        <f t="shared" si="5"/>
        <v>MGZSZS 1.52020</v>
      </c>
      <c r="F1300" s="1" t="s">
        <v>1624</v>
      </c>
      <c r="G1300" s="1">
        <v>7990000</v>
      </c>
      <c r="H1300" s="1">
        <v>5500000</v>
      </c>
    </row>
    <row r="1301" spans="1:8" ht="13.5" customHeight="1" x14ac:dyDescent="0.3">
      <c r="A1301" s="1" t="s">
        <v>2533</v>
      </c>
      <c r="B1301" s="1" t="s">
        <v>4613</v>
      </c>
      <c r="C1301" s="1" t="s">
        <v>4614</v>
      </c>
      <c r="D1301" s="1">
        <v>2021</v>
      </c>
      <c r="E1301" s="1" t="str">
        <f t="shared" si="5"/>
        <v>MGZSZS 1.52021</v>
      </c>
      <c r="F1301" s="1" t="s">
        <v>967</v>
      </c>
      <c r="G1301" s="1">
        <v>7590000</v>
      </c>
      <c r="H1301" s="1">
        <v>5300000</v>
      </c>
    </row>
    <row r="1302" spans="1:8" ht="13.5" customHeight="1" x14ac:dyDescent="0.3">
      <c r="A1302" s="1" t="s">
        <v>2533</v>
      </c>
      <c r="B1302" s="1" t="s">
        <v>4613</v>
      </c>
      <c r="C1302" s="1" t="s">
        <v>4614</v>
      </c>
      <c r="D1302" s="1">
        <v>2021</v>
      </c>
      <c r="E1302" s="1" t="str">
        <f t="shared" si="5"/>
        <v>MGZSZS 1.52021</v>
      </c>
      <c r="F1302" s="1" t="s">
        <v>468</v>
      </c>
      <c r="G1302" s="1">
        <v>7890000</v>
      </c>
      <c r="H1302" s="1">
        <v>6600000</v>
      </c>
    </row>
    <row r="1303" spans="1:8" ht="13.5" customHeight="1" x14ac:dyDescent="0.3">
      <c r="A1303" s="1" t="s">
        <v>2533</v>
      </c>
      <c r="B1303" s="1" t="s">
        <v>4613</v>
      </c>
      <c r="C1303" s="1" t="s">
        <v>4615</v>
      </c>
      <c r="D1303" s="1">
        <v>2021</v>
      </c>
      <c r="E1303" s="1" t="str">
        <f t="shared" si="5"/>
        <v>MGZSZS 1.5 AT2021</v>
      </c>
      <c r="F1303" s="1" t="s">
        <v>1503</v>
      </c>
      <c r="G1303" s="1">
        <v>9990000</v>
      </c>
      <c r="H1303" s="1">
        <v>7000000</v>
      </c>
    </row>
    <row r="1304" spans="1:8" ht="13.5" customHeight="1" x14ac:dyDescent="0.3">
      <c r="A1304" s="1" t="s">
        <v>2533</v>
      </c>
      <c r="B1304" s="1" t="s">
        <v>4613</v>
      </c>
      <c r="C1304" s="1" t="s">
        <v>4615</v>
      </c>
      <c r="D1304" s="1">
        <v>2021</v>
      </c>
      <c r="E1304" s="1" t="str">
        <f t="shared" si="5"/>
        <v>MGZSZS 1.5 AT2021</v>
      </c>
      <c r="F1304" s="1" t="s">
        <v>383</v>
      </c>
      <c r="G1304" s="1">
        <v>8490000</v>
      </c>
      <c r="H1304" s="1">
        <v>6700000</v>
      </c>
    </row>
    <row r="1305" spans="1:8" ht="13.5" customHeight="1" x14ac:dyDescent="0.3">
      <c r="A1305" s="1" t="s">
        <v>2533</v>
      </c>
      <c r="B1305" s="1" t="s">
        <v>4613</v>
      </c>
      <c r="C1305" s="1" t="s">
        <v>4615</v>
      </c>
      <c r="D1305" s="1">
        <v>2023</v>
      </c>
      <c r="E1305" s="1" t="str">
        <f t="shared" si="5"/>
        <v>MGZSZS 1.5 AT2023</v>
      </c>
      <c r="F1305" s="1" t="s">
        <v>897</v>
      </c>
      <c r="G1305" s="1">
        <v>10190000</v>
      </c>
      <c r="H1305" s="1">
        <v>8500000</v>
      </c>
    </row>
    <row r="1306" spans="1:8" ht="13.5" customHeight="1" x14ac:dyDescent="0.3">
      <c r="A1306" s="1" t="s">
        <v>2533</v>
      </c>
      <c r="B1306" s="1" t="s">
        <v>4613</v>
      </c>
      <c r="C1306" s="1" t="s">
        <v>4616</v>
      </c>
      <c r="D1306" s="1">
        <v>2019</v>
      </c>
      <c r="E1306" s="1" t="str">
        <f t="shared" si="5"/>
        <v>MGZSZS 1.5 AUT2019</v>
      </c>
      <c r="F1306" s="1" t="s">
        <v>2159</v>
      </c>
      <c r="G1306" s="1">
        <v>8990000</v>
      </c>
      <c r="H1306" s="1">
        <v>7300000</v>
      </c>
    </row>
    <row r="1307" spans="1:8" ht="13.5" customHeight="1" x14ac:dyDescent="0.3">
      <c r="A1307" s="1" t="s">
        <v>2533</v>
      </c>
      <c r="B1307" s="1" t="s">
        <v>4613</v>
      </c>
      <c r="C1307" s="1" t="s">
        <v>4616</v>
      </c>
      <c r="D1307" s="1">
        <v>2020</v>
      </c>
      <c r="E1307" s="1" t="str">
        <f t="shared" si="5"/>
        <v>MGZSZS 1.5 AUT2020</v>
      </c>
      <c r="F1307" s="1" t="s">
        <v>2259</v>
      </c>
      <c r="G1307" s="1">
        <v>9490000</v>
      </c>
      <c r="H1307" s="1">
        <v>8000000</v>
      </c>
    </row>
    <row r="1308" spans="1:8" ht="13.5" customHeight="1" x14ac:dyDescent="0.3">
      <c r="A1308" s="1" t="s">
        <v>2533</v>
      </c>
      <c r="B1308" s="1" t="s">
        <v>4613</v>
      </c>
      <c r="C1308" s="1" t="s">
        <v>4616</v>
      </c>
      <c r="D1308" s="1">
        <v>2020</v>
      </c>
      <c r="E1308" s="1" t="str">
        <f t="shared" si="5"/>
        <v>MGZSZS 1.5 AUT2020</v>
      </c>
      <c r="F1308" s="1" t="s">
        <v>1011</v>
      </c>
      <c r="G1308" s="1">
        <v>8490000</v>
      </c>
      <c r="H1308" s="1">
        <v>6000000</v>
      </c>
    </row>
    <row r="1309" spans="1:8" ht="13.5" customHeight="1" x14ac:dyDescent="0.3">
      <c r="A1309" s="1" t="s">
        <v>2533</v>
      </c>
      <c r="B1309" s="1" t="s">
        <v>4613</v>
      </c>
      <c r="C1309" s="1" t="s">
        <v>4616</v>
      </c>
      <c r="D1309" s="1">
        <v>2020</v>
      </c>
      <c r="E1309" s="1" t="str">
        <f t="shared" si="5"/>
        <v>MGZSZS 1.5 AUT2020</v>
      </c>
      <c r="F1309" s="1" t="s">
        <v>1905</v>
      </c>
      <c r="G1309" s="1">
        <v>9081620</v>
      </c>
      <c r="H1309" s="1">
        <v>7500000</v>
      </c>
    </row>
    <row r="1310" spans="1:8" ht="13.5" customHeight="1" x14ac:dyDescent="0.3">
      <c r="A1310" s="1" t="s">
        <v>2533</v>
      </c>
      <c r="B1310" s="1" t="s">
        <v>4613</v>
      </c>
      <c r="C1310" s="1" t="s">
        <v>4616</v>
      </c>
      <c r="D1310" s="1">
        <v>2020</v>
      </c>
      <c r="E1310" s="1" t="str">
        <f t="shared" si="5"/>
        <v>MGZSZS 1.5 AUT2020</v>
      </c>
      <c r="F1310" s="1" t="s">
        <v>1969</v>
      </c>
      <c r="G1310" s="1">
        <v>9890000</v>
      </c>
      <c r="H1310" s="1">
        <v>8000000</v>
      </c>
    </row>
    <row r="1311" spans="1:8" ht="13.5" customHeight="1" x14ac:dyDescent="0.3">
      <c r="A1311" s="1" t="s">
        <v>2533</v>
      </c>
      <c r="B1311" s="1" t="s">
        <v>4613</v>
      </c>
      <c r="C1311" s="1" t="s">
        <v>4617</v>
      </c>
      <c r="D1311" s="1">
        <v>2019</v>
      </c>
      <c r="E1311" s="1" t="str">
        <f t="shared" si="5"/>
        <v>MGZSZS 5P 1.52019</v>
      </c>
      <c r="F1311" s="1" t="s">
        <v>4618</v>
      </c>
      <c r="G1311" s="1">
        <v>4500000</v>
      </c>
      <c r="H1311" s="1">
        <v>7800000</v>
      </c>
    </row>
    <row r="1312" spans="1:8" ht="13.5" customHeight="1" x14ac:dyDescent="0.3">
      <c r="A1312" s="1" t="s">
        <v>2533</v>
      </c>
      <c r="B1312" s="1" t="s">
        <v>4613</v>
      </c>
      <c r="C1312" s="1" t="s">
        <v>4617</v>
      </c>
      <c r="D1312" s="1">
        <v>2020</v>
      </c>
      <c r="E1312" s="1" t="str">
        <f t="shared" si="5"/>
        <v>MGZSZS 5P 1.52020</v>
      </c>
      <c r="F1312" s="1" t="s">
        <v>514</v>
      </c>
      <c r="G1312" s="1">
        <v>15497120</v>
      </c>
      <c r="H1312" s="1">
        <v>12000000</v>
      </c>
    </row>
    <row r="1313" spans="1:8" ht="13.5" customHeight="1" x14ac:dyDescent="0.3">
      <c r="A1313" s="1" t="s">
        <v>2533</v>
      </c>
      <c r="B1313" s="1" t="s">
        <v>4613</v>
      </c>
      <c r="C1313" s="1" t="s">
        <v>4617</v>
      </c>
      <c r="D1313" s="1">
        <v>2021</v>
      </c>
      <c r="E1313" s="1" t="str">
        <f t="shared" si="5"/>
        <v>MGZSZS 5P 1.52021</v>
      </c>
      <c r="F1313" s="1" t="s">
        <v>2355</v>
      </c>
      <c r="G1313" s="1">
        <v>10790000</v>
      </c>
      <c r="H1313" s="1">
        <v>9200000</v>
      </c>
    </row>
    <row r="1314" spans="1:8" ht="13.5" customHeight="1" x14ac:dyDescent="0.3">
      <c r="A1314" s="1" t="s">
        <v>2533</v>
      </c>
      <c r="B1314" s="1" t="s">
        <v>4613</v>
      </c>
      <c r="C1314" s="1" t="s">
        <v>4617</v>
      </c>
      <c r="D1314" s="1">
        <v>2021</v>
      </c>
      <c r="E1314" s="1" t="str">
        <f t="shared" si="5"/>
        <v>MGZSZS 5P 1.52021</v>
      </c>
      <c r="F1314" s="1" t="s">
        <v>1603</v>
      </c>
      <c r="G1314" s="1">
        <v>8990000</v>
      </c>
      <c r="H1314" s="1">
        <v>7900000</v>
      </c>
    </row>
    <row r="1315" spans="1:8" ht="13.5" customHeight="1" x14ac:dyDescent="0.3">
      <c r="A1315" s="1" t="s">
        <v>2533</v>
      </c>
      <c r="B1315" s="1" t="s">
        <v>4619</v>
      </c>
      <c r="C1315" s="1" t="s">
        <v>4620</v>
      </c>
      <c r="D1315" s="1">
        <v>2021</v>
      </c>
      <c r="E1315" s="1" t="str">
        <f t="shared" si="5"/>
        <v>MGZXZX 1.52021</v>
      </c>
      <c r="F1315" s="1" t="s">
        <v>2396</v>
      </c>
      <c r="G1315" s="1">
        <v>9490000</v>
      </c>
      <c r="H1315" s="1">
        <v>9947899</v>
      </c>
    </row>
    <row r="1316" spans="1:8" ht="13.5" customHeight="1" x14ac:dyDescent="0.3">
      <c r="A1316" s="1" t="s">
        <v>2533</v>
      </c>
      <c r="B1316" s="1" t="s">
        <v>4619</v>
      </c>
      <c r="C1316" s="1" t="s">
        <v>4620</v>
      </c>
      <c r="D1316" s="1">
        <v>2021</v>
      </c>
      <c r="E1316" s="1" t="str">
        <f t="shared" si="5"/>
        <v>MGZXZX 1.52021</v>
      </c>
      <c r="F1316" s="1" t="s">
        <v>339</v>
      </c>
      <c r="G1316" s="1">
        <v>7490000</v>
      </c>
      <c r="H1316" s="1">
        <v>6000000</v>
      </c>
    </row>
    <row r="1317" spans="1:8" ht="13.5" customHeight="1" x14ac:dyDescent="0.3">
      <c r="A1317" s="1" t="s">
        <v>2533</v>
      </c>
      <c r="B1317" s="1" t="s">
        <v>4619</v>
      </c>
      <c r="C1317" s="1" t="s">
        <v>4620</v>
      </c>
      <c r="D1317" s="1">
        <v>2023</v>
      </c>
      <c r="E1317" s="1" t="str">
        <f t="shared" si="5"/>
        <v>MGZXZX 1.52023</v>
      </c>
      <c r="F1317" s="1" t="s">
        <v>655</v>
      </c>
      <c r="G1317" s="1">
        <v>9590000</v>
      </c>
      <c r="H1317" s="1">
        <v>8000000</v>
      </c>
    </row>
    <row r="1318" spans="1:8" ht="13.5" customHeight="1" x14ac:dyDescent="0.3">
      <c r="A1318" s="1" t="s">
        <v>2533</v>
      </c>
      <c r="B1318" s="1" t="s">
        <v>4619</v>
      </c>
      <c r="C1318" s="1" t="s">
        <v>4621</v>
      </c>
      <c r="D1318" s="1">
        <v>2022</v>
      </c>
      <c r="E1318" s="1" t="str">
        <f t="shared" si="5"/>
        <v>MGZXZX CVT 1.5 AUT2022</v>
      </c>
      <c r="F1318" s="1" t="s">
        <v>1407</v>
      </c>
      <c r="G1318" s="1">
        <v>10690000</v>
      </c>
      <c r="H1318" s="1">
        <v>9000000</v>
      </c>
    </row>
    <row r="1319" spans="1:8" ht="13.5" customHeight="1" x14ac:dyDescent="0.3">
      <c r="A1319" s="1" t="s">
        <v>2533</v>
      </c>
      <c r="B1319" s="1" t="s">
        <v>4619</v>
      </c>
      <c r="C1319" s="1" t="s">
        <v>4621</v>
      </c>
      <c r="D1319" s="1">
        <v>2023</v>
      </c>
      <c r="E1319" s="1" t="str">
        <f t="shared" si="5"/>
        <v>MGZXZX CVT 1.5 AUT2023</v>
      </c>
      <c r="F1319" s="1" t="s">
        <v>740</v>
      </c>
      <c r="G1319" s="1">
        <v>10490000</v>
      </c>
      <c r="H1319" s="1">
        <v>9000000</v>
      </c>
    </row>
    <row r="1320" spans="1:8" ht="13.5" customHeight="1" x14ac:dyDescent="0.3">
      <c r="A1320" s="1" t="s">
        <v>214</v>
      </c>
      <c r="B1320" s="1" t="s">
        <v>3787</v>
      </c>
      <c r="C1320" s="1" t="s">
        <v>4622</v>
      </c>
      <c r="D1320" s="1">
        <v>2021</v>
      </c>
      <c r="E1320" s="1" t="str">
        <f t="shared" si="5"/>
        <v>ASXASK 1.62021</v>
      </c>
      <c r="G1320" s="1">
        <v>11390000</v>
      </c>
      <c r="H1320" s="1">
        <v>0</v>
      </c>
    </row>
    <row r="1321" spans="1:8" ht="13.5" customHeight="1" x14ac:dyDescent="0.3">
      <c r="A1321" s="1" t="s">
        <v>214</v>
      </c>
      <c r="B1321" s="1" t="s">
        <v>3787</v>
      </c>
      <c r="C1321" s="1" t="s">
        <v>4622</v>
      </c>
      <c r="D1321" s="1">
        <v>2022</v>
      </c>
      <c r="E1321" s="1" t="str">
        <f t="shared" si="5"/>
        <v>ASXASK 1.62022</v>
      </c>
      <c r="F1321" s="1" t="s">
        <v>2032</v>
      </c>
      <c r="G1321" s="1">
        <v>15000000</v>
      </c>
      <c r="H1321" s="1">
        <v>12000000</v>
      </c>
    </row>
    <row r="1322" spans="1:8" ht="13.5" customHeight="1" x14ac:dyDescent="0.3">
      <c r="A1322" s="1" t="s">
        <v>214</v>
      </c>
      <c r="B1322" s="1" t="s">
        <v>3787</v>
      </c>
      <c r="C1322" s="1" t="s">
        <v>4622</v>
      </c>
      <c r="D1322" s="1">
        <v>2022</v>
      </c>
      <c r="E1322" s="1" t="str">
        <f t="shared" si="5"/>
        <v>ASXASK 1.62022</v>
      </c>
      <c r="F1322" s="1" t="s">
        <v>2414</v>
      </c>
      <c r="G1322" s="1">
        <v>16990000</v>
      </c>
      <c r="H1322" s="1">
        <v>13500000</v>
      </c>
    </row>
    <row r="1323" spans="1:8" ht="13.5" customHeight="1" x14ac:dyDescent="0.3">
      <c r="A1323" s="1" t="s">
        <v>214</v>
      </c>
      <c r="B1323" s="1" t="s">
        <v>3787</v>
      </c>
      <c r="C1323" s="1" t="s">
        <v>4623</v>
      </c>
      <c r="D1323" s="1">
        <v>2019</v>
      </c>
      <c r="E1323" s="1" t="str">
        <f t="shared" si="5"/>
        <v>ASXASX 1.62019</v>
      </c>
      <c r="F1323" s="1" t="s">
        <v>1502</v>
      </c>
      <c r="G1323" s="1">
        <v>9290000</v>
      </c>
      <c r="H1323" s="1">
        <v>6700000</v>
      </c>
    </row>
    <row r="1324" spans="1:8" ht="13.5" customHeight="1" x14ac:dyDescent="0.3">
      <c r="A1324" s="1" t="s">
        <v>214</v>
      </c>
      <c r="B1324" s="1" t="s">
        <v>3787</v>
      </c>
      <c r="C1324" s="1" t="s">
        <v>4623</v>
      </c>
      <c r="D1324" s="1">
        <v>2019</v>
      </c>
      <c r="E1324" s="1" t="str">
        <f t="shared" si="5"/>
        <v>ASXASX 1.62019</v>
      </c>
      <c r="F1324" s="1" t="s">
        <v>2058</v>
      </c>
      <c r="G1324" s="1">
        <v>11090000</v>
      </c>
      <c r="H1324" s="1">
        <v>8200000</v>
      </c>
    </row>
    <row r="1325" spans="1:8" ht="13.5" customHeight="1" x14ac:dyDescent="0.3">
      <c r="A1325" s="1" t="s">
        <v>214</v>
      </c>
      <c r="B1325" s="1" t="s">
        <v>3787</v>
      </c>
      <c r="C1325" s="1" t="s">
        <v>4623</v>
      </c>
      <c r="D1325" s="1">
        <v>2019</v>
      </c>
      <c r="E1325" s="1" t="str">
        <f t="shared" si="5"/>
        <v>ASXASX 1.62019</v>
      </c>
      <c r="F1325" s="1" t="s">
        <v>2039</v>
      </c>
      <c r="G1325" s="1">
        <v>11290000</v>
      </c>
      <c r="H1325" s="1">
        <v>9091597</v>
      </c>
    </row>
    <row r="1326" spans="1:8" ht="13.5" customHeight="1" x14ac:dyDescent="0.3">
      <c r="A1326" s="1" t="s">
        <v>214</v>
      </c>
      <c r="B1326" s="1" t="s">
        <v>3787</v>
      </c>
      <c r="C1326" s="1" t="s">
        <v>4623</v>
      </c>
      <c r="D1326" s="1">
        <v>2021</v>
      </c>
      <c r="E1326" s="1" t="str">
        <f t="shared" si="5"/>
        <v>ASXASX 1.62021</v>
      </c>
      <c r="F1326" s="1" t="s">
        <v>1019</v>
      </c>
      <c r="G1326" s="1">
        <v>11490000</v>
      </c>
      <c r="H1326" s="1">
        <v>8350000</v>
      </c>
    </row>
    <row r="1327" spans="1:8" ht="13.5" customHeight="1" x14ac:dyDescent="0.3">
      <c r="A1327" s="1" t="s">
        <v>214</v>
      </c>
      <c r="B1327" s="1" t="s">
        <v>3787</v>
      </c>
      <c r="C1327" s="1" t="s">
        <v>4623</v>
      </c>
      <c r="D1327" s="1">
        <v>2021</v>
      </c>
      <c r="E1327" s="1" t="str">
        <f t="shared" si="5"/>
        <v>ASXASX 1.62021</v>
      </c>
      <c r="F1327" s="1" t="s">
        <v>643</v>
      </c>
      <c r="G1327" s="1">
        <v>22880000</v>
      </c>
      <c r="H1327" s="1">
        <v>18200000</v>
      </c>
    </row>
    <row r="1328" spans="1:8" ht="13.5" customHeight="1" x14ac:dyDescent="0.3">
      <c r="A1328" s="1" t="s">
        <v>214</v>
      </c>
      <c r="B1328" s="1" t="s">
        <v>3787</v>
      </c>
      <c r="C1328" s="1" t="s">
        <v>4623</v>
      </c>
      <c r="D1328" s="1">
        <v>2021</v>
      </c>
      <c r="E1328" s="1" t="str">
        <f t="shared" si="5"/>
        <v>ASXASX 1.62021</v>
      </c>
      <c r="F1328" s="1" t="s">
        <v>356</v>
      </c>
      <c r="G1328" s="1">
        <v>10990000</v>
      </c>
      <c r="H1328" s="1">
        <v>8700000</v>
      </c>
    </row>
    <row r="1329" spans="1:8" ht="13.5" customHeight="1" x14ac:dyDescent="0.3">
      <c r="A1329" s="1" t="s">
        <v>214</v>
      </c>
      <c r="B1329" s="1" t="s">
        <v>3787</v>
      </c>
      <c r="C1329" s="1" t="s">
        <v>4623</v>
      </c>
      <c r="D1329" s="1">
        <v>2022</v>
      </c>
      <c r="E1329" s="1" t="str">
        <f t="shared" si="5"/>
        <v>ASXASX 1.62022</v>
      </c>
      <c r="F1329" s="1" t="s">
        <v>1297</v>
      </c>
      <c r="G1329" s="1">
        <v>14240000</v>
      </c>
      <c r="H1329" s="1">
        <v>12000000</v>
      </c>
    </row>
    <row r="1330" spans="1:8" ht="13.5" customHeight="1" x14ac:dyDescent="0.3">
      <c r="A1330" s="1" t="s">
        <v>214</v>
      </c>
      <c r="B1330" s="1" t="s">
        <v>3787</v>
      </c>
      <c r="C1330" s="1" t="s">
        <v>4624</v>
      </c>
      <c r="D1330" s="1">
        <v>2022</v>
      </c>
      <c r="E1330" s="1" t="str">
        <f t="shared" si="5"/>
        <v>ASXASX 4X2 2.0 AUT2022</v>
      </c>
      <c r="F1330" s="1" t="s">
        <v>1717</v>
      </c>
      <c r="G1330" s="1">
        <v>15990000</v>
      </c>
      <c r="H1330" s="1">
        <v>13500000</v>
      </c>
    </row>
    <row r="1331" spans="1:8" ht="13.5" customHeight="1" x14ac:dyDescent="0.3">
      <c r="A1331" s="1" t="s">
        <v>214</v>
      </c>
      <c r="B1331" s="1" t="s">
        <v>3787</v>
      </c>
      <c r="C1331" s="1" t="s">
        <v>4625</v>
      </c>
      <c r="D1331" s="1">
        <v>2024</v>
      </c>
      <c r="E1331" s="1" t="str">
        <f t="shared" si="5"/>
        <v>ASXASX GL 4X2 1.62024</v>
      </c>
      <c r="F1331" s="1" t="s">
        <v>549</v>
      </c>
      <c r="G1331" s="1">
        <v>14500000</v>
      </c>
      <c r="H1331" s="1">
        <v>12300000</v>
      </c>
    </row>
    <row r="1332" spans="1:8" ht="13.5" customHeight="1" x14ac:dyDescent="0.3">
      <c r="A1332" s="1" t="s">
        <v>214</v>
      </c>
      <c r="B1332" s="1" t="s">
        <v>4626</v>
      </c>
      <c r="C1332" s="1" t="s">
        <v>4627</v>
      </c>
      <c r="D1332" s="1">
        <v>2021</v>
      </c>
      <c r="E1332" s="1" t="str">
        <f t="shared" si="5"/>
        <v>ECLIPSE CROSS EURO 6CECLIPSE CROSS RS 1.5 AUT2021</v>
      </c>
      <c r="F1332" s="1" t="s">
        <v>1079</v>
      </c>
      <c r="G1332" s="1">
        <v>15990000</v>
      </c>
      <c r="H1332" s="1">
        <v>13300000</v>
      </c>
    </row>
    <row r="1333" spans="1:8" ht="13.5" customHeight="1" x14ac:dyDescent="0.3">
      <c r="A1333" s="1" t="s">
        <v>214</v>
      </c>
      <c r="B1333" s="1" t="s">
        <v>4626</v>
      </c>
      <c r="C1333" s="1" t="s">
        <v>4628</v>
      </c>
      <c r="D1333" s="1">
        <v>2022</v>
      </c>
      <c r="E1333" s="1" t="str">
        <f t="shared" si="5"/>
        <v>ECLIPSE CROSS EURO 6CECLIPSE CROSS RX 1.5 AUT2022</v>
      </c>
      <c r="F1333" s="1" t="s">
        <v>781</v>
      </c>
      <c r="G1333" s="1">
        <v>15000000</v>
      </c>
      <c r="H1333" s="1">
        <v>13000000</v>
      </c>
    </row>
    <row r="1334" spans="1:8" ht="13.5" customHeight="1" x14ac:dyDescent="0.3">
      <c r="A1334" s="1" t="s">
        <v>214</v>
      </c>
      <c r="B1334" s="1" t="s">
        <v>2675</v>
      </c>
      <c r="C1334" s="1" t="s">
        <v>4629</v>
      </c>
      <c r="D1334" s="1">
        <v>2022</v>
      </c>
      <c r="E1334" s="1" t="str">
        <f t="shared" si="5"/>
        <v>L200L200 DAKAR HP 4X4 2.42022</v>
      </c>
      <c r="F1334" s="1" t="s">
        <v>2145</v>
      </c>
      <c r="G1334" s="1">
        <v>25190000</v>
      </c>
      <c r="H1334" s="1">
        <v>21000000</v>
      </c>
    </row>
    <row r="1335" spans="1:8" ht="13.5" customHeight="1" x14ac:dyDescent="0.3">
      <c r="A1335" s="1" t="s">
        <v>214</v>
      </c>
      <c r="B1335" s="1" t="s">
        <v>2675</v>
      </c>
      <c r="C1335" s="1" t="s">
        <v>4630</v>
      </c>
      <c r="D1335" s="1">
        <v>2022</v>
      </c>
      <c r="E1335" s="1" t="str">
        <f t="shared" si="5"/>
        <v>L200L200 DAKAR HP DCAB 4X4 2.4 AUT2022</v>
      </c>
      <c r="F1335" s="1" t="s">
        <v>1941</v>
      </c>
      <c r="G1335" s="1">
        <v>28990000</v>
      </c>
      <c r="H1335" s="1">
        <v>24000000</v>
      </c>
    </row>
    <row r="1336" spans="1:8" ht="13.5" customHeight="1" x14ac:dyDescent="0.3">
      <c r="A1336" s="1" t="s">
        <v>214</v>
      </c>
      <c r="B1336" s="1" t="s">
        <v>2675</v>
      </c>
      <c r="C1336" s="1" t="s">
        <v>4631</v>
      </c>
      <c r="D1336" s="1">
        <v>2022</v>
      </c>
      <c r="E1336" s="1" t="str">
        <f t="shared" si="5"/>
        <v>L200L200 KATANA CRT 4X4 2.42022</v>
      </c>
      <c r="F1336" s="1" t="s">
        <v>1268</v>
      </c>
      <c r="G1336" s="1">
        <v>17190000</v>
      </c>
      <c r="H1336" s="1">
        <v>14250000</v>
      </c>
    </row>
    <row r="1337" spans="1:8" ht="13.5" customHeight="1" x14ac:dyDescent="0.3">
      <c r="A1337" s="1" t="s">
        <v>214</v>
      </c>
      <c r="B1337" s="1" t="s">
        <v>2675</v>
      </c>
      <c r="C1337" s="1" t="s">
        <v>4631</v>
      </c>
      <c r="D1337" s="1">
        <v>2022</v>
      </c>
      <c r="E1337" s="1" t="str">
        <f t="shared" si="5"/>
        <v>L200L200 KATANA CRT 4X4 2.42022</v>
      </c>
      <c r="F1337" s="1" t="s">
        <v>1063</v>
      </c>
      <c r="G1337" s="1">
        <v>17490000</v>
      </c>
      <c r="H1337" s="1">
        <v>14500000</v>
      </c>
    </row>
    <row r="1338" spans="1:8" ht="13.5" customHeight="1" x14ac:dyDescent="0.3">
      <c r="A1338" s="1" t="s">
        <v>214</v>
      </c>
      <c r="B1338" s="1" t="s">
        <v>2675</v>
      </c>
      <c r="C1338" s="1" t="s">
        <v>4632</v>
      </c>
      <c r="D1338" s="1">
        <v>2024</v>
      </c>
      <c r="E1338" s="1" t="str">
        <f t="shared" si="5"/>
        <v>L200L200 KATANA XRT 4X4 2.42024</v>
      </c>
      <c r="F1338" s="1" t="s">
        <v>948</v>
      </c>
      <c r="G1338" s="1">
        <v>27990000</v>
      </c>
      <c r="H1338" s="1">
        <v>24500000</v>
      </c>
    </row>
    <row r="1339" spans="1:8" ht="13.5" customHeight="1" x14ac:dyDescent="0.3">
      <c r="A1339" s="1" t="s">
        <v>214</v>
      </c>
      <c r="B1339" s="1" t="s">
        <v>2675</v>
      </c>
      <c r="C1339" s="1" t="s">
        <v>4633</v>
      </c>
      <c r="D1339" s="1">
        <v>2017</v>
      </c>
      <c r="E1339" s="1" t="str">
        <f t="shared" si="5"/>
        <v>L200L200 WORK 2.42017</v>
      </c>
      <c r="F1339" s="1" t="s">
        <v>2406</v>
      </c>
      <c r="G1339" s="1">
        <v>15490000</v>
      </c>
      <c r="H1339" s="1">
        <v>13800000</v>
      </c>
    </row>
    <row r="1340" spans="1:8" ht="13.5" customHeight="1" x14ac:dyDescent="0.3">
      <c r="A1340" s="1" t="s">
        <v>214</v>
      </c>
      <c r="B1340" s="1" t="s">
        <v>2675</v>
      </c>
      <c r="C1340" s="1" t="s">
        <v>4634</v>
      </c>
      <c r="D1340" s="1">
        <v>2020</v>
      </c>
      <c r="E1340" s="1" t="str">
        <f t="shared" si="5"/>
        <v>L200L200 WORK CR WF 2.42020</v>
      </c>
      <c r="F1340" s="1" t="s">
        <v>1427</v>
      </c>
      <c r="G1340" s="1">
        <v>13990000</v>
      </c>
      <c r="H1340" s="1">
        <v>11700000</v>
      </c>
    </row>
    <row r="1341" spans="1:8" ht="13.5" customHeight="1" x14ac:dyDescent="0.3">
      <c r="A1341" s="1" t="s">
        <v>214</v>
      </c>
      <c r="B1341" s="1" t="s">
        <v>2675</v>
      </c>
      <c r="C1341" s="1" t="s">
        <v>4634</v>
      </c>
      <c r="D1341" s="1">
        <v>2021</v>
      </c>
      <c r="E1341" s="1" t="str">
        <f t="shared" si="5"/>
        <v>L200L200 WORK CR WF 2.42021</v>
      </c>
      <c r="F1341" s="1" t="s">
        <v>2224</v>
      </c>
      <c r="G1341" s="1">
        <v>16190000</v>
      </c>
      <c r="H1341" s="1">
        <v>14500000</v>
      </c>
    </row>
    <row r="1342" spans="1:8" ht="13.5" customHeight="1" x14ac:dyDescent="0.3">
      <c r="A1342" s="1" t="s">
        <v>214</v>
      </c>
      <c r="B1342" s="1" t="s">
        <v>2675</v>
      </c>
      <c r="C1342" s="1" t="s">
        <v>4634</v>
      </c>
      <c r="D1342" s="1">
        <v>2023</v>
      </c>
      <c r="E1342" s="1" t="str">
        <f t="shared" si="5"/>
        <v>L200L200 WORK CR WF 2.42023</v>
      </c>
      <c r="F1342" s="1" t="s">
        <v>1393</v>
      </c>
      <c r="G1342" s="1">
        <v>18490000</v>
      </c>
      <c r="H1342" s="1">
        <v>16000000</v>
      </c>
    </row>
    <row r="1343" spans="1:8" ht="13.5" customHeight="1" x14ac:dyDescent="0.3">
      <c r="A1343" s="1" t="s">
        <v>214</v>
      </c>
      <c r="B1343" s="1" t="s">
        <v>2675</v>
      </c>
      <c r="C1343" s="1" t="s">
        <v>4634</v>
      </c>
      <c r="D1343" s="1">
        <v>2023</v>
      </c>
      <c r="E1343" s="1" t="str">
        <f t="shared" si="5"/>
        <v>L200L200 WORK CR WF 2.42023</v>
      </c>
      <c r="F1343" s="1" t="s">
        <v>1705</v>
      </c>
      <c r="G1343" s="1">
        <v>16990000</v>
      </c>
      <c r="H1343" s="1">
        <v>14100000</v>
      </c>
    </row>
    <row r="1344" spans="1:8" ht="13.5" customHeight="1" x14ac:dyDescent="0.3">
      <c r="A1344" s="1" t="s">
        <v>214</v>
      </c>
      <c r="B1344" s="1" t="s">
        <v>4635</v>
      </c>
      <c r="C1344" s="1" t="s">
        <v>4636</v>
      </c>
      <c r="D1344" s="1">
        <v>2025</v>
      </c>
      <c r="E1344" s="1" t="str">
        <f t="shared" si="5"/>
        <v>L-200L200 DAKAR XR 4X4 2.4 AUT2025</v>
      </c>
      <c r="F1344" s="1" t="s">
        <v>540</v>
      </c>
      <c r="G1344" s="1">
        <v>34990000</v>
      </c>
      <c r="H1344" s="1">
        <v>30320000</v>
      </c>
    </row>
    <row r="1345" spans="1:8" ht="13.5" customHeight="1" x14ac:dyDescent="0.3">
      <c r="A1345" s="1" t="s">
        <v>214</v>
      </c>
      <c r="B1345" s="1" t="s">
        <v>4635</v>
      </c>
      <c r="C1345" s="1" t="s">
        <v>4637</v>
      </c>
      <c r="D1345" s="1">
        <v>2020</v>
      </c>
      <c r="E1345" s="1" t="str">
        <f t="shared" si="5"/>
        <v>L-200NEW L200 KATANA CR 2.42020</v>
      </c>
      <c r="F1345" s="1" t="s">
        <v>822</v>
      </c>
      <c r="G1345" s="1">
        <v>13290000</v>
      </c>
      <c r="H1345" s="1">
        <v>10500000</v>
      </c>
    </row>
    <row r="1346" spans="1:8" ht="13.5" customHeight="1" x14ac:dyDescent="0.3">
      <c r="A1346" s="1" t="s">
        <v>214</v>
      </c>
      <c r="B1346" s="1" t="s">
        <v>4638</v>
      </c>
      <c r="C1346" s="1" t="s">
        <v>4639</v>
      </c>
      <c r="D1346" s="1">
        <v>2015</v>
      </c>
      <c r="E1346" s="1" t="str">
        <f t="shared" si="5"/>
        <v>LANCERLANCER 1.62015</v>
      </c>
      <c r="F1346" s="1" t="s">
        <v>2279</v>
      </c>
      <c r="G1346" s="1">
        <v>7190000</v>
      </c>
      <c r="H1346" s="1">
        <v>5800000</v>
      </c>
    </row>
    <row r="1347" spans="1:8" ht="13.5" customHeight="1" x14ac:dyDescent="0.3">
      <c r="A1347" s="1" t="s">
        <v>214</v>
      </c>
      <c r="B1347" s="1" t="s">
        <v>4640</v>
      </c>
      <c r="C1347" s="1" t="s">
        <v>4641</v>
      </c>
      <c r="D1347" s="1">
        <v>2019</v>
      </c>
      <c r="E1347" s="1" t="str">
        <f t="shared" si="5"/>
        <v>MONTEROMONTERO SPORT 2.42019</v>
      </c>
      <c r="F1347" s="1" t="s">
        <v>486</v>
      </c>
      <c r="G1347" s="1">
        <v>18990000</v>
      </c>
      <c r="H1347" s="1">
        <v>15500000</v>
      </c>
    </row>
    <row r="1348" spans="1:8" ht="13.5" customHeight="1" x14ac:dyDescent="0.3">
      <c r="A1348" s="1" t="s">
        <v>214</v>
      </c>
      <c r="B1348" s="1" t="s">
        <v>4640</v>
      </c>
      <c r="C1348" s="1" t="s">
        <v>4641</v>
      </c>
      <c r="D1348" s="1">
        <v>2022</v>
      </c>
      <c r="E1348" s="1" t="str">
        <f t="shared" si="5"/>
        <v>MONTEROMONTERO SPORT 2.42022</v>
      </c>
      <c r="F1348" s="1" t="s">
        <v>736</v>
      </c>
      <c r="G1348" s="1">
        <v>23490000</v>
      </c>
      <c r="H1348" s="1">
        <v>19500000</v>
      </c>
    </row>
    <row r="1349" spans="1:8" ht="13.5" customHeight="1" x14ac:dyDescent="0.3">
      <c r="A1349" s="1" t="s">
        <v>214</v>
      </c>
      <c r="B1349" s="1" t="s">
        <v>4640</v>
      </c>
      <c r="C1349" s="1" t="s">
        <v>4641</v>
      </c>
      <c r="D1349" s="1">
        <v>2023</v>
      </c>
      <c r="E1349" s="1" t="str">
        <f t="shared" si="5"/>
        <v>MONTEROMONTERO SPORT 2.42023</v>
      </c>
      <c r="F1349" s="1" t="s">
        <v>977</v>
      </c>
      <c r="G1349" s="1">
        <v>24990000</v>
      </c>
      <c r="H1349" s="1">
        <v>21000000</v>
      </c>
    </row>
    <row r="1350" spans="1:8" ht="13.5" customHeight="1" x14ac:dyDescent="0.3">
      <c r="A1350" s="1" t="s">
        <v>214</v>
      </c>
      <c r="B1350" s="1" t="s">
        <v>4640</v>
      </c>
      <c r="C1350" s="1" t="s">
        <v>4642</v>
      </c>
      <c r="D1350" s="1">
        <v>2019</v>
      </c>
      <c r="E1350" s="1" t="str">
        <f t="shared" si="5"/>
        <v>MONTEROMONTERO SPORT 2.4 AUT2019</v>
      </c>
      <c r="F1350" s="1" t="s">
        <v>864</v>
      </c>
      <c r="G1350" s="1">
        <v>19790000</v>
      </c>
      <c r="H1350" s="1">
        <v>17500000</v>
      </c>
    </row>
    <row r="1351" spans="1:8" ht="13.5" customHeight="1" x14ac:dyDescent="0.3">
      <c r="A1351" s="1" t="s">
        <v>214</v>
      </c>
      <c r="B1351" s="1" t="s">
        <v>4640</v>
      </c>
      <c r="C1351" s="1" t="s">
        <v>4643</v>
      </c>
      <c r="D1351" s="1">
        <v>2018</v>
      </c>
      <c r="E1351" s="1" t="str">
        <f t="shared" si="5"/>
        <v>MONTEROMONTERO SPORT 3.0 AUT2018</v>
      </c>
      <c r="F1351" s="1" t="s">
        <v>2056</v>
      </c>
      <c r="G1351" s="1">
        <v>19990000</v>
      </c>
      <c r="H1351" s="1">
        <v>16000000</v>
      </c>
    </row>
    <row r="1352" spans="1:8" ht="13.5" customHeight="1" x14ac:dyDescent="0.3">
      <c r="A1352" s="1" t="s">
        <v>214</v>
      </c>
      <c r="B1352" s="1" t="s">
        <v>4640</v>
      </c>
      <c r="C1352" s="1" t="s">
        <v>4644</v>
      </c>
      <c r="D1352" s="1">
        <v>2020</v>
      </c>
      <c r="E1352" s="1" t="str">
        <f t="shared" si="5"/>
        <v>MONTEROMONTERO SPORT 4X4 2.42020</v>
      </c>
      <c r="F1352" s="1" t="s">
        <v>1987</v>
      </c>
      <c r="G1352" s="1">
        <v>21490000</v>
      </c>
      <c r="H1352" s="1">
        <v>18000000</v>
      </c>
    </row>
    <row r="1353" spans="1:8" ht="13.5" customHeight="1" x14ac:dyDescent="0.3">
      <c r="A1353" s="1" t="s">
        <v>214</v>
      </c>
      <c r="B1353" s="1" t="s">
        <v>4640</v>
      </c>
      <c r="C1353" s="1" t="s">
        <v>4644</v>
      </c>
      <c r="D1353" s="1">
        <v>2021</v>
      </c>
      <c r="E1353" s="1" t="str">
        <f t="shared" si="5"/>
        <v>MONTEROMONTERO SPORT 4X4 2.42021</v>
      </c>
      <c r="F1353" s="1" t="s">
        <v>1228</v>
      </c>
      <c r="G1353" s="1">
        <v>24790000</v>
      </c>
      <c r="H1353" s="1">
        <v>20850000</v>
      </c>
    </row>
    <row r="1354" spans="1:8" ht="13.5" customHeight="1" x14ac:dyDescent="0.3">
      <c r="A1354" s="1" t="s">
        <v>214</v>
      </c>
      <c r="B1354" s="1" t="s">
        <v>4640</v>
      </c>
      <c r="C1354" s="1" t="s">
        <v>4645</v>
      </c>
      <c r="D1354" s="1">
        <v>2018</v>
      </c>
      <c r="E1354" s="1" t="str">
        <f t="shared" si="5"/>
        <v>MONTEROMONTERO SPORT 4X4 2.4 AUT2018</v>
      </c>
      <c r="F1354" s="1" t="s">
        <v>2449</v>
      </c>
      <c r="G1354" s="1">
        <v>21990000</v>
      </c>
      <c r="H1354" s="1">
        <v>21000000</v>
      </c>
    </row>
    <row r="1355" spans="1:8" ht="13.5" customHeight="1" x14ac:dyDescent="0.3">
      <c r="A1355" s="1" t="s">
        <v>214</v>
      </c>
      <c r="B1355" s="1" t="s">
        <v>4640</v>
      </c>
      <c r="C1355" s="1" t="s">
        <v>4646</v>
      </c>
      <c r="D1355" s="1">
        <v>2018</v>
      </c>
      <c r="E1355" s="1" t="str">
        <f t="shared" si="5"/>
        <v>MONTEROMONTERO SPORT 4X4 3.0 AUT2018</v>
      </c>
      <c r="F1355" s="1" t="s">
        <v>1524</v>
      </c>
      <c r="G1355" s="1">
        <v>17190000</v>
      </c>
      <c r="H1355" s="1">
        <v>15000000</v>
      </c>
    </row>
    <row r="1356" spans="1:8" ht="13.5" customHeight="1" x14ac:dyDescent="0.3">
      <c r="A1356" s="1" t="s">
        <v>214</v>
      </c>
      <c r="B1356" s="1" t="s">
        <v>4640</v>
      </c>
      <c r="C1356" s="1" t="s">
        <v>4647</v>
      </c>
      <c r="D1356" s="1">
        <v>2017</v>
      </c>
      <c r="E1356" s="1" t="str">
        <f t="shared" si="5"/>
        <v>MONTEROMONTERO SPORT LTD 4X4 3.0 AUT2017</v>
      </c>
      <c r="F1356" s="1" t="s">
        <v>545</v>
      </c>
      <c r="G1356" s="1">
        <v>17990000</v>
      </c>
      <c r="H1356" s="1">
        <v>14250000</v>
      </c>
    </row>
    <row r="1357" spans="1:8" ht="13.5" customHeight="1" x14ac:dyDescent="0.3">
      <c r="A1357" s="1" t="s">
        <v>214</v>
      </c>
      <c r="B1357" s="1" t="s">
        <v>215</v>
      </c>
      <c r="C1357" s="1" t="s">
        <v>4648</v>
      </c>
      <c r="D1357" s="1">
        <v>2021</v>
      </c>
      <c r="E1357" s="1" t="str">
        <f t="shared" si="5"/>
        <v>OUTLANDERNEW OUTLANDER 2.02021</v>
      </c>
      <c r="F1357" s="1" t="s">
        <v>1230</v>
      </c>
      <c r="G1357" s="1">
        <v>11990000</v>
      </c>
      <c r="H1357" s="1">
        <v>9500000</v>
      </c>
    </row>
    <row r="1358" spans="1:8" ht="13.5" customHeight="1" x14ac:dyDescent="0.3">
      <c r="A1358" s="1" t="s">
        <v>214</v>
      </c>
      <c r="B1358" s="1" t="s">
        <v>215</v>
      </c>
      <c r="C1358" s="1" t="s">
        <v>4649</v>
      </c>
      <c r="D1358" s="1">
        <v>2019</v>
      </c>
      <c r="E1358" s="1" t="str">
        <f t="shared" si="5"/>
        <v>OUTLANDEROUTLANDER 2.02019</v>
      </c>
      <c r="F1358" s="1" t="s">
        <v>1629</v>
      </c>
      <c r="G1358" s="1">
        <v>11885120</v>
      </c>
      <c r="H1358" s="1">
        <v>10150000</v>
      </c>
    </row>
    <row r="1359" spans="1:8" ht="13.5" customHeight="1" x14ac:dyDescent="0.3">
      <c r="A1359" s="1" t="s">
        <v>214</v>
      </c>
      <c r="B1359" s="1" t="s">
        <v>215</v>
      </c>
      <c r="C1359" s="1" t="s">
        <v>4649</v>
      </c>
      <c r="D1359" s="1">
        <v>2020</v>
      </c>
      <c r="E1359" s="1" t="str">
        <f t="shared" si="5"/>
        <v>OUTLANDEROUTLANDER 2.02020</v>
      </c>
      <c r="F1359" s="1" t="s">
        <v>2008</v>
      </c>
      <c r="G1359" s="1">
        <v>11890000</v>
      </c>
      <c r="H1359" s="1">
        <v>9250000</v>
      </c>
    </row>
    <row r="1360" spans="1:8" ht="13.5" customHeight="1" x14ac:dyDescent="0.3">
      <c r="A1360" s="1" t="s">
        <v>214</v>
      </c>
      <c r="B1360" s="1" t="s">
        <v>215</v>
      </c>
      <c r="C1360" s="1" t="s">
        <v>4649</v>
      </c>
      <c r="D1360" s="1">
        <v>2021</v>
      </c>
      <c r="E1360" s="1" t="str">
        <f t="shared" si="5"/>
        <v>OUTLANDEROUTLANDER 2.02021</v>
      </c>
      <c r="F1360" s="1" t="s">
        <v>1744</v>
      </c>
      <c r="G1360" s="1">
        <v>8855150</v>
      </c>
      <c r="H1360" s="1">
        <v>6000000</v>
      </c>
    </row>
    <row r="1361" spans="1:8" ht="13.5" customHeight="1" x14ac:dyDescent="0.3">
      <c r="A1361" s="1" t="s">
        <v>214</v>
      </c>
      <c r="B1361" s="1" t="s">
        <v>215</v>
      </c>
      <c r="C1361" s="1" t="s">
        <v>4650</v>
      </c>
      <c r="D1361" s="1">
        <v>2018</v>
      </c>
      <c r="E1361" s="1" t="str">
        <f t="shared" si="5"/>
        <v>OUTLANDEROUTLANDER 2.0 AUT2018</v>
      </c>
      <c r="F1361" s="1" t="s">
        <v>2400</v>
      </c>
      <c r="G1361" s="1">
        <v>13990000</v>
      </c>
      <c r="H1361" s="1">
        <v>13400000</v>
      </c>
    </row>
    <row r="1362" spans="1:8" ht="13.5" customHeight="1" x14ac:dyDescent="0.3">
      <c r="A1362" s="1" t="s">
        <v>214</v>
      </c>
      <c r="B1362" s="1" t="s">
        <v>215</v>
      </c>
      <c r="C1362" s="1" t="s">
        <v>4650</v>
      </c>
      <c r="D1362" s="1">
        <v>2019</v>
      </c>
      <c r="E1362" s="1" t="str">
        <f t="shared" si="5"/>
        <v>OUTLANDEROUTLANDER 2.0 AUT2019</v>
      </c>
      <c r="F1362" s="1" t="s">
        <v>2037</v>
      </c>
      <c r="G1362" s="1">
        <v>12490000</v>
      </c>
      <c r="H1362" s="1">
        <v>10000000</v>
      </c>
    </row>
    <row r="1363" spans="1:8" ht="13.5" customHeight="1" x14ac:dyDescent="0.3">
      <c r="A1363" s="1" t="s">
        <v>214</v>
      </c>
      <c r="B1363" s="1" t="s">
        <v>215</v>
      </c>
      <c r="C1363" s="1" t="s">
        <v>4651</v>
      </c>
      <c r="D1363" s="1">
        <v>2020</v>
      </c>
      <c r="E1363" s="1" t="str">
        <f t="shared" si="5"/>
        <v>OUTLANDEROUTLANDER 4X4 2.4 AUT2020</v>
      </c>
      <c r="F1363" s="1" t="s">
        <v>2210</v>
      </c>
      <c r="G1363" s="1">
        <v>16290000</v>
      </c>
      <c r="H1363" s="1">
        <v>14000000</v>
      </c>
    </row>
    <row r="1364" spans="1:8" ht="13.5" customHeight="1" x14ac:dyDescent="0.3">
      <c r="A1364" s="1" t="s">
        <v>214</v>
      </c>
      <c r="B1364" s="1" t="s">
        <v>215</v>
      </c>
      <c r="C1364" s="1" t="s">
        <v>4651</v>
      </c>
      <c r="D1364" s="1">
        <v>2022</v>
      </c>
      <c r="E1364" s="1" t="str">
        <f t="shared" si="5"/>
        <v>OUTLANDEROUTLANDER 4X4 2.4 AUT2022</v>
      </c>
      <c r="F1364" s="1" t="s">
        <v>986</v>
      </c>
      <c r="G1364" s="1">
        <v>17990000</v>
      </c>
      <c r="H1364" s="1">
        <v>15000000</v>
      </c>
    </row>
    <row r="1365" spans="1:8" ht="13.5" customHeight="1" x14ac:dyDescent="0.3">
      <c r="A1365" s="1" t="s">
        <v>214</v>
      </c>
      <c r="B1365" s="1" t="s">
        <v>215</v>
      </c>
      <c r="C1365" s="1" t="s">
        <v>4651</v>
      </c>
      <c r="D1365" s="1">
        <v>2022</v>
      </c>
      <c r="E1365" s="1" t="str">
        <f t="shared" si="5"/>
        <v>OUTLANDEROUTLANDER 4X4 2.4 AUT2022</v>
      </c>
      <c r="F1365" s="1" t="s">
        <v>804</v>
      </c>
      <c r="G1365" s="1">
        <v>19390000</v>
      </c>
      <c r="H1365" s="1">
        <v>16000000</v>
      </c>
    </row>
    <row r="1366" spans="1:8" ht="13.5" customHeight="1" x14ac:dyDescent="0.3">
      <c r="A1366" s="1" t="s">
        <v>214</v>
      </c>
      <c r="B1366" s="1" t="s">
        <v>215</v>
      </c>
      <c r="C1366" s="1" t="s">
        <v>4651</v>
      </c>
      <c r="D1366" s="1">
        <v>2022</v>
      </c>
      <c r="E1366" s="1" t="str">
        <f t="shared" si="5"/>
        <v>OUTLANDEROUTLANDER 4X4 2.4 AUT2022</v>
      </c>
      <c r="F1366" s="1" t="s">
        <v>971</v>
      </c>
      <c r="G1366" s="1">
        <v>17490000</v>
      </c>
      <c r="H1366" s="1">
        <v>15000000</v>
      </c>
    </row>
    <row r="1367" spans="1:8" ht="13.5" customHeight="1" x14ac:dyDescent="0.3">
      <c r="A1367" s="1" t="s">
        <v>214</v>
      </c>
      <c r="B1367" s="1" t="s">
        <v>215</v>
      </c>
      <c r="C1367" s="1" t="s">
        <v>4651</v>
      </c>
      <c r="D1367" s="1">
        <v>2022</v>
      </c>
      <c r="E1367" s="1" t="str">
        <f t="shared" si="5"/>
        <v>OUTLANDEROUTLANDER 4X4 2.4 AUT2022</v>
      </c>
      <c r="F1367" s="1" t="s">
        <v>1128</v>
      </c>
      <c r="G1367" s="1">
        <v>17690000</v>
      </c>
      <c r="H1367" s="1">
        <v>15000000</v>
      </c>
    </row>
    <row r="1368" spans="1:8" ht="13.5" customHeight="1" x14ac:dyDescent="0.3">
      <c r="A1368" s="1" t="s">
        <v>214</v>
      </c>
      <c r="B1368" s="1" t="s">
        <v>215</v>
      </c>
      <c r="C1368" s="1" t="s">
        <v>4652</v>
      </c>
      <c r="D1368" s="1">
        <v>2019</v>
      </c>
      <c r="E1368" s="1" t="str">
        <f t="shared" si="5"/>
        <v>OUTLANDEROUTLANDER CVT 2.0 AUT2019</v>
      </c>
      <c r="F1368" s="1" t="s">
        <v>542</v>
      </c>
      <c r="G1368" s="1">
        <v>11890000</v>
      </c>
      <c r="H1368" s="1">
        <v>10000000</v>
      </c>
    </row>
    <row r="1369" spans="1:8" ht="13.5" customHeight="1" x14ac:dyDescent="0.3">
      <c r="A1369" s="1" t="s">
        <v>214</v>
      </c>
      <c r="B1369" s="1" t="s">
        <v>215</v>
      </c>
      <c r="C1369" s="1" t="s">
        <v>218</v>
      </c>
      <c r="D1369" s="1">
        <v>2023</v>
      </c>
      <c r="E1369" s="1" t="str">
        <f t="shared" si="5"/>
        <v>OUTLANDEROUTLANDER GLS 4X4 2.5 AT2023</v>
      </c>
      <c r="F1369" s="1" t="s">
        <v>1858</v>
      </c>
      <c r="G1369" s="1">
        <v>27490000</v>
      </c>
      <c r="H1369" s="1">
        <v>26990000</v>
      </c>
    </row>
    <row r="1370" spans="1:8" ht="13.5" customHeight="1" x14ac:dyDescent="0.3">
      <c r="A1370" s="1" t="s">
        <v>214</v>
      </c>
      <c r="B1370" s="1" t="s">
        <v>215</v>
      </c>
      <c r="C1370" s="1" t="s">
        <v>218</v>
      </c>
      <c r="D1370" s="1">
        <v>2024</v>
      </c>
      <c r="E1370" s="1" t="str">
        <f t="shared" si="5"/>
        <v>OUTLANDEROUTLANDER GLS 4X4 2.5 AT2024</v>
      </c>
      <c r="F1370" s="1" t="s">
        <v>558</v>
      </c>
      <c r="G1370" s="1">
        <v>24850000</v>
      </c>
      <c r="H1370" s="1">
        <v>22200000</v>
      </c>
    </row>
    <row r="1371" spans="1:8" ht="13.5" customHeight="1" x14ac:dyDescent="0.3">
      <c r="A1371" s="1" t="s">
        <v>214</v>
      </c>
      <c r="B1371" s="1" t="s">
        <v>215</v>
      </c>
      <c r="C1371" s="1" t="s">
        <v>4653</v>
      </c>
      <c r="D1371" s="1">
        <v>2025</v>
      </c>
      <c r="E1371" s="1" t="str">
        <f t="shared" si="5"/>
        <v>OUTLANDEROUTLANDER GLX 2.5 AUT2025</v>
      </c>
      <c r="F1371" s="1" t="s">
        <v>819</v>
      </c>
      <c r="G1371" s="1">
        <v>27190000</v>
      </c>
      <c r="H1371" s="1">
        <v>23000000</v>
      </c>
    </row>
    <row r="1372" spans="1:8" ht="13.5" customHeight="1" x14ac:dyDescent="0.3">
      <c r="A1372" s="1" t="s">
        <v>214</v>
      </c>
      <c r="B1372" s="1" t="s">
        <v>215</v>
      </c>
      <c r="C1372" s="1" t="s">
        <v>4654</v>
      </c>
      <c r="D1372" s="1">
        <v>2019</v>
      </c>
      <c r="E1372" s="1" t="str">
        <f t="shared" si="5"/>
        <v>OUTLANDEROUTLANDER GLX 4X4 2.42019</v>
      </c>
      <c r="F1372" s="1" t="s">
        <v>1198</v>
      </c>
      <c r="G1372" s="1">
        <v>13290000</v>
      </c>
      <c r="H1372" s="1">
        <v>11000000</v>
      </c>
    </row>
    <row r="1373" spans="1:8" ht="13.5" customHeight="1" x14ac:dyDescent="0.3">
      <c r="A1373" s="1" t="s">
        <v>214</v>
      </c>
      <c r="B1373" s="1" t="s">
        <v>215</v>
      </c>
      <c r="C1373" s="1" t="s">
        <v>4655</v>
      </c>
      <c r="D1373" s="1">
        <v>2019</v>
      </c>
      <c r="E1373" s="1" t="str">
        <f t="shared" si="5"/>
        <v>OUTLANDEROUTLANDER GLX 4X4 2.4 AUT2019</v>
      </c>
      <c r="F1373" s="1" t="s">
        <v>1221</v>
      </c>
      <c r="G1373" s="1">
        <v>12990000</v>
      </c>
      <c r="H1373" s="1">
        <v>10800000</v>
      </c>
    </row>
    <row r="1374" spans="1:8" ht="13.5" customHeight="1" x14ac:dyDescent="0.3">
      <c r="A1374" s="1" t="s">
        <v>214</v>
      </c>
      <c r="B1374" s="1" t="s">
        <v>215</v>
      </c>
      <c r="C1374" s="1" t="s">
        <v>4655</v>
      </c>
      <c r="D1374" s="1">
        <v>2019</v>
      </c>
      <c r="E1374" s="1" t="str">
        <f t="shared" si="5"/>
        <v>OUTLANDEROUTLANDER GLX 4X4 2.4 AUT2019</v>
      </c>
      <c r="F1374" s="1" t="s">
        <v>704</v>
      </c>
      <c r="G1374" s="1">
        <v>12990000</v>
      </c>
      <c r="H1374" s="1">
        <v>10500000</v>
      </c>
    </row>
    <row r="1375" spans="1:8" ht="13.5" customHeight="1" x14ac:dyDescent="0.3">
      <c r="A1375" s="1" t="s">
        <v>214</v>
      </c>
      <c r="B1375" s="1" t="s">
        <v>3360</v>
      </c>
      <c r="C1375" s="1" t="s">
        <v>4656</v>
      </c>
      <c r="D1375" s="1">
        <v>2024</v>
      </c>
      <c r="E1375" s="1" t="str">
        <f t="shared" si="5"/>
        <v>XPANDERXPANDER 1.5 AUT2024</v>
      </c>
      <c r="F1375" s="1" t="s">
        <v>763</v>
      </c>
      <c r="G1375" s="1">
        <v>14690000</v>
      </c>
      <c r="H1375" s="1">
        <v>13000000</v>
      </c>
    </row>
    <row r="1376" spans="1:8" ht="13.5" customHeight="1" x14ac:dyDescent="0.3">
      <c r="A1376" s="1" t="s">
        <v>214</v>
      </c>
      <c r="B1376" s="1" t="s">
        <v>3360</v>
      </c>
      <c r="C1376" s="1" t="s">
        <v>4657</v>
      </c>
      <c r="D1376" s="1">
        <v>2024</v>
      </c>
      <c r="E1376" s="1" t="str">
        <f t="shared" si="5"/>
        <v>XPANDERXPANDER CROSS 1.5 AUT2024</v>
      </c>
      <c r="F1376" s="1" t="s">
        <v>614</v>
      </c>
      <c r="G1376" s="1">
        <v>15240000</v>
      </c>
      <c r="H1376" s="1">
        <v>12650000</v>
      </c>
    </row>
    <row r="1377" spans="1:8" ht="13.5" customHeight="1" x14ac:dyDescent="0.3">
      <c r="A1377" s="1" t="s">
        <v>214</v>
      </c>
      <c r="B1377" s="1" t="s">
        <v>3360</v>
      </c>
      <c r="C1377" s="1" t="s">
        <v>4657</v>
      </c>
      <c r="D1377" s="1">
        <v>2024</v>
      </c>
      <c r="E1377" s="1" t="str">
        <f t="shared" si="5"/>
        <v>XPANDERXPANDER CROSS 1.5 AUT2024</v>
      </c>
      <c r="F1377" s="1" t="s">
        <v>336</v>
      </c>
      <c r="G1377" s="1">
        <v>15790000</v>
      </c>
      <c r="H1377" s="1">
        <v>13200000</v>
      </c>
    </row>
    <row r="1378" spans="1:8" ht="13.5" customHeight="1" x14ac:dyDescent="0.3">
      <c r="A1378" s="1" t="s">
        <v>214</v>
      </c>
      <c r="B1378" s="1" t="s">
        <v>3360</v>
      </c>
      <c r="C1378" s="1" t="s">
        <v>4658</v>
      </c>
      <c r="D1378" s="1">
        <v>2024</v>
      </c>
      <c r="E1378" s="1" t="str">
        <f t="shared" si="5"/>
        <v>XPANDERXPANDER GLX 1.52024</v>
      </c>
      <c r="F1378" s="1" t="s">
        <v>1478</v>
      </c>
      <c r="G1378" s="1">
        <v>14990000</v>
      </c>
      <c r="H1378" s="1">
        <v>13200000</v>
      </c>
    </row>
    <row r="1379" spans="1:8" ht="13.5" customHeight="1" x14ac:dyDescent="0.3">
      <c r="A1379" s="1" t="s">
        <v>220</v>
      </c>
      <c r="B1379" s="1" t="s">
        <v>4659</v>
      </c>
      <c r="C1379" s="1" t="s">
        <v>4660</v>
      </c>
      <c r="D1379" s="1">
        <v>2016</v>
      </c>
      <c r="E1379" s="1" t="str">
        <f t="shared" si="5"/>
        <v>MARCHMARCH 1.62016</v>
      </c>
      <c r="F1379" s="1" t="s">
        <v>2434</v>
      </c>
      <c r="G1379" s="1">
        <v>6190000</v>
      </c>
      <c r="H1379" s="1">
        <v>5500000</v>
      </c>
    </row>
    <row r="1380" spans="1:8" ht="13.5" customHeight="1" x14ac:dyDescent="0.3">
      <c r="A1380" s="1" t="s">
        <v>220</v>
      </c>
      <c r="B1380" s="1" t="s">
        <v>4659</v>
      </c>
      <c r="C1380" s="1" t="s">
        <v>4661</v>
      </c>
      <c r="D1380" s="1">
        <v>2018</v>
      </c>
      <c r="E1380" s="1" t="str">
        <f t="shared" si="5"/>
        <v>MARCHMARCH SPORT DRIVE 1.62018</v>
      </c>
      <c r="F1380" s="1" t="s">
        <v>651</v>
      </c>
      <c r="G1380" s="1">
        <v>6090000</v>
      </c>
      <c r="H1380" s="1">
        <v>5000000</v>
      </c>
    </row>
    <row r="1381" spans="1:8" ht="13.5" customHeight="1" x14ac:dyDescent="0.3">
      <c r="A1381" s="1" t="s">
        <v>220</v>
      </c>
      <c r="B1381" s="1" t="s">
        <v>4659</v>
      </c>
      <c r="C1381" s="1" t="s">
        <v>4661</v>
      </c>
      <c r="D1381" s="1">
        <v>2019</v>
      </c>
      <c r="E1381" s="1" t="str">
        <f t="shared" si="5"/>
        <v>MARCHMARCH SPORT DRIVE 1.62019</v>
      </c>
      <c r="F1381" s="1" t="s">
        <v>1294</v>
      </c>
      <c r="G1381" s="1">
        <v>5710000</v>
      </c>
      <c r="H1381" s="1">
        <v>4500000</v>
      </c>
    </row>
    <row r="1382" spans="1:8" ht="13.5" customHeight="1" x14ac:dyDescent="0.3">
      <c r="A1382" s="1" t="s">
        <v>220</v>
      </c>
      <c r="B1382" s="1" t="s">
        <v>4659</v>
      </c>
      <c r="C1382" s="1" t="s">
        <v>4661</v>
      </c>
      <c r="D1382" s="1">
        <v>2019</v>
      </c>
      <c r="E1382" s="1" t="str">
        <f t="shared" si="5"/>
        <v>MARCHMARCH SPORT DRIVE 1.62019</v>
      </c>
      <c r="F1382" s="1" t="s">
        <v>1671</v>
      </c>
      <c r="G1382" s="1">
        <v>6246890</v>
      </c>
      <c r="H1382" s="1">
        <v>5250000</v>
      </c>
    </row>
    <row r="1383" spans="1:8" ht="13.5" customHeight="1" x14ac:dyDescent="0.3">
      <c r="A1383" s="1" t="s">
        <v>220</v>
      </c>
      <c r="B1383" s="1" t="s">
        <v>4659</v>
      </c>
      <c r="C1383" s="1" t="s">
        <v>4661</v>
      </c>
      <c r="D1383" s="1">
        <v>2020</v>
      </c>
      <c r="E1383" s="1" t="str">
        <f t="shared" si="5"/>
        <v>MARCHMARCH SPORT DRIVE 1.62020</v>
      </c>
      <c r="F1383" s="1" t="s">
        <v>2302</v>
      </c>
      <c r="G1383" s="1">
        <v>7390000</v>
      </c>
      <c r="H1383" s="1">
        <v>6000000</v>
      </c>
    </row>
    <row r="1384" spans="1:8" ht="13.5" customHeight="1" x14ac:dyDescent="0.3">
      <c r="A1384" s="1" t="s">
        <v>220</v>
      </c>
      <c r="B1384" s="1" t="s">
        <v>221</v>
      </c>
      <c r="C1384" s="1" t="s">
        <v>4662</v>
      </c>
      <c r="D1384" s="1">
        <v>2017</v>
      </c>
      <c r="E1384" s="1" t="str">
        <f t="shared" si="5"/>
        <v>JUKEJUKE SENSE 1.6 AUT2017</v>
      </c>
      <c r="F1384" s="1" t="s">
        <v>1850</v>
      </c>
      <c r="G1384" s="1">
        <v>9390000</v>
      </c>
      <c r="H1384" s="1">
        <v>7800000</v>
      </c>
    </row>
    <row r="1385" spans="1:8" ht="13.5" customHeight="1" x14ac:dyDescent="0.3">
      <c r="A1385" s="1" t="s">
        <v>220</v>
      </c>
      <c r="B1385" s="1" t="s">
        <v>2569</v>
      </c>
      <c r="C1385" s="1" t="s">
        <v>4663</v>
      </c>
      <c r="D1385" s="1">
        <v>2019</v>
      </c>
      <c r="E1385" s="1" t="str">
        <f t="shared" si="5"/>
        <v>KICKSKICKS 1.62019</v>
      </c>
      <c r="F1385" s="1" t="s">
        <v>2063</v>
      </c>
      <c r="G1385" s="1">
        <v>10890000</v>
      </c>
      <c r="H1385" s="1">
        <v>8600000</v>
      </c>
    </row>
    <row r="1386" spans="1:8" ht="13.5" customHeight="1" x14ac:dyDescent="0.3">
      <c r="A1386" s="1" t="s">
        <v>220</v>
      </c>
      <c r="B1386" s="1" t="s">
        <v>2569</v>
      </c>
      <c r="C1386" s="1" t="s">
        <v>4663</v>
      </c>
      <c r="D1386" s="1">
        <v>2021</v>
      </c>
      <c r="E1386" s="1" t="str">
        <f t="shared" si="5"/>
        <v>KICKSKICKS 1.62021</v>
      </c>
      <c r="F1386" s="1" t="s">
        <v>398</v>
      </c>
      <c r="G1386" s="1">
        <v>21780000</v>
      </c>
      <c r="H1386" s="1">
        <v>18000000</v>
      </c>
    </row>
    <row r="1387" spans="1:8" ht="13.5" customHeight="1" x14ac:dyDescent="0.3">
      <c r="A1387" s="1" t="s">
        <v>220</v>
      </c>
      <c r="B1387" s="1" t="s">
        <v>2569</v>
      </c>
      <c r="C1387" s="1" t="s">
        <v>4663</v>
      </c>
      <c r="D1387" s="1">
        <v>2021</v>
      </c>
      <c r="E1387" s="1" t="str">
        <f t="shared" si="5"/>
        <v>KICKSKICKS 1.62021</v>
      </c>
      <c r="F1387" s="1" t="s">
        <v>2365</v>
      </c>
      <c r="G1387" s="1">
        <v>13290110</v>
      </c>
      <c r="H1387" s="1">
        <v>11000000</v>
      </c>
    </row>
    <row r="1388" spans="1:8" ht="13.5" customHeight="1" x14ac:dyDescent="0.3">
      <c r="A1388" s="1" t="s">
        <v>220</v>
      </c>
      <c r="B1388" s="1" t="s">
        <v>2569</v>
      </c>
      <c r="C1388" s="1" t="s">
        <v>4663</v>
      </c>
      <c r="D1388" s="1">
        <v>2021</v>
      </c>
      <c r="E1388" s="1" t="str">
        <f t="shared" si="5"/>
        <v>KICKSKICKS 1.62021</v>
      </c>
      <c r="F1388" s="1" t="s">
        <v>1457</v>
      </c>
      <c r="G1388" s="1">
        <v>11290000</v>
      </c>
      <c r="H1388" s="1">
        <v>9500000</v>
      </c>
    </row>
    <row r="1389" spans="1:8" ht="13.5" customHeight="1" x14ac:dyDescent="0.3">
      <c r="A1389" s="1" t="s">
        <v>220</v>
      </c>
      <c r="B1389" s="1" t="s">
        <v>2569</v>
      </c>
      <c r="C1389" s="1" t="s">
        <v>4663</v>
      </c>
      <c r="D1389" s="1">
        <v>2021</v>
      </c>
      <c r="E1389" s="1" t="str">
        <f t="shared" si="5"/>
        <v>KICKSKICKS 1.62021</v>
      </c>
      <c r="F1389" s="1" t="s">
        <v>1742</v>
      </c>
      <c r="G1389" s="1">
        <v>11636620</v>
      </c>
      <c r="H1389" s="1">
        <v>9800000</v>
      </c>
    </row>
    <row r="1390" spans="1:8" ht="13.5" customHeight="1" x14ac:dyDescent="0.3">
      <c r="A1390" s="1" t="s">
        <v>220</v>
      </c>
      <c r="B1390" s="1" t="s">
        <v>2569</v>
      </c>
      <c r="C1390" s="1" t="s">
        <v>4663</v>
      </c>
      <c r="D1390" s="1">
        <v>2021</v>
      </c>
      <c r="E1390" s="1" t="str">
        <f t="shared" si="5"/>
        <v>KICKSKICKS 1.62021</v>
      </c>
      <c r="F1390" s="1" t="s">
        <v>1963</v>
      </c>
      <c r="G1390" s="1">
        <v>12590000</v>
      </c>
      <c r="H1390" s="1">
        <v>10000000</v>
      </c>
    </row>
    <row r="1391" spans="1:8" ht="13.5" customHeight="1" x14ac:dyDescent="0.3">
      <c r="A1391" s="1" t="s">
        <v>220</v>
      </c>
      <c r="B1391" s="1" t="s">
        <v>2569</v>
      </c>
      <c r="C1391" s="1" t="s">
        <v>4663</v>
      </c>
      <c r="D1391" s="1">
        <v>2021</v>
      </c>
      <c r="E1391" s="1" t="str">
        <f t="shared" si="5"/>
        <v>KICKSKICKS 1.62021</v>
      </c>
      <c r="F1391" s="1" t="s">
        <v>1627</v>
      </c>
      <c r="G1391" s="1">
        <v>9890000</v>
      </c>
      <c r="H1391" s="1">
        <v>8000000</v>
      </c>
    </row>
    <row r="1392" spans="1:8" ht="13.5" customHeight="1" x14ac:dyDescent="0.3">
      <c r="A1392" s="1" t="s">
        <v>220</v>
      </c>
      <c r="B1392" s="1" t="s">
        <v>2569</v>
      </c>
      <c r="C1392" s="1" t="s">
        <v>4663</v>
      </c>
      <c r="D1392" s="1">
        <v>2021</v>
      </c>
      <c r="E1392" s="1" t="str">
        <f t="shared" si="5"/>
        <v>KICKSKICKS 1.62021</v>
      </c>
      <c r="F1392" s="1" t="s">
        <v>696</v>
      </c>
      <c r="G1392" s="1">
        <v>10655451</v>
      </c>
      <c r="H1392" s="1">
        <v>9800000</v>
      </c>
    </row>
    <row r="1393" spans="1:8" ht="13.5" customHeight="1" x14ac:dyDescent="0.3">
      <c r="A1393" s="1" t="s">
        <v>220</v>
      </c>
      <c r="B1393" s="1" t="s">
        <v>2569</v>
      </c>
      <c r="C1393" s="1" t="s">
        <v>4663</v>
      </c>
      <c r="D1393" s="1">
        <v>2021</v>
      </c>
      <c r="E1393" s="1" t="str">
        <f t="shared" si="5"/>
        <v>KICKSKICKS 1.62021</v>
      </c>
      <c r="F1393" s="1" t="s">
        <v>1724</v>
      </c>
      <c r="G1393" s="1">
        <v>11690030</v>
      </c>
      <c r="H1393" s="1">
        <v>9400000</v>
      </c>
    </row>
    <row r="1394" spans="1:8" ht="13.5" customHeight="1" x14ac:dyDescent="0.3">
      <c r="A1394" s="1" t="s">
        <v>220</v>
      </c>
      <c r="B1394" s="1" t="s">
        <v>2569</v>
      </c>
      <c r="C1394" s="1" t="s">
        <v>4663</v>
      </c>
      <c r="D1394" s="1">
        <v>2021</v>
      </c>
      <c r="E1394" s="1" t="str">
        <f t="shared" si="5"/>
        <v>KICKSKICKS 1.62021</v>
      </c>
      <c r="F1394" s="1" t="s">
        <v>1656</v>
      </c>
      <c r="G1394" s="1">
        <v>11890000</v>
      </c>
      <c r="H1394" s="1">
        <v>10000000</v>
      </c>
    </row>
    <row r="1395" spans="1:8" ht="13.5" customHeight="1" x14ac:dyDescent="0.3">
      <c r="A1395" s="1" t="s">
        <v>220</v>
      </c>
      <c r="B1395" s="1" t="s">
        <v>2569</v>
      </c>
      <c r="C1395" s="1" t="s">
        <v>4663</v>
      </c>
      <c r="D1395" s="1">
        <v>2021</v>
      </c>
      <c r="E1395" s="1" t="str">
        <f t="shared" si="5"/>
        <v>KICKSKICKS 1.62021</v>
      </c>
      <c r="F1395" s="1" t="s">
        <v>2350</v>
      </c>
      <c r="G1395" s="1">
        <v>13990000</v>
      </c>
      <c r="H1395" s="1">
        <v>12000000</v>
      </c>
    </row>
    <row r="1396" spans="1:8" ht="13.5" customHeight="1" x14ac:dyDescent="0.3">
      <c r="A1396" s="1" t="s">
        <v>220</v>
      </c>
      <c r="B1396" s="1" t="s">
        <v>2569</v>
      </c>
      <c r="C1396" s="1" t="s">
        <v>4663</v>
      </c>
      <c r="D1396" s="1">
        <v>2021</v>
      </c>
      <c r="E1396" s="1" t="str">
        <f t="shared" si="5"/>
        <v>KICKSKICKS 1.62021</v>
      </c>
      <c r="F1396" s="1" t="s">
        <v>2106</v>
      </c>
      <c r="G1396" s="1">
        <v>11490000</v>
      </c>
      <c r="H1396" s="1">
        <v>9130000</v>
      </c>
    </row>
    <row r="1397" spans="1:8" ht="13.5" customHeight="1" x14ac:dyDescent="0.3">
      <c r="A1397" s="1" t="s">
        <v>220</v>
      </c>
      <c r="B1397" s="1" t="s">
        <v>2569</v>
      </c>
      <c r="C1397" s="1" t="s">
        <v>4663</v>
      </c>
      <c r="D1397" s="1">
        <v>2021</v>
      </c>
      <c r="E1397" s="1" t="str">
        <f t="shared" si="5"/>
        <v>KICKSKICKS 1.62021</v>
      </c>
      <c r="F1397" s="1" t="s">
        <v>1389</v>
      </c>
      <c r="G1397" s="1">
        <v>10190000</v>
      </c>
      <c r="H1397" s="1">
        <v>9400000</v>
      </c>
    </row>
    <row r="1398" spans="1:8" ht="13.5" customHeight="1" x14ac:dyDescent="0.3">
      <c r="A1398" s="1" t="s">
        <v>220</v>
      </c>
      <c r="B1398" s="1" t="s">
        <v>2569</v>
      </c>
      <c r="C1398" s="1" t="s">
        <v>4663</v>
      </c>
      <c r="D1398" s="1">
        <v>2021</v>
      </c>
      <c r="E1398" s="1" t="str">
        <f t="shared" si="5"/>
        <v>KICKSKICKS 1.62021</v>
      </c>
      <c r="F1398" s="1" t="s">
        <v>1452</v>
      </c>
      <c r="G1398" s="1">
        <v>11340120</v>
      </c>
      <c r="H1398" s="1">
        <v>9700000</v>
      </c>
    </row>
    <row r="1399" spans="1:8" ht="13.5" customHeight="1" x14ac:dyDescent="0.3">
      <c r="A1399" s="1" t="s">
        <v>220</v>
      </c>
      <c r="B1399" s="1" t="s">
        <v>2569</v>
      </c>
      <c r="C1399" s="1" t="s">
        <v>4663</v>
      </c>
      <c r="D1399" s="1">
        <v>2022</v>
      </c>
      <c r="E1399" s="1" t="str">
        <f t="shared" si="5"/>
        <v>KICKSKICKS 1.62022</v>
      </c>
      <c r="F1399" s="1" t="s">
        <v>682</v>
      </c>
      <c r="G1399" s="1">
        <v>11990000</v>
      </c>
      <c r="H1399" s="1">
        <v>10200000</v>
      </c>
    </row>
    <row r="1400" spans="1:8" ht="13.5" customHeight="1" x14ac:dyDescent="0.3">
      <c r="A1400" s="1" t="s">
        <v>220</v>
      </c>
      <c r="B1400" s="1" t="s">
        <v>2569</v>
      </c>
      <c r="C1400" s="1" t="s">
        <v>4663</v>
      </c>
      <c r="D1400" s="1">
        <v>2022</v>
      </c>
      <c r="E1400" s="1" t="str">
        <f t="shared" si="5"/>
        <v>KICKSKICKS 1.62022</v>
      </c>
      <c r="F1400" s="1" t="s">
        <v>2001</v>
      </c>
      <c r="G1400" s="1">
        <v>12590000</v>
      </c>
      <c r="H1400" s="1">
        <v>10300000</v>
      </c>
    </row>
    <row r="1401" spans="1:8" ht="13.5" customHeight="1" x14ac:dyDescent="0.3">
      <c r="A1401" s="1" t="s">
        <v>220</v>
      </c>
      <c r="B1401" s="1" t="s">
        <v>2569</v>
      </c>
      <c r="C1401" s="1" t="s">
        <v>4663</v>
      </c>
      <c r="D1401" s="1">
        <v>2022</v>
      </c>
      <c r="E1401" s="1" t="str">
        <f t="shared" si="5"/>
        <v>KICKSKICKS 1.62022</v>
      </c>
      <c r="F1401" s="1" t="s">
        <v>1456</v>
      </c>
      <c r="G1401" s="1">
        <v>12490000</v>
      </c>
      <c r="H1401" s="1">
        <v>10500000</v>
      </c>
    </row>
    <row r="1402" spans="1:8" ht="13.5" customHeight="1" x14ac:dyDescent="0.3">
      <c r="A1402" s="1" t="s">
        <v>220</v>
      </c>
      <c r="B1402" s="1" t="s">
        <v>2569</v>
      </c>
      <c r="C1402" s="1" t="s">
        <v>4663</v>
      </c>
      <c r="D1402" s="1">
        <v>2022</v>
      </c>
      <c r="E1402" s="1" t="str">
        <f t="shared" si="5"/>
        <v>KICKSKICKS 1.62022</v>
      </c>
      <c r="F1402" s="1" t="s">
        <v>1181</v>
      </c>
      <c r="G1402" s="1">
        <v>11438620</v>
      </c>
      <c r="H1402" s="1">
        <v>9800000</v>
      </c>
    </row>
    <row r="1403" spans="1:8" ht="13.5" customHeight="1" x14ac:dyDescent="0.3">
      <c r="A1403" s="1" t="s">
        <v>220</v>
      </c>
      <c r="B1403" s="1" t="s">
        <v>2569</v>
      </c>
      <c r="C1403" s="1" t="s">
        <v>4663</v>
      </c>
      <c r="D1403" s="1">
        <v>2022</v>
      </c>
      <c r="E1403" s="1" t="str">
        <f t="shared" si="5"/>
        <v>KICKSKICKS 1.62022</v>
      </c>
      <c r="F1403" s="1" t="s">
        <v>1013</v>
      </c>
      <c r="G1403" s="1">
        <v>12490000</v>
      </c>
      <c r="H1403" s="1">
        <v>10600000</v>
      </c>
    </row>
    <row r="1404" spans="1:8" ht="13.5" customHeight="1" x14ac:dyDescent="0.3">
      <c r="A1404" s="1" t="s">
        <v>220</v>
      </c>
      <c r="B1404" s="1" t="s">
        <v>2569</v>
      </c>
      <c r="C1404" s="1" t="s">
        <v>4663</v>
      </c>
      <c r="D1404" s="1">
        <v>2022</v>
      </c>
      <c r="E1404" s="1" t="str">
        <f t="shared" si="5"/>
        <v>KICKSKICKS 1.62022</v>
      </c>
      <c r="F1404" s="1" t="s">
        <v>1710</v>
      </c>
      <c r="G1404" s="1">
        <v>11990000</v>
      </c>
      <c r="H1404" s="1">
        <v>10500000</v>
      </c>
    </row>
    <row r="1405" spans="1:8" ht="13.5" customHeight="1" x14ac:dyDescent="0.3">
      <c r="A1405" s="1" t="s">
        <v>220</v>
      </c>
      <c r="B1405" s="1" t="s">
        <v>2569</v>
      </c>
      <c r="C1405" s="1" t="s">
        <v>4663</v>
      </c>
      <c r="D1405" s="1">
        <v>2022</v>
      </c>
      <c r="E1405" s="1" t="str">
        <f t="shared" si="5"/>
        <v>KICKSKICKS 1.62022</v>
      </c>
      <c r="F1405" s="1" t="s">
        <v>1002</v>
      </c>
      <c r="G1405" s="1">
        <v>12390000</v>
      </c>
      <c r="H1405" s="1">
        <v>10250000</v>
      </c>
    </row>
    <row r="1406" spans="1:8" ht="13.5" customHeight="1" x14ac:dyDescent="0.3">
      <c r="A1406" s="1" t="s">
        <v>220</v>
      </c>
      <c r="B1406" s="1" t="s">
        <v>2569</v>
      </c>
      <c r="C1406" s="1" t="s">
        <v>4663</v>
      </c>
      <c r="D1406" s="1">
        <v>2022</v>
      </c>
      <c r="E1406" s="1" t="str">
        <f t="shared" si="5"/>
        <v>KICKSKICKS 1.62022</v>
      </c>
      <c r="F1406" s="1" t="s">
        <v>1791</v>
      </c>
      <c r="G1406" s="1">
        <v>12696650</v>
      </c>
      <c r="H1406" s="1">
        <v>10500000</v>
      </c>
    </row>
    <row r="1407" spans="1:8" ht="13.5" customHeight="1" x14ac:dyDescent="0.3">
      <c r="A1407" s="1" t="s">
        <v>220</v>
      </c>
      <c r="B1407" s="1" t="s">
        <v>2569</v>
      </c>
      <c r="C1407" s="1" t="s">
        <v>4663</v>
      </c>
      <c r="D1407" s="1">
        <v>2022</v>
      </c>
      <c r="E1407" s="1" t="str">
        <f t="shared" si="5"/>
        <v>KICKSKICKS 1.62022</v>
      </c>
      <c r="F1407" s="1" t="s">
        <v>2282</v>
      </c>
      <c r="G1407" s="1">
        <v>14990000</v>
      </c>
      <c r="H1407" s="1">
        <v>13500000</v>
      </c>
    </row>
    <row r="1408" spans="1:8" ht="13.5" customHeight="1" x14ac:dyDescent="0.3">
      <c r="A1408" s="1" t="s">
        <v>220</v>
      </c>
      <c r="B1408" s="1" t="s">
        <v>2569</v>
      </c>
      <c r="C1408" s="1" t="s">
        <v>4663</v>
      </c>
      <c r="D1408" s="1">
        <v>2022</v>
      </c>
      <c r="E1408" s="1" t="str">
        <f t="shared" si="5"/>
        <v>KICKSKICKS 1.62022</v>
      </c>
      <c r="F1408" s="1" t="s">
        <v>1335</v>
      </c>
      <c r="G1408" s="1">
        <v>11990000</v>
      </c>
      <c r="H1408" s="1">
        <v>9800000</v>
      </c>
    </row>
    <row r="1409" spans="1:8" ht="13.5" customHeight="1" x14ac:dyDescent="0.3">
      <c r="A1409" s="1" t="s">
        <v>220</v>
      </c>
      <c r="B1409" s="1" t="s">
        <v>2569</v>
      </c>
      <c r="C1409" s="1" t="s">
        <v>4663</v>
      </c>
      <c r="D1409" s="1">
        <v>2022</v>
      </c>
      <c r="E1409" s="1" t="str">
        <f t="shared" si="5"/>
        <v>KICKSKICKS 1.62022</v>
      </c>
      <c r="F1409" s="1" t="s">
        <v>835</v>
      </c>
      <c r="G1409" s="1">
        <v>12490000</v>
      </c>
      <c r="H1409" s="1">
        <v>10500000</v>
      </c>
    </row>
    <row r="1410" spans="1:8" ht="13.5" customHeight="1" x14ac:dyDescent="0.3">
      <c r="A1410" s="1" t="s">
        <v>220</v>
      </c>
      <c r="B1410" s="1" t="s">
        <v>2569</v>
      </c>
      <c r="C1410" s="1" t="s">
        <v>4663</v>
      </c>
      <c r="D1410" s="1">
        <v>2022</v>
      </c>
      <c r="E1410" s="1" t="str">
        <f t="shared" si="5"/>
        <v>KICKSKICKS 1.62022</v>
      </c>
      <c r="F1410" s="1" t="s">
        <v>1016</v>
      </c>
      <c r="G1410" s="1">
        <v>25801620</v>
      </c>
      <c r="H1410" s="1">
        <v>21600000</v>
      </c>
    </row>
    <row r="1411" spans="1:8" ht="13.5" customHeight="1" x14ac:dyDescent="0.3">
      <c r="A1411" s="1" t="s">
        <v>220</v>
      </c>
      <c r="B1411" s="1" t="s">
        <v>2569</v>
      </c>
      <c r="C1411" s="1" t="s">
        <v>4663</v>
      </c>
      <c r="D1411" s="1">
        <v>2023</v>
      </c>
      <c r="E1411" s="1" t="str">
        <f t="shared" si="5"/>
        <v>KICKSKICKS 1.62023</v>
      </c>
      <c r="F1411" s="1" t="s">
        <v>1719</v>
      </c>
      <c r="G1411" s="1">
        <v>11840000</v>
      </c>
      <c r="H1411" s="1">
        <v>10000000</v>
      </c>
    </row>
    <row r="1412" spans="1:8" ht="13.5" customHeight="1" x14ac:dyDescent="0.3">
      <c r="A1412" s="1" t="s">
        <v>220</v>
      </c>
      <c r="B1412" s="1" t="s">
        <v>2569</v>
      </c>
      <c r="C1412" s="1" t="s">
        <v>4663</v>
      </c>
      <c r="D1412" s="1">
        <v>2024</v>
      </c>
      <c r="E1412" s="1" t="str">
        <f t="shared" si="5"/>
        <v>KICKSKICKS 1.62024</v>
      </c>
      <c r="F1412" s="1" t="s">
        <v>565</v>
      </c>
      <c r="G1412" s="1">
        <v>13990000</v>
      </c>
      <c r="H1412" s="1">
        <v>11700000</v>
      </c>
    </row>
    <row r="1413" spans="1:8" ht="13.5" customHeight="1" x14ac:dyDescent="0.3">
      <c r="A1413" s="1" t="s">
        <v>220</v>
      </c>
      <c r="B1413" s="1" t="s">
        <v>2569</v>
      </c>
      <c r="C1413" s="1" t="s">
        <v>4664</v>
      </c>
      <c r="D1413" s="1">
        <v>2019</v>
      </c>
      <c r="E1413" s="1" t="str">
        <f t="shared" si="5"/>
        <v>KICKSKICKS 1.6 AT2019</v>
      </c>
      <c r="F1413" s="1" t="s">
        <v>2706</v>
      </c>
      <c r="G1413" s="1">
        <v>11500000</v>
      </c>
      <c r="H1413" s="1">
        <v>11067659</v>
      </c>
    </row>
    <row r="1414" spans="1:8" ht="13.5" customHeight="1" x14ac:dyDescent="0.3">
      <c r="A1414" s="1" t="s">
        <v>220</v>
      </c>
      <c r="B1414" s="1" t="s">
        <v>2569</v>
      </c>
      <c r="C1414" s="1" t="s">
        <v>4664</v>
      </c>
      <c r="D1414" s="1">
        <v>2021</v>
      </c>
      <c r="E1414" s="1" t="str">
        <f t="shared" si="5"/>
        <v>KICKSKICKS 1.6 AT2021</v>
      </c>
      <c r="F1414" s="1" t="s">
        <v>1770</v>
      </c>
      <c r="G1414" s="1">
        <v>12621620</v>
      </c>
      <c r="H1414" s="1">
        <v>10500000</v>
      </c>
    </row>
    <row r="1415" spans="1:8" ht="13.5" customHeight="1" x14ac:dyDescent="0.3">
      <c r="A1415" s="1" t="s">
        <v>220</v>
      </c>
      <c r="B1415" s="1" t="s">
        <v>2569</v>
      </c>
      <c r="C1415" s="1" t="s">
        <v>4665</v>
      </c>
      <c r="D1415" s="1">
        <v>2019</v>
      </c>
      <c r="E1415" s="1" t="str">
        <f t="shared" si="5"/>
        <v>KICKSKICKS 1.6 AUT2019</v>
      </c>
      <c r="F1415" s="1" t="s">
        <v>581</v>
      </c>
      <c r="G1415" s="1">
        <v>11290000</v>
      </c>
      <c r="H1415" s="1">
        <v>9300000</v>
      </c>
    </row>
    <row r="1416" spans="1:8" ht="13.5" customHeight="1" x14ac:dyDescent="0.3">
      <c r="A1416" s="1" t="s">
        <v>220</v>
      </c>
      <c r="B1416" s="1" t="s">
        <v>2569</v>
      </c>
      <c r="C1416" s="1" t="s">
        <v>4666</v>
      </c>
      <c r="D1416" s="1">
        <v>2024</v>
      </c>
      <c r="E1416" s="1" t="str">
        <f t="shared" si="5"/>
        <v>KICKSKICKS 4X2 1.6 AUT2024</v>
      </c>
      <c r="F1416" s="1" t="s">
        <v>1512</v>
      </c>
      <c r="G1416" s="1">
        <v>17690000</v>
      </c>
      <c r="H1416" s="1">
        <v>15000000</v>
      </c>
    </row>
    <row r="1417" spans="1:8" ht="13.5" customHeight="1" x14ac:dyDescent="0.3">
      <c r="A1417" s="1" t="s">
        <v>220</v>
      </c>
      <c r="B1417" s="1" t="s">
        <v>2569</v>
      </c>
      <c r="C1417" s="1" t="s">
        <v>4667</v>
      </c>
      <c r="D1417" s="1">
        <v>2019</v>
      </c>
      <c r="E1417" s="1" t="str">
        <f t="shared" si="5"/>
        <v>KICKSKICKS ADVANCE 1.62019</v>
      </c>
      <c r="F1417" s="1" t="s">
        <v>447</v>
      </c>
      <c r="G1417" s="1">
        <v>10256620</v>
      </c>
      <c r="H1417" s="1">
        <v>8150000</v>
      </c>
    </row>
    <row r="1418" spans="1:8" ht="13.5" customHeight="1" x14ac:dyDescent="0.3">
      <c r="A1418" s="1" t="s">
        <v>220</v>
      </c>
      <c r="B1418" s="1" t="s">
        <v>2569</v>
      </c>
      <c r="C1418" s="1" t="s">
        <v>4667</v>
      </c>
      <c r="D1418" s="1">
        <v>2019</v>
      </c>
      <c r="E1418" s="1" t="str">
        <f t="shared" si="5"/>
        <v>KICKSKICKS ADVANCE 1.62019</v>
      </c>
      <c r="F1418" s="1" t="s">
        <v>1307</v>
      </c>
      <c r="G1418" s="1">
        <v>21780000</v>
      </c>
      <c r="H1418" s="1">
        <v>18000000</v>
      </c>
    </row>
    <row r="1419" spans="1:8" ht="13.5" customHeight="1" x14ac:dyDescent="0.3">
      <c r="A1419" s="1" t="s">
        <v>220</v>
      </c>
      <c r="B1419" s="1" t="s">
        <v>2569</v>
      </c>
      <c r="C1419" s="1" t="s">
        <v>4667</v>
      </c>
      <c r="D1419" s="1">
        <v>2019</v>
      </c>
      <c r="E1419" s="1" t="str">
        <f t="shared" si="5"/>
        <v>KICKSKICKS ADVANCE 1.62019</v>
      </c>
      <c r="F1419" s="1" t="s">
        <v>831</v>
      </c>
      <c r="G1419" s="1">
        <v>8990000</v>
      </c>
      <c r="H1419" s="1">
        <v>6850000</v>
      </c>
    </row>
    <row r="1420" spans="1:8" ht="13.5" customHeight="1" x14ac:dyDescent="0.3">
      <c r="A1420" s="1" t="s">
        <v>220</v>
      </c>
      <c r="B1420" s="1" t="s">
        <v>2569</v>
      </c>
      <c r="C1420" s="1" t="s">
        <v>4667</v>
      </c>
      <c r="D1420" s="1">
        <v>2020</v>
      </c>
      <c r="E1420" s="1" t="str">
        <f t="shared" si="5"/>
        <v>KICKSKICKS ADVANCE 1.62020</v>
      </c>
      <c r="F1420" s="1" t="s">
        <v>1266</v>
      </c>
      <c r="G1420" s="1">
        <v>10900000</v>
      </c>
      <c r="H1420" s="1">
        <v>8500000</v>
      </c>
    </row>
    <row r="1421" spans="1:8" ht="13.5" customHeight="1" x14ac:dyDescent="0.3">
      <c r="A1421" s="1" t="s">
        <v>220</v>
      </c>
      <c r="B1421" s="1" t="s">
        <v>2569</v>
      </c>
      <c r="C1421" s="1" t="s">
        <v>4667</v>
      </c>
      <c r="D1421" s="1">
        <v>2020</v>
      </c>
      <c r="E1421" s="1" t="str">
        <f t="shared" si="5"/>
        <v>KICKSKICKS ADVANCE 1.62020</v>
      </c>
      <c r="F1421" s="1" t="s">
        <v>2155</v>
      </c>
      <c r="G1421" s="1">
        <v>10790000</v>
      </c>
      <c r="H1421" s="1">
        <v>8700000</v>
      </c>
    </row>
    <row r="1422" spans="1:8" ht="13.5" customHeight="1" x14ac:dyDescent="0.3">
      <c r="A1422" s="1" t="s">
        <v>220</v>
      </c>
      <c r="B1422" s="1" t="s">
        <v>2569</v>
      </c>
      <c r="C1422" s="1" t="s">
        <v>4667</v>
      </c>
      <c r="D1422" s="1">
        <v>2020</v>
      </c>
      <c r="E1422" s="1" t="str">
        <f t="shared" si="5"/>
        <v>KICKSKICKS ADVANCE 1.62020</v>
      </c>
      <c r="F1422" s="1" t="s">
        <v>2130</v>
      </c>
      <c r="G1422" s="1">
        <v>11790000</v>
      </c>
      <c r="H1422" s="1">
        <v>9500000</v>
      </c>
    </row>
    <row r="1423" spans="1:8" ht="13.5" customHeight="1" x14ac:dyDescent="0.3">
      <c r="A1423" s="1" t="s">
        <v>220</v>
      </c>
      <c r="B1423" s="1" t="s">
        <v>2569</v>
      </c>
      <c r="C1423" s="1" t="s">
        <v>4667</v>
      </c>
      <c r="D1423" s="1">
        <v>2020</v>
      </c>
      <c r="E1423" s="1" t="str">
        <f t="shared" si="5"/>
        <v>KICKSKICKS ADVANCE 1.62020</v>
      </c>
      <c r="F1423" s="1" t="s">
        <v>2169</v>
      </c>
      <c r="G1423" s="1">
        <v>11790000</v>
      </c>
      <c r="H1423" s="1">
        <v>9700000</v>
      </c>
    </row>
    <row r="1424" spans="1:8" ht="13.5" customHeight="1" x14ac:dyDescent="0.3">
      <c r="A1424" s="1" t="s">
        <v>220</v>
      </c>
      <c r="B1424" s="1" t="s">
        <v>2569</v>
      </c>
      <c r="C1424" s="1" t="s">
        <v>4667</v>
      </c>
      <c r="D1424" s="1">
        <v>2021</v>
      </c>
      <c r="E1424" s="1" t="str">
        <f t="shared" si="5"/>
        <v>KICKSKICKS ADVANCE 1.62021</v>
      </c>
      <c r="F1424" s="1" t="s">
        <v>1012</v>
      </c>
      <c r="G1424" s="1">
        <v>11990000</v>
      </c>
      <c r="H1424" s="1">
        <v>9300000</v>
      </c>
    </row>
    <row r="1425" spans="1:8" ht="13.5" customHeight="1" x14ac:dyDescent="0.3">
      <c r="A1425" s="1" t="s">
        <v>220</v>
      </c>
      <c r="B1425" s="1" t="s">
        <v>2569</v>
      </c>
      <c r="C1425" s="1" t="s">
        <v>4667</v>
      </c>
      <c r="D1425" s="1">
        <v>2021</v>
      </c>
      <c r="E1425" s="1" t="str">
        <f t="shared" si="5"/>
        <v>KICKSKICKS ADVANCE 1.62021</v>
      </c>
      <c r="F1425" s="1" t="s">
        <v>1948</v>
      </c>
      <c r="G1425" s="1">
        <v>11990000</v>
      </c>
      <c r="H1425" s="1">
        <v>9500000</v>
      </c>
    </row>
    <row r="1426" spans="1:8" ht="13.5" customHeight="1" x14ac:dyDescent="0.3">
      <c r="A1426" s="1" t="s">
        <v>220</v>
      </c>
      <c r="B1426" s="1" t="s">
        <v>2569</v>
      </c>
      <c r="C1426" s="1" t="s">
        <v>4667</v>
      </c>
      <c r="D1426" s="1">
        <v>2022</v>
      </c>
      <c r="E1426" s="1" t="str">
        <f t="shared" si="5"/>
        <v>KICKSKICKS ADVANCE 1.62022</v>
      </c>
      <c r="F1426" s="1" t="s">
        <v>1204</v>
      </c>
      <c r="G1426" s="1">
        <v>12990000</v>
      </c>
      <c r="H1426" s="1">
        <v>11000000</v>
      </c>
    </row>
    <row r="1427" spans="1:8" ht="13.5" customHeight="1" x14ac:dyDescent="0.3">
      <c r="A1427" s="1" t="s">
        <v>220</v>
      </c>
      <c r="B1427" s="1" t="s">
        <v>2569</v>
      </c>
      <c r="C1427" s="1" t="s">
        <v>4668</v>
      </c>
      <c r="D1427" s="1">
        <v>2018</v>
      </c>
      <c r="E1427" s="1" t="str">
        <f t="shared" si="5"/>
        <v>KICKSKICKS ADVANCE 1.6 AUT2018</v>
      </c>
      <c r="F1427" s="1" t="s">
        <v>2308</v>
      </c>
      <c r="G1427" s="1">
        <v>10990000</v>
      </c>
      <c r="H1427" s="1">
        <v>9000000</v>
      </c>
    </row>
    <row r="1428" spans="1:8" ht="13.5" customHeight="1" x14ac:dyDescent="0.3">
      <c r="A1428" s="1" t="s">
        <v>220</v>
      </c>
      <c r="B1428" s="1" t="s">
        <v>2569</v>
      </c>
      <c r="C1428" s="1" t="s">
        <v>4668</v>
      </c>
      <c r="D1428" s="1">
        <v>2019</v>
      </c>
      <c r="E1428" s="1" t="str">
        <f t="shared" si="5"/>
        <v>KICKSKICKS ADVANCE 1.6 AUT2019</v>
      </c>
      <c r="F1428" s="1" t="s">
        <v>2310</v>
      </c>
      <c r="G1428" s="1">
        <v>10990000</v>
      </c>
      <c r="H1428" s="1">
        <v>6600000</v>
      </c>
    </row>
    <row r="1429" spans="1:8" ht="13.5" customHeight="1" x14ac:dyDescent="0.3">
      <c r="A1429" s="1" t="s">
        <v>220</v>
      </c>
      <c r="B1429" s="1" t="s">
        <v>2569</v>
      </c>
      <c r="C1429" s="1" t="s">
        <v>4669</v>
      </c>
      <c r="D1429" s="1">
        <v>2021</v>
      </c>
      <c r="E1429" s="1" t="str">
        <f t="shared" si="5"/>
        <v>KICKSKICKS CVT 1.6 AUT2021</v>
      </c>
      <c r="F1429" s="1" t="s">
        <v>2322</v>
      </c>
      <c r="G1429" s="1">
        <v>14490000</v>
      </c>
      <c r="H1429" s="1">
        <v>12000000</v>
      </c>
    </row>
    <row r="1430" spans="1:8" ht="13.5" customHeight="1" x14ac:dyDescent="0.3">
      <c r="A1430" s="1" t="s">
        <v>220</v>
      </c>
      <c r="B1430" s="1" t="s">
        <v>2569</v>
      </c>
      <c r="C1430" s="1" t="s">
        <v>4669</v>
      </c>
      <c r="D1430" s="1">
        <v>2022</v>
      </c>
      <c r="E1430" s="1" t="str">
        <f t="shared" si="5"/>
        <v>KICKSKICKS CVT 1.6 AUT2022</v>
      </c>
      <c r="F1430" s="1" t="s">
        <v>1161</v>
      </c>
      <c r="G1430" s="1">
        <v>13990000</v>
      </c>
      <c r="H1430" s="1">
        <v>11800000</v>
      </c>
    </row>
    <row r="1431" spans="1:8" ht="13.5" customHeight="1" x14ac:dyDescent="0.3">
      <c r="A1431" s="1" t="s">
        <v>220</v>
      </c>
      <c r="B1431" s="1" t="s">
        <v>2569</v>
      </c>
      <c r="C1431" s="1" t="s">
        <v>4669</v>
      </c>
      <c r="D1431" s="1">
        <v>2022</v>
      </c>
      <c r="E1431" s="1" t="str">
        <f t="shared" si="5"/>
        <v>KICKSKICKS CVT 1.6 AUT2022</v>
      </c>
      <c r="F1431" s="1" t="s">
        <v>1020</v>
      </c>
      <c r="G1431" s="1">
        <v>13704120</v>
      </c>
      <c r="H1431" s="1">
        <v>12100000</v>
      </c>
    </row>
    <row r="1432" spans="1:8" ht="13.5" customHeight="1" x14ac:dyDescent="0.3">
      <c r="A1432" s="1" t="s">
        <v>220</v>
      </c>
      <c r="B1432" s="1" t="s">
        <v>2569</v>
      </c>
      <c r="C1432" s="1" t="s">
        <v>4669</v>
      </c>
      <c r="D1432" s="1">
        <v>2022</v>
      </c>
      <c r="E1432" s="1" t="str">
        <f t="shared" si="5"/>
        <v>KICKSKICKS CVT 1.6 AUT2022</v>
      </c>
      <c r="F1432" s="1" t="s">
        <v>1098</v>
      </c>
      <c r="G1432" s="1">
        <v>13290000</v>
      </c>
      <c r="H1432" s="1">
        <v>12100000</v>
      </c>
    </row>
    <row r="1433" spans="1:8" ht="13.5" customHeight="1" x14ac:dyDescent="0.3">
      <c r="A1433" s="1" t="s">
        <v>220</v>
      </c>
      <c r="B1433" s="1" t="s">
        <v>2569</v>
      </c>
      <c r="C1433" s="1" t="s">
        <v>4669</v>
      </c>
      <c r="D1433" s="1">
        <v>2022</v>
      </c>
      <c r="E1433" s="1" t="str">
        <f t="shared" si="5"/>
        <v>KICKSKICKS CVT 1.6 AUT2022</v>
      </c>
      <c r="F1433" s="1" t="s">
        <v>1028</v>
      </c>
      <c r="G1433" s="1">
        <v>13705000</v>
      </c>
      <c r="H1433" s="1">
        <v>12000000</v>
      </c>
    </row>
    <row r="1434" spans="1:8" ht="13.5" customHeight="1" x14ac:dyDescent="0.3">
      <c r="A1434" s="1" t="s">
        <v>220</v>
      </c>
      <c r="B1434" s="1" t="s">
        <v>2569</v>
      </c>
      <c r="C1434" s="1" t="s">
        <v>4669</v>
      </c>
      <c r="D1434" s="1">
        <v>2022</v>
      </c>
      <c r="E1434" s="1" t="str">
        <f t="shared" si="5"/>
        <v>KICKSKICKS CVT 1.6 AUT2022</v>
      </c>
      <c r="F1434" s="1" t="s">
        <v>2084</v>
      </c>
      <c r="G1434" s="1">
        <v>14990000</v>
      </c>
      <c r="H1434" s="1">
        <v>12200000</v>
      </c>
    </row>
    <row r="1435" spans="1:8" ht="13.5" customHeight="1" x14ac:dyDescent="0.3">
      <c r="A1435" s="1" t="s">
        <v>220</v>
      </c>
      <c r="B1435" s="1" t="s">
        <v>2569</v>
      </c>
      <c r="C1435" s="1" t="s">
        <v>4669</v>
      </c>
      <c r="D1435" s="1">
        <v>2023</v>
      </c>
      <c r="E1435" s="1" t="str">
        <f t="shared" si="5"/>
        <v>KICKSKICKS CVT 1.6 AUT2023</v>
      </c>
      <c r="F1435" s="1" t="s">
        <v>1064</v>
      </c>
      <c r="G1435" s="1">
        <v>14990000</v>
      </c>
      <c r="H1435" s="1">
        <v>12500000</v>
      </c>
    </row>
    <row r="1436" spans="1:8" ht="13.5" customHeight="1" x14ac:dyDescent="0.3">
      <c r="A1436" s="1" t="s">
        <v>220</v>
      </c>
      <c r="B1436" s="1" t="s">
        <v>2569</v>
      </c>
      <c r="C1436" s="1" t="s">
        <v>4670</v>
      </c>
      <c r="D1436" s="1">
        <v>2023</v>
      </c>
      <c r="E1436" s="1" t="str">
        <f t="shared" si="5"/>
        <v>KICKSKICKS MT 1.62023</v>
      </c>
      <c r="F1436" s="1" t="s">
        <v>4671</v>
      </c>
      <c r="G1436" s="1">
        <v>14990000</v>
      </c>
      <c r="H1436" s="1">
        <v>13800000</v>
      </c>
    </row>
    <row r="1437" spans="1:8" ht="13.5" customHeight="1" x14ac:dyDescent="0.3">
      <c r="A1437" s="1" t="s">
        <v>220</v>
      </c>
      <c r="B1437" s="1" t="s">
        <v>2569</v>
      </c>
      <c r="C1437" s="1" t="s">
        <v>4670</v>
      </c>
      <c r="D1437" s="1">
        <v>2023</v>
      </c>
      <c r="E1437" s="1" t="str">
        <f t="shared" si="5"/>
        <v>KICKSKICKS MT 1.62023</v>
      </c>
      <c r="F1437" s="1" t="s">
        <v>917</v>
      </c>
      <c r="G1437" s="1">
        <v>12990000</v>
      </c>
      <c r="H1437" s="1">
        <v>11000000</v>
      </c>
    </row>
    <row r="1438" spans="1:8" ht="13.5" customHeight="1" x14ac:dyDescent="0.3">
      <c r="A1438" s="1" t="s">
        <v>220</v>
      </c>
      <c r="B1438" s="1" t="s">
        <v>2569</v>
      </c>
      <c r="C1438" s="1" t="s">
        <v>4670</v>
      </c>
      <c r="D1438" s="1">
        <v>2024</v>
      </c>
      <c r="E1438" s="1" t="str">
        <f t="shared" si="5"/>
        <v>KICKSKICKS MT 1.62024</v>
      </c>
      <c r="F1438" s="1" t="s">
        <v>812</v>
      </c>
      <c r="G1438" s="1">
        <v>14790000</v>
      </c>
      <c r="H1438" s="1">
        <v>12500000</v>
      </c>
    </row>
    <row r="1439" spans="1:8" ht="13.5" customHeight="1" x14ac:dyDescent="0.3">
      <c r="A1439" s="1" t="s">
        <v>220</v>
      </c>
      <c r="B1439" s="1" t="s">
        <v>2569</v>
      </c>
      <c r="C1439" s="1" t="s">
        <v>4672</v>
      </c>
      <c r="D1439" s="1">
        <v>2018</v>
      </c>
      <c r="E1439" s="1" t="str">
        <f t="shared" si="5"/>
        <v>KICKSKICKS SENSE 1.62018</v>
      </c>
      <c r="F1439" s="1" t="s">
        <v>2177</v>
      </c>
      <c r="G1439" s="1">
        <v>9490000</v>
      </c>
      <c r="H1439" s="1">
        <v>7500000</v>
      </c>
    </row>
    <row r="1440" spans="1:8" ht="13.5" customHeight="1" x14ac:dyDescent="0.3">
      <c r="A1440" s="1" t="s">
        <v>220</v>
      </c>
      <c r="B1440" s="1" t="s">
        <v>2569</v>
      </c>
      <c r="C1440" s="1" t="s">
        <v>4672</v>
      </c>
      <c r="D1440" s="1">
        <v>2018</v>
      </c>
      <c r="E1440" s="1" t="str">
        <f t="shared" si="5"/>
        <v>KICKSKICKS SENSE 1.62018</v>
      </c>
      <c r="F1440" s="1" t="s">
        <v>1723</v>
      </c>
      <c r="G1440" s="1">
        <v>9075620</v>
      </c>
      <c r="H1440" s="1">
        <v>7500000</v>
      </c>
    </row>
    <row r="1441" spans="1:8" ht="13.5" customHeight="1" x14ac:dyDescent="0.3">
      <c r="A1441" s="1" t="s">
        <v>220</v>
      </c>
      <c r="B1441" s="1" t="s">
        <v>2569</v>
      </c>
      <c r="C1441" s="1" t="s">
        <v>4672</v>
      </c>
      <c r="D1441" s="1">
        <v>2019</v>
      </c>
      <c r="E1441" s="1" t="str">
        <f t="shared" si="5"/>
        <v>KICKSKICKS SENSE 1.62019</v>
      </c>
      <c r="F1441" s="1" t="s">
        <v>1212</v>
      </c>
      <c r="G1441" s="1">
        <v>10490000</v>
      </c>
      <c r="H1441" s="1">
        <v>8500000</v>
      </c>
    </row>
    <row r="1442" spans="1:8" ht="13.5" customHeight="1" x14ac:dyDescent="0.3">
      <c r="A1442" s="1" t="s">
        <v>220</v>
      </c>
      <c r="B1442" s="1" t="s">
        <v>2569</v>
      </c>
      <c r="C1442" s="1" t="s">
        <v>4672</v>
      </c>
      <c r="D1442" s="1">
        <v>2019</v>
      </c>
      <c r="E1442" s="1" t="str">
        <f t="shared" si="5"/>
        <v>KICKSKICKS SENSE 1.62019</v>
      </c>
      <c r="F1442" s="1" t="s">
        <v>2353</v>
      </c>
      <c r="G1442" s="1">
        <v>10990000</v>
      </c>
      <c r="H1442" s="1">
        <v>9000000</v>
      </c>
    </row>
    <row r="1443" spans="1:8" ht="13.5" customHeight="1" x14ac:dyDescent="0.3">
      <c r="A1443" s="1" t="s">
        <v>220</v>
      </c>
      <c r="B1443" s="1" t="s">
        <v>2569</v>
      </c>
      <c r="C1443" s="1" t="s">
        <v>4672</v>
      </c>
      <c r="D1443" s="1">
        <v>2019</v>
      </c>
      <c r="E1443" s="1" t="str">
        <f t="shared" si="5"/>
        <v>KICKSKICKS SENSE 1.62019</v>
      </c>
      <c r="F1443" s="1" t="s">
        <v>517</v>
      </c>
      <c r="G1443" s="1">
        <v>19980000</v>
      </c>
      <c r="H1443" s="1">
        <v>15890000</v>
      </c>
    </row>
    <row r="1444" spans="1:8" ht="13.5" customHeight="1" x14ac:dyDescent="0.3">
      <c r="A1444" s="1" t="s">
        <v>220</v>
      </c>
      <c r="B1444" s="1" t="s">
        <v>2569</v>
      </c>
      <c r="C1444" s="1" t="s">
        <v>4672</v>
      </c>
      <c r="D1444" s="1">
        <v>2020</v>
      </c>
      <c r="E1444" s="1" t="str">
        <f t="shared" si="5"/>
        <v>KICKSKICKS SENSE 1.62020</v>
      </c>
      <c r="F1444" s="1" t="s">
        <v>1787</v>
      </c>
      <c r="G1444" s="1">
        <v>10190000</v>
      </c>
      <c r="H1444" s="1">
        <v>8300000</v>
      </c>
    </row>
    <row r="1445" spans="1:8" ht="13.5" customHeight="1" x14ac:dyDescent="0.3">
      <c r="A1445" s="1" t="s">
        <v>220</v>
      </c>
      <c r="B1445" s="1" t="s">
        <v>2569</v>
      </c>
      <c r="C1445" s="1" t="s">
        <v>4672</v>
      </c>
      <c r="D1445" s="1">
        <v>2021</v>
      </c>
      <c r="E1445" s="1" t="str">
        <f t="shared" si="5"/>
        <v>KICKSKICKS SENSE 1.62021</v>
      </c>
      <c r="F1445" s="1" t="s">
        <v>1995</v>
      </c>
      <c r="G1445" s="1">
        <v>10590000</v>
      </c>
      <c r="H1445" s="1">
        <v>9000000</v>
      </c>
    </row>
    <row r="1446" spans="1:8" ht="13.5" customHeight="1" x14ac:dyDescent="0.3">
      <c r="A1446" s="1" t="s">
        <v>220</v>
      </c>
      <c r="B1446" s="1" t="s">
        <v>2569</v>
      </c>
      <c r="C1446" s="1" t="s">
        <v>4673</v>
      </c>
      <c r="D1446" s="1">
        <v>2020</v>
      </c>
      <c r="E1446" s="1" t="str">
        <f t="shared" si="5"/>
        <v>KICKSKICKS SENSE 2.02020</v>
      </c>
      <c r="F1446" s="1" t="s">
        <v>1985</v>
      </c>
      <c r="G1446" s="1">
        <v>10890000</v>
      </c>
      <c r="H1446" s="1">
        <v>8785294</v>
      </c>
    </row>
    <row r="1447" spans="1:8" ht="13.5" customHeight="1" x14ac:dyDescent="0.3">
      <c r="A1447" s="1" t="s">
        <v>220</v>
      </c>
      <c r="B1447" s="1" t="s">
        <v>2786</v>
      </c>
      <c r="C1447" s="1" t="s">
        <v>4674</v>
      </c>
      <c r="D1447" s="1">
        <v>2021</v>
      </c>
      <c r="E1447" s="1" t="str">
        <f t="shared" si="5"/>
        <v>MURANOMURANO Z52 4X4 3.5 AUT2021</v>
      </c>
      <c r="F1447" s="1" t="s">
        <v>2022</v>
      </c>
      <c r="G1447" s="1">
        <v>19990000</v>
      </c>
      <c r="H1447" s="1">
        <v>37300000</v>
      </c>
    </row>
    <row r="1448" spans="1:8" ht="13.5" customHeight="1" x14ac:dyDescent="0.3">
      <c r="A1448" s="1" t="s">
        <v>220</v>
      </c>
      <c r="B1448" s="1" t="s">
        <v>2786</v>
      </c>
      <c r="C1448" s="1" t="s">
        <v>4674</v>
      </c>
      <c r="D1448" s="1">
        <v>2022</v>
      </c>
      <c r="E1448" s="1" t="str">
        <f t="shared" si="5"/>
        <v>MURANOMURANO Z52 4X4 3.5 AUT2022</v>
      </c>
      <c r="F1448" s="1" t="s">
        <v>2072</v>
      </c>
      <c r="G1448" s="1">
        <v>26190000</v>
      </c>
      <c r="H1448" s="1">
        <v>22000000</v>
      </c>
    </row>
    <row r="1449" spans="1:8" ht="13.5" customHeight="1" x14ac:dyDescent="0.3">
      <c r="A1449" s="1" t="s">
        <v>220</v>
      </c>
      <c r="B1449" s="1" t="s">
        <v>2786</v>
      </c>
      <c r="C1449" s="1" t="s">
        <v>4675</v>
      </c>
      <c r="D1449" s="1">
        <v>2020</v>
      </c>
      <c r="E1449" s="1" t="str">
        <f t="shared" si="5"/>
        <v>MURANONEW MURANO 4X4 3.5 AUT2020</v>
      </c>
      <c r="F1449" s="1" t="s">
        <v>1417</v>
      </c>
      <c r="G1449" s="1">
        <v>23060000</v>
      </c>
      <c r="H1449" s="1">
        <v>20000000</v>
      </c>
    </row>
    <row r="1450" spans="1:8" ht="13.5" customHeight="1" x14ac:dyDescent="0.3">
      <c r="A1450" s="1" t="s">
        <v>220</v>
      </c>
      <c r="B1450" s="1" t="s">
        <v>2576</v>
      </c>
      <c r="C1450" s="1" t="s">
        <v>4676</v>
      </c>
      <c r="D1450" s="1">
        <v>2021</v>
      </c>
      <c r="E1450" s="1" t="str">
        <f t="shared" si="5"/>
        <v>NAVARANAVARA D CAB 2.32021</v>
      </c>
      <c r="F1450" s="1" t="s">
        <v>2236</v>
      </c>
      <c r="G1450" s="1">
        <v>19590000</v>
      </c>
      <c r="H1450" s="1">
        <v>17000000</v>
      </c>
    </row>
    <row r="1451" spans="1:8" ht="13.5" customHeight="1" x14ac:dyDescent="0.3">
      <c r="A1451" s="1" t="s">
        <v>220</v>
      </c>
      <c r="B1451" s="1" t="s">
        <v>2576</v>
      </c>
      <c r="C1451" s="1" t="s">
        <v>4676</v>
      </c>
      <c r="D1451" s="1">
        <v>2021</v>
      </c>
      <c r="E1451" s="1" t="str">
        <f t="shared" si="5"/>
        <v>NAVARANAVARA D CAB 2.32021</v>
      </c>
      <c r="F1451" s="1" t="s">
        <v>1849</v>
      </c>
      <c r="G1451" s="1">
        <v>17490000</v>
      </c>
      <c r="H1451" s="1">
        <v>13500000</v>
      </c>
    </row>
    <row r="1452" spans="1:8" ht="13.5" customHeight="1" x14ac:dyDescent="0.3">
      <c r="A1452" s="1" t="s">
        <v>220</v>
      </c>
      <c r="B1452" s="1" t="s">
        <v>2576</v>
      </c>
      <c r="C1452" s="1" t="s">
        <v>4677</v>
      </c>
      <c r="D1452" s="1">
        <v>2021</v>
      </c>
      <c r="E1452" s="1" t="str">
        <f t="shared" si="5"/>
        <v>NAVARANAVARA D CAB 4X4 2.3 AT2021</v>
      </c>
      <c r="F1452" s="1" t="s">
        <v>2267</v>
      </c>
      <c r="G1452" s="1">
        <v>23490000</v>
      </c>
      <c r="H1452" s="1">
        <v>23000000</v>
      </c>
    </row>
    <row r="1453" spans="1:8" ht="13.5" customHeight="1" x14ac:dyDescent="0.3">
      <c r="A1453" s="1" t="s">
        <v>220</v>
      </c>
      <c r="B1453" s="1" t="s">
        <v>2576</v>
      </c>
      <c r="C1453" s="1" t="s">
        <v>4677</v>
      </c>
      <c r="D1453" s="1">
        <v>2021</v>
      </c>
      <c r="E1453" s="1" t="str">
        <f t="shared" si="5"/>
        <v>NAVARANAVARA D CAB 4X4 2.3 AT2021</v>
      </c>
      <c r="F1453" s="1" t="s">
        <v>1364</v>
      </c>
      <c r="G1453" s="1">
        <v>18790000</v>
      </c>
      <c r="H1453" s="1">
        <v>15500000</v>
      </c>
    </row>
    <row r="1454" spans="1:8" ht="13.5" customHeight="1" x14ac:dyDescent="0.3">
      <c r="A1454" s="1" t="s">
        <v>220</v>
      </c>
      <c r="B1454" s="1" t="s">
        <v>2576</v>
      </c>
      <c r="C1454" s="1" t="s">
        <v>4677</v>
      </c>
      <c r="D1454" s="1">
        <v>2022</v>
      </c>
      <c r="E1454" s="1" t="str">
        <f t="shared" si="5"/>
        <v>NAVARANAVARA D CAB 4X4 2.3 AT2022</v>
      </c>
      <c r="F1454" s="1" t="s">
        <v>2143</v>
      </c>
      <c r="G1454" s="1">
        <v>21990000</v>
      </c>
      <c r="H1454" s="1">
        <v>21657983</v>
      </c>
    </row>
    <row r="1455" spans="1:8" ht="13.5" customHeight="1" x14ac:dyDescent="0.3">
      <c r="A1455" s="1" t="s">
        <v>220</v>
      </c>
      <c r="B1455" s="1" t="s">
        <v>2576</v>
      </c>
      <c r="C1455" s="1" t="s">
        <v>4677</v>
      </c>
      <c r="D1455" s="1">
        <v>2022</v>
      </c>
      <c r="E1455" s="1" t="str">
        <f t="shared" si="5"/>
        <v>NAVARANAVARA D CAB 4X4 2.3 AT2022</v>
      </c>
      <c r="F1455" s="1" t="s">
        <v>2131</v>
      </c>
      <c r="G1455" s="1">
        <v>23190000</v>
      </c>
      <c r="H1455" s="1">
        <v>21900000</v>
      </c>
    </row>
    <row r="1456" spans="1:8" ht="13.5" customHeight="1" x14ac:dyDescent="0.3">
      <c r="A1456" s="1" t="s">
        <v>220</v>
      </c>
      <c r="B1456" s="1" t="s">
        <v>2576</v>
      </c>
      <c r="C1456" s="1" t="s">
        <v>4677</v>
      </c>
      <c r="D1456" s="1">
        <v>2022</v>
      </c>
      <c r="E1456" s="1" t="str">
        <f t="shared" si="5"/>
        <v>NAVARANAVARA D CAB 4X4 2.3 AT2022</v>
      </c>
      <c r="F1456" s="1" t="s">
        <v>1344</v>
      </c>
      <c r="G1456" s="1">
        <v>20690000</v>
      </c>
      <c r="H1456" s="1">
        <v>17500000</v>
      </c>
    </row>
    <row r="1457" spans="1:8" ht="13.5" customHeight="1" x14ac:dyDescent="0.3">
      <c r="A1457" s="1" t="s">
        <v>220</v>
      </c>
      <c r="B1457" s="1" t="s">
        <v>2576</v>
      </c>
      <c r="C1457" s="1" t="s">
        <v>4677</v>
      </c>
      <c r="D1457" s="1">
        <v>2022</v>
      </c>
      <c r="E1457" s="1" t="str">
        <f t="shared" si="5"/>
        <v>NAVARANAVARA D CAB 4X4 2.3 AT2022</v>
      </c>
      <c r="F1457" s="1" t="s">
        <v>1535</v>
      </c>
      <c r="G1457" s="1">
        <v>22000000</v>
      </c>
      <c r="H1457" s="1">
        <v>19000000</v>
      </c>
    </row>
    <row r="1458" spans="1:8" ht="13.5" customHeight="1" x14ac:dyDescent="0.3">
      <c r="A1458" s="1" t="s">
        <v>220</v>
      </c>
      <c r="B1458" s="1" t="s">
        <v>2576</v>
      </c>
      <c r="C1458" s="1" t="s">
        <v>4677</v>
      </c>
      <c r="D1458" s="1">
        <v>2022</v>
      </c>
      <c r="E1458" s="1" t="str">
        <f t="shared" si="5"/>
        <v>NAVARANAVARA D CAB 4X4 2.3 AT2022</v>
      </c>
      <c r="F1458" s="1" t="s">
        <v>2074</v>
      </c>
      <c r="G1458" s="1">
        <v>23990000</v>
      </c>
      <c r="H1458" s="1">
        <v>24250000</v>
      </c>
    </row>
    <row r="1459" spans="1:8" ht="13.5" customHeight="1" x14ac:dyDescent="0.3">
      <c r="A1459" s="1" t="s">
        <v>220</v>
      </c>
      <c r="B1459" s="1" t="s">
        <v>2576</v>
      </c>
      <c r="C1459" s="1" t="s">
        <v>4677</v>
      </c>
      <c r="D1459" s="1">
        <v>2023</v>
      </c>
      <c r="E1459" s="1" t="str">
        <f t="shared" si="5"/>
        <v>NAVARANAVARA D CAB 4X4 2.3 AT2023</v>
      </c>
      <c r="F1459" s="1" t="s">
        <v>670</v>
      </c>
      <c r="G1459" s="1">
        <v>23650000</v>
      </c>
      <c r="H1459" s="1">
        <v>21000000</v>
      </c>
    </row>
    <row r="1460" spans="1:8" ht="13.5" customHeight="1" x14ac:dyDescent="0.3">
      <c r="A1460" s="1" t="s">
        <v>220</v>
      </c>
      <c r="B1460" s="1" t="s">
        <v>2576</v>
      </c>
      <c r="C1460" s="1" t="s">
        <v>4678</v>
      </c>
      <c r="D1460" s="1">
        <v>2021</v>
      </c>
      <c r="E1460" s="1" t="str">
        <f t="shared" si="5"/>
        <v>NAVARANAVARA D CAB MT 4X4 2.32021</v>
      </c>
      <c r="F1460" s="1" t="s">
        <v>2134</v>
      </c>
      <c r="G1460" s="1">
        <v>20690000</v>
      </c>
      <c r="H1460" s="1">
        <v>17000000</v>
      </c>
    </row>
    <row r="1461" spans="1:8" ht="13.5" customHeight="1" x14ac:dyDescent="0.3">
      <c r="A1461" s="1" t="s">
        <v>220</v>
      </c>
      <c r="B1461" s="1" t="s">
        <v>2576</v>
      </c>
      <c r="C1461" s="1" t="s">
        <v>4678</v>
      </c>
      <c r="D1461" s="1">
        <v>2021</v>
      </c>
      <c r="E1461" s="1" t="str">
        <f t="shared" si="5"/>
        <v>NAVARANAVARA D CAB MT 4X4 2.32021</v>
      </c>
      <c r="F1461" s="1" t="s">
        <v>946</v>
      </c>
      <c r="G1461" s="1">
        <v>18490000</v>
      </c>
      <c r="H1461" s="1">
        <v>16050000</v>
      </c>
    </row>
    <row r="1462" spans="1:8" ht="13.5" customHeight="1" x14ac:dyDescent="0.3">
      <c r="A1462" s="1" t="s">
        <v>220</v>
      </c>
      <c r="B1462" s="1" t="s">
        <v>2576</v>
      </c>
      <c r="C1462" s="1" t="s">
        <v>4678</v>
      </c>
      <c r="D1462" s="1">
        <v>2022</v>
      </c>
      <c r="E1462" s="1" t="str">
        <f t="shared" si="5"/>
        <v>NAVARANAVARA D CAB MT 4X4 2.32022</v>
      </c>
      <c r="F1462" s="1" t="s">
        <v>1759</v>
      </c>
      <c r="G1462" s="1">
        <v>18690000</v>
      </c>
      <c r="H1462" s="1">
        <v>16000000</v>
      </c>
    </row>
    <row r="1463" spans="1:8" ht="13.5" customHeight="1" x14ac:dyDescent="0.3">
      <c r="A1463" s="1" t="s">
        <v>220</v>
      </c>
      <c r="B1463" s="1" t="s">
        <v>2576</v>
      </c>
      <c r="C1463" s="1" t="s">
        <v>4678</v>
      </c>
      <c r="D1463" s="1">
        <v>2022</v>
      </c>
      <c r="E1463" s="1" t="str">
        <f t="shared" si="5"/>
        <v>NAVARANAVARA D CAB MT 4X4 2.32022</v>
      </c>
      <c r="F1463" s="1" t="s">
        <v>584</v>
      </c>
      <c r="G1463" s="1">
        <v>23490000</v>
      </c>
      <c r="H1463" s="1">
        <v>19900000</v>
      </c>
    </row>
    <row r="1464" spans="1:8" ht="13.5" customHeight="1" x14ac:dyDescent="0.3">
      <c r="A1464" s="1" t="s">
        <v>220</v>
      </c>
      <c r="B1464" s="1" t="s">
        <v>2576</v>
      </c>
      <c r="C1464" s="1" t="s">
        <v>4678</v>
      </c>
      <c r="D1464" s="1">
        <v>2023</v>
      </c>
      <c r="E1464" s="1" t="str">
        <f t="shared" si="5"/>
        <v>NAVARANAVARA D CAB MT 4X4 2.32023</v>
      </c>
      <c r="F1464" s="1" t="s">
        <v>956</v>
      </c>
      <c r="G1464" s="1">
        <v>23490000</v>
      </c>
      <c r="H1464" s="1">
        <v>23000000</v>
      </c>
    </row>
    <row r="1465" spans="1:8" ht="13.5" customHeight="1" x14ac:dyDescent="0.3">
      <c r="A1465" s="1" t="s">
        <v>220</v>
      </c>
      <c r="B1465" s="1" t="s">
        <v>2576</v>
      </c>
      <c r="C1465" s="1" t="s">
        <v>4678</v>
      </c>
      <c r="D1465" s="1">
        <v>2023</v>
      </c>
      <c r="E1465" s="1" t="str">
        <f t="shared" si="5"/>
        <v>NAVARANAVARA D CAB MT 4X4 2.32023</v>
      </c>
      <c r="F1465" s="1" t="s">
        <v>1081</v>
      </c>
      <c r="G1465" s="1">
        <v>25990000</v>
      </c>
      <c r="H1465" s="1">
        <v>27000000</v>
      </c>
    </row>
    <row r="1466" spans="1:8" ht="13.5" customHeight="1" x14ac:dyDescent="0.3">
      <c r="A1466" s="1" t="s">
        <v>220</v>
      </c>
      <c r="B1466" s="1" t="s">
        <v>2576</v>
      </c>
      <c r="C1466" s="1" t="s">
        <v>4679</v>
      </c>
      <c r="D1466" s="1">
        <v>2014</v>
      </c>
      <c r="E1466" s="1" t="str">
        <f t="shared" si="5"/>
        <v>NAVARANAVARA DCAB SE 4X4 2.52014</v>
      </c>
      <c r="F1466" s="1" t="s">
        <v>1293</v>
      </c>
      <c r="G1466" s="1">
        <v>11290000</v>
      </c>
      <c r="H1466" s="1">
        <v>9000000</v>
      </c>
    </row>
    <row r="1467" spans="1:8" ht="13.5" customHeight="1" x14ac:dyDescent="0.3">
      <c r="A1467" s="1" t="s">
        <v>220</v>
      </c>
      <c r="B1467" s="1" t="s">
        <v>2576</v>
      </c>
      <c r="C1467" s="1" t="s">
        <v>4680</v>
      </c>
      <c r="D1467" s="1">
        <v>2021</v>
      </c>
      <c r="E1467" s="1" t="str">
        <f t="shared" si="5"/>
        <v>NAVARANP300 NAVARA DCAB 2.32021</v>
      </c>
      <c r="F1467" s="1" t="s">
        <v>2227</v>
      </c>
      <c r="G1467" s="1">
        <v>15990000</v>
      </c>
      <c r="H1467" s="1">
        <v>15000000</v>
      </c>
    </row>
    <row r="1468" spans="1:8" ht="13.5" customHeight="1" x14ac:dyDescent="0.3">
      <c r="A1468" s="1" t="s">
        <v>220</v>
      </c>
      <c r="B1468" s="1" t="s">
        <v>2716</v>
      </c>
      <c r="C1468" s="1" t="s">
        <v>4681</v>
      </c>
      <c r="D1468" s="1">
        <v>2018</v>
      </c>
      <c r="E1468" s="1" t="str">
        <f t="shared" si="5"/>
        <v>NP300NP300 2.32018</v>
      </c>
      <c r="F1468" s="1" t="s">
        <v>2245</v>
      </c>
      <c r="G1468" s="1">
        <v>12990000</v>
      </c>
      <c r="H1468" s="1">
        <v>14000000</v>
      </c>
    </row>
    <row r="1469" spans="1:8" ht="13.5" customHeight="1" x14ac:dyDescent="0.3">
      <c r="A1469" s="1" t="s">
        <v>220</v>
      </c>
      <c r="B1469" s="1" t="s">
        <v>2716</v>
      </c>
      <c r="C1469" s="1" t="s">
        <v>4682</v>
      </c>
      <c r="D1469" s="1">
        <v>2020</v>
      </c>
      <c r="E1469" s="1" t="str">
        <f t="shared" si="5"/>
        <v>NP300NP300 DCAB 2.32020</v>
      </c>
      <c r="F1469" s="1" t="s">
        <v>1104</v>
      </c>
      <c r="G1469" s="1">
        <v>11672269</v>
      </c>
      <c r="H1469" s="1">
        <v>10000000</v>
      </c>
    </row>
    <row r="1470" spans="1:8" ht="13.5" customHeight="1" x14ac:dyDescent="0.3">
      <c r="A1470" s="1" t="s">
        <v>220</v>
      </c>
      <c r="B1470" s="1" t="s">
        <v>2716</v>
      </c>
      <c r="C1470" s="1" t="s">
        <v>4683</v>
      </c>
      <c r="D1470" s="1">
        <v>2019</v>
      </c>
      <c r="E1470" s="1" t="str">
        <f t="shared" si="5"/>
        <v>NP300NP300 DCAB LE 4X4 2.32019</v>
      </c>
      <c r="F1470" s="1" t="s">
        <v>1745</v>
      </c>
      <c r="G1470" s="1">
        <v>16290000</v>
      </c>
      <c r="H1470" s="1">
        <v>13897058</v>
      </c>
    </row>
    <row r="1471" spans="1:8" ht="13.5" customHeight="1" x14ac:dyDescent="0.3">
      <c r="A1471" s="1" t="s">
        <v>220</v>
      </c>
      <c r="B1471" s="1" t="s">
        <v>2716</v>
      </c>
      <c r="C1471" s="1" t="s">
        <v>4684</v>
      </c>
      <c r="D1471" s="1">
        <v>2019</v>
      </c>
      <c r="E1471" s="1" t="str">
        <f t="shared" si="5"/>
        <v>NP300NP300 DCAB LE 4X4 2.3 AUT2019</v>
      </c>
      <c r="F1471" s="1" t="s">
        <v>1283</v>
      </c>
      <c r="G1471" s="1">
        <v>17690000</v>
      </c>
      <c r="H1471" s="1">
        <v>15000000</v>
      </c>
    </row>
    <row r="1472" spans="1:8" ht="13.5" customHeight="1" x14ac:dyDescent="0.3">
      <c r="A1472" s="1" t="s">
        <v>220</v>
      </c>
      <c r="B1472" s="1" t="s">
        <v>2716</v>
      </c>
      <c r="C1472" s="1" t="s">
        <v>4685</v>
      </c>
      <c r="D1472" s="1">
        <v>2021</v>
      </c>
      <c r="E1472" s="1" t="str">
        <f t="shared" si="5"/>
        <v>NP300NP300 NAVARA DCAB 4X4 2.32021</v>
      </c>
      <c r="F1472" s="1" t="s">
        <v>2233</v>
      </c>
      <c r="G1472" s="1">
        <v>16990000</v>
      </c>
      <c r="H1472" s="1">
        <v>17800000</v>
      </c>
    </row>
    <row r="1473" spans="1:8" ht="13.5" customHeight="1" x14ac:dyDescent="0.3">
      <c r="A1473" s="1" t="s">
        <v>220</v>
      </c>
      <c r="B1473" s="1" t="s">
        <v>2716</v>
      </c>
      <c r="C1473" s="1" t="s">
        <v>4685</v>
      </c>
      <c r="D1473" s="1">
        <v>2021</v>
      </c>
      <c r="E1473" s="1" t="str">
        <f t="shared" si="5"/>
        <v>NP300NP300 NAVARA DCAB 4X4 2.32021</v>
      </c>
      <c r="F1473" s="1" t="s">
        <v>2280</v>
      </c>
      <c r="G1473" s="1">
        <v>22990000</v>
      </c>
      <c r="H1473" s="1">
        <v>20000000</v>
      </c>
    </row>
    <row r="1474" spans="1:8" ht="13.5" customHeight="1" x14ac:dyDescent="0.3">
      <c r="A1474" s="1" t="s">
        <v>220</v>
      </c>
      <c r="B1474" s="1" t="s">
        <v>2716</v>
      </c>
      <c r="C1474" s="1" t="s">
        <v>4686</v>
      </c>
      <c r="D1474" s="1">
        <v>2020</v>
      </c>
      <c r="E1474" s="1" t="str">
        <f t="shared" si="5"/>
        <v>NP300NP300 NAVARA DCAB XE 2.32020</v>
      </c>
      <c r="F1474" s="1" t="s">
        <v>1125</v>
      </c>
      <c r="G1474" s="1">
        <v>13990000</v>
      </c>
      <c r="H1474" s="1">
        <v>11500000</v>
      </c>
    </row>
    <row r="1475" spans="1:8" ht="13.5" customHeight="1" x14ac:dyDescent="0.3">
      <c r="A1475" s="1" t="s">
        <v>220</v>
      </c>
      <c r="B1475" s="1" t="s">
        <v>2716</v>
      </c>
      <c r="C1475" s="1" t="s">
        <v>4686</v>
      </c>
      <c r="D1475" s="1">
        <v>2021</v>
      </c>
      <c r="E1475" s="1" t="str">
        <f t="shared" si="5"/>
        <v>NP300NP300 NAVARA DCAB XE 2.32021</v>
      </c>
      <c r="F1475" s="1" t="s">
        <v>927</v>
      </c>
      <c r="G1475" s="1">
        <v>14790000</v>
      </c>
      <c r="H1475" s="1">
        <v>12500000</v>
      </c>
    </row>
    <row r="1476" spans="1:8" ht="13.5" customHeight="1" x14ac:dyDescent="0.3">
      <c r="A1476" s="1" t="s">
        <v>220</v>
      </c>
      <c r="B1476" s="1" t="s">
        <v>2891</v>
      </c>
      <c r="C1476" s="1" t="s">
        <v>4687</v>
      </c>
      <c r="D1476" s="1">
        <v>2015</v>
      </c>
      <c r="E1476" s="1" t="str">
        <f t="shared" si="5"/>
        <v>PATHFINDERPATHFINDER 3.5 AUT2015</v>
      </c>
      <c r="F1476" s="1" t="s">
        <v>1431</v>
      </c>
      <c r="G1476" s="1">
        <v>11590000</v>
      </c>
      <c r="H1476" s="1">
        <v>9500000</v>
      </c>
    </row>
    <row r="1477" spans="1:8" ht="13.5" customHeight="1" x14ac:dyDescent="0.3">
      <c r="A1477" s="1" t="s">
        <v>220</v>
      </c>
      <c r="B1477" s="1" t="s">
        <v>2891</v>
      </c>
      <c r="C1477" s="1" t="s">
        <v>4688</v>
      </c>
      <c r="D1477" s="1">
        <v>2020</v>
      </c>
      <c r="E1477" s="1" t="str">
        <f t="shared" si="5"/>
        <v>PATHFINDERPATHFINDER 4X4 3.5 AUT2020</v>
      </c>
      <c r="F1477" s="1" t="s">
        <v>1621</v>
      </c>
      <c r="G1477" s="1">
        <v>19290000</v>
      </c>
      <c r="H1477" s="1">
        <v>16500000</v>
      </c>
    </row>
    <row r="1478" spans="1:8" ht="13.5" customHeight="1" x14ac:dyDescent="0.3">
      <c r="A1478" s="1" t="s">
        <v>220</v>
      </c>
      <c r="B1478" s="1" t="s">
        <v>2891</v>
      </c>
      <c r="C1478" s="1" t="s">
        <v>4689</v>
      </c>
      <c r="D1478" s="1">
        <v>2023</v>
      </c>
      <c r="E1478" s="1" t="str">
        <f t="shared" si="5"/>
        <v>PATHFINDERPATHFINDER R53 3.5 AUT2023</v>
      </c>
      <c r="F1478" s="1" t="s">
        <v>1821</v>
      </c>
      <c r="G1478" s="1">
        <v>32190000</v>
      </c>
      <c r="H1478" s="1">
        <v>27000000</v>
      </c>
    </row>
    <row r="1479" spans="1:8" ht="13.5" customHeight="1" x14ac:dyDescent="0.3">
      <c r="A1479" s="1" t="s">
        <v>220</v>
      </c>
      <c r="B1479" s="1" t="s">
        <v>2891</v>
      </c>
      <c r="C1479" s="1" t="s">
        <v>4690</v>
      </c>
      <c r="D1479" s="1">
        <v>2020</v>
      </c>
      <c r="E1479" s="1" t="str">
        <f t="shared" si="5"/>
        <v>PATHFINDERPATHFINDER SENSE 3.5 AUT2020</v>
      </c>
      <c r="F1479" s="1" t="s">
        <v>2234</v>
      </c>
      <c r="G1479" s="1">
        <v>19490000</v>
      </c>
      <c r="H1479" s="1">
        <v>17000000</v>
      </c>
    </row>
    <row r="1480" spans="1:8" ht="13.5" customHeight="1" x14ac:dyDescent="0.3">
      <c r="A1480" s="1" t="s">
        <v>220</v>
      </c>
      <c r="B1480" s="1" t="s">
        <v>223</v>
      </c>
      <c r="C1480" s="1" t="s">
        <v>4691</v>
      </c>
      <c r="D1480" s="1">
        <v>2021</v>
      </c>
      <c r="E1480" s="1" t="str">
        <f t="shared" si="5"/>
        <v>QASHQAINEW QASHQAI ADVANCE 2.02021</v>
      </c>
      <c r="F1480" s="1" t="s">
        <v>1655</v>
      </c>
      <c r="G1480" s="1">
        <v>12590000</v>
      </c>
      <c r="H1480" s="1">
        <v>10500000</v>
      </c>
    </row>
    <row r="1481" spans="1:8" ht="13.5" customHeight="1" x14ac:dyDescent="0.3">
      <c r="A1481" s="1" t="s">
        <v>220</v>
      </c>
      <c r="B1481" s="1" t="s">
        <v>223</v>
      </c>
      <c r="C1481" s="1" t="s">
        <v>4692</v>
      </c>
      <c r="D1481" s="1">
        <v>2024</v>
      </c>
      <c r="E1481" s="1" t="str">
        <f t="shared" si="5"/>
        <v>QASHQAIQASHQAI 1.3 AUT2024</v>
      </c>
      <c r="F1481" s="1" t="s">
        <v>1446</v>
      </c>
      <c r="G1481" s="1">
        <v>20990000</v>
      </c>
      <c r="H1481" s="1">
        <v>22000000</v>
      </c>
    </row>
    <row r="1482" spans="1:8" ht="13.5" customHeight="1" x14ac:dyDescent="0.3">
      <c r="A1482" s="1" t="s">
        <v>220</v>
      </c>
      <c r="B1482" s="1" t="s">
        <v>223</v>
      </c>
      <c r="C1482" s="1" t="s">
        <v>4692</v>
      </c>
      <c r="D1482" s="1">
        <v>2024</v>
      </c>
      <c r="E1482" s="1" t="str">
        <f t="shared" si="5"/>
        <v>QASHQAIQASHQAI 1.3 AUT2024</v>
      </c>
      <c r="F1482" s="1" t="s">
        <v>929</v>
      </c>
      <c r="G1482" s="1">
        <v>19490000</v>
      </c>
      <c r="H1482" s="1">
        <v>21000000</v>
      </c>
    </row>
    <row r="1483" spans="1:8" ht="13.5" customHeight="1" x14ac:dyDescent="0.3">
      <c r="A1483" s="1" t="s">
        <v>220</v>
      </c>
      <c r="B1483" s="1" t="s">
        <v>223</v>
      </c>
      <c r="C1483" s="1" t="s">
        <v>4693</v>
      </c>
      <c r="D1483" s="1">
        <v>2021</v>
      </c>
      <c r="E1483" s="1" t="str">
        <f t="shared" si="5"/>
        <v>QASHQAIQASHQAI 4WD 2.0 AUT2021</v>
      </c>
      <c r="F1483" s="1" t="s">
        <v>433</v>
      </c>
      <c r="G1483" s="1">
        <v>15490000</v>
      </c>
      <c r="H1483" s="1">
        <v>12800000</v>
      </c>
    </row>
    <row r="1484" spans="1:8" ht="13.5" customHeight="1" x14ac:dyDescent="0.3">
      <c r="A1484" s="1" t="s">
        <v>220</v>
      </c>
      <c r="B1484" s="1" t="s">
        <v>223</v>
      </c>
      <c r="C1484" s="1" t="s">
        <v>4693</v>
      </c>
      <c r="D1484" s="1">
        <v>2022</v>
      </c>
      <c r="E1484" s="1" t="str">
        <f t="shared" si="5"/>
        <v>QASHQAIQASHQAI 4WD 2.0 AUT2022</v>
      </c>
      <c r="F1484" s="1" t="s">
        <v>2335</v>
      </c>
      <c r="G1484" s="1">
        <v>18990000</v>
      </c>
      <c r="H1484" s="1">
        <v>16000000</v>
      </c>
    </row>
    <row r="1485" spans="1:8" ht="13.5" customHeight="1" x14ac:dyDescent="0.3">
      <c r="A1485" s="1" t="s">
        <v>220</v>
      </c>
      <c r="B1485" s="1" t="s">
        <v>223</v>
      </c>
      <c r="C1485" s="1" t="s">
        <v>4694</v>
      </c>
      <c r="D1485" s="1">
        <v>2017</v>
      </c>
      <c r="E1485" s="1" t="str">
        <f t="shared" si="5"/>
        <v>QASHQAIQASHQAI 4X4 2.0 AUT2017</v>
      </c>
      <c r="F1485" s="1" t="s">
        <v>2281</v>
      </c>
      <c r="G1485" s="1">
        <v>13290000</v>
      </c>
      <c r="H1485" s="1">
        <v>10700000</v>
      </c>
    </row>
    <row r="1486" spans="1:8" ht="13.5" customHeight="1" x14ac:dyDescent="0.3">
      <c r="A1486" s="1" t="s">
        <v>220</v>
      </c>
      <c r="B1486" s="1" t="s">
        <v>223</v>
      </c>
      <c r="C1486" s="1" t="s">
        <v>4694</v>
      </c>
      <c r="D1486" s="1">
        <v>2017</v>
      </c>
      <c r="E1486" s="1" t="str">
        <f t="shared" si="5"/>
        <v>QASHQAIQASHQAI 4X4 2.0 AUT2017</v>
      </c>
      <c r="F1486" s="1" t="s">
        <v>1087</v>
      </c>
      <c r="G1486" s="1">
        <v>21180000</v>
      </c>
      <c r="H1486" s="1">
        <v>17800000</v>
      </c>
    </row>
    <row r="1487" spans="1:8" ht="13.5" customHeight="1" x14ac:dyDescent="0.3">
      <c r="A1487" s="1" t="s">
        <v>220</v>
      </c>
      <c r="B1487" s="1" t="s">
        <v>223</v>
      </c>
      <c r="C1487" s="1" t="s">
        <v>4695</v>
      </c>
      <c r="D1487" s="1">
        <v>2017</v>
      </c>
      <c r="E1487" s="1" t="str">
        <f t="shared" si="5"/>
        <v>QASHQAIQASHQAI ADVANCE 2.02017</v>
      </c>
      <c r="F1487" s="1" t="s">
        <v>2436</v>
      </c>
      <c r="G1487" s="1">
        <v>10890000</v>
      </c>
      <c r="H1487" s="1">
        <v>12490756</v>
      </c>
    </row>
    <row r="1488" spans="1:8" ht="13.5" customHeight="1" x14ac:dyDescent="0.3">
      <c r="A1488" s="1" t="s">
        <v>220</v>
      </c>
      <c r="B1488" s="1" t="s">
        <v>223</v>
      </c>
      <c r="C1488" s="1" t="s">
        <v>4695</v>
      </c>
      <c r="D1488" s="1">
        <v>2018</v>
      </c>
      <c r="E1488" s="1" t="str">
        <f t="shared" si="5"/>
        <v>QASHQAIQASHQAI ADVANCE 2.02018</v>
      </c>
      <c r="F1488" s="1" t="s">
        <v>2412</v>
      </c>
      <c r="G1488" s="1">
        <v>10990000</v>
      </c>
      <c r="H1488" s="1">
        <v>12800000</v>
      </c>
    </row>
    <row r="1489" spans="1:8" ht="13.5" customHeight="1" x14ac:dyDescent="0.3">
      <c r="A1489" s="1" t="s">
        <v>220</v>
      </c>
      <c r="B1489" s="1" t="s">
        <v>223</v>
      </c>
      <c r="C1489" s="1" t="s">
        <v>4696</v>
      </c>
      <c r="D1489" s="1">
        <v>2019</v>
      </c>
      <c r="E1489" s="1" t="str">
        <f t="shared" si="5"/>
        <v>QASHQAIQASHQAI ADVANCE 2.0 AUT2019</v>
      </c>
      <c r="F1489" s="1" t="s">
        <v>790</v>
      </c>
      <c r="G1489" s="1">
        <v>10940000</v>
      </c>
      <c r="H1489" s="1">
        <v>8650000</v>
      </c>
    </row>
    <row r="1490" spans="1:8" ht="13.5" customHeight="1" x14ac:dyDescent="0.3">
      <c r="A1490" s="1" t="s">
        <v>220</v>
      </c>
      <c r="B1490" s="1" t="s">
        <v>223</v>
      </c>
      <c r="C1490" s="1" t="s">
        <v>4697</v>
      </c>
      <c r="D1490" s="1">
        <v>2021</v>
      </c>
      <c r="E1490" s="1" t="str">
        <f t="shared" si="5"/>
        <v>QASHQAIQASHQAI CVT 2.0 AUT2021</v>
      </c>
      <c r="F1490" s="1" t="s">
        <v>1248</v>
      </c>
      <c r="G1490" s="1">
        <v>14590000</v>
      </c>
      <c r="H1490" s="1">
        <v>12500000</v>
      </c>
    </row>
    <row r="1491" spans="1:8" ht="13.5" customHeight="1" x14ac:dyDescent="0.3">
      <c r="A1491" s="1" t="s">
        <v>220</v>
      </c>
      <c r="B1491" s="1" t="s">
        <v>223</v>
      </c>
      <c r="C1491" s="1" t="s">
        <v>4698</v>
      </c>
      <c r="D1491" s="1">
        <v>2020</v>
      </c>
      <c r="E1491" s="1" t="str">
        <f t="shared" si="5"/>
        <v>QASHQAIQASHQAI J11 2.02020</v>
      </c>
      <c r="F1491" s="1" t="s">
        <v>1396</v>
      </c>
      <c r="G1491" s="1">
        <v>11635620</v>
      </c>
      <c r="H1491" s="1">
        <v>10000000</v>
      </c>
    </row>
    <row r="1492" spans="1:8" ht="13.5" customHeight="1" x14ac:dyDescent="0.3">
      <c r="A1492" s="1" t="s">
        <v>220</v>
      </c>
      <c r="B1492" s="1" t="s">
        <v>223</v>
      </c>
      <c r="C1492" s="1" t="s">
        <v>4698</v>
      </c>
      <c r="D1492" s="1">
        <v>2021</v>
      </c>
      <c r="E1492" s="1" t="str">
        <f t="shared" si="5"/>
        <v>QASHQAIQASHQAI J11 2.02021</v>
      </c>
      <c r="G1492" s="1">
        <v>13990000</v>
      </c>
      <c r="H1492" s="1">
        <v>0</v>
      </c>
    </row>
    <row r="1493" spans="1:8" ht="13.5" customHeight="1" x14ac:dyDescent="0.3">
      <c r="A1493" s="1" t="s">
        <v>220</v>
      </c>
      <c r="B1493" s="1" t="s">
        <v>223</v>
      </c>
      <c r="C1493" s="1" t="s">
        <v>4698</v>
      </c>
      <c r="D1493" s="1">
        <v>2021</v>
      </c>
      <c r="E1493" s="1" t="str">
        <f t="shared" si="5"/>
        <v>QASHQAIQASHQAI J11 2.02021</v>
      </c>
      <c r="F1493" s="1" t="s">
        <v>1815</v>
      </c>
      <c r="G1493" s="1">
        <v>11690000</v>
      </c>
      <c r="H1493" s="1">
        <v>9000000</v>
      </c>
    </row>
    <row r="1494" spans="1:8" ht="13.5" customHeight="1" x14ac:dyDescent="0.3">
      <c r="A1494" s="1" t="s">
        <v>220</v>
      </c>
      <c r="B1494" s="1" t="s">
        <v>223</v>
      </c>
      <c r="C1494" s="1" t="s">
        <v>4698</v>
      </c>
      <c r="D1494" s="1">
        <v>2021</v>
      </c>
      <c r="E1494" s="1" t="str">
        <f t="shared" si="5"/>
        <v>QASHQAIQASHQAI J11 2.02021</v>
      </c>
      <c r="F1494" s="1" t="s">
        <v>2252</v>
      </c>
      <c r="G1494" s="1">
        <v>14290000</v>
      </c>
      <c r="H1494" s="1">
        <v>12000000</v>
      </c>
    </row>
    <row r="1495" spans="1:8" ht="13.5" customHeight="1" x14ac:dyDescent="0.3">
      <c r="A1495" s="1" t="s">
        <v>220</v>
      </c>
      <c r="B1495" s="1" t="s">
        <v>223</v>
      </c>
      <c r="C1495" s="1" t="s">
        <v>4698</v>
      </c>
      <c r="D1495" s="1">
        <v>2021</v>
      </c>
      <c r="E1495" s="1" t="str">
        <f t="shared" si="5"/>
        <v>QASHQAIQASHQAI J11 2.02021</v>
      </c>
      <c r="F1495" s="1" t="s">
        <v>2428</v>
      </c>
      <c r="G1495" s="1">
        <v>17990000</v>
      </c>
      <c r="H1495" s="1">
        <v>15500000</v>
      </c>
    </row>
    <row r="1496" spans="1:8" ht="13.5" customHeight="1" x14ac:dyDescent="0.3">
      <c r="A1496" s="1" t="s">
        <v>220</v>
      </c>
      <c r="B1496" s="1" t="s">
        <v>223</v>
      </c>
      <c r="C1496" s="1" t="s">
        <v>4698</v>
      </c>
      <c r="D1496" s="1">
        <v>2021</v>
      </c>
      <c r="E1496" s="1" t="str">
        <f t="shared" si="5"/>
        <v>QASHQAIQASHQAI J11 2.02021</v>
      </c>
      <c r="F1496" s="1" t="s">
        <v>1939</v>
      </c>
      <c r="G1496" s="1">
        <v>12990000</v>
      </c>
      <c r="H1496" s="1">
        <v>10500000</v>
      </c>
    </row>
    <row r="1497" spans="1:8" ht="13.5" customHeight="1" x14ac:dyDescent="0.3">
      <c r="A1497" s="1" t="s">
        <v>220</v>
      </c>
      <c r="B1497" s="1" t="s">
        <v>223</v>
      </c>
      <c r="C1497" s="1" t="s">
        <v>4698</v>
      </c>
      <c r="D1497" s="1">
        <v>2021</v>
      </c>
      <c r="E1497" s="1" t="str">
        <f t="shared" si="5"/>
        <v>QASHQAIQASHQAI J11 2.02021</v>
      </c>
      <c r="F1497" s="1" t="s">
        <v>2239</v>
      </c>
      <c r="G1497" s="1">
        <v>14490000</v>
      </c>
      <c r="H1497" s="1">
        <v>10000000</v>
      </c>
    </row>
    <row r="1498" spans="1:8" ht="13.5" customHeight="1" x14ac:dyDescent="0.3">
      <c r="A1498" s="1" t="s">
        <v>220</v>
      </c>
      <c r="B1498" s="1" t="s">
        <v>223</v>
      </c>
      <c r="C1498" s="1" t="s">
        <v>4698</v>
      </c>
      <c r="D1498" s="1">
        <v>2021</v>
      </c>
      <c r="E1498" s="1" t="str">
        <f t="shared" si="5"/>
        <v>QASHQAIQASHQAI J11 2.02021</v>
      </c>
      <c r="F1498" s="1" t="s">
        <v>1687</v>
      </c>
      <c r="G1498" s="1">
        <v>11890000</v>
      </c>
      <c r="H1498" s="1">
        <v>10000000</v>
      </c>
    </row>
    <row r="1499" spans="1:8" ht="13.5" customHeight="1" x14ac:dyDescent="0.3">
      <c r="A1499" s="1" t="s">
        <v>220</v>
      </c>
      <c r="B1499" s="1" t="s">
        <v>223</v>
      </c>
      <c r="C1499" s="1" t="s">
        <v>4698</v>
      </c>
      <c r="D1499" s="1">
        <v>2022</v>
      </c>
      <c r="E1499" s="1" t="str">
        <f t="shared" si="5"/>
        <v>QASHQAIQASHQAI J11 2.02022</v>
      </c>
      <c r="F1499" s="1" t="s">
        <v>2397</v>
      </c>
      <c r="G1499" s="1">
        <v>13990000</v>
      </c>
      <c r="H1499" s="1">
        <v>13500000</v>
      </c>
    </row>
    <row r="1500" spans="1:8" ht="13.5" customHeight="1" x14ac:dyDescent="0.3">
      <c r="A1500" s="1" t="s">
        <v>220</v>
      </c>
      <c r="B1500" s="1" t="s">
        <v>223</v>
      </c>
      <c r="C1500" s="1" t="s">
        <v>4698</v>
      </c>
      <c r="D1500" s="1">
        <v>2022</v>
      </c>
      <c r="E1500" s="1" t="str">
        <f t="shared" si="5"/>
        <v>QASHQAIQASHQAI J11 2.02022</v>
      </c>
      <c r="F1500" s="1" t="s">
        <v>2369</v>
      </c>
      <c r="G1500" s="1">
        <v>17190000</v>
      </c>
      <c r="H1500" s="1">
        <v>15000000</v>
      </c>
    </row>
    <row r="1501" spans="1:8" ht="13.5" customHeight="1" x14ac:dyDescent="0.3">
      <c r="A1501" s="1" t="s">
        <v>220</v>
      </c>
      <c r="B1501" s="1" t="s">
        <v>223</v>
      </c>
      <c r="C1501" s="1" t="s">
        <v>4698</v>
      </c>
      <c r="D1501" s="1">
        <v>2022</v>
      </c>
      <c r="E1501" s="1" t="str">
        <f t="shared" si="5"/>
        <v>QASHQAIQASHQAI J11 2.02022</v>
      </c>
      <c r="F1501" s="1" t="s">
        <v>1430</v>
      </c>
      <c r="G1501" s="1">
        <v>12990000</v>
      </c>
      <c r="H1501" s="1">
        <v>10270000</v>
      </c>
    </row>
    <row r="1502" spans="1:8" ht="13.5" customHeight="1" x14ac:dyDescent="0.3">
      <c r="A1502" s="1" t="s">
        <v>220</v>
      </c>
      <c r="B1502" s="1" t="s">
        <v>223</v>
      </c>
      <c r="C1502" s="1" t="s">
        <v>4699</v>
      </c>
      <c r="D1502" s="1">
        <v>2017</v>
      </c>
      <c r="E1502" s="1" t="str">
        <f t="shared" si="5"/>
        <v>QASHQAIQASHQAI SENSE 2.02017</v>
      </c>
      <c r="F1502" s="1" t="s">
        <v>1437</v>
      </c>
      <c r="G1502" s="1">
        <v>8790000</v>
      </c>
      <c r="H1502" s="1">
        <v>7000000</v>
      </c>
    </row>
    <row r="1503" spans="1:8" ht="13.5" customHeight="1" x14ac:dyDescent="0.3">
      <c r="A1503" s="1" t="s">
        <v>220</v>
      </c>
      <c r="B1503" s="1" t="s">
        <v>223</v>
      </c>
      <c r="C1503" s="1" t="s">
        <v>4699</v>
      </c>
      <c r="D1503" s="1">
        <v>2017</v>
      </c>
      <c r="E1503" s="1" t="str">
        <f t="shared" si="5"/>
        <v>QASHQAIQASHQAI SENSE 2.02017</v>
      </c>
      <c r="F1503" s="1" t="s">
        <v>710</v>
      </c>
      <c r="G1503" s="1">
        <v>8690000</v>
      </c>
      <c r="H1503" s="1">
        <v>7000000</v>
      </c>
    </row>
    <row r="1504" spans="1:8" ht="13.5" customHeight="1" x14ac:dyDescent="0.3">
      <c r="A1504" s="1" t="s">
        <v>220</v>
      </c>
      <c r="B1504" s="1" t="s">
        <v>223</v>
      </c>
      <c r="C1504" s="1" t="s">
        <v>4699</v>
      </c>
      <c r="D1504" s="1">
        <v>2017</v>
      </c>
      <c r="E1504" s="1" t="str">
        <f t="shared" si="5"/>
        <v>QASHQAIQASHQAI SENSE 2.02017</v>
      </c>
      <c r="F1504" s="1" t="s">
        <v>1385</v>
      </c>
      <c r="G1504" s="1">
        <v>8990000</v>
      </c>
      <c r="H1504" s="1">
        <v>7500000</v>
      </c>
    </row>
    <row r="1505" spans="1:8" ht="13.5" customHeight="1" x14ac:dyDescent="0.3">
      <c r="A1505" s="1" t="s">
        <v>220</v>
      </c>
      <c r="B1505" s="1" t="s">
        <v>223</v>
      </c>
      <c r="C1505" s="1" t="s">
        <v>4699</v>
      </c>
      <c r="D1505" s="1">
        <v>2018</v>
      </c>
      <c r="E1505" s="1" t="str">
        <f t="shared" si="5"/>
        <v>QASHQAIQASHQAI SENSE 2.02018</v>
      </c>
      <c r="F1505" s="1" t="s">
        <v>2048</v>
      </c>
      <c r="G1505" s="1">
        <v>8990000</v>
      </c>
      <c r="H1505" s="1">
        <v>7000000</v>
      </c>
    </row>
    <row r="1506" spans="1:8" ht="13.5" customHeight="1" x14ac:dyDescent="0.3">
      <c r="A1506" s="1" t="s">
        <v>220</v>
      </c>
      <c r="B1506" s="1" t="s">
        <v>223</v>
      </c>
      <c r="C1506" s="1" t="s">
        <v>4699</v>
      </c>
      <c r="D1506" s="1">
        <v>2020</v>
      </c>
      <c r="E1506" s="1" t="str">
        <f t="shared" si="5"/>
        <v>QASHQAIQASHQAI SENSE 2.02020</v>
      </c>
      <c r="F1506" s="1" t="s">
        <v>1096</v>
      </c>
      <c r="G1506" s="1">
        <v>10990000</v>
      </c>
      <c r="H1506" s="1">
        <v>9000000</v>
      </c>
    </row>
    <row r="1507" spans="1:8" ht="13.5" customHeight="1" x14ac:dyDescent="0.3">
      <c r="A1507" s="1" t="s">
        <v>220</v>
      </c>
      <c r="B1507" s="1" t="s">
        <v>223</v>
      </c>
      <c r="C1507" s="1" t="s">
        <v>4699</v>
      </c>
      <c r="D1507" s="1">
        <v>2020</v>
      </c>
      <c r="E1507" s="1" t="str">
        <f t="shared" si="5"/>
        <v>QASHQAIQASHQAI SENSE 2.02020</v>
      </c>
      <c r="F1507" s="1" t="s">
        <v>2418</v>
      </c>
      <c r="G1507" s="1">
        <v>16990000</v>
      </c>
      <c r="H1507" s="1">
        <v>13500000</v>
      </c>
    </row>
    <row r="1508" spans="1:8" ht="13.5" customHeight="1" x14ac:dyDescent="0.3">
      <c r="A1508" s="1" t="s">
        <v>220</v>
      </c>
      <c r="B1508" s="1" t="s">
        <v>223</v>
      </c>
      <c r="C1508" s="1" t="s">
        <v>224</v>
      </c>
      <c r="D1508" s="1">
        <v>2023</v>
      </c>
      <c r="E1508" s="1" t="str">
        <f t="shared" si="5"/>
        <v>QASHQAIQASHQAI TURBO 1.32023</v>
      </c>
      <c r="F1508" s="1" t="s">
        <v>997</v>
      </c>
      <c r="G1508" s="1">
        <v>19614120</v>
      </c>
      <c r="H1508" s="1">
        <v>17000000</v>
      </c>
    </row>
    <row r="1509" spans="1:8" ht="13.5" customHeight="1" x14ac:dyDescent="0.3">
      <c r="A1509" s="1" t="s">
        <v>220</v>
      </c>
      <c r="B1509" s="1" t="s">
        <v>223</v>
      </c>
      <c r="C1509" s="1" t="s">
        <v>224</v>
      </c>
      <c r="D1509" s="1">
        <v>2023</v>
      </c>
      <c r="E1509" s="1" t="str">
        <f t="shared" si="5"/>
        <v>QASHQAIQASHQAI TURBO 1.32023</v>
      </c>
      <c r="F1509" s="1" t="s">
        <v>496</v>
      </c>
      <c r="G1509" s="1">
        <v>17690000</v>
      </c>
      <c r="H1509" s="1">
        <v>15000000</v>
      </c>
    </row>
    <row r="1510" spans="1:8" ht="13.5" customHeight="1" x14ac:dyDescent="0.3">
      <c r="A1510" s="1" t="s">
        <v>220</v>
      </c>
      <c r="B1510" s="1" t="s">
        <v>223</v>
      </c>
      <c r="C1510" s="1" t="s">
        <v>224</v>
      </c>
      <c r="D1510" s="1">
        <v>2023</v>
      </c>
      <c r="E1510" s="1" t="str">
        <f t="shared" si="5"/>
        <v>QASHQAIQASHQAI TURBO 1.32023</v>
      </c>
      <c r="F1510" s="1" t="s">
        <v>2186</v>
      </c>
      <c r="G1510" s="1">
        <v>16390000</v>
      </c>
      <c r="H1510" s="1">
        <v>17500000</v>
      </c>
    </row>
    <row r="1511" spans="1:8" ht="13.5" customHeight="1" x14ac:dyDescent="0.3">
      <c r="A1511" s="1" t="s">
        <v>220</v>
      </c>
      <c r="B1511" s="1" t="s">
        <v>223</v>
      </c>
      <c r="C1511" s="1" t="s">
        <v>224</v>
      </c>
      <c r="D1511" s="1">
        <v>2023</v>
      </c>
      <c r="E1511" s="1" t="str">
        <f t="shared" si="5"/>
        <v>QASHQAIQASHQAI TURBO 1.32023</v>
      </c>
      <c r="F1511" s="1" t="s">
        <v>800</v>
      </c>
      <c r="G1511" s="1">
        <v>18690000</v>
      </c>
      <c r="H1511" s="1">
        <v>16000000</v>
      </c>
    </row>
    <row r="1512" spans="1:8" ht="13.5" customHeight="1" x14ac:dyDescent="0.3">
      <c r="A1512" s="1" t="s">
        <v>220</v>
      </c>
      <c r="B1512" s="1" t="s">
        <v>223</v>
      </c>
      <c r="C1512" s="1" t="s">
        <v>224</v>
      </c>
      <c r="D1512" s="1">
        <v>2024</v>
      </c>
      <c r="E1512" s="1" t="str">
        <f t="shared" si="5"/>
        <v>QASHQAIQASHQAI TURBO 1.32024</v>
      </c>
      <c r="F1512" s="1" t="s">
        <v>1753</v>
      </c>
      <c r="G1512" s="1">
        <v>19990000</v>
      </c>
      <c r="H1512" s="1">
        <v>19000000</v>
      </c>
    </row>
    <row r="1513" spans="1:8" ht="13.5" customHeight="1" x14ac:dyDescent="0.3">
      <c r="A1513" s="1" t="s">
        <v>220</v>
      </c>
      <c r="B1513" s="1" t="s">
        <v>223</v>
      </c>
      <c r="C1513" s="1" t="s">
        <v>4700</v>
      </c>
      <c r="D1513" s="1">
        <v>2023</v>
      </c>
      <c r="E1513" s="1" t="str">
        <f t="shared" si="5"/>
        <v>QASHQAIQASHQAI TURBO 4X4 1.3 AUT2023</v>
      </c>
      <c r="F1513" s="1" t="s">
        <v>1541</v>
      </c>
      <c r="G1513" s="1">
        <v>23990000</v>
      </c>
      <c r="H1513" s="1">
        <v>21000000</v>
      </c>
    </row>
    <row r="1514" spans="1:8" ht="13.5" customHeight="1" x14ac:dyDescent="0.3">
      <c r="A1514" s="1" t="s">
        <v>220</v>
      </c>
      <c r="B1514" s="1" t="s">
        <v>228</v>
      </c>
      <c r="C1514" s="1" t="s">
        <v>229</v>
      </c>
      <c r="D1514" s="1">
        <v>2020</v>
      </c>
      <c r="E1514" s="1" t="str">
        <f t="shared" si="5"/>
        <v>SENTRASENTRA 1.8 AT2020</v>
      </c>
      <c r="F1514" s="1" t="s">
        <v>230</v>
      </c>
      <c r="G1514" s="1">
        <v>19380000</v>
      </c>
      <c r="H1514" s="1">
        <v>17100000</v>
      </c>
    </row>
    <row r="1515" spans="1:8" ht="13.5" customHeight="1" x14ac:dyDescent="0.3">
      <c r="A1515" s="1" t="s">
        <v>220</v>
      </c>
      <c r="B1515" s="1" t="s">
        <v>228</v>
      </c>
      <c r="C1515" s="1" t="s">
        <v>4701</v>
      </c>
      <c r="D1515" s="1">
        <v>2012</v>
      </c>
      <c r="E1515" s="1" t="str">
        <f t="shared" si="5"/>
        <v>SENTRASENTRA 2.02012</v>
      </c>
      <c r="F1515" s="1" t="s">
        <v>1960</v>
      </c>
      <c r="G1515" s="1">
        <v>4990000</v>
      </c>
      <c r="H1515" s="1">
        <v>5000000</v>
      </c>
    </row>
    <row r="1516" spans="1:8" ht="13.5" customHeight="1" x14ac:dyDescent="0.3">
      <c r="A1516" s="1" t="s">
        <v>220</v>
      </c>
      <c r="B1516" s="1" t="s">
        <v>228</v>
      </c>
      <c r="C1516" s="1" t="s">
        <v>4702</v>
      </c>
      <c r="D1516" s="1">
        <v>2021</v>
      </c>
      <c r="E1516" s="1" t="str">
        <f t="shared" si="5"/>
        <v>SENTRASENTRA B17 1.82021</v>
      </c>
      <c r="F1516" s="1" t="s">
        <v>1825</v>
      </c>
      <c r="G1516" s="1">
        <v>9490000</v>
      </c>
      <c r="H1516" s="1">
        <v>8200000</v>
      </c>
    </row>
    <row r="1517" spans="1:8" ht="13.5" customHeight="1" x14ac:dyDescent="0.3">
      <c r="A1517" s="1" t="s">
        <v>220</v>
      </c>
      <c r="B1517" s="1" t="s">
        <v>228</v>
      </c>
      <c r="C1517" s="1" t="s">
        <v>4702</v>
      </c>
      <c r="D1517" s="1">
        <v>2021</v>
      </c>
      <c r="E1517" s="1" t="str">
        <f t="shared" si="5"/>
        <v>SENTRASENTRA B17 1.82021</v>
      </c>
      <c r="F1517" s="1" t="s">
        <v>2201</v>
      </c>
      <c r="G1517" s="1">
        <v>11500000</v>
      </c>
      <c r="H1517" s="1">
        <v>11500000</v>
      </c>
    </row>
    <row r="1518" spans="1:8" ht="13.5" customHeight="1" x14ac:dyDescent="0.3">
      <c r="A1518" s="1" t="s">
        <v>220</v>
      </c>
      <c r="B1518" s="1" t="s">
        <v>228</v>
      </c>
      <c r="C1518" s="1" t="s">
        <v>4703</v>
      </c>
      <c r="D1518" s="1">
        <v>2021</v>
      </c>
      <c r="E1518" s="1" t="str">
        <f t="shared" si="5"/>
        <v>SENTRASENTRA B18 CVT 2.0 AUT2021</v>
      </c>
      <c r="F1518" s="1" t="s">
        <v>1973</v>
      </c>
      <c r="G1518" s="1">
        <v>13890000</v>
      </c>
      <c r="H1518" s="1">
        <v>12200000</v>
      </c>
    </row>
    <row r="1519" spans="1:8" ht="13.5" customHeight="1" x14ac:dyDescent="0.3">
      <c r="A1519" s="1" t="s">
        <v>220</v>
      </c>
      <c r="B1519" s="1" t="s">
        <v>228</v>
      </c>
      <c r="C1519" s="1" t="s">
        <v>4703</v>
      </c>
      <c r="D1519" s="1">
        <v>2023</v>
      </c>
      <c r="E1519" s="1" t="str">
        <f t="shared" si="5"/>
        <v>SENTRASENTRA B18 CVT 2.0 AUT2023</v>
      </c>
      <c r="F1519" s="1" t="s">
        <v>867</v>
      </c>
      <c r="G1519" s="1">
        <v>17490000</v>
      </c>
      <c r="H1519" s="1">
        <v>15200000</v>
      </c>
    </row>
    <row r="1520" spans="1:8" ht="13.5" customHeight="1" x14ac:dyDescent="0.3">
      <c r="A1520" s="1" t="s">
        <v>220</v>
      </c>
      <c r="B1520" s="1" t="s">
        <v>228</v>
      </c>
      <c r="C1520" s="1" t="s">
        <v>4703</v>
      </c>
      <c r="D1520" s="1">
        <v>2023</v>
      </c>
      <c r="E1520" s="1" t="str">
        <f t="shared" si="5"/>
        <v>SENTRASENTRA B18 CVT 2.0 AUT2023</v>
      </c>
      <c r="F1520" s="1" t="s">
        <v>2042</v>
      </c>
      <c r="G1520" s="1">
        <v>16990000</v>
      </c>
      <c r="H1520" s="1">
        <v>15000000</v>
      </c>
    </row>
    <row r="1521" spans="1:8" ht="13.5" customHeight="1" x14ac:dyDescent="0.3">
      <c r="A1521" s="1" t="s">
        <v>220</v>
      </c>
      <c r="B1521" s="1" t="s">
        <v>228</v>
      </c>
      <c r="C1521" s="1" t="s">
        <v>4703</v>
      </c>
      <c r="D1521" s="1">
        <v>2023</v>
      </c>
      <c r="E1521" s="1" t="str">
        <f t="shared" si="5"/>
        <v>SENTRASENTRA B18 CVT 2.0 AUT2023</v>
      </c>
      <c r="F1521" s="1" t="s">
        <v>887</v>
      </c>
      <c r="G1521" s="1">
        <v>14290000</v>
      </c>
      <c r="H1521" s="1">
        <v>15000000</v>
      </c>
    </row>
    <row r="1522" spans="1:8" ht="13.5" customHeight="1" x14ac:dyDescent="0.3">
      <c r="A1522" s="1" t="s">
        <v>220</v>
      </c>
      <c r="B1522" s="1" t="s">
        <v>228</v>
      </c>
      <c r="C1522" s="1" t="s">
        <v>4703</v>
      </c>
      <c r="D1522" s="1">
        <v>2023</v>
      </c>
      <c r="E1522" s="1" t="str">
        <f t="shared" si="5"/>
        <v>SENTRASENTRA B18 CVT 2.0 AUT2023</v>
      </c>
      <c r="F1522" s="1" t="s">
        <v>1003</v>
      </c>
      <c r="G1522" s="1">
        <v>12990000</v>
      </c>
      <c r="H1522" s="1">
        <v>15000000</v>
      </c>
    </row>
    <row r="1523" spans="1:8" ht="13.5" customHeight="1" x14ac:dyDescent="0.3">
      <c r="A1523" s="1" t="s">
        <v>220</v>
      </c>
      <c r="B1523" s="1" t="s">
        <v>228</v>
      </c>
      <c r="C1523" s="1" t="s">
        <v>4704</v>
      </c>
      <c r="D1523" s="1">
        <v>2022</v>
      </c>
      <c r="E1523" s="1" t="str">
        <f t="shared" si="5"/>
        <v>SENTRASENTRA MT 2.02022</v>
      </c>
      <c r="F1523" s="1" t="s">
        <v>699</v>
      </c>
      <c r="G1523" s="1">
        <v>13290000</v>
      </c>
      <c r="H1523" s="1">
        <v>11300000</v>
      </c>
    </row>
    <row r="1524" spans="1:8" ht="13.5" customHeight="1" x14ac:dyDescent="0.3">
      <c r="A1524" s="1" t="s">
        <v>220</v>
      </c>
      <c r="B1524" s="1" t="s">
        <v>228</v>
      </c>
      <c r="C1524" s="1" t="s">
        <v>4704</v>
      </c>
      <c r="D1524" s="1">
        <v>2023</v>
      </c>
      <c r="E1524" s="1" t="str">
        <f t="shared" si="5"/>
        <v>SENTRASENTRA MT 2.02023</v>
      </c>
      <c r="F1524" s="1" t="s">
        <v>1337</v>
      </c>
      <c r="G1524" s="1">
        <v>13901120</v>
      </c>
      <c r="H1524" s="1">
        <v>12000000</v>
      </c>
    </row>
    <row r="1525" spans="1:8" ht="13.5" customHeight="1" x14ac:dyDescent="0.3">
      <c r="A1525" s="1" t="s">
        <v>220</v>
      </c>
      <c r="B1525" s="1" t="s">
        <v>228</v>
      </c>
      <c r="C1525" s="1" t="s">
        <v>4704</v>
      </c>
      <c r="D1525" s="1">
        <v>2023</v>
      </c>
      <c r="E1525" s="1" t="str">
        <f t="shared" si="5"/>
        <v>SENTRASENTRA MT 2.02023</v>
      </c>
      <c r="F1525" s="1" t="s">
        <v>1117</v>
      </c>
      <c r="G1525" s="1">
        <v>14490000</v>
      </c>
      <c r="H1525" s="1">
        <v>12500000</v>
      </c>
    </row>
    <row r="1526" spans="1:8" ht="13.5" customHeight="1" x14ac:dyDescent="0.3">
      <c r="A1526" s="1" t="s">
        <v>220</v>
      </c>
      <c r="B1526" s="1" t="s">
        <v>228</v>
      </c>
      <c r="C1526" s="1" t="s">
        <v>4704</v>
      </c>
      <c r="D1526" s="1">
        <v>2023</v>
      </c>
      <c r="E1526" s="1" t="str">
        <f t="shared" si="5"/>
        <v>SENTRASENTRA MT 2.02023</v>
      </c>
      <c r="F1526" s="1" t="s">
        <v>1827</v>
      </c>
      <c r="G1526" s="1">
        <v>13990000</v>
      </c>
      <c r="H1526" s="1">
        <v>12500000</v>
      </c>
    </row>
    <row r="1527" spans="1:8" ht="13.5" customHeight="1" x14ac:dyDescent="0.3">
      <c r="A1527" s="1" t="s">
        <v>220</v>
      </c>
      <c r="B1527" s="1" t="s">
        <v>228</v>
      </c>
      <c r="C1527" s="1" t="s">
        <v>4705</v>
      </c>
      <c r="D1527" s="1">
        <v>2021</v>
      </c>
      <c r="E1527" s="1" t="str">
        <f t="shared" si="5"/>
        <v>SENTRASENTRA SENSE 1.82021</v>
      </c>
      <c r="F1527" s="1" t="s">
        <v>2464</v>
      </c>
      <c r="G1527" s="1">
        <v>11990000</v>
      </c>
      <c r="H1527" s="1">
        <v>14000000</v>
      </c>
    </row>
    <row r="1528" spans="1:8" ht="13.5" customHeight="1" x14ac:dyDescent="0.3">
      <c r="A1528" s="1" t="s">
        <v>220</v>
      </c>
      <c r="B1528" s="1" t="s">
        <v>4706</v>
      </c>
      <c r="C1528" s="1" t="s">
        <v>4707</v>
      </c>
      <c r="D1528" s="1">
        <v>2022</v>
      </c>
      <c r="E1528" s="1" t="str">
        <f t="shared" si="5"/>
        <v>URVANURVAN 4X2 2.52022</v>
      </c>
      <c r="F1528" s="1" t="s">
        <v>1501</v>
      </c>
      <c r="G1528" s="1">
        <v>19990000</v>
      </c>
      <c r="H1528" s="1">
        <v>17500000</v>
      </c>
    </row>
    <row r="1529" spans="1:8" ht="13.5" customHeight="1" x14ac:dyDescent="0.3">
      <c r="A1529" s="1" t="s">
        <v>220</v>
      </c>
      <c r="B1529" s="1" t="s">
        <v>231</v>
      </c>
      <c r="C1529" s="1" t="s">
        <v>4708</v>
      </c>
      <c r="D1529" s="1">
        <v>2021</v>
      </c>
      <c r="E1529" s="1" t="str">
        <f t="shared" si="5"/>
        <v>VERSAV DRIVE N17 1.62021</v>
      </c>
      <c r="F1529" s="1" t="s">
        <v>2391</v>
      </c>
      <c r="G1529" s="1">
        <v>8990000</v>
      </c>
      <c r="H1529" s="1">
        <v>8650000</v>
      </c>
    </row>
    <row r="1530" spans="1:8" ht="13.5" customHeight="1" x14ac:dyDescent="0.3">
      <c r="A1530" s="1" t="s">
        <v>220</v>
      </c>
      <c r="B1530" s="1" t="s">
        <v>231</v>
      </c>
      <c r="C1530" s="1" t="s">
        <v>232</v>
      </c>
      <c r="D1530" s="1">
        <v>2021</v>
      </c>
      <c r="E1530" s="1" t="str">
        <f t="shared" si="5"/>
        <v>VERSAVERSA CVT 1.6 AUT2021</v>
      </c>
      <c r="G1530" s="1">
        <v>9690000</v>
      </c>
      <c r="H1530" s="1">
        <v>0</v>
      </c>
    </row>
    <row r="1531" spans="1:8" ht="13.5" customHeight="1" x14ac:dyDescent="0.3">
      <c r="A1531" s="1" t="s">
        <v>220</v>
      </c>
      <c r="B1531" s="1" t="s">
        <v>231</v>
      </c>
      <c r="C1531" s="1" t="s">
        <v>232</v>
      </c>
      <c r="D1531" s="1">
        <v>2021</v>
      </c>
      <c r="E1531" s="1" t="str">
        <f t="shared" si="5"/>
        <v>VERSAVERSA CVT 1.6 AUT2021</v>
      </c>
      <c r="F1531" s="1" t="s">
        <v>2122</v>
      </c>
      <c r="G1531" s="1">
        <v>12890000</v>
      </c>
      <c r="H1531" s="1">
        <v>10520000</v>
      </c>
    </row>
    <row r="1532" spans="1:8" ht="13.5" customHeight="1" x14ac:dyDescent="0.3">
      <c r="A1532" s="1" t="s">
        <v>220</v>
      </c>
      <c r="B1532" s="1" t="s">
        <v>231</v>
      </c>
      <c r="C1532" s="1" t="s">
        <v>232</v>
      </c>
      <c r="D1532" s="1">
        <v>2021</v>
      </c>
      <c r="E1532" s="1" t="str">
        <f t="shared" si="5"/>
        <v>VERSAVERSA CVT 1.6 AUT2021</v>
      </c>
      <c r="F1532" s="1" t="s">
        <v>658</v>
      </c>
      <c r="G1532" s="1">
        <v>9990000</v>
      </c>
      <c r="H1532" s="1">
        <v>8100000</v>
      </c>
    </row>
    <row r="1533" spans="1:8" ht="13.5" customHeight="1" x14ac:dyDescent="0.3">
      <c r="A1533" s="1" t="s">
        <v>220</v>
      </c>
      <c r="B1533" s="1" t="s">
        <v>231</v>
      </c>
      <c r="C1533" s="1" t="s">
        <v>232</v>
      </c>
      <c r="D1533" s="1">
        <v>2021</v>
      </c>
      <c r="E1533" s="1" t="str">
        <f t="shared" ref="E1533:E1787" si="6">CONCATENATE(B1533,C1533,D1533)</f>
        <v>VERSAVERSA CVT 1.6 AUT2021</v>
      </c>
      <c r="F1533" s="1" t="s">
        <v>1709</v>
      </c>
      <c r="G1533" s="1">
        <v>8780120</v>
      </c>
      <c r="H1533" s="1">
        <v>7500000</v>
      </c>
    </row>
    <row r="1534" spans="1:8" ht="13.5" customHeight="1" x14ac:dyDescent="0.3">
      <c r="A1534" s="1" t="s">
        <v>220</v>
      </c>
      <c r="B1534" s="1" t="s">
        <v>231</v>
      </c>
      <c r="C1534" s="1" t="s">
        <v>232</v>
      </c>
      <c r="D1534" s="1">
        <v>2022</v>
      </c>
      <c r="E1534" s="1" t="str">
        <f t="shared" si="6"/>
        <v>VERSAVERSA CVT 1.6 AUT2022</v>
      </c>
      <c r="F1534" s="1" t="s">
        <v>1838</v>
      </c>
      <c r="G1534" s="1">
        <v>19780000</v>
      </c>
      <c r="H1534" s="1">
        <v>16000000</v>
      </c>
    </row>
    <row r="1535" spans="1:8" ht="13.5" customHeight="1" x14ac:dyDescent="0.3">
      <c r="A1535" s="1" t="s">
        <v>220</v>
      </c>
      <c r="B1535" s="1" t="s">
        <v>231</v>
      </c>
      <c r="C1535" s="1" t="s">
        <v>232</v>
      </c>
      <c r="D1535" s="1">
        <v>2022</v>
      </c>
      <c r="E1535" s="1" t="str">
        <f t="shared" si="6"/>
        <v>VERSAVERSA CVT 1.6 AUT2022</v>
      </c>
      <c r="F1535" s="1" t="s">
        <v>1061</v>
      </c>
      <c r="G1535" s="1">
        <v>12990000</v>
      </c>
      <c r="H1535" s="1">
        <v>11500000</v>
      </c>
    </row>
    <row r="1536" spans="1:8" ht="13.5" customHeight="1" x14ac:dyDescent="0.3">
      <c r="A1536" s="1" t="s">
        <v>220</v>
      </c>
      <c r="B1536" s="1" t="s">
        <v>231</v>
      </c>
      <c r="C1536" s="1" t="s">
        <v>232</v>
      </c>
      <c r="D1536" s="1">
        <v>2022</v>
      </c>
      <c r="E1536" s="1" t="str">
        <f t="shared" si="6"/>
        <v>VERSAVERSA CVT 1.6 AUT2022</v>
      </c>
      <c r="F1536" s="1" t="s">
        <v>4709</v>
      </c>
      <c r="G1536" s="1">
        <v>10500000</v>
      </c>
      <c r="H1536" s="1">
        <v>9500000</v>
      </c>
    </row>
    <row r="1537" spans="1:8" ht="13.5" customHeight="1" x14ac:dyDescent="0.3">
      <c r="A1537" s="1" t="s">
        <v>220</v>
      </c>
      <c r="B1537" s="1" t="s">
        <v>231</v>
      </c>
      <c r="C1537" s="1" t="s">
        <v>4710</v>
      </c>
      <c r="D1537" s="1">
        <v>2019</v>
      </c>
      <c r="E1537" s="1" t="str">
        <f t="shared" si="6"/>
        <v>VERSAVERSA DRIVE 1.62019</v>
      </c>
      <c r="F1537" s="1" t="s">
        <v>2457</v>
      </c>
      <c r="G1537" s="1">
        <v>8690000</v>
      </c>
      <c r="H1537" s="1">
        <v>8000000</v>
      </c>
    </row>
    <row r="1538" spans="1:8" ht="13.5" customHeight="1" x14ac:dyDescent="0.3">
      <c r="A1538" s="1" t="s">
        <v>220</v>
      </c>
      <c r="B1538" s="1" t="s">
        <v>231</v>
      </c>
      <c r="C1538" s="1" t="s">
        <v>4711</v>
      </c>
      <c r="D1538" s="1">
        <v>2021</v>
      </c>
      <c r="E1538" s="1" t="str">
        <f t="shared" si="6"/>
        <v>VERSAVERSA MT 1.62021</v>
      </c>
      <c r="G1538" s="1">
        <v>9840000</v>
      </c>
      <c r="H1538" s="1">
        <v>0</v>
      </c>
    </row>
    <row r="1539" spans="1:8" ht="13.5" customHeight="1" x14ac:dyDescent="0.3">
      <c r="A1539" s="1" t="s">
        <v>220</v>
      </c>
      <c r="B1539" s="1" t="s">
        <v>231</v>
      </c>
      <c r="C1539" s="1" t="s">
        <v>4711</v>
      </c>
      <c r="D1539" s="1">
        <v>2021</v>
      </c>
      <c r="E1539" s="1" t="str">
        <f t="shared" si="6"/>
        <v>VERSAVERSA MT 1.62021</v>
      </c>
      <c r="F1539" s="1" t="s">
        <v>1810</v>
      </c>
      <c r="G1539" s="1">
        <v>9490000</v>
      </c>
      <c r="H1539" s="1">
        <v>7650000</v>
      </c>
    </row>
    <row r="1540" spans="1:8" ht="13.5" customHeight="1" x14ac:dyDescent="0.3">
      <c r="A1540" s="1" t="s">
        <v>220</v>
      </c>
      <c r="B1540" s="1" t="s">
        <v>231</v>
      </c>
      <c r="C1540" s="1" t="s">
        <v>4711</v>
      </c>
      <c r="D1540" s="1">
        <v>2021</v>
      </c>
      <c r="E1540" s="1" t="str">
        <f t="shared" si="6"/>
        <v>VERSAVERSA MT 1.62021</v>
      </c>
      <c r="F1540" s="1" t="s">
        <v>2088</v>
      </c>
      <c r="G1540" s="1">
        <v>9890000</v>
      </c>
      <c r="H1540" s="1">
        <v>8000000</v>
      </c>
    </row>
    <row r="1541" spans="1:8" ht="13.5" customHeight="1" x14ac:dyDescent="0.3">
      <c r="A1541" s="1" t="s">
        <v>220</v>
      </c>
      <c r="B1541" s="1" t="s">
        <v>231</v>
      </c>
      <c r="C1541" s="1" t="s">
        <v>4711</v>
      </c>
      <c r="D1541" s="1">
        <v>2021</v>
      </c>
      <c r="E1541" s="1" t="str">
        <f t="shared" si="6"/>
        <v>VERSAVERSA MT 1.62021</v>
      </c>
      <c r="F1541" s="1" t="s">
        <v>1727</v>
      </c>
      <c r="G1541" s="1">
        <v>9490000</v>
      </c>
      <c r="H1541" s="1">
        <v>7200000</v>
      </c>
    </row>
    <row r="1542" spans="1:8" ht="13.5" customHeight="1" x14ac:dyDescent="0.3">
      <c r="A1542" s="1" t="s">
        <v>220</v>
      </c>
      <c r="B1542" s="1" t="s">
        <v>231</v>
      </c>
      <c r="C1542" s="1" t="s">
        <v>4711</v>
      </c>
      <c r="D1542" s="1">
        <v>2021</v>
      </c>
      <c r="E1542" s="1" t="str">
        <f t="shared" si="6"/>
        <v>VERSAVERSA MT 1.62021</v>
      </c>
      <c r="F1542" s="1" t="s">
        <v>2357</v>
      </c>
      <c r="G1542" s="1">
        <v>9990000</v>
      </c>
      <c r="H1542" s="1">
        <v>8000000</v>
      </c>
    </row>
    <row r="1543" spans="1:8" ht="13.5" customHeight="1" x14ac:dyDescent="0.3">
      <c r="A1543" s="1" t="s">
        <v>220</v>
      </c>
      <c r="B1543" s="1" t="s">
        <v>231</v>
      </c>
      <c r="C1543" s="1" t="s">
        <v>4711</v>
      </c>
      <c r="D1543" s="1">
        <v>2021</v>
      </c>
      <c r="E1543" s="1" t="str">
        <f t="shared" si="6"/>
        <v>VERSAVERSA MT 1.62021</v>
      </c>
      <c r="F1543" s="1" t="s">
        <v>2003</v>
      </c>
      <c r="G1543" s="1">
        <v>9390000</v>
      </c>
      <c r="H1543" s="1">
        <v>7059244</v>
      </c>
    </row>
    <row r="1544" spans="1:8" ht="13.5" customHeight="1" x14ac:dyDescent="0.3">
      <c r="A1544" s="1" t="s">
        <v>220</v>
      </c>
      <c r="B1544" s="1" t="s">
        <v>231</v>
      </c>
      <c r="C1544" s="1" t="s">
        <v>4711</v>
      </c>
      <c r="D1544" s="1">
        <v>2021</v>
      </c>
      <c r="E1544" s="1" t="str">
        <f t="shared" si="6"/>
        <v>VERSAVERSA MT 1.62021</v>
      </c>
      <c r="F1544" s="1" t="s">
        <v>1876</v>
      </c>
      <c r="G1544" s="1">
        <v>8990000</v>
      </c>
      <c r="H1544" s="1">
        <v>7000000</v>
      </c>
    </row>
    <row r="1545" spans="1:8" ht="13.5" customHeight="1" x14ac:dyDescent="0.3">
      <c r="A1545" s="1" t="s">
        <v>220</v>
      </c>
      <c r="B1545" s="1" t="s">
        <v>231</v>
      </c>
      <c r="C1545" s="1" t="s">
        <v>4711</v>
      </c>
      <c r="D1545" s="1">
        <v>2021</v>
      </c>
      <c r="E1545" s="1" t="str">
        <f t="shared" si="6"/>
        <v>VERSAVERSA MT 1.62021</v>
      </c>
      <c r="F1545" s="1" t="s">
        <v>1495</v>
      </c>
      <c r="G1545" s="1">
        <v>8990000</v>
      </c>
      <c r="H1545" s="1">
        <v>7500000</v>
      </c>
    </row>
    <row r="1546" spans="1:8" ht="13.5" customHeight="1" x14ac:dyDescent="0.3">
      <c r="A1546" s="1" t="s">
        <v>220</v>
      </c>
      <c r="B1546" s="1" t="s">
        <v>231</v>
      </c>
      <c r="C1546" s="1" t="s">
        <v>4711</v>
      </c>
      <c r="D1546" s="1">
        <v>2021</v>
      </c>
      <c r="E1546" s="1" t="str">
        <f t="shared" si="6"/>
        <v>VERSAVERSA MT 1.62021</v>
      </c>
      <c r="F1546" s="1" t="s">
        <v>1292</v>
      </c>
      <c r="G1546" s="1">
        <v>8390000</v>
      </c>
      <c r="H1546" s="1">
        <v>7000000</v>
      </c>
    </row>
    <row r="1547" spans="1:8" ht="13.5" customHeight="1" x14ac:dyDescent="0.3">
      <c r="A1547" s="1" t="s">
        <v>220</v>
      </c>
      <c r="B1547" s="1" t="s">
        <v>231</v>
      </c>
      <c r="C1547" s="1" t="s">
        <v>4711</v>
      </c>
      <c r="D1547" s="1">
        <v>2021</v>
      </c>
      <c r="E1547" s="1" t="str">
        <f t="shared" si="6"/>
        <v>VERSAVERSA MT 1.62021</v>
      </c>
      <c r="F1547" s="1" t="s">
        <v>649</v>
      </c>
      <c r="G1547" s="1">
        <v>10190000</v>
      </c>
      <c r="H1547" s="1">
        <v>8250000</v>
      </c>
    </row>
    <row r="1548" spans="1:8" ht="13.5" customHeight="1" x14ac:dyDescent="0.3">
      <c r="A1548" s="1" t="s">
        <v>220</v>
      </c>
      <c r="B1548" s="1" t="s">
        <v>231</v>
      </c>
      <c r="C1548" s="1" t="s">
        <v>4711</v>
      </c>
      <c r="D1548" s="1">
        <v>2022</v>
      </c>
      <c r="E1548" s="1" t="str">
        <f t="shared" si="6"/>
        <v>VERSAVERSA MT 1.62022</v>
      </c>
      <c r="F1548" s="1" t="s">
        <v>1177</v>
      </c>
      <c r="G1548" s="1">
        <v>9290000</v>
      </c>
      <c r="H1548" s="1">
        <v>7600000</v>
      </c>
    </row>
    <row r="1549" spans="1:8" ht="13.5" customHeight="1" x14ac:dyDescent="0.3">
      <c r="A1549" s="1" t="s">
        <v>220</v>
      </c>
      <c r="B1549" s="1" t="s">
        <v>231</v>
      </c>
      <c r="C1549" s="1" t="s">
        <v>4711</v>
      </c>
      <c r="D1549" s="1">
        <v>2022</v>
      </c>
      <c r="E1549" s="1" t="str">
        <f t="shared" si="6"/>
        <v>VERSAVERSA MT 1.62022</v>
      </c>
      <c r="F1549" s="1" t="s">
        <v>449</v>
      </c>
      <c r="G1549" s="1">
        <v>9990000</v>
      </c>
      <c r="H1549" s="1">
        <v>6300000</v>
      </c>
    </row>
    <row r="1550" spans="1:8" ht="13.5" customHeight="1" x14ac:dyDescent="0.3">
      <c r="A1550" s="1" t="s">
        <v>220</v>
      </c>
      <c r="B1550" s="1" t="s">
        <v>231</v>
      </c>
      <c r="C1550" s="1" t="s">
        <v>4711</v>
      </c>
      <c r="D1550" s="1">
        <v>2022</v>
      </c>
      <c r="E1550" s="1" t="str">
        <f t="shared" si="6"/>
        <v>VERSAVERSA MT 1.62022</v>
      </c>
      <c r="F1550" s="1" t="s">
        <v>1543</v>
      </c>
      <c r="G1550" s="1">
        <v>10990000</v>
      </c>
      <c r="H1550" s="1">
        <v>8650000</v>
      </c>
    </row>
    <row r="1551" spans="1:8" ht="13.5" customHeight="1" x14ac:dyDescent="0.3">
      <c r="A1551" s="1" t="s">
        <v>220</v>
      </c>
      <c r="B1551" s="1" t="s">
        <v>231</v>
      </c>
      <c r="C1551" s="1" t="s">
        <v>4711</v>
      </c>
      <c r="D1551" s="1">
        <v>2022</v>
      </c>
      <c r="E1551" s="1" t="str">
        <f t="shared" si="6"/>
        <v>VERSAVERSA MT 1.62022</v>
      </c>
      <c r="F1551" s="1" t="s">
        <v>4712</v>
      </c>
      <c r="G1551" s="1">
        <v>10290000</v>
      </c>
      <c r="H1551" s="1">
        <v>9500000</v>
      </c>
    </row>
    <row r="1552" spans="1:8" ht="13.5" customHeight="1" x14ac:dyDescent="0.3">
      <c r="A1552" s="1" t="s">
        <v>220</v>
      </c>
      <c r="B1552" s="1" t="s">
        <v>231</v>
      </c>
      <c r="C1552" s="1" t="s">
        <v>4711</v>
      </c>
      <c r="D1552" s="1">
        <v>2023</v>
      </c>
      <c r="E1552" s="1" t="str">
        <f t="shared" si="6"/>
        <v>VERSAVERSA MT 1.62023</v>
      </c>
      <c r="F1552" s="1" t="s">
        <v>1828</v>
      </c>
      <c r="G1552" s="1">
        <v>11490000</v>
      </c>
      <c r="H1552" s="1">
        <v>10300000</v>
      </c>
    </row>
    <row r="1553" spans="1:8" ht="13.5" customHeight="1" x14ac:dyDescent="0.3">
      <c r="A1553" s="1" t="s">
        <v>220</v>
      </c>
      <c r="B1553" s="1" t="s">
        <v>231</v>
      </c>
      <c r="C1553" s="1" t="s">
        <v>4711</v>
      </c>
      <c r="D1553" s="1">
        <v>2023</v>
      </c>
      <c r="E1553" s="1" t="str">
        <f t="shared" si="6"/>
        <v>VERSAVERSA MT 1.62023</v>
      </c>
      <c r="F1553" s="1" t="s">
        <v>1265</v>
      </c>
      <c r="G1553" s="1">
        <v>10290000</v>
      </c>
      <c r="H1553" s="1">
        <v>8500000</v>
      </c>
    </row>
    <row r="1554" spans="1:8" ht="13.5" customHeight="1" x14ac:dyDescent="0.3">
      <c r="A1554" s="1" t="s">
        <v>220</v>
      </c>
      <c r="B1554" s="1" t="s">
        <v>231</v>
      </c>
      <c r="C1554" s="1" t="s">
        <v>4711</v>
      </c>
      <c r="D1554" s="1">
        <v>2023</v>
      </c>
      <c r="E1554" s="1" t="str">
        <f t="shared" si="6"/>
        <v>VERSAVERSA MT 1.62023</v>
      </c>
      <c r="F1554" s="1" t="s">
        <v>586</v>
      </c>
      <c r="G1554" s="1">
        <v>10790000</v>
      </c>
      <c r="H1554" s="1">
        <v>9000000</v>
      </c>
    </row>
    <row r="1555" spans="1:8" ht="13.5" customHeight="1" x14ac:dyDescent="0.3">
      <c r="A1555" s="1" t="s">
        <v>220</v>
      </c>
      <c r="B1555" s="1" t="s">
        <v>231</v>
      </c>
      <c r="C1555" s="1" t="s">
        <v>4711</v>
      </c>
      <c r="D1555" s="1">
        <v>2023</v>
      </c>
      <c r="E1555" s="1" t="str">
        <f t="shared" si="6"/>
        <v>VERSAVERSA MT 1.62023</v>
      </c>
      <c r="F1555" s="1" t="s">
        <v>1112</v>
      </c>
      <c r="G1555" s="1">
        <v>11190000</v>
      </c>
      <c r="H1555" s="1">
        <v>10000000</v>
      </c>
    </row>
    <row r="1556" spans="1:8" ht="13.5" customHeight="1" x14ac:dyDescent="0.3">
      <c r="A1556" s="1" t="s">
        <v>220</v>
      </c>
      <c r="B1556" s="1" t="s">
        <v>231</v>
      </c>
      <c r="C1556" s="1" t="s">
        <v>4711</v>
      </c>
      <c r="D1556" s="1">
        <v>2023</v>
      </c>
      <c r="E1556" s="1" t="str">
        <f t="shared" si="6"/>
        <v>VERSAVERSA MT 1.62023</v>
      </c>
      <c r="F1556" s="1" t="s">
        <v>1291</v>
      </c>
      <c r="G1556" s="1">
        <v>10990000</v>
      </c>
      <c r="H1556" s="1">
        <v>8250000</v>
      </c>
    </row>
    <row r="1557" spans="1:8" ht="13.5" customHeight="1" x14ac:dyDescent="0.3">
      <c r="A1557" s="1" t="s">
        <v>220</v>
      </c>
      <c r="B1557" s="1" t="s">
        <v>231</v>
      </c>
      <c r="C1557" s="1" t="s">
        <v>4711</v>
      </c>
      <c r="D1557" s="1">
        <v>2023</v>
      </c>
      <c r="E1557" s="1" t="str">
        <f t="shared" si="6"/>
        <v>VERSAVERSA MT 1.62023</v>
      </c>
      <c r="F1557" s="1" t="s">
        <v>548</v>
      </c>
      <c r="G1557" s="1">
        <v>10290000</v>
      </c>
      <c r="H1557" s="1">
        <v>8300000</v>
      </c>
    </row>
    <row r="1558" spans="1:8" ht="13.5" customHeight="1" x14ac:dyDescent="0.3">
      <c r="A1558" s="1" t="s">
        <v>220</v>
      </c>
      <c r="B1558" s="1" t="s">
        <v>231</v>
      </c>
      <c r="C1558" s="1" t="s">
        <v>4711</v>
      </c>
      <c r="D1558" s="1">
        <v>2023</v>
      </c>
      <c r="E1558" s="1" t="str">
        <f t="shared" si="6"/>
        <v>VERSAVERSA MT 1.62023</v>
      </c>
      <c r="F1558" s="1" t="s">
        <v>2232</v>
      </c>
      <c r="G1558" s="1">
        <v>11100000</v>
      </c>
      <c r="H1558" s="1">
        <v>10000000</v>
      </c>
    </row>
    <row r="1559" spans="1:8" ht="13.5" customHeight="1" x14ac:dyDescent="0.3">
      <c r="A1559" s="1" t="s">
        <v>220</v>
      </c>
      <c r="B1559" s="1" t="s">
        <v>231</v>
      </c>
      <c r="C1559" s="1" t="s">
        <v>4711</v>
      </c>
      <c r="D1559" s="1">
        <v>2023</v>
      </c>
      <c r="E1559" s="1" t="str">
        <f t="shared" si="6"/>
        <v>VERSAVERSA MT 1.62023</v>
      </c>
      <c r="F1559" s="1" t="s">
        <v>1638</v>
      </c>
      <c r="G1559" s="1">
        <v>10690000</v>
      </c>
      <c r="H1559" s="1">
        <v>8500000</v>
      </c>
    </row>
    <row r="1560" spans="1:8" ht="13.5" customHeight="1" x14ac:dyDescent="0.3">
      <c r="A1560" s="1" t="s">
        <v>220</v>
      </c>
      <c r="B1560" s="1" t="s">
        <v>231</v>
      </c>
      <c r="C1560" s="1" t="s">
        <v>4711</v>
      </c>
      <c r="D1560" s="1">
        <v>2023</v>
      </c>
      <c r="E1560" s="1" t="str">
        <f t="shared" si="6"/>
        <v>VERSAVERSA MT 1.62023</v>
      </c>
      <c r="F1560" s="1" t="s">
        <v>380</v>
      </c>
      <c r="G1560" s="1">
        <v>11990000</v>
      </c>
      <c r="H1560" s="1">
        <v>9300000</v>
      </c>
    </row>
    <row r="1561" spans="1:8" ht="13.5" customHeight="1" x14ac:dyDescent="0.3">
      <c r="A1561" s="1" t="s">
        <v>220</v>
      </c>
      <c r="B1561" s="1" t="s">
        <v>231</v>
      </c>
      <c r="C1561" s="1" t="s">
        <v>4711</v>
      </c>
      <c r="D1561" s="1">
        <v>2024</v>
      </c>
      <c r="E1561" s="1" t="str">
        <f t="shared" si="6"/>
        <v>VERSAVERSA MT 1.62024</v>
      </c>
      <c r="F1561" s="1" t="s">
        <v>547</v>
      </c>
      <c r="G1561" s="1">
        <v>12490000</v>
      </c>
      <c r="H1561" s="1">
        <v>10900000</v>
      </c>
    </row>
    <row r="1562" spans="1:8" ht="13.5" customHeight="1" x14ac:dyDescent="0.3">
      <c r="A1562" s="1" t="s">
        <v>220</v>
      </c>
      <c r="B1562" s="1" t="s">
        <v>231</v>
      </c>
      <c r="C1562" s="1" t="s">
        <v>4713</v>
      </c>
      <c r="D1562" s="1">
        <v>2023</v>
      </c>
      <c r="E1562" s="1" t="str">
        <f t="shared" si="6"/>
        <v>VERSAVERSA MT 4X2 1.62023</v>
      </c>
      <c r="F1562" s="1" t="s">
        <v>1353</v>
      </c>
      <c r="G1562" s="1">
        <v>10690000</v>
      </c>
      <c r="H1562" s="1">
        <v>9000000</v>
      </c>
    </row>
    <row r="1563" spans="1:8" ht="13.5" customHeight="1" x14ac:dyDescent="0.3">
      <c r="A1563" s="1" t="s">
        <v>220</v>
      </c>
      <c r="B1563" s="1" t="s">
        <v>231</v>
      </c>
      <c r="C1563" s="1" t="s">
        <v>4713</v>
      </c>
      <c r="D1563" s="1">
        <v>2024</v>
      </c>
      <c r="E1563" s="1" t="str">
        <f t="shared" si="6"/>
        <v>VERSAVERSA MT 4X2 1.62024</v>
      </c>
      <c r="F1563" s="1" t="s">
        <v>1844</v>
      </c>
      <c r="G1563" s="1">
        <v>11938120</v>
      </c>
      <c r="H1563" s="1">
        <v>11000000</v>
      </c>
    </row>
    <row r="1564" spans="1:8" ht="13.5" customHeight="1" x14ac:dyDescent="0.3">
      <c r="A1564" s="1" t="s">
        <v>220</v>
      </c>
      <c r="B1564" s="1" t="s">
        <v>231</v>
      </c>
      <c r="C1564" s="1" t="s">
        <v>4714</v>
      </c>
      <c r="D1564" s="1">
        <v>2021</v>
      </c>
      <c r="E1564" s="1" t="str">
        <f t="shared" si="6"/>
        <v>VERSAVERSA SEDAN 1.62021</v>
      </c>
      <c r="F1564" s="1" t="s">
        <v>2082</v>
      </c>
      <c r="G1564" s="1">
        <v>8890000</v>
      </c>
      <c r="H1564" s="1">
        <v>7200000</v>
      </c>
    </row>
    <row r="1565" spans="1:8" ht="13.5" customHeight="1" x14ac:dyDescent="0.3">
      <c r="A1565" s="1" t="s">
        <v>220</v>
      </c>
      <c r="B1565" s="1" t="s">
        <v>231</v>
      </c>
      <c r="C1565" s="1" t="s">
        <v>4715</v>
      </c>
      <c r="D1565" s="1">
        <v>2013</v>
      </c>
      <c r="E1565" s="1" t="str">
        <f t="shared" si="6"/>
        <v>VERSAVERSA SENCE 1.62013</v>
      </c>
      <c r="F1565" s="1" t="s">
        <v>1509</v>
      </c>
      <c r="G1565" s="1">
        <v>4950000</v>
      </c>
      <c r="H1565" s="1">
        <v>4000000</v>
      </c>
    </row>
    <row r="1566" spans="1:8" ht="13.5" customHeight="1" x14ac:dyDescent="0.3">
      <c r="A1566" s="1" t="s">
        <v>220</v>
      </c>
      <c r="B1566" s="1" t="s">
        <v>231</v>
      </c>
      <c r="C1566" s="1" t="s">
        <v>4715</v>
      </c>
      <c r="D1566" s="1">
        <v>2018</v>
      </c>
      <c r="E1566" s="1" t="str">
        <f t="shared" si="6"/>
        <v>VERSAVERSA SENCE 1.62018</v>
      </c>
      <c r="F1566" s="1" t="s">
        <v>2030</v>
      </c>
      <c r="G1566" s="1">
        <v>7490000</v>
      </c>
      <c r="H1566" s="1">
        <v>-101681</v>
      </c>
    </row>
    <row r="1567" spans="1:8" ht="13.5" customHeight="1" x14ac:dyDescent="0.3">
      <c r="A1567" s="1" t="s">
        <v>220</v>
      </c>
      <c r="B1567" s="1" t="s">
        <v>231</v>
      </c>
      <c r="C1567" s="1" t="s">
        <v>4715</v>
      </c>
      <c r="D1567" s="1">
        <v>2019</v>
      </c>
      <c r="E1567" s="1" t="str">
        <f t="shared" si="6"/>
        <v>VERSAVERSA SENCE 1.62019</v>
      </c>
      <c r="F1567" s="1" t="s">
        <v>1749</v>
      </c>
      <c r="G1567" s="1">
        <v>6490000</v>
      </c>
      <c r="H1567" s="1">
        <v>5000000</v>
      </c>
    </row>
    <row r="1568" spans="1:8" ht="13.5" customHeight="1" x14ac:dyDescent="0.3">
      <c r="A1568" s="1" t="s">
        <v>220</v>
      </c>
      <c r="B1568" s="1" t="s">
        <v>231</v>
      </c>
      <c r="C1568" s="1" t="s">
        <v>4715</v>
      </c>
      <c r="D1568" s="1">
        <v>2019</v>
      </c>
      <c r="E1568" s="1" t="str">
        <f t="shared" si="6"/>
        <v>VERSAVERSA SENCE 1.62019</v>
      </c>
      <c r="F1568" s="1" t="s">
        <v>1348</v>
      </c>
      <c r="G1568" s="1">
        <v>6690000</v>
      </c>
      <c r="H1568" s="1">
        <v>5200000</v>
      </c>
    </row>
    <row r="1569" spans="1:8" ht="13.5" customHeight="1" x14ac:dyDescent="0.3">
      <c r="A1569" s="1" t="s">
        <v>220</v>
      </c>
      <c r="B1569" s="1" t="s">
        <v>231</v>
      </c>
      <c r="C1569" s="1" t="s">
        <v>4715</v>
      </c>
      <c r="D1569" s="1">
        <v>2019</v>
      </c>
      <c r="E1569" s="1" t="str">
        <f t="shared" si="6"/>
        <v>VERSAVERSA SENCE 1.62019</v>
      </c>
      <c r="F1569" s="1" t="s">
        <v>4716</v>
      </c>
      <c r="G1569" s="1">
        <v>8390000</v>
      </c>
      <c r="H1569" s="1">
        <v>6700000</v>
      </c>
    </row>
    <row r="1570" spans="1:8" ht="13.5" customHeight="1" x14ac:dyDescent="0.3">
      <c r="A1570" s="1" t="s">
        <v>220</v>
      </c>
      <c r="B1570" s="1" t="s">
        <v>231</v>
      </c>
      <c r="C1570" s="1" t="s">
        <v>4715</v>
      </c>
      <c r="D1570" s="1">
        <v>2020</v>
      </c>
      <c r="E1570" s="1" t="str">
        <f t="shared" si="6"/>
        <v>VERSAVERSA SENCE 1.62020</v>
      </c>
      <c r="F1570" s="1" t="s">
        <v>2119</v>
      </c>
      <c r="G1570" s="1">
        <v>9690000</v>
      </c>
      <c r="H1570" s="1">
        <v>7700000</v>
      </c>
    </row>
    <row r="1571" spans="1:8" ht="13.5" customHeight="1" x14ac:dyDescent="0.3">
      <c r="A1571" s="1" t="s">
        <v>220</v>
      </c>
      <c r="B1571" s="1" t="s">
        <v>231</v>
      </c>
      <c r="C1571" s="1" t="s">
        <v>4717</v>
      </c>
      <c r="D1571" s="1">
        <v>2016</v>
      </c>
      <c r="E1571" s="1" t="str">
        <f t="shared" si="6"/>
        <v>VERSAVERSA SENSE  1.62016</v>
      </c>
      <c r="F1571" s="1" t="s">
        <v>1734</v>
      </c>
      <c r="G1571" s="1">
        <v>4990000</v>
      </c>
      <c r="H1571" s="1">
        <v>4000000</v>
      </c>
    </row>
    <row r="1572" spans="1:8" ht="13.5" customHeight="1" x14ac:dyDescent="0.3">
      <c r="A1572" s="1" t="s">
        <v>220</v>
      </c>
      <c r="B1572" s="1" t="s">
        <v>4718</v>
      </c>
      <c r="C1572" s="1" t="s">
        <v>4708</v>
      </c>
      <c r="D1572" s="1">
        <v>2022</v>
      </c>
      <c r="E1572" s="1" t="str">
        <f t="shared" si="6"/>
        <v>VERSA V-DRIVEV DRIVE N17 1.62022</v>
      </c>
      <c r="F1572" s="1" t="s">
        <v>2285</v>
      </c>
      <c r="G1572" s="1">
        <v>9990000</v>
      </c>
      <c r="H1572" s="1">
        <v>7750000</v>
      </c>
    </row>
    <row r="1573" spans="1:8" ht="13.5" customHeight="1" x14ac:dyDescent="0.3">
      <c r="A1573" s="1" t="s">
        <v>220</v>
      </c>
      <c r="B1573" s="1" t="s">
        <v>234</v>
      </c>
      <c r="C1573" s="1" t="s">
        <v>4719</v>
      </c>
      <c r="D1573" s="1">
        <v>2018</v>
      </c>
      <c r="E1573" s="1" t="str">
        <f t="shared" si="6"/>
        <v>XTRAILX TRAIL 2.5 AUT2018</v>
      </c>
      <c r="F1573" s="1" t="s">
        <v>1634</v>
      </c>
      <c r="G1573" s="1">
        <v>9690000</v>
      </c>
      <c r="H1573" s="1">
        <v>8000000</v>
      </c>
    </row>
    <row r="1574" spans="1:8" ht="13.5" customHeight="1" x14ac:dyDescent="0.3">
      <c r="A1574" s="1" t="s">
        <v>220</v>
      </c>
      <c r="B1574" s="1" t="s">
        <v>234</v>
      </c>
      <c r="C1574" s="1" t="s">
        <v>4719</v>
      </c>
      <c r="D1574" s="1">
        <v>2020</v>
      </c>
      <c r="E1574" s="1" t="str">
        <f t="shared" si="6"/>
        <v>XTRAILX TRAIL 2.5 AUT2020</v>
      </c>
      <c r="F1574" s="1" t="s">
        <v>374</v>
      </c>
      <c r="G1574" s="1">
        <v>12990000</v>
      </c>
      <c r="H1574" s="1">
        <v>11000000</v>
      </c>
    </row>
    <row r="1575" spans="1:8" ht="13.5" customHeight="1" x14ac:dyDescent="0.3">
      <c r="A1575" s="1" t="s">
        <v>220</v>
      </c>
      <c r="B1575" s="1" t="s">
        <v>234</v>
      </c>
      <c r="C1575" s="1" t="s">
        <v>235</v>
      </c>
      <c r="D1575" s="1">
        <v>2023</v>
      </c>
      <c r="E1575" s="1" t="str">
        <f t="shared" si="6"/>
        <v>XTRAILX TRAIL 4X2 7P CVT 2.52023</v>
      </c>
      <c r="F1575" s="1" t="s">
        <v>2026</v>
      </c>
      <c r="G1575" s="1">
        <v>25890000</v>
      </c>
      <c r="H1575" s="1">
        <v>22972689</v>
      </c>
    </row>
    <row r="1576" spans="1:8" ht="13.5" customHeight="1" x14ac:dyDescent="0.3">
      <c r="A1576" s="1" t="s">
        <v>220</v>
      </c>
      <c r="B1576" s="1" t="s">
        <v>234</v>
      </c>
      <c r="C1576" s="1" t="s">
        <v>235</v>
      </c>
      <c r="D1576" s="1">
        <v>2023</v>
      </c>
      <c r="E1576" s="1" t="str">
        <f t="shared" si="6"/>
        <v>XTRAILX TRAIL 4X2 7P CVT 2.52023</v>
      </c>
      <c r="F1576" s="1" t="s">
        <v>817</v>
      </c>
      <c r="G1576" s="1">
        <v>19290000</v>
      </c>
      <c r="H1576" s="1">
        <v>16500000</v>
      </c>
    </row>
    <row r="1577" spans="1:8" ht="13.5" customHeight="1" x14ac:dyDescent="0.3">
      <c r="A1577" s="1" t="s">
        <v>220</v>
      </c>
      <c r="B1577" s="1" t="s">
        <v>234</v>
      </c>
      <c r="C1577" s="1" t="s">
        <v>4720</v>
      </c>
      <c r="D1577" s="1">
        <v>2023</v>
      </c>
      <c r="E1577" s="1" t="str">
        <f t="shared" si="6"/>
        <v>XTRAILX TRAIL 4X4 7P CVT 2.52023</v>
      </c>
      <c r="F1577" s="1" t="s">
        <v>825</v>
      </c>
      <c r="G1577" s="1">
        <v>23990000</v>
      </c>
      <c r="H1577" s="1">
        <v>22200000</v>
      </c>
    </row>
    <row r="1578" spans="1:8" ht="13.5" customHeight="1" x14ac:dyDescent="0.3">
      <c r="A1578" s="1" t="s">
        <v>220</v>
      </c>
      <c r="B1578" s="1" t="s">
        <v>234</v>
      </c>
      <c r="C1578" s="1" t="s">
        <v>4721</v>
      </c>
      <c r="D1578" s="1">
        <v>2020</v>
      </c>
      <c r="E1578" s="1" t="str">
        <f t="shared" si="6"/>
        <v>XTRAILX TRAIL 7P 4X4 2.5 AUT2020</v>
      </c>
      <c r="F1578" s="1" t="s">
        <v>374</v>
      </c>
      <c r="G1578" s="1">
        <v>12990000</v>
      </c>
      <c r="H1578" s="1">
        <v>10500000</v>
      </c>
    </row>
    <row r="1579" spans="1:8" ht="13.5" customHeight="1" x14ac:dyDescent="0.3">
      <c r="A1579" s="1" t="s">
        <v>220</v>
      </c>
      <c r="B1579" s="1" t="s">
        <v>234</v>
      </c>
      <c r="C1579" s="1" t="s">
        <v>4721</v>
      </c>
      <c r="D1579" s="1">
        <v>2025</v>
      </c>
      <c r="E1579" s="1" t="str">
        <f t="shared" si="6"/>
        <v>XTRAILX TRAIL 7P 4X4 2.5 AUT2025</v>
      </c>
      <c r="F1579" s="1" t="s">
        <v>555</v>
      </c>
      <c r="G1579" s="1">
        <v>29790000</v>
      </c>
      <c r="H1579" s="1">
        <v>26500000</v>
      </c>
    </row>
    <row r="1580" spans="1:8" ht="13.5" customHeight="1" x14ac:dyDescent="0.3">
      <c r="A1580" s="1" t="s">
        <v>220</v>
      </c>
      <c r="B1580" s="1" t="s">
        <v>234</v>
      </c>
      <c r="C1580" s="1" t="s">
        <v>4722</v>
      </c>
      <c r="D1580" s="1">
        <v>2019</v>
      </c>
      <c r="E1580" s="1" t="str">
        <f t="shared" si="6"/>
        <v>XTRAILX TRAIL ADVANCE 2.5 AUT2019</v>
      </c>
      <c r="F1580" s="1" t="s">
        <v>926</v>
      </c>
      <c r="G1580" s="1">
        <v>12490000</v>
      </c>
      <c r="H1580" s="1">
        <v>10000000</v>
      </c>
    </row>
    <row r="1581" spans="1:8" ht="13.5" customHeight="1" x14ac:dyDescent="0.3">
      <c r="A1581" s="1" t="s">
        <v>220</v>
      </c>
      <c r="B1581" s="1" t="s">
        <v>234</v>
      </c>
      <c r="C1581" s="1" t="s">
        <v>4723</v>
      </c>
      <c r="D1581" s="1">
        <v>2013</v>
      </c>
      <c r="E1581" s="1" t="str">
        <f t="shared" si="6"/>
        <v>XTRAILX TRAIL CVT 2.52013</v>
      </c>
      <c r="F1581" s="1" t="s">
        <v>4724</v>
      </c>
      <c r="G1581" s="1">
        <v>4000000</v>
      </c>
      <c r="H1581" s="1">
        <v>6000000</v>
      </c>
    </row>
    <row r="1582" spans="1:8" ht="13.5" customHeight="1" x14ac:dyDescent="0.3">
      <c r="A1582" s="1" t="s">
        <v>220</v>
      </c>
      <c r="B1582" s="1" t="s">
        <v>234</v>
      </c>
      <c r="C1582" s="1" t="s">
        <v>4725</v>
      </c>
      <c r="D1582" s="1">
        <v>2020</v>
      </c>
      <c r="E1582" s="1" t="str">
        <f t="shared" si="6"/>
        <v>XTRAILX TRAIL CVT 2.5 AT2020</v>
      </c>
      <c r="F1582" s="1" t="s">
        <v>856</v>
      </c>
      <c r="G1582" s="1">
        <v>12990000</v>
      </c>
      <c r="H1582" s="1">
        <v>10200000</v>
      </c>
    </row>
    <row r="1583" spans="1:8" ht="13.5" customHeight="1" x14ac:dyDescent="0.3">
      <c r="A1583" s="1" t="s">
        <v>220</v>
      </c>
      <c r="B1583" s="1" t="s">
        <v>234</v>
      </c>
      <c r="C1583" s="1" t="s">
        <v>4725</v>
      </c>
      <c r="D1583" s="1">
        <v>2021</v>
      </c>
      <c r="E1583" s="1" t="str">
        <f t="shared" si="6"/>
        <v>XTRAILX TRAIL CVT 2.5 AT2021</v>
      </c>
      <c r="F1583" s="1" t="s">
        <v>2348</v>
      </c>
      <c r="G1583" s="1">
        <v>16590000</v>
      </c>
      <c r="H1583" s="1">
        <v>13500000</v>
      </c>
    </row>
    <row r="1584" spans="1:8" ht="13.5" customHeight="1" x14ac:dyDescent="0.3">
      <c r="A1584" s="1" t="s">
        <v>220</v>
      </c>
      <c r="B1584" s="1" t="s">
        <v>234</v>
      </c>
      <c r="C1584" s="1" t="s">
        <v>4725</v>
      </c>
      <c r="D1584" s="1">
        <v>2021</v>
      </c>
      <c r="E1584" s="1" t="str">
        <f t="shared" si="6"/>
        <v>XTRAILX TRAIL CVT 2.5 AT2021</v>
      </c>
      <c r="F1584" s="1" t="s">
        <v>2238</v>
      </c>
      <c r="G1584" s="1">
        <v>14690000</v>
      </c>
      <c r="H1584" s="1">
        <v>12500000</v>
      </c>
    </row>
    <row r="1585" spans="1:8" ht="13.5" customHeight="1" x14ac:dyDescent="0.3">
      <c r="A1585" s="1" t="s">
        <v>220</v>
      </c>
      <c r="B1585" s="1" t="s">
        <v>234</v>
      </c>
      <c r="C1585" s="1" t="s">
        <v>4725</v>
      </c>
      <c r="D1585" s="1">
        <v>2021</v>
      </c>
      <c r="E1585" s="1" t="str">
        <f t="shared" si="6"/>
        <v>XTRAILX TRAIL CVT 2.5 AT2021</v>
      </c>
      <c r="F1585" s="1" t="s">
        <v>1628</v>
      </c>
      <c r="G1585" s="1">
        <v>14590000</v>
      </c>
      <c r="H1585" s="1">
        <v>12300000</v>
      </c>
    </row>
    <row r="1586" spans="1:8" ht="13.5" customHeight="1" x14ac:dyDescent="0.3">
      <c r="A1586" s="1" t="s">
        <v>220</v>
      </c>
      <c r="B1586" s="1" t="s">
        <v>234</v>
      </c>
      <c r="C1586" s="1" t="s">
        <v>4725</v>
      </c>
      <c r="D1586" s="1">
        <v>2022</v>
      </c>
      <c r="E1586" s="1" t="str">
        <f t="shared" si="6"/>
        <v>XTRAILX TRAIL CVT 2.5 AT2022</v>
      </c>
      <c r="F1586" s="1" t="s">
        <v>1492</v>
      </c>
      <c r="G1586" s="1">
        <v>15490000</v>
      </c>
      <c r="H1586" s="1">
        <v>13000000</v>
      </c>
    </row>
    <row r="1587" spans="1:8" ht="13.5" customHeight="1" x14ac:dyDescent="0.3">
      <c r="A1587" s="1" t="s">
        <v>220</v>
      </c>
      <c r="B1587" s="1" t="s">
        <v>234</v>
      </c>
      <c r="C1587" s="1" t="s">
        <v>4725</v>
      </c>
      <c r="D1587" s="1">
        <v>2023</v>
      </c>
      <c r="E1587" s="1" t="str">
        <f t="shared" si="6"/>
        <v>XTRAILX TRAIL CVT 2.5 AT2023</v>
      </c>
      <c r="F1587" s="1" t="s">
        <v>880</v>
      </c>
      <c r="G1587" s="1">
        <v>17390000</v>
      </c>
      <c r="H1587" s="1">
        <v>16000000</v>
      </c>
    </row>
    <row r="1588" spans="1:8" ht="13.5" customHeight="1" x14ac:dyDescent="0.3">
      <c r="A1588" s="1" t="s">
        <v>220</v>
      </c>
      <c r="B1588" s="1" t="s">
        <v>234</v>
      </c>
      <c r="C1588" s="1" t="s">
        <v>4725</v>
      </c>
      <c r="D1588" s="1">
        <v>2023</v>
      </c>
      <c r="E1588" s="1" t="str">
        <f t="shared" si="6"/>
        <v>XTRAILX TRAIL CVT 2.5 AT2023</v>
      </c>
      <c r="F1588" s="1" t="s">
        <v>495</v>
      </c>
      <c r="G1588" s="1">
        <v>17990000</v>
      </c>
      <c r="H1588" s="1">
        <v>15200000</v>
      </c>
    </row>
    <row r="1589" spans="1:8" ht="13.5" customHeight="1" x14ac:dyDescent="0.3">
      <c r="A1589" s="1" t="s">
        <v>220</v>
      </c>
      <c r="B1589" s="1" t="s">
        <v>234</v>
      </c>
      <c r="C1589" s="1" t="s">
        <v>4726</v>
      </c>
      <c r="D1589" s="1">
        <v>2022</v>
      </c>
      <c r="E1589" s="1" t="str">
        <f t="shared" si="6"/>
        <v>XTRAILX TRAIL CVT 4X4 2.5 AT2022</v>
      </c>
      <c r="F1589" s="1" t="s">
        <v>1180</v>
      </c>
      <c r="G1589" s="1">
        <v>14990000</v>
      </c>
      <c r="H1589" s="1">
        <v>12800000</v>
      </c>
    </row>
    <row r="1590" spans="1:8" ht="13.5" customHeight="1" x14ac:dyDescent="0.3">
      <c r="A1590" s="1" t="s">
        <v>220</v>
      </c>
      <c r="B1590" s="1" t="s">
        <v>234</v>
      </c>
      <c r="C1590" s="1" t="s">
        <v>4727</v>
      </c>
      <c r="D1590" s="1">
        <v>2017</v>
      </c>
      <c r="E1590" s="1" t="str">
        <f t="shared" si="6"/>
        <v>XTRAILX TRAIL SENSE 2.5 AUT2017</v>
      </c>
      <c r="F1590" s="1" t="s">
        <v>725</v>
      </c>
      <c r="G1590" s="1">
        <v>11548000</v>
      </c>
      <c r="H1590" s="1">
        <v>9400000</v>
      </c>
    </row>
    <row r="1591" spans="1:8" ht="13.5" customHeight="1" x14ac:dyDescent="0.3">
      <c r="A1591" s="1" t="s">
        <v>220</v>
      </c>
      <c r="B1591" s="1" t="s">
        <v>234</v>
      </c>
      <c r="C1591" s="1" t="s">
        <v>4727</v>
      </c>
      <c r="D1591" s="1">
        <v>2018</v>
      </c>
      <c r="E1591" s="1" t="str">
        <f t="shared" si="6"/>
        <v>XTRAILX TRAIL SENSE 2.5 AUT2018</v>
      </c>
      <c r="F1591" s="1" t="s">
        <v>1925</v>
      </c>
      <c r="G1591" s="1">
        <v>11690000</v>
      </c>
      <c r="H1591" s="1">
        <v>9000000</v>
      </c>
    </row>
    <row r="1592" spans="1:8" ht="13.5" customHeight="1" x14ac:dyDescent="0.3">
      <c r="A1592" s="1" t="s">
        <v>220</v>
      </c>
      <c r="B1592" s="1" t="s">
        <v>234</v>
      </c>
      <c r="C1592" s="1" t="s">
        <v>4727</v>
      </c>
      <c r="D1592" s="1">
        <v>2018</v>
      </c>
      <c r="E1592" s="1" t="str">
        <f t="shared" si="6"/>
        <v>XTRAILX TRAIL SENSE 2.5 AUT2018</v>
      </c>
      <c r="F1592" s="1" t="s">
        <v>4728</v>
      </c>
      <c r="G1592" s="1">
        <v>14690000</v>
      </c>
      <c r="H1592" s="1">
        <v>12500000</v>
      </c>
    </row>
    <row r="1593" spans="1:8" ht="13.5" customHeight="1" x14ac:dyDescent="0.3">
      <c r="A1593" s="1" t="s">
        <v>220</v>
      </c>
      <c r="B1593" s="1" t="s">
        <v>234</v>
      </c>
      <c r="C1593" s="1" t="s">
        <v>4727</v>
      </c>
      <c r="D1593" s="1">
        <v>2019</v>
      </c>
      <c r="E1593" s="1" t="str">
        <f t="shared" si="6"/>
        <v>XTRAILX TRAIL SENSE 2.5 AUT2019</v>
      </c>
      <c r="F1593" s="1" t="s">
        <v>1536</v>
      </c>
      <c r="G1593" s="1">
        <v>10990000</v>
      </c>
      <c r="H1593" s="1">
        <v>9200000</v>
      </c>
    </row>
    <row r="1594" spans="1:8" ht="13.5" customHeight="1" x14ac:dyDescent="0.3">
      <c r="A1594" s="1" t="s">
        <v>220</v>
      </c>
      <c r="B1594" s="1" t="s">
        <v>234</v>
      </c>
      <c r="C1594" s="1" t="s">
        <v>4727</v>
      </c>
      <c r="D1594" s="1">
        <v>2019</v>
      </c>
      <c r="E1594" s="1" t="str">
        <f t="shared" si="6"/>
        <v>XTRAILX TRAIL SENSE 2.5 AUT2019</v>
      </c>
      <c r="F1594" s="1" t="s">
        <v>344</v>
      </c>
      <c r="G1594" s="1">
        <v>11990000</v>
      </c>
      <c r="H1594" s="1">
        <v>10000000</v>
      </c>
    </row>
    <row r="1595" spans="1:8" ht="13.5" customHeight="1" x14ac:dyDescent="0.3">
      <c r="A1595" s="1" t="s">
        <v>220</v>
      </c>
      <c r="B1595" s="1" t="s">
        <v>234</v>
      </c>
      <c r="C1595" s="1" t="s">
        <v>4727</v>
      </c>
      <c r="D1595" s="1">
        <v>2019</v>
      </c>
      <c r="E1595" s="1" t="str">
        <f t="shared" si="6"/>
        <v>XTRAILX TRAIL SENSE 2.5 AUT2019</v>
      </c>
      <c r="F1595" s="1" t="s">
        <v>1493</v>
      </c>
      <c r="G1595" s="1">
        <v>11990000</v>
      </c>
      <c r="H1595" s="1">
        <v>10000000</v>
      </c>
    </row>
    <row r="1596" spans="1:8" ht="13.5" customHeight="1" x14ac:dyDescent="0.3">
      <c r="A1596" s="1" t="s">
        <v>220</v>
      </c>
      <c r="B1596" s="1" t="s">
        <v>234</v>
      </c>
      <c r="C1596" s="1" t="s">
        <v>4727</v>
      </c>
      <c r="D1596" s="1">
        <v>2020</v>
      </c>
      <c r="E1596" s="1" t="str">
        <f t="shared" si="6"/>
        <v>XTRAILX TRAIL SENSE 2.5 AUT2020</v>
      </c>
      <c r="F1596" s="1" t="s">
        <v>2124</v>
      </c>
      <c r="G1596" s="1">
        <v>13990000</v>
      </c>
      <c r="H1596" s="1">
        <v>11450000</v>
      </c>
    </row>
    <row r="1597" spans="1:8" ht="13.5" customHeight="1" x14ac:dyDescent="0.3">
      <c r="A1597" s="1" t="s">
        <v>220</v>
      </c>
      <c r="B1597" s="1" t="s">
        <v>234</v>
      </c>
      <c r="C1597" s="1" t="s">
        <v>4727</v>
      </c>
      <c r="D1597" s="1">
        <v>2020</v>
      </c>
      <c r="E1597" s="1" t="str">
        <f t="shared" si="6"/>
        <v>XTRAILX TRAIL SENSE 2.5 AUT2020</v>
      </c>
      <c r="F1597" s="1" t="s">
        <v>2323</v>
      </c>
      <c r="G1597" s="1">
        <v>15990000</v>
      </c>
      <c r="H1597" s="1">
        <v>12500000</v>
      </c>
    </row>
    <row r="1598" spans="1:8" ht="13.5" customHeight="1" x14ac:dyDescent="0.3">
      <c r="A1598" s="1" t="s">
        <v>220</v>
      </c>
      <c r="B1598" s="1" t="s">
        <v>234</v>
      </c>
      <c r="C1598" s="1" t="s">
        <v>4729</v>
      </c>
      <c r="D1598" s="1">
        <v>2017</v>
      </c>
      <c r="E1598" s="1" t="str">
        <f t="shared" si="6"/>
        <v>XTRAILX TRAIL SENSE 4WD 2.5 AUT2017</v>
      </c>
      <c r="G1598" s="1">
        <v>12990000</v>
      </c>
      <c r="H1598" s="1">
        <v>0</v>
      </c>
    </row>
    <row r="1599" spans="1:8" ht="13.5" customHeight="1" x14ac:dyDescent="0.3">
      <c r="A1599" s="1" t="s">
        <v>220</v>
      </c>
      <c r="B1599" s="1" t="s">
        <v>234</v>
      </c>
      <c r="C1599" s="1" t="s">
        <v>4729</v>
      </c>
      <c r="D1599" s="1">
        <v>2017</v>
      </c>
      <c r="E1599" s="1" t="str">
        <f t="shared" si="6"/>
        <v>XTRAILX TRAIL SENSE 4WD 2.5 AUT2017</v>
      </c>
      <c r="F1599" s="1" t="s">
        <v>2405</v>
      </c>
      <c r="G1599" s="1">
        <v>12990000</v>
      </c>
      <c r="H1599" s="1">
        <v>14800000</v>
      </c>
    </row>
    <row r="1600" spans="1:8" ht="13.5" customHeight="1" x14ac:dyDescent="0.3">
      <c r="A1600" s="1" t="s">
        <v>220</v>
      </c>
      <c r="B1600" s="1" t="s">
        <v>234</v>
      </c>
      <c r="C1600" s="1" t="s">
        <v>4730</v>
      </c>
      <c r="D1600" s="1">
        <v>2021</v>
      </c>
      <c r="E1600" s="1" t="str">
        <f t="shared" si="6"/>
        <v>XTRAILX TRAIL T32 CVT 2.5 AUT2021</v>
      </c>
      <c r="F1600" s="1" t="s">
        <v>1423</v>
      </c>
      <c r="G1600" s="1">
        <v>11990000</v>
      </c>
      <c r="H1600" s="1">
        <v>11000000</v>
      </c>
    </row>
    <row r="1601" spans="1:8" ht="13.5" customHeight="1" x14ac:dyDescent="0.3">
      <c r="A1601" s="1" t="s">
        <v>220</v>
      </c>
      <c r="B1601" s="1" t="s">
        <v>234</v>
      </c>
      <c r="C1601" s="1" t="s">
        <v>4730</v>
      </c>
      <c r="D1601" s="1">
        <v>2021</v>
      </c>
      <c r="E1601" s="1" t="str">
        <f t="shared" si="6"/>
        <v>XTRAILX TRAIL T32 CVT 2.5 AUT2021</v>
      </c>
      <c r="F1601" s="1" t="s">
        <v>1484</v>
      </c>
      <c r="G1601" s="1">
        <v>13990000</v>
      </c>
      <c r="H1601" s="1">
        <v>11300000</v>
      </c>
    </row>
    <row r="1602" spans="1:8" ht="13.5" customHeight="1" x14ac:dyDescent="0.3">
      <c r="A1602" s="1" t="s">
        <v>220</v>
      </c>
      <c r="B1602" s="1" t="s">
        <v>234</v>
      </c>
      <c r="C1602" s="1" t="s">
        <v>4730</v>
      </c>
      <c r="D1602" s="1">
        <v>2022</v>
      </c>
      <c r="E1602" s="1" t="str">
        <f t="shared" si="6"/>
        <v>XTRAILX TRAIL T32 CVT 2.5 AUT2022</v>
      </c>
      <c r="F1602" s="1" t="s">
        <v>1726</v>
      </c>
      <c r="G1602" s="1">
        <v>15290000</v>
      </c>
      <c r="H1602" s="1">
        <v>12700000</v>
      </c>
    </row>
    <row r="1603" spans="1:8" ht="13.5" customHeight="1" x14ac:dyDescent="0.3">
      <c r="A1603" s="1" t="s">
        <v>220</v>
      </c>
      <c r="B1603" s="1" t="s">
        <v>234</v>
      </c>
      <c r="C1603" s="1" t="s">
        <v>4730</v>
      </c>
      <c r="D1603" s="1">
        <v>2022</v>
      </c>
      <c r="E1603" s="1" t="str">
        <f t="shared" si="6"/>
        <v>XTRAILX TRAIL T32 CVT 2.5 AUT2022</v>
      </c>
      <c r="F1603" s="1" t="s">
        <v>1652</v>
      </c>
      <c r="G1603" s="1">
        <v>13290000</v>
      </c>
      <c r="H1603" s="1">
        <v>11200000</v>
      </c>
    </row>
    <row r="1604" spans="1:8" ht="13.5" customHeight="1" x14ac:dyDescent="0.3">
      <c r="A1604" s="1" t="s">
        <v>220</v>
      </c>
      <c r="B1604" s="1" t="s">
        <v>234</v>
      </c>
      <c r="C1604" s="1" t="s">
        <v>4730</v>
      </c>
      <c r="D1604" s="1">
        <v>2022</v>
      </c>
      <c r="E1604" s="1" t="str">
        <f t="shared" si="6"/>
        <v>XTRAILX TRAIL T32 CVT 2.5 AUT2022</v>
      </c>
      <c r="F1604" s="1" t="s">
        <v>1962</v>
      </c>
      <c r="G1604" s="1">
        <v>15300000</v>
      </c>
      <c r="H1604" s="1">
        <v>15900000</v>
      </c>
    </row>
    <row r="1605" spans="1:8" ht="13.5" customHeight="1" x14ac:dyDescent="0.3">
      <c r="A1605" s="1" t="s">
        <v>220</v>
      </c>
      <c r="B1605" s="1" t="s">
        <v>234</v>
      </c>
      <c r="C1605" s="1" t="s">
        <v>4730</v>
      </c>
      <c r="D1605" s="1">
        <v>2022</v>
      </c>
      <c r="E1605" s="1" t="str">
        <f t="shared" si="6"/>
        <v>XTRAILX TRAIL T32 CVT 2.5 AUT2022</v>
      </c>
      <c r="F1605" s="1" t="s">
        <v>999</v>
      </c>
      <c r="G1605" s="1">
        <v>14290000</v>
      </c>
      <c r="H1605" s="1">
        <v>12000000</v>
      </c>
    </row>
    <row r="1606" spans="1:8" ht="13.5" customHeight="1" x14ac:dyDescent="0.3">
      <c r="A1606" s="1" t="s">
        <v>220</v>
      </c>
      <c r="B1606" s="1" t="s">
        <v>234</v>
      </c>
      <c r="C1606" s="1" t="s">
        <v>4730</v>
      </c>
      <c r="D1606" s="1">
        <v>2023</v>
      </c>
      <c r="E1606" s="1" t="str">
        <f t="shared" si="6"/>
        <v>XTRAILX TRAIL T32 CVT 2.5 AUT2023</v>
      </c>
      <c r="F1606" s="1" t="s">
        <v>1644</v>
      </c>
      <c r="G1606" s="1">
        <v>17842120</v>
      </c>
      <c r="H1606" s="1">
        <v>15500000</v>
      </c>
    </row>
    <row r="1607" spans="1:8" ht="13.5" customHeight="1" x14ac:dyDescent="0.3">
      <c r="A1607" s="1" t="s">
        <v>220</v>
      </c>
      <c r="B1607" s="1" t="s">
        <v>234</v>
      </c>
      <c r="C1607" s="1" t="s">
        <v>4730</v>
      </c>
      <c r="D1607" s="1">
        <v>2023</v>
      </c>
      <c r="E1607" s="1" t="str">
        <f t="shared" si="6"/>
        <v>XTRAILX TRAIL T32 CVT 2.5 AUT2023</v>
      </c>
      <c r="F1607" s="1" t="s">
        <v>2055</v>
      </c>
      <c r="G1607" s="1">
        <v>16690000</v>
      </c>
      <c r="H1607" s="1">
        <v>16350000</v>
      </c>
    </row>
    <row r="1608" spans="1:8" ht="13.5" customHeight="1" x14ac:dyDescent="0.3">
      <c r="A1608" s="1" t="s">
        <v>220</v>
      </c>
      <c r="B1608" s="1" t="s">
        <v>234</v>
      </c>
      <c r="C1608" s="1" t="s">
        <v>4730</v>
      </c>
      <c r="D1608" s="1">
        <v>2023</v>
      </c>
      <c r="E1608" s="1" t="str">
        <f t="shared" si="6"/>
        <v>XTRAILX TRAIL T32 CVT 2.5 AUT2023</v>
      </c>
      <c r="F1608" s="1" t="s">
        <v>1368</v>
      </c>
      <c r="G1608" s="1">
        <v>36380000</v>
      </c>
      <c r="H1608" s="1">
        <v>33000000</v>
      </c>
    </row>
    <row r="1609" spans="1:8" ht="13.5" customHeight="1" x14ac:dyDescent="0.3">
      <c r="A1609" s="1" t="s">
        <v>220</v>
      </c>
      <c r="B1609" s="1" t="s">
        <v>234</v>
      </c>
      <c r="C1609" s="1" t="s">
        <v>4731</v>
      </c>
      <c r="D1609" s="1">
        <v>2023</v>
      </c>
      <c r="E1609" s="1" t="str">
        <f t="shared" si="6"/>
        <v>XTRAILXTRAIL 1.5 4X4 AUT2023</v>
      </c>
      <c r="F1609" s="1" t="s">
        <v>745</v>
      </c>
      <c r="G1609" s="1">
        <v>24990000</v>
      </c>
      <c r="H1609" s="1">
        <v>22000000</v>
      </c>
    </row>
    <row r="1610" spans="1:8" ht="13.5" customHeight="1" x14ac:dyDescent="0.3">
      <c r="A1610" s="1" t="s">
        <v>220</v>
      </c>
      <c r="B1610" s="1" t="s">
        <v>234</v>
      </c>
      <c r="C1610" s="1" t="s">
        <v>4731</v>
      </c>
      <c r="D1610" s="1">
        <v>2023</v>
      </c>
      <c r="E1610" s="1" t="str">
        <f t="shared" si="6"/>
        <v>XTRAILXTRAIL 1.5 4X4 AUT2023</v>
      </c>
      <c r="F1610" s="1" t="s">
        <v>4732</v>
      </c>
      <c r="G1610" s="1">
        <v>28990000</v>
      </c>
      <c r="H1610" s="1">
        <v>28000000</v>
      </c>
    </row>
    <row r="1611" spans="1:8" ht="13.5" customHeight="1" x14ac:dyDescent="0.3">
      <c r="A1611" s="1" t="s">
        <v>220</v>
      </c>
      <c r="B1611" s="1" t="s">
        <v>234</v>
      </c>
      <c r="C1611" s="1" t="s">
        <v>4731</v>
      </c>
      <c r="D1611" s="1">
        <v>2023</v>
      </c>
      <c r="E1611" s="1" t="str">
        <f t="shared" si="6"/>
        <v>XTRAILXTRAIL 1.5 4X4 AUT2023</v>
      </c>
      <c r="F1611" s="1" t="s">
        <v>934</v>
      </c>
      <c r="G1611" s="1">
        <v>26990000</v>
      </c>
      <c r="H1611" s="1">
        <v>26500000</v>
      </c>
    </row>
    <row r="1612" spans="1:8" ht="13.5" customHeight="1" x14ac:dyDescent="0.3">
      <c r="A1612" s="1" t="s">
        <v>220</v>
      </c>
      <c r="B1612" s="1" t="s">
        <v>234</v>
      </c>
      <c r="C1612" s="1" t="s">
        <v>4733</v>
      </c>
      <c r="D1612" s="1">
        <v>2014</v>
      </c>
      <c r="E1612" s="1" t="str">
        <f t="shared" si="6"/>
        <v>XTRAILXTRAIL 2.5 AT2014</v>
      </c>
      <c r="F1612" s="1" t="s">
        <v>1347</v>
      </c>
      <c r="G1612" s="1">
        <v>8390000</v>
      </c>
      <c r="H1612" s="1">
        <v>7000000</v>
      </c>
    </row>
    <row r="1613" spans="1:8" ht="13.5" customHeight="1" x14ac:dyDescent="0.3">
      <c r="A1613" s="1" t="s">
        <v>220</v>
      </c>
      <c r="B1613" s="1" t="s">
        <v>234</v>
      </c>
      <c r="C1613" s="1" t="s">
        <v>4734</v>
      </c>
      <c r="D1613" s="1">
        <v>2019</v>
      </c>
      <c r="E1613" s="1" t="str">
        <f t="shared" si="6"/>
        <v>XTRAILXTRAIL 4X4 2.5 AUT2019</v>
      </c>
      <c r="F1613" s="1" t="s">
        <v>2266</v>
      </c>
      <c r="G1613" s="1">
        <v>16390000</v>
      </c>
      <c r="H1613" s="1">
        <v>13500000</v>
      </c>
    </row>
    <row r="1614" spans="1:8" ht="13.5" customHeight="1" x14ac:dyDescent="0.3">
      <c r="A1614" s="1" t="s">
        <v>220</v>
      </c>
      <c r="B1614" s="1" t="s">
        <v>234</v>
      </c>
      <c r="C1614" s="1" t="s">
        <v>4734</v>
      </c>
      <c r="D1614" s="1">
        <v>2019</v>
      </c>
      <c r="E1614" s="1" t="str">
        <f t="shared" si="6"/>
        <v>XTRAILXTRAIL 4X4 2.5 AUT2019</v>
      </c>
      <c r="F1614" s="1" t="s">
        <v>1576</v>
      </c>
      <c r="G1614" s="1">
        <v>13590000</v>
      </c>
      <c r="H1614" s="1">
        <v>11600000</v>
      </c>
    </row>
    <row r="1615" spans="1:8" ht="13.5" customHeight="1" x14ac:dyDescent="0.3">
      <c r="A1615" s="1" t="s">
        <v>220</v>
      </c>
      <c r="B1615" s="1" t="s">
        <v>234</v>
      </c>
      <c r="C1615" s="1" t="s">
        <v>4735</v>
      </c>
      <c r="D1615" s="1">
        <v>2018</v>
      </c>
      <c r="E1615" s="1" t="str">
        <f t="shared" si="6"/>
        <v>XTRAILXTRAIL SENSE 2.5 AT2018</v>
      </c>
      <c r="F1615" s="1" t="s">
        <v>2419</v>
      </c>
      <c r="G1615" s="1">
        <v>14490000</v>
      </c>
      <c r="H1615" s="1">
        <v>14000000</v>
      </c>
    </row>
    <row r="1616" spans="1:8" ht="13.5" customHeight="1" x14ac:dyDescent="0.3">
      <c r="A1616" s="1" t="s">
        <v>237</v>
      </c>
      <c r="B1616" s="1" t="s">
        <v>65</v>
      </c>
      <c r="C1616" s="1" t="s">
        <v>4736</v>
      </c>
      <c r="D1616" s="1">
        <v>2025</v>
      </c>
      <c r="E1616" s="1" t="str">
        <f t="shared" si="6"/>
        <v>C51.5L CVT URBAN2025</v>
      </c>
      <c r="F1616" s="1" t="s">
        <v>4737</v>
      </c>
      <c r="G1616" s="1">
        <v>11990000</v>
      </c>
      <c r="H1616" s="1">
        <v>10000000</v>
      </c>
    </row>
    <row r="1617" spans="1:8" ht="13.5" customHeight="1" x14ac:dyDescent="0.3">
      <c r="A1617" s="1" t="s">
        <v>237</v>
      </c>
      <c r="B1617" s="1" t="s">
        <v>65</v>
      </c>
      <c r="C1617" s="1" t="s">
        <v>238</v>
      </c>
      <c r="D1617" s="1">
        <v>2024</v>
      </c>
      <c r="E1617" s="1" t="str">
        <f t="shared" si="6"/>
        <v>C5C5 1.5 AUT2024</v>
      </c>
      <c r="F1617" s="1" t="s">
        <v>1057</v>
      </c>
      <c r="G1617" s="1">
        <v>12890000</v>
      </c>
      <c r="H1617" s="1">
        <v>10700000</v>
      </c>
    </row>
    <row r="1618" spans="1:8" ht="13.5" customHeight="1" x14ac:dyDescent="0.3">
      <c r="A1618" s="1" t="s">
        <v>237</v>
      </c>
      <c r="B1618" s="1" t="s">
        <v>65</v>
      </c>
      <c r="C1618" s="1" t="s">
        <v>238</v>
      </c>
      <c r="D1618" s="1">
        <v>2024</v>
      </c>
      <c r="E1618" s="1" t="str">
        <f t="shared" si="6"/>
        <v>C5C5 1.5 AUT2024</v>
      </c>
      <c r="F1618" s="1" t="s">
        <v>1114</v>
      </c>
      <c r="G1618" s="1">
        <v>11990000</v>
      </c>
      <c r="H1618" s="1">
        <v>10000000</v>
      </c>
    </row>
    <row r="1619" spans="1:8" ht="13.5" customHeight="1" x14ac:dyDescent="0.3">
      <c r="A1619" s="1" t="s">
        <v>237</v>
      </c>
      <c r="B1619" s="1" t="s">
        <v>65</v>
      </c>
      <c r="C1619" s="1" t="s">
        <v>238</v>
      </c>
      <c r="D1619" s="1">
        <v>2024</v>
      </c>
      <c r="E1619" s="1" t="str">
        <f t="shared" si="6"/>
        <v>C5C5 1.5 AUT2024</v>
      </c>
      <c r="F1619" s="1" t="s">
        <v>930</v>
      </c>
      <c r="G1619" s="1">
        <v>14990000</v>
      </c>
      <c r="H1619" s="1">
        <v>12600000</v>
      </c>
    </row>
    <row r="1620" spans="1:8" ht="13.5" customHeight="1" x14ac:dyDescent="0.3">
      <c r="A1620" s="1" t="s">
        <v>237</v>
      </c>
      <c r="B1620" s="1" t="s">
        <v>65</v>
      </c>
      <c r="C1620" s="1" t="s">
        <v>238</v>
      </c>
      <c r="D1620" s="1">
        <v>2024</v>
      </c>
      <c r="E1620" s="1" t="str">
        <f t="shared" si="6"/>
        <v>C5C5 1.5 AUT2024</v>
      </c>
      <c r="F1620" s="1" t="s">
        <v>693</v>
      </c>
      <c r="G1620" s="1">
        <v>12990000</v>
      </c>
      <c r="H1620" s="1">
        <v>11000000</v>
      </c>
    </row>
    <row r="1621" spans="1:8" ht="13.5" customHeight="1" x14ac:dyDescent="0.3">
      <c r="A1621" s="1" t="s">
        <v>237</v>
      </c>
      <c r="B1621" s="1" t="s">
        <v>65</v>
      </c>
      <c r="C1621" s="1" t="s">
        <v>238</v>
      </c>
      <c r="D1621" s="1">
        <v>2025</v>
      </c>
      <c r="E1621" s="1" t="str">
        <f t="shared" si="6"/>
        <v>C5C5 1.5 AUT2025</v>
      </c>
      <c r="F1621" s="1" t="s">
        <v>846</v>
      </c>
      <c r="G1621" s="1">
        <v>12490000</v>
      </c>
      <c r="H1621" s="1">
        <v>10500000</v>
      </c>
    </row>
    <row r="1622" spans="1:8" ht="13.5" customHeight="1" x14ac:dyDescent="0.3">
      <c r="A1622" s="1" t="s">
        <v>237</v>
      </c>
      <c r="B1622" s="1" t="s">
        <v>65</v>
      </c>
      <c r="C1622" s="1" t="s">
        <v>4738</v>
      </c>
      <c r="D1622" s="1">
        <v>2024</v>
      </c>
      <c r="E1622" s="1" t="str">
        <f t="shared" si="6"/>
        <v>C5C5 1.6 AUT2024</v>
      </c>
      <c r="F1622" s="1" t="s">
        <v>570</v>
      </c>
      <c r="G1622" s="1">
        <v>14490000</v>
      </c>
      <c r="H1622" s="1">
        <v>12700000</v>
      </c>
    </row>
    <row r="1623" spans="1:8" ht="13.5" customHeight="1" x14ac:dyDescent="0.3">
      <c r="A1623" s="1" t="s">
        <v>237</v>
      </c>
      <c r="B1623" s="1" t="s">
        <v>65</v>
      </c>
      <c r="C1623" s="1" t="s">
        <v>4738</v>
      </c>
      <c r="D1623" s="1">
        <v>2024</v>
      </c>
      <c r="E1623" s="1" t="str">
        <f t="shared" si="6"/>
        <v>C5C5 1.6 AUT2024</v>
      </c>
      <c r="F1623" s="1" t="s">
        <v>711</v>
      </c>
      <c r="G1623" s="1">
        <v>14990000</v>
      </c>
      <c r="H1623" s="1">
        <v>12700000</v>
      </c>
    </row>
    <row r="1624" spans="1:8" ht="13.5" customHeight="1" x14ac:dyDescent="0.3">
      <c r="A1624" s="1" t="s">
        <v>2549</v>
      </c>
      <c r="B1624" s="1" t="s">
        <v>3485</v>
      </c>
      <c r="C1624" s="1" t="s">
        <v>4739</v>
      </c>
      <c r="D1624" s="1">
        <v>2024</v>
      </c>
      <c r="E1624" s="1" t="str">
        <f t="shared" si="6"/>
        <v>CORSACORSA 100 1.2 AUT2024</v>
      </c>
      <c r="F1624" s="1" t="s">
        <v>351</v>
      </c>
      <c r="G1624" s="1">
        <v>13190000</v>
      </c>
      <c r="H1624" s="1">
        <v>11300000</v>
      </c>
    </row>
    <row r="1625" spans="1:8" ht="13.5" customHeight="1" x14ac:dyDescent="0.3">
      <c r="A1625" s="1" t="s">
        <v>2549</v>
      </c>
      <c r="B1625" s="1" t="s">
        <v>3485</v>
      </c>
      <c r="C1625" s="1" t="s">
        <v>4739</v>
      </c>
      <c r="D1625" s="1">
        <v>2024</v>
      </c>
      <c r="E1625" s="1" t="str">
        <f t="shared" si="6"/>
        <v>CORSACORSA 100 1.2 AUT2024</v>
      </c>
      <c r="F1625" s="1" t="s">
        <v>1058</v>
      </c>
      <c r="G1625" s="1">
        <v>13990000</v>
      </c>
      <c r="H1625" s="1">
        <v>12500000</v>
      </c>
    </row>
    <row r="1626" spans="1:8" ht="13.5" customHeight="1" x14ac:dyDescent="0.3">
      <c r="A1626" s="1" t="s">
        <v>2549</v>
      </c>
      <c r="B1626" s="1" t="s">
        <v>3485</v>
      </c>
      <c r="C1626" s="1" t="s">
        <v>4740</v>
      </c>
      <c r="D1626" s="1">
        <v>2021</v>
      </c>
      <c r="E1626" s="1" t="str">
        <f t="shared" si="6"/>
        <v>CORSACORSA BLUE HDI 100 1.52021</v>
      </c>
      <c r="F1626" s="1" t="s">
        <v>895</v>
      </c>
      <c r="G1626" s="1">
        <v>9590000</v>
      </c>
      <c r="H1626" s="1">
        <v>7600000</v>
      </c>
    </row>
    <row r="1627" spans="1:8" ht="13.5" customHeight="1" x14ac:dyDescent="0.3">
      <c r="A1627" s="1" t="s">
        <v>2549</v>
      </c>
      <c r="B1627" s="1" t="s">
        <v>3485</v>
      </c>
      <c r="C1627" s="1" t="s">
        <v>4741</v>
      </c>
      <c r="D1627" s="1">
        <v>2022</v>
      </c>
      <c r="E1627" s="1" t="str">
        <f t="shared" si="6"/>
        <v>CORSACORSA HB 1.2 AUT2022</v>
      </c>
      <c r="F1627" s="1" t="s">
        <v>1157</v>
      </c>
      <c r="G1627" s="1">
        <v>11834120</v>
      </c>
      <c r="H1627" s="1">
        <v>10200000</v>
      </c>
    </row>
    <row r="1628" spans="1:8" ht="13.5" customHeight="1" x14ac:dyDescent="0.3">
      <c r="A1628" s="1" t="s">
        <v>2549</v>
      </c>
      <c r="B1628" s="1" t="s">
        <v>3485</v>
      </c>
      <c r="C1628" s="1" t="s">
        <v>4742</v>
      </c>
      <c r="D1628" s="1">
        <v>2019</v>
      </c>
      <c r="E1628" s="1" t="str">
        <f t="shared" si="6"/>
        <v>CORSACORSA HB5 1.42019</v>
      </c>
      <c r="F1628" s="1" t="s">
        <v>2288</v>
      </c>
      <c r="G1628" s="1">
        <v>8490000</v>
      </c>
      <c r="H1628" s="1">
        <v>8000000</v>
      </c>
    </row>
    <row r="1629" spans="1:8" ht="13.5" customHeight="1" x14ac:dyDescent="0.3">
      <c r="A1629" s="1" t="s">
        <v>2549</v>
      </c>
      <c r="B1629" s="1" t="s">
        <v>3485</v>
      </c>
      <c r="C1629" s="1" t="s">
        <v>4743</v>
      </c>
      <c r="D1629" s="1">
        <v>2023</v>
      </c>
      <c r="E1629" s="1" t="str">
        <f t="shared" si="6"/>
        <v>CORSACORSA TD 100 1.52023</v>
      </c>
      <c r="F1629" s="1" t="s">
        <v>623</v>
      </c>
      <c r="G1629" s="1">
        <v>11390000</v>
      </c>
      <c r="H1629" s="1">
        <v>9500000</v>
      </c>
    </row>
    <row r="1630" spans="1:8" ht="13.5" customHeight="1" x14ac:dyDescent="0.3">
      <c r="A1630" s="1" t="s">
        <v>2549</v>
      </c>
      <c r="B1630" s="1" t="s">
        <v>3485</v>
      </c>
      <c r="C1630" s="1" t="s">
        <v>4743</v>
      </c>
      <c r="D1630" s="1">
        <v>2023</v>
      </c>
      <c r="E1630" s="1" t="str">
        <f t="shared" si="6"/>
        <v>CORSACORSA TD 100 1.52023</v>
      </c>
      <c r="F1630" s="1" t="s">
        <v>1083</v>
      </c>
      <c r="G1630" s="1">
        <v>12490000</v>
      </c>
      <c r="H1630" s="1">
        <v>10000000</v>
      </c>
    </row>
    <row r="1631" spans="1:8" ht="13.5" customHeight="1" x14ac:dyDescent="0.3">
      <c r="A1631" s="1" t="s">
        <v>2549</v>
      </c>
      <c r="B1631" s="1" t="s">
        <v>4744</v>
      </c>
      <c r="C1631" s="1" t="s">
        <v>4745</v>
      </c>
      <c r="D1631" s="1">
        <v>2023</v>
      </c>
      <c r="E1631" s="1" t="str">
        <f t="shared" si="6"/>
        <v>CROSSLANDCROSSLAND MT6 1.2T2023</v>
      </c>
      <c r="F1631" s="1" t="s">
        <v>1272</v>
      </c>
      <c r="G1631" s="1">
        <v>13195520</v>
      </c>
      <c r="H1631" s="1">
        <v>11000000</v>
      </c>
    </row>
    <row r="1632" spans="1:8" ht="13.5" customHeight="1" x14ac:dyDescent="0.3">
      <c r="A1632" s="1" t="s">
        <v>2549</v>
      </c>
      <c r="B1632" s="1" t="s">
        <v>4744</v>
      </c>
      <c r="C1632" s="1" t="s">
        <v>4746</v>
      </c>
      <c r="D1632" s="1">
        <v>2022</v>
      </c>
      <c r="E1632" s="1" t="str">
        <f t="shared" si="6"/>
        <v>CROSSLANDCROSSLAND TD MT6 1.52022</v>
      </c>
      <c r="F1632" s="1" t="s">
        <v>906</v>
      </c>
      <c r="G1632" s="1">
        <v>11290000</v>
      </c>
      <c r="H1632" s="1">
        <v>8950000</v>
      </c>
    </row>
    <row r="1633" spans="1:8" ht="13.5" customHeight="1" x14ac:dyDescent="0.3">
      <c r="A1633" s="1" t="s">
        <v>2549</v>
      </c>
      <c r="B1633" s="1" t="s">
        <v>4747</v>
      </c>
      <c r="C1633" s="1" t="s">
        <v>4748</v>
      </c>
      <c r="D1633" s="1">
        <v>2021</v>
      </c>
      <c r="E1633" s="1" t="str">
        <f t="shared" si="6"/>
        <v>GRANDLANDGRANDLAND 1.6 AUT2021</v>
      </c>
      <c r="F1633" s="1" t="s">
        <v>2021</v>
      </c>
      <c r="G1633" s="1">
        <v>15090000</v>
      </c>
      <c r="H1633" s="1">
        <v>12000000</v>
      </c>
    </row>
    <row r="1634" spans="1:8" ht="13.5" customHeight="1" x14ac:dyDescent="0.3">
      <c r="A1634" s="1" t="s">
        <v>2549</v>
      </c>
      <c r="B1634" s="1" t="s">
        <v>4747</v>
      </c>
      <c r="C1634" s="1" t="s">
        <v>4749</v>
      </c>
      <c r="D1634" s="1">
        <v>2023</v>
      </c>
      <c r="E1634" s="1" t="str">
        <f t="shared" si="6"/>
        <v>GRANDLANDGRANDLAND 130 1.2T AUT2023</v>
      </c>
      <c r="F1634" s="1" t="s">
        <v>873</v>
      </c>
      <c r="G1634" s="1">
        <v>15990000</v>
      </c>
      <c r="H1634" s="1">
        <v>14800000</v>
      </c>
    </row>
    <row r="1635" spans="1:8" ht="13.5" customHeight="1" x14ac:dyDescent="0.3">
      <c r="A1635" s="1" t="s">
        <v>2549</v>
      </c>
      <c r="B1635" s="1" t="s">
        <v>4747</v>
      </c>
      <c r="C1635" s="1" t="s">
        <v>4749</v>
      </c>
      <c r="D1635" s="1">
        <v>2024</v>
      </c>
      <c r="E1635" s="1" t="str">
        <f t="shared" si="6"/>
        <v>GRANDLANDGRANDLAND 130 1.2T AUT2024</v>
      </c>
      <c r="F1635" s="1" t="s">
        <v>1151</v>
      </c>
      <c r="G1635" s="1">
        <v>15990000</v>
      </c>
      <c r="H1635" s="1">
        <v>18200000</v>
      </c>
    </row>
    <row r="1636" spans="1:8" ht="13.5" customHeight="1" x14ac:dyDescent="0.3">
      <c r="A1636" s="1" t="s">
        <v>2549</v>
      </c>
      <c r="B1636" s="1" t="s">
        <v>4750</v>
      </c>
      <c r="C1636" s="1" t="s">
        <v>4751</v>
      </c>
      <c r="D1636" s="1">
        <v>2022</v>
      </c>
      <c r="E1636" s="1" t="str">
        <f t="shared" si="6"/>
        <v>MOKKAMOKKA 1.2T2022</v>
      </c>
      <c r="F1636" s="1" t="s">
        <v>1356</v>
      </c>
      <c r="G1636" s="1">
        <v>15683970</v>
      </c>
      <c r="H1636" s="1">
        <v>13500000</v>
      </c>
    </row>
    <row r="1637" spans="1:8" ht="13.5" customHeight="1" x14ac:dyDescent="0.3">
      <c r="A1637" s="1" t="s">
        <v>2549</v>
      </c>
      <c r="B1637" s="1" t="s">
        <v>4750</v>
      </c>
      <c r="C1637" s="1" t="s">
        <v>4751</v>
      </c>
      <c r="D1637" s="1">
        <v>2022</v>
      </c>
      <c r="E1637" s="1" t="str">
        <f t="shared" si="6"/>
        <v>MOKKAMOKKA 1.2T2022</v>
      </c>
      <c r="F1637" s="1" t="s">
        <v>1420</v>
      </c>
      <c r="G1637" s="1">
        <v>13990000</v>
      </c>
      <c r="H1637" s="1">
        <v>13000000</v>
      </c>
    </row>
    <row r="1638" spans="1:8" ht="13.5" customHeight="1" x14ac:dyDescent="0.3">
      <c r="A1638" s="1" t="s">
        <v>2549</v>
      </c>
      <c r="B1638" s="1" t="s">
        <v>4750</v>
      </c>
      <c r="C1638" s="1" t="s">
        <v>4751</v>
      </c>
      <c r="D1638" s="1">
        <v>2023</v>
      </c>
      <c r="E1638" s="1" t="str">
        <f t="shared" si="6"/>
        <v>MOKKAMOKKA 1.2T2023</v>
      </c>
      <c r="F1638" s="1" t="s">
        <v>363</v>
      </c>
      <c r="G1638" s="1">
        <v>13490000</v>
      </c>
      <c r="H1638" s="1">
        <v>10700000</v>
      </c>
    </row>
    <row r="1639" spans="1:8" ht="13.5" customHeight="1" x14ac:dyDescent="0.3">
      <c r="A1639" s="1" t="s">
        <v>2549</v>
      </c>
      <c r="B1639" s="1" t="s">
        <v>4750</v>
      </c>
      <c r="C1639" s="1" t="s">
        <v>4752</v>
      </c>
      <c r="D1639" s="1">
        <v>2023</v>
      </c>
      <c r="E1639" s="1" t="str">
        <f t="shared" si="6"/>
        <v>MOKKAMOKKA 1.2T AUT2023</v>
      </c>
      <c r="F1639" s="1" t="s">
        <v>1163</v>
      </c>
      <c r="G1639" s="1">
        <v>16590000</v>
      </c>
      <c r="H1639" s="1">
        <v>14200000</v>
      </c>
    </row>
    <row r="1640" spans="1:8" ht="13.5" customHeight="1" x14ac:dyDescent="0.3">
      <c r="A1640" s="1" t="s">
        <v>2549</v>
      </c>
      <c r="B1640" s="1" t="s">
        <v>4750</v>
      </c>
      <c r="C1640" s="1" t="s">
        <v>4752</v>
      </c>
      <c r="D1640" s="1">
        <v>2024</v>
      </c>
      <c r="E1640" s="1" t="str">
        <f t="shared" si="6"/>
        <v>MOKKAMOKKA 1.2T AUT2024</v>
      </c>
      <c r="F1640" s="1" t="s">
        <v>1580</v>
      </c>
      <c r="G1640" s="1">
        <v>18990000</v>
      </c>
      <c r="H1640" s="1">
        <v>16800000</v>
      </c>
    </row>
    <row r="1641" spans="1:8" ht="13.5" customHeight="1" x14ac:dyDescent="0.3">
      <c r="A1641" s="1" t="s">
        <v>2549</v>
      </c>
      <c r="B1641" s="1" t="s">
        <v>4750</v>
      </c>
      <c r="C1641" s="1" t="s">
        <v>4752</v>
      </c>
      <c r="D1641" s="1">
        <v>2024</v>
      </c>
      <c r="E1641" s="1" t="str">
        <f t="shared" si="6"/>
        <v>MOKKAMOKKA 1.2T AUT2024</v>
      </c>
      <c r="F1641" s="1" t="s">
        <v>784</v>
      </c>
      <c r="G1641" s="1">
        <v>16490000</v>
      </c>
      <c r="H1641" s="1">
        <v>14000000</v>
      </c>
    </row>
    <row r="1642" spans="1:8" ht="13.5" customHeight="1" x14ac:dyDescent="0.3">
      <c r="A1642" s="1" t="s">
        <v>2549</v>
      </c>
      <c r="B1642" s="1" t="s">
        <v>4750</v>
      </c>
      <c r="C1642" s="1" t="s">
        <v>4753</v>
      </c>
      <c r="D1642" s="1">
        <v>2020</v>
      </c>
      <c r="E1642" s="1" t="str">
        <f t="shared" si="6"/>
        <v>MOKKAMOKKA 1.4 AUT2020</v>
      </c>
      <c r="F1642" s="1" t="s">
        <v>1740</v>
      </c>
      <c r="G1642" s="1">
        <v>11833620</v>
      </c>
      <c r="H1642" s="1">
        <v>10000000</v>
      </c>
    </row>
    <row r="1643" spans="1:8" ht="13.5" customHeight="1" x14ac:dyDescent="0.3">
      <c r="A1643" s="1" t="s">
        <v>2549</v>
      </c>
      <c r="B1643" s="1" t="s">
        <v>4750</v>
      </c>
      <c r="C1643" s="1" t="s">
        <v>4754</v>
      </c>
      <c r="D1643" s="1">
        <v>2023</v>
      </c>
      <c r="E1643" s="1" t="str">
        <f t="shared" si="6"/>
        <v>MOKKAMOKKA 1.5 TD2023</v>
      </c>
      <c r="F1643" s="1" t="s">
        <v>1062</v>
      </c>
      <c r="G1643" s="1">
        <v>16800000</v>
      </c>
      <c r="H1643" s="1">
        <v>13500000</v>
      </c>
    </row>
    <row r="1644" spans="1:8" ht="13.5" customHeight="1" x14ac:dyDescent="0.3">
      <c r="A1644" s="1" t="s">
        <v>241</v>
      </c>
      <c r="B1644" s="1" t="s">
        <v>3948</v>
      </c>
      <c r="C1644" s="1" t="s">
        <v>4755</v>
      </c>
      <c r="D1644" s="1">
        <v>2016</v>
      </c>
      <c r="E1644" s="1" t="str">
        <f t="shared" si="6"/>
        <v>4008 FELINE 4WD 2.0 AUT2016</v>
      </c>
      <c r="F1644" s="1" t="s">
        <v>1304</v>
      </c>
      <c r="G1644" s="1">
        <v>8990000</v>
      </c>
      <c r="H1644" s="1">
        <v>8000000</v>
      </c>
    </row>
    <row r="1645" spans="1:8" ht="13.5" customHeight="1" x14ac:dyDescent="0.3">
      <c r="A1645" s="1" t="s">
        <v>241</v>
      </c>
      <c r="B1645" s="1" t="s">
        <v>4756</v>
      </c>
      <c r="C1645" s="1" t="s">
        <v>4757</v>
      </c>
      <c r="D1645" s="1">
        <v>2020</v>
      </c>
      <c r="E1645" s="1" t="str">
        <f t="shared" si="6"/>
        <v>20082008 ACTIVE 1.22020</v>
      </c>
      <c r="F1645" s="1" t="s">
        <v>1197</v>
      </c>
      <c r="G1645" s="1">
        <v>28848217</v>
      </c>
      <c r="H1645" s="1">
        <v>23800000</v>
      </c>
    </row>
    <row r="1646" spans="1:8" ht="13.5" customHeight="1" x14ac:dyDescent="0.3">
      <c r="A1646" s="1" t="s">
        <v>241</v>
      </c>
      <c r="B1646" s="1" t="s">
        <v>4756</v>
      </c>
      <c r="C1646" s="1" t="s">
        <v>4758</v>
      </c>
      <c r="D1646" s="1">
        <v>2025</v>
      </c>
      <c r="E1646" s="1" t="str">
        <f t="shared" si="6"/>
        <v>20082008 ACTIVE 130 1.22025</v>
      </c>
      <c r="F1646" s="1" t="s">
        <v>443</v>
      </c>
      <c r="G1646" s="1">
        <v>14290000</v>
      </c>
      <c r="H1646" s="1">
        <v>12000000</v>
      </c>
    </row>
    <row r="1647" spans="1:8" ht="13.5" customHeight="1" x14ac:dyDescent="0.3">
      <c r="A1647" s="1" t="s">
        <v>241</v>
      </c>
      <c r="B1647" s="1" t="s">
        <v>4756</v>
      </c>
      <c r="C1647" s="1" t="s">
        <v>4759</v>
      </c>
      <c r="D1647" s="1">
        <v>2019</v>
      </c>
      <c r="E1647" s="1" t="str">
        <f t="shared" si="6"/>
        <v>20082008 ACTIVE BLUEHDI 1.52019</v>
      </c>
      <c r="F1647" s="1" t="s">
        <v>2260</v>
      </c>
      <c r="G1647" s="1">
        <v>10690000</v>
      </c>
      <c r="H1647" s="1">
        <v>8800000</v>
      </c>
    </row>
    <row r="1648" spans="1:8" ht="13.5" customHeight="1" x14ac:dyDescent="0.3">
      <c r="A1648" s="1" t="s">
        <v>241</v>
      </c>
      <c r="B1648" s="1" t="s">
        <v>4756</v>
      </c>
      <c r="C1648" s="1" t="s">
        <v>4760</v>
      </c>
      <c r="D1648" s="1">
        <v>2018</v>
      </c>
      <c r="E1648" s="1" t="str">
        <f t="shared" si="6"/>
        <v>20082008 ACTIVE BLUEHDI 1.62018</v>
      </c>
      <c r="F1648" s="1" t="s">
        <v>502</v>
      </c>
      <c r="G1648" s="1">
        <v>7290000</v>
      </c>
      <c r="H1648" s="1">
        <v>5500000</v>
      </c>
    </row>
    <row r="1649" spans="1:8" ht="13.5" customHeight="1" x14ac:dyDescent="0.3">
      <c r="A1649" s="1" t="s">
        <v>241</v>
      </c>
      <c r="B1649" s="1" t="s">
        <v>4756</v>
      </c>
      <c r="C1649" s="1" t="s">
        <v>4761</v>
      </c>
      <c r="D1649" s="1">
        <v>2024</v>
      </c>
      <c r="E1649" s="1" t="str">
        <f t="shared" si="6"/>
        <v>20082008 ALLURE 130 1.22024</v>
      </c>
      <c r="F1649" s="1" t="s">
        <v>1094</v>
      </c>
      <c r="G1649" s="1">
        <v>16990000</v>
      </c>
      <c r="H1649" s="1">
        <v>16000000</v>
      </c>
    </row>
    <row r="1650" spans="1:8" ht="13.5" customHeight="1" x14ac:dyDescent="0.3">
      <c r="A1650" s="1" t="s">
        <v>241</v>
      </c>
      <c r="B1650" s="1" t="s">
        <v>4756</v>
      </c>
      <c r="C1650" s="1" t="s">
        <v>4762</v>
      </c>
      <c r="D1650" s="1">
        <v>2020</v>
      </c>
      <c r="E1650" s="1" t="str">
        <f t="shared" si="6"/>
        <v>20082008 ALLURE BLUEHDI 1.5 AUT2020</v>
      </c>
      <c r="F1650" s="1" t="s">
        <v>2515</v>
      </c>
      <c r="G1650" s="1">
        <v>8990000</v>
      </c>
      <c r="H1650" s="1">
        <v>17950000</v>
      </c>
    </row>
    <row r="1651" spans="1:8" ht="13.5" customHeight="1" x14ac:dyDescent="0.3">
      <c r="A1651" s="1" t="s">
        <v>241</v>
      </c>
      <c r="B1651" s="1" t="s">
        <v>4756</v>
      </c>
      <c r="C1651" s="1" t="s">
        <v>4762</v>
      </c>
      <c r="D1651" s="1">
        <v>2021</v>
      </c>
      <c r="E1651" s="1" t="str">
        <f t="shared" si="6"/>
        <v>20082008 ALLURE BLUEHDI 1.5 AUT2021</v>
      </c>
      <c r="F1651" s="1" t="s">
        <v>2340</v>
      </c>
      <c r="G1651" s="1">
        <v>13790000</v>
      </c>
      <c r="H1651" s="1">
        <v>11700000</v>
      </c>
    </row>
    <row r="1652" spans="1:8" ht="13.5" customHeight="1" x14ac:dyDescent="0.3">
      <c r="A1652" s="1" t="s">
        <v>241</v>
      </c>
      <c r="B1652" s="1" t="s">
        <v>4756</v>
      </c>
      <c r="C1652" s="1" t="s">
        <v>4763</v>
      </c>
      <c r="D1652" s="1">
        <v>2017</v>
      </c>
      <c r="E1652" s="1" t="str">
        <f t="shared" si="6"/>
        <v>20082008 ALLURE BLUEHDI 1.62017</v>
      </c>
      <c r="F1652" s="1" t="s">
        <v>2296</v>
      </c>
      <c r="G1652" s="1">
        <v>10590000</v>
      </c>
      <c r="H1652" s="1">
        <v>8500000</v>
      </c>
    </row>
    <row r="1653" spans="1:8" ht="13.5" customHeight="1" x14ac:dyDescent="0.3">
      <c r="A1653" s="1" t="s">
        <v>241</v>
      </c>
      <c r="B1653" s="1" t="s">
        <v>4756</v>
      </c>
      <c r="C1653" s="1" t="s">
        <v>4764</v>
      </c>
      <c r="D1653" s="1">
        <v>2019</v>
      </c>
      <c r="E1653" s="1" t="str">
        <f t="shared" si="6"/>
        <v>20082008 BLUE HDI 1.52019</v>
      </c>
      <c r="F1653" s="1" t="s">
        <v>1977</v>
      </c>
      <c r="G1653" s="1">
        <v>11490000</v>
      </c>
      <c r="H1653" s="1">
        <v>8315966</v>
      </c>
    </row>
    <row r="1654" spans="1:8" ht="13.5" customHeight="1" x14ac:dyDescent="0.3">
      <c r="A1654" s="1" t="s">
        <v>241</v>
      </c>
      <c r="B1654" s="1" t="s">
        <v>4756</v>
      </c>
      <c r="C1654" s="1" t="s">
        <v>4765</v>
      </c>
      <c r="D1654" s="1">
        <v>2022</v>
      </c>
      <c r="E1654" s="1" t="str">
        <f t="shared" si="6"/>
        <v>20082008 BLUE HDI 100 4X2 1.52022</v>
      </c>
      <c r="F1654" s="1" t="s">
        <v>456</v>
      </c>
      <c r="G1654" s="1">
        <v>12890000</v>
      </c>
      <c r="H1654" s="1">
        <v>11000000</v>
      </c>
    </row>
    <row r="1655" spans="1:8" ht="13.5" customHeight="1" x14ac:dyDescent="0.3">
      <c r="A1655" s="1" t="s">
        <v>241</v>
      </c>
      <c r="B1655" s="1" t="s">
        <v>4756</v>
      </c>
      <c r="C1655" s="1" t="s">
        <v>4765</v>
      </c>
      <c r="D1655" s="1">
        <v>2023</v>
      </c>
      <c r="E1655" s="1" t="str">
        <f t="shared" si="6"/>
        <v>20082008 BLUE HDI 100 4X2 1.52023</v>
      </c>
      <c r="F1655" s="1" t="s">
        <v>1141</v>
      </c>
      <c r="G1655" s="1">
        <v>17644120</v>
      </c>
      <c r="H1655" s="1">
        <v>15200000</v>
      </c>
    </row>
    <row r="1656" spans="1:8" ht="13.5" customHeight="1" x14ac:dyDescent="0.3">
      <c r="A1656" s="1" t="s">
        <v>241</v>
      </c>
      <c r="B1656" s="1" t="s">
        <v>4756</v>
      </c>
      <c r="C1656" s="1" t="s">
        <v>4766</v>
      </c>
      <c r="D1656" s="1">
        <v>2021</v>
      </c>
      <c r="E1656" s="1" t="str">
        <f t="shared" si="6"/>
        <v>20082008 BLUE HDI 100 TM 1.52021</v>
      </c>
      <c r="F1656" s="1" t="s">
        <v>2390</v>
      </c>
      <c r="G1656" s="1">
        <v>18290000</v>
      </c>
      <c r="H1656" s="1">
        <v>16790000</v>
      </c>
    </row>
    <row r="1657" spans="1:8" ht="13.5" customHeight="1" x14ac:dyDescent="0.3">
      <c r="A1657" s="1" t="s">
        <v>241</v>
      </c>
      <c r="B1657" s="1" t="s">
        <v>4756</v>
      </c>
      <c r="C1657" s="1" t="s">
        <v>4766</v>
      </c>
      <c r="D1657" s="1">
        <v>2021</v>
      </c>
      <c r="E1657" s="1" t="str">
        <f t="shared" si="6"/>
        <v>20082008 BLUE HDI 100 TM 1.52021</v>
      </c>
      <c r="F1657" s="1" t="s">
        <v>688</v>
      </c>
      <c r="G1657" s="1">
        <v>12490000</v>
      </c>
      <c r="H1657" s="1">
        <v>10000000</v>
      </c>
    </row>
    <row r="1658" spans="1:8" ht="13.5" customHeight="1" x14ac:dyDescent="0.3">
      <c r="A1658" s="1" t="s">
        <v>241</v>
      </c>
      <c r="B1658" s="1" t="s">
        <v>4756</v>
      </c>
      <c r="C1658" s="1" t="s">
        <v>4767</v>
      </c>
      <c r="D1658" s="1">
        <v>2021</v>
      </c>
      <c r="E1658" s="1" t="str">
        <f t="shared" si="6"/>
        <v>20082008 BLUE HDI 130 1.5 AUT2021</v>
      </c>
      <c r="F1658" s="1" t="s">
        <v>1226</v>
      </c>
      <c r="G1658" s="1">
        <v>15590000</v>
      </c>
      <c r="H1658" s="1">
        <v>12600000</v>
      </c>
    </row>
    <row r="1659" spans="1:8" ht="13.5" customHeight="1" x14ac:dyDescent="0.3">
      <c r="A1659" s="1" t="s">
        <v>241</v>
      </c>
      <c r="B1659" s="1" t="s">
        <v>4756</v>
      </c>
      <c r="C1659" s="1" t="s">
        <v>4767</v>
      </c>
      <c r="D1659" s="1">
        <v>2021</v>
      </c>
      <c r="E1659" s="1" t="str">
        <f t="shared" si="6"/>
        <v>20082008 BLUE HDI 130 1.5 AUT2021</v>
      </c>
      <c r="F1659" s="1" t="s">
        <v>4768</v>
      </c>
      <c r="G1659" s="1">
        <v>21990000</v>
      </c>
      <c r="H1659" s="1">
        <v>20050000</v>
      </c>
    </row>
    <row r="1660" spans="1:8" ht="13.5" customHeight="1" x14ac:dyDescent="0.3">
      <c r="A1660" s="1" t="s">
        <v>241</v>
      </c>
      <c r="B1660" s="1" t="s">
        <v>4756</v>
      </c>
      <c r="C1660" s="1" t="s">
        <v>4767</v>
      </c>
      <c r="D1660" s="1">
        <v>2021</v>
      </c>
      <c r="E1660" s="1" t="str">
        <f t="shared" si="6"/>
        <v>20082008 BLUE HDI 130 1.5 AUT2021</v>
      </c>
      <c r="F1660" s="1" t="s">
        <v>4769</v>
      </c>
      <c r="G1660" s="1">
        <v>18990000</v>
      </c>
      <c r="H1660" s="1">
        <v>20100000</v>
      </c>
    </row>
    <row r="1661" spans="1:8" ht="13.5" customHeight="1" x14ac:dyDescent="0.3">
      <c r="A1661" s="1" t="s">
        <v>241</v>
      </c>
      <c r="B1661" s="1" t="s">
        <v>4756</v>
      </c>
      <c r="C1661" s="1" t="s">
        <v>4767</v>
      </c>
      <c r="D1661" s="1">
        <v>2021</v>
      </c>
      <c r="E1661" s="1" t="str">
        <f t="shared" si="6"/>
        <v>20082008 BLUE HDI 130 1.5 AUT2021</v>
      </c>
      <c r="F1661" s="1" t="s">
        <v>4770</v>
      </c>
      <c r="G1661" s="1">
        <v>15990000</v>
      </c>
      <c r="H1661" s="1">
        <v>15689107</v>
      </c>
    </row>
    <row r="1662" spans="1:8" ht="13.5" customHeight="1" x14ac:dyDescent="0.3">
      <c r="A1662" s="1" t="s">
        <v>241</v>
      </c>
      <c r="B1662" s="1" t="s">
        <v>4756</v>
      </c>
      <c r="C1662" s="1" t="s">
        <v>4771</v>
      </c>
      <c r="D1662" s="1">
        <v>2021</v>
      </c>
      <c r="E1662" s="1" t="str">
        <f t="shared" si="6"/>
        <v>20082008 BLUE HDI 130 EAT8 1.5 AUT2021</v>
      </c>
      <c r="F1662" s="1" t="s">
        <v>1433</v>
      </c>
      <c r="G1662" s="1">
        <v>15290000</v>
      </c>
      <c r="H1662" s="1">
        <v>13700000</v>
      </c>
    </row>
    <row r="1663" spans="1:8" ht="13.5" customHeight="1" x14ac:dyDescent="0.3">
      <c r="A1663" s="1" t="s">
        <v>241</v>
      </c>
      <c r="B1663" s="1" t="s">
        <v>4756</v>
      </c>
      <c r="C1663" s="1" t="s">
        <v>4771</v>
      </c>
      <c r="D1663" s="1">
        <v>2022</v>
      </c>
      <c r="E1663" s="1" t="str">
        <f t="shared" si="6"/>
        <v>20082008 BLUE HDI 130 EAT8 1.5 AUT2022</v>
      </c>
      <c r="F1663" s="1" t="s">
        <v>1654</v>
      </c>
      <c r="G1663" s="1">
        <v>21290000</v>
      </c>
      <c r="H1663" s="1">
        <v>17700000</v>
      </c>
    </row>
    <row r="1664" spans="1:8" ht="13.5" customHeight="1" x14ac:dyDescent="0.3">
      <c r="A1664" s="1" t="s">
        <v>241</v>
      </c>
      <c r="B1664" s="1" t="s">
        <v>4756</v>
      </c>
      <c r="C1664" s="1" t="s">
        <v>4771</v>
      </c>
      <c r="D1664" s="1">
        <v>2023</v>
      </c>
      <c r="E1664" s="1" t="str">
        <f t="shared" si="6"/>
        <v>20082008 BLUE HDI 130 EAT8 1.5 AUT2023</v>
      </c>
      <c r="F1664" s="1" t="s">
        <v>4772</v>
      </c>
      <c r="G1664" s="1">
        <v>24500000</v>
      </c>
      <c r="H1664" s="1">
        <v>23856402</v>
      </c>
    </row>
    <row r="1665" spans="1:8" ht="13.5" customHeight="1" x14ac:dyDescent="0.3">
      <c r="A1665" s="1" t="s">
        <v>241</v>
      </c>
      <c r="B1665" s="1" t="s">
        <v>4756</v>
      </c>
      <c r="C1665" s="1" t="s">
        <v>4771</v>
      </c>
      <c r="D1665" s="1">
        <v>2023</v>
      </c>
      <c r="E1665" s="1" t="str">
        <f t="shared" si="6"/>
        <v>20082008 BLUE HDI 130 EAT8 1.5 AUT2023</v>
      </c>
      <c r="F1665" s="1" t="s">
        <v>618</v>
      </c>
      <c r="G1665" s="1">
        <v>16990000</v>
      </c>
      <c r="H1665" s="1">
        <v>15000000</v>
      </c>
    </row>
    <row r="1666" spans="1:8" ht="13.5" customHeight="1" x14ac:dyDescent="0.3">
      <c r="A1666" s="1" t="s">
        <v>241</v>
      </c>
      <c r="B1666" s="1" t="s">
        <v>4756</v>
      </c>
      <c r="C1666" s="1" t="s">
        <v>4771</v>
      </c>
      <c r="D1666" s="1">
        <v>2024</v>
      </c>
      <c r="E1666" s="1" t="str">
        <f t="shared" si="6"/>
        <v>20082008 BLUE HDI 130 EAT8 1.5 AUT2024</v>
      </c>
      <c r="F1666" s="1" t="s">
        <v>571</v>
      </c>
      <c r="G1666" s="1">
        <v>19690000</v>
      </c>
      <c r="H1666" s="1">
        <v>16800000</v>
      </c>
    </row>
    <row r="1667" spans="1:8" ht="13.5" customHeight="1" x14ac:dyDescent="0.3">
      <c r="A1667" s="1" t="s">
        <v>241</v>
      </c>
      <c r="B1667" s="1" t="s">
        <v>4756</v>
      </c>
      <c r="C1667" s="1" t="s">
        <v>4771</v>
      </c>
      <c r="D1667" s="1">
        <v>2024</v>
      </c>
      <c r="E1667" s="1" t="str">
        <f t="shared" si="6"/>
        <v>20082008 BLUE HDI 130 EAT8 1.5 AUT2024</v>
      </c>
      <c r="F1667" s="1" t="s">
        <v>888</v>
      </c>
      <c r="G1667" s="1">
        <v>22990000</v>
      </c>
      <c r="H1667" s="1">
        <v>19000000</v>
      </c>
    </row>
    <row r="1668" spans="1:8" ht="13.5" customHeight="1" x14ac:dyDescent="0.3">
      <c r="A1668" s="1" t="s">
        <v>241</v>
      </c>
      <c r="B1668" s="1" t="s">
        <v>4756</v>
      </c>
      <c r="C1668" s="1" t="s">
        <v>4773</v>
      </c>
      <c r="D1668" s="1">
        <v>2021</v>
      </c>
      <c r="E1668" s="1" t="str">
        <f t="shared" si="6"/>
        <v>20082008 PREMIERE BLUEHDI 1.5 AUT2021</v>
      </c>
      <c r="F1668" s="1" t="s">
        <v>2004</v>
      </c>
      <c r="G1668" s="1">
        <v>16290000</v>
      </c>
      <c r="H1668" s="1">
        <v>13500000</v>
      </c>
    </row>
    <row r="1669" spans="1:8" ht="13.5" customHeight="1" x14ac:dyDescent="0.3">
      <c r="A1669" s="1" t="s">
        <v>241</v>
      </c>
      <c r="B1669" s="1" t="s">
        <v>4756</v>
      </c>
      <c r="C1669" s="1" t="s">
        <v>243</v>
      </c>
      <c r="D1669" s="1">
        <v>2021</v>
      </c>
      <c r="E1669" s="1" t="str">
        <f t="shared" si="6"/>
        <v>20082008 PURETECH 130 1.22021</v>
      </c>
      <c r="F1669" s="1" t="s">
        <v>1089</v>
      </c>
      <c r="G1669" s="1">
        <v>11490000</v>
      </c>
      <c r="H1669" s="1">
        <v>10000000</v>
      </c>
    </row>
    <row r="1670" spans="1:8" ht="13.5" customHeight="1" x14ac:dyDescent="0.3">
      <c r="A1670" s="1" t="s">
        <v>241</v>
      </c>
      <c r="B1670" s="1" t="s">
        <v>4756</v>
      </c>
      <c r="C1670" s="1" t="s">
        <v>243</v>
      </c>
      <c r="D1670" s="1">
        <v>2021</v>
      </c>
      <c r="E1670" s="1" t="str">
        <f t="shared" si="6"/>
        <v>20082008 PURETECH 130 1.22021</v>
      </c>
      <c r="F1670" s="1" t="s">
        <v>536</v>
      </c>
      <c r="G1670" s="1">
        <v>10190000</v>
      </c>
      <c r="H1670" s="1">
        <v>8200000</v>
      </c>
    </row>
    <row r="1671" spans="1:8" ht="13.5" customHeight="1" x14ac:dyDescent="0.3">
      <c r="A1671" s="1" t="s">
        <v>241</v>
      </c>
      <c r="B1671" s="1" t="s">
        <v>4756</v>
      </c>
      <c r="C1671" s="1" t="s">
        <v>243</v>
      </c>
      <c r="D1671" s="1">
        <v>2021</v>
      </c>
      <c r="E1671" s="1" t="str">
        <f t="shared" si="6"/>
        <v>20082008 PURETECH 130 1.22021</v>
      </c>
      <c r="F1671" s="1" t="s">
        <v>1997</v>
      </c>
      <c r="G1671" s="1">
        <v>15490000</v>
      </c>
      <c r="H1671" s="1">
        <v>12000000</v>
      </c>
    </row>
    <row r="1672" spans="1:8" ht="13.5" customHeight="1" x14ac:dyDescent="0.3">
      <c r="A1672" s="1" t="s">
        <v>241</v>
      </c>
      <c r="B1672" s="1" t="s">
        <v>4756</v>
      </c>
      <c r="C1672" s="1" t="s">
        <v>243</v>
      </c>
      <c r="D1672" s="1">
        <v>2022</v>
      </c>
      <c r="E1672" s="1" t="str">
        <f t="shared" si="6"/>
        <v>20082008 PURETECH 130 1.22022</v>
      </c>
      <c r="F1672" s="1" t="s">
        <v>1031</v>
      </c>
      <c r="G1672" s="1">
        <v>14290000</v>
      </c>
      <c r="H1672" s="1">
        <v>12000000</v>
      </c>
    </row>
    <row r="1673" spans="1:8" ht="13.5" customHeight="1" x14ac:dyDescent="0.3">
      <c r="A1673" s="1" t="s">
        <v>241</v>
      </c>
      <c r="B1673" s="1" t="s">
        <v>4756</v>
      </c>
      <c r="C1673" s="1" t="s">
        <v>243</v>
      </c>
      <c r="D1673" s="1">
        <v>2022</v>
      </c>
      <c r="E1673" s="1" t="str">
        <f t="shared" si="6"/>
        <v>20082008 PURETECH 130 1.22022</v>
      </c>
      <c r="F1673" s="1" t="s">
        <v>918</v>
      </c>
      <c r="G1673" s="1">
        <v>11990000</v>
      </c>
      <c r="H1673" s="1">
        <v>10200000</v>
      </c>
    </row>
    <row r="1674" spans="1:8" ht="13.5" customHeight="1" x14ac:dyDescent="0.3">
      <c r="A1674" s="1" t="s">
        <v>241</v>
      </c>
      <c r="B1674" s="1" t="s">
        <v>4756</v>
      </c>
      <c r="C1674" s="1" t="s">
        <v>243</v>
      </c>
      <c r="D1674" s="1">
        <v>2022</v>
      </c>
      <c r="E1674" s="1" t="str">
        <f t="shared" si="6"/>
        <v>20082008 PURETECH 130 1.22022</v>
      </c>
      <c r="F1674" s="1" t="s">
        <v>497</v>
      </c>
      <c r="G1674" s="1">
        <v>11290000</v>
      </c>
      <c r="H1674" s="1">
        <v>9000000</v>
      </c>
    </row>
    <row r="1675" spans="1:8" ht="13.5" customHeight="1" x14ac:dyDescent="0.3">
      <c r="A1675" s="1" t="s">
        <v>241</v>
      </c>
      <c r="B1675" s="1" t="s">
        <v>4756</v>
      </c>
      <c r="C1675" s="1" t="s">
        <v>243</v>
      </c>
      <c r="D1675" s="1">
        <v>2022</v>
      </c>
      <c r="E1675" s="1" t="str">
        <f t="shared" si="6"/>
        <v>20082008 PURETECH 130 1.22022</v>
      </c>
      <c r="F1675" s="1" t="s">
        <v>1321</v>
      </c>
      <c r="G1675" s="1">
        <v>14990000</v>
      </c>
      <c r="H1675" s="1">
        <v>12000000</v>
      </c>
    </row>
    <row r="1676" spans="1:8" ht="13.5" customHeight="1" x14ac:dyDescent="0.3">
      <c r="A1676" s="1" t="s">
        <v>241</v>
      </c>
      <c r="B1676" s="1" t="s">
        <v>4756</v>
      </c>
      <c r="C1676" s="1" t="s">
        <v>243</v>
      </c>
      <c r="D1676" s="1">
        <v>2023</v>
      </c>
      <c r="E1676" s="1" t="str">
        <f t="shared" si="6"/>
        <v>20082008 PURETECH 130 1.22023</v>
      </c>
      <c r="F1676" s="1" t="s">
        <v>616</v>
      </c>
      <c r="G1676" s="1">
        <v>12990000</v>
      </c>
      <c r="H1676" s="1">
        <v>11000000</v>
      </c>
    </row>
    <row r="1677" spans="1:8" ht="13.5" customHeight="1" x14ac:dyDescent="0.3">
      <c r="A1677" s="1" t="s">
        <v>241</v>
      </c>
      <c r="B1677" s="1" t="s">
        <v>4756</v>
      </c>
      <c r="C1677" s="1" t="s">
        <v>243</v>
      </c>
      <c r="D1677" s="1">
        <v>2023</v>
      </c>
      <c r="E1677" s="1" t="str">
        <f t="shared" si="6"/>
        <v>20082008 PURETECH 130 1.22023</v>
      </c>
      <c r="F1677" s="1" t="s">
        <v>959</v>
      </c>
      <c r="G1677" s="1">
        <v>13990000</v>
      </c>
      <c r="H1677" s="1">
        <v>12000000</v>
      </c>
    </row>
    <row r="1678" spans="1:8" ht="13.5" customHeight="1" x14ac:dyDescent="0.3">
      <c r="A1678" s="1" t="s">
        <v>241</v>
      </c>
      <c r="B1678" s="1" t="s">
        <v>4756</v>
      </c>
      <c r="C1678" s="1" t="s">
        <v>243</v>
      </c>
      <c r="D1678" s="1">
        <v>2024</v>
      </c>
      <c r="E1678" s="1" t="str">
        <f t="shared" si="6"/>
        <v>20082008 PURETECH 130 1.22024</v>
      </c>
      <c r="F1678" s="1" t="s">
        <v>724</v>
      </c>
      <c r="G1678" s="1">
        <v>12990000</v>
      </c>
      <c r="H1678" s="1">
        <v>10600000</v>
      </c>
    </row>
    <row r="1679" spans="1:8" ht="13.5" customHeight="1" x14ac:dyDescent="0.3">
      <c r="A1679" s="1" t="s">
        <v>241</v>
      </c>
      <c r="B1679" s="1" t="s">
        <v>4756</v>
      </c>
      <c r="C1679" s="1" t="s">
        <v>4774</v>
      </c>
      <c r="D1679" s="1">
        <v>2023</v>
      </c>
      <c r="E1679" s="1" t="str">
        <f t="shared" si="6"/>
        <v>20082008 PURETECH 130 4X2 1.22023</v>
      </c>
      <c r="F1679" s="1" t="s">
        <v>1677</v>
      </c>
      <c r="G1679" s="1">
        <v>15890000</v>
      </c>
      <c r="H1679" s="1">
        <v>13500000</v>
      </c>
    </row>
    <row r="1680" spans="1:8" ht="13.5" customHeight="1" x14ac:dyDescent="0.3">
      <c r="A1680" s="1" t="s">
        <v>241</v>
      </c>
      <c r="B1680" s="1" t="s">
        <v>4756</v>
      </c>
      <c r="C1680" s="1" t="s">
        <v>4774</v>
      </c>
      <c r="D1680" s="1">
        <v>2023</v>
      </c>
      <c r="E1680" s="1" t="str">
        <f t="shared" si="6"/>
        <v>20082008 PURETECH 130 4X2 1.22023</v>
      </c>
      <c r="F1680" s="1" t="s">
        <v>901</v>
      </c>
      <c r="G1680" s="1">
        <v>13490000</v>
      </c>
      <c r="H1680" s="1">
        <v>10700000</v>
      </c>
    </row>
    <row r="1681" spans="1:8" ht="13.5" customHeight="1" x14ac:dyDescent="0.3">
      <c r="A1681" s="1" t="s">
        <v>241</v>
      </c>
      <c r="B1681" s="1" t="s">
        <v>4756</v>
      </c>
      <c r="C1681" s="1" t="s">
        <v>4775</v>
      </c>
      <c r="D1681" s="1">
        <v>2022</v>
      </c>
      <c r="E1681" s="1" t="str">
        <f t="shared" si="6"/>
        <v>20082008 PURETECH 130 EAT8 1.2 AUT2022</v>
      </c>
      <c r="F1681" s="1" t="s">
        <v>857</v>
      </c>
      <c r="G1681" s="1">
        <v>13490000</v>
      </c>
      <c r="H1681" s="1">
        <v>11000000</v>
      </c>
    </row>
    <row r="1682" spans="1:8" ht="13.5" customHeight="1" x14ac:dyDescent="0.3">
      <c r="A1682" s="1" t="s">
        <v>241</v>
      </c>
      <c r="B1682" s="1" t="s">
        <v>4756</v>
      </c>
      <c r="C1682" s="1" t="s">
        <v>4775</v>
      </c>
      <c r="D1682" s="1">
        <v>2023</v>
      </c>
      <c r="E1682" s="1" t="str">
        <f t="shared" si="6"/>
        <v>20082008 PURETECH 130 EAT8 1.2 AUT2023</v>
      </c>
      <c r="F1682" s="1" t="s">
        <v>1831</v>
      </c>
      <c r="G1682" s="1">
        <v>19990000</v>
      </c>
      <c r="H1682" s="1">
        <v>18000000</v>
      </c>
    </row>
    <row r="1683" spans="1:8" ht="13.5" customHeight="1" x14ac:dyDescent="0.3">
      <c r="A1683" s="1" t="s">
        <v>241</v>
      </c>
      <c r="B1683" s="1" t="s">
        <v>4756</v>
      </c>
      <c r="C1683" s="1" t="s">
        <v>4776</v>
      </c>
      <c r="D1683" s="1">
        <v>2023</v>
      </c>
      <c r="E1683" s="1" t="str">
        <f t="shared" si="6"/>
        <v>2008E 2008 ELECTRIC AUT2023</v>
      </c>
      <c r="F1683" s="1" t="s">
        <v>729</v>
      </c>
      <c r="G1683" s="1">
        <v>14490000</v>
      </c>
      <c r="H1683" s="1">
        <v>24000000</v>
      </c>
    </row>
    <row r="1684" spans="1:8" ht="13.5" customHeight="1" x14ac:dyDescent="0.3">
      <c r="A1684" s="1" t="s">
        <v>241</v>
      </c>
      <c r="B1684" s="1" t="s">
        <v>4777</v>
      </c>
      <c r="C1684" s="1" t="s">
        <v>4778</v>
      </c>
      <c r="D1684" s="1">
        <v>2019</v>
      </c>
      <c r="E1684" s="1" t="str">
        <f t="shared" si="6"/>
        <v>208208 ACTIVE 1.22019</v>
      </c>
      <c r="F1684" s="1" t="s">
        <v>2010</v>
      </c>
      <c r="G1684" s="1">
        <v>8990000</v>
      </c>
      <c r="H1684" s="1">
        <v>6500000</v>
      </c>
    </row>
    <row r="1685" spans="1:8" ht="13.5" customHeight="1" x14ac:dyDescent="0.3">
      <c r="A1685" s="1" t="s">
        <v>241</v>
      </c>
      <c r="B1685" s="1" t="s">
        <v>4777</v>
      </c>
      <c r="C1685" s="1" t="s">
        <v>4779</v>
      </c>
      <c r="D1685" s="1">
        <v>2016</v>
      </c>
      <c r="E1685" s="1" t="str">
        <f t="shared" si="6"/>
        <v>208208 ALLURE HDI 1.42016</v>
      </c>
      <c r="F1685" s="1" t="s">
        <v>1907</v>
      </c>
      <c r="G1685" s="1">
        <v>7390000</v>
      </c>
      <c r="H1685" s="1">
        <v>5903361</v>
      </c>
    </row>
    <row r="1686" spans="1:8" ht="13.5" customHeight="1" x14ac:dyDescent="0.3">
      <c r="A1686" s="1" t="s">
        <v>241</v>
      </c>
      <c r="B1686" s="1" t="s">
        <v>4777</v>
      </c>
      <c r="C1686" s="1" t="s">
        <v>4780</v>
      </c>
      <c r="D1686" s="1">
        <v>2014</v>
      </c>
      <c r="E1686" s="1" t="str">
        <f t="shared" si="6"/>
        <v>208208 ALLURE VTI 1.62014</v>
      </c>
      <c r="F1686" s="1" t="s">
        <v>2195</v>
      </c>
      <c r="G1686" s="1">
        <v>6490000</v>
      </c>
      <c r="H1686" s="1">
        <v>5000000</v>
      </c>
    </row>
    <row r="1687" spans="1:8" ht="13.5" customHeight="1" x14ac:dyDescent="0.3">
      <c r="A1687" s="1" t="s">
        <v>241</v>
      </c>
      <c r="B1687" s="1" t="s">
        <v>4777</v>
      </c>
      <c r="C1687" s="1" t="s">
        <v>4781</v>
      </c>
      <c r="D1687" s="1">
        <v>2021</v>
      </c>
      <c r="E1687" s="1" t="str">
        <f t="shared" si="6"/>
        <v>208208 BLUE HDI 100 4X2 1.52021</v>
      </c>
      <c r="F1687" s="1" t="s">
        <v>2373</v>
      </c>
      <c r="G1687" s="1">
        <v>15290000</v>
      </c>
      <c r="H1687" s="1">
        <v>13500000</v>
      </c>
    </row>
    <row r="1688" spans="1:8" ht="13.5" customHeight="1" x14ac:dyDescent="0.3">
      <c r="A1688" s="1" t="s">
        <v>241</v>
      </c>
      <c r="B1688" s="1" t="s">
        <v>4777</v>
      </c>
      <c r="C1688" s="1" t="s">
        <v>4781</v>
      </c>
      <c r="D1688" s="1">
        <v>2021</v>
      </c>
      <c r="E1688" s="1" t="str">
        <f t="shared" si="6"/>
        <v>208208 BLUE HDI 100 4X2 1.52021</v>
      </c>
      <c r="F1688" s="1" t="s">
        <v>937</v>
      </c>
      <c r="G1688" s="1">
        <v>10000000</v>
      </c>
      <c r="H1688" s="1">
        <v>8300000</v>
      </c>
    </row>
    <row r="1689" spans="1:8" ht="13.5" customHeight="1" x14ac:dyDescent="0.3">
      <c r="A1689" s="1" t="s">
        <v>241</v>
      </c>
      <c r="B1689" s="1" t="s">
        <v>4777</v>
      </c>
      <c r="C1689" s="1" t="s">
        <v>4781</v>
      </c>
      <c r="D1689" s="1">
        <v>2023</v>
      </c>
      <c r="E1689" s="1" t="str">
        <f t="shared" si="6"/>
        <v>208208 BLUE HDI 100 4X2 1.52023</v>
      </c>
      <c r="F1689" s="1" t="s">
        <v>2023</v>
      </c>
      <c r="G1689" s="1">
        <v>15090000</v>
      </c>
      <c r="H1689" s="1">
        <v>12300000</v>
      </c>
    </row>
    <row r="1690" spans="1:8" ht="13.5" customHeight="1" x14ac:dyDescent="0.3">
      <c r="A1690" s="1" t="s">
        <v>241</v>
      </c>
      <c r="B1690" s="1" t="s">
        <v>4777</v>
      </c>
      <c r="C1690" s="1" t="s">
        <v>4781</v>
      </c>
      <c r="D1690" s="1">
        <v>2023</v>
      </c>
      <c r="E1690" s="1" t="str">
        <f t="shared" si="6"/>
        <v>208208 BLUE HDI 100 4X2 1.52023</v>
      </c>
      <c r="F1690" s="1" t="s">
        <v>1217</v>
      </c>
      <c r="G1690" s="1">
        <v>13990000</v>
      </c>
      <c r="H1690" s="1">
        <v>13500000</v>
      </c>
    </row>
    <row r="1691" spans="1:8" ht="13.5" customHeight="1" x14ac:dyDescent="0.3">
      <c r="A1691" s="1" t="s">
        <v>241</v>
      </c>
      <c r="B1691" s="1" t="s">
        <v>4777</v>
      </c>
      <c r="C1691" s="1" t="s">
        <v>4782</v>
      </c>
      <c r="D1691" s="1">
        <v>2020</v>
      </c>
      <c r="E1691" s="1" t="str">
        <f t="shared" si="6"/>
        <v>208208 BLUE HDI HB 1.52020</v>
      </c>
      <c r="F1691" s="1" t="s">
        <v>1280</v>
      </c>
      <c r="G1691" s="1">
        <v>9290000</v>
      </c>
      <c r="H1691" s="1">
        <v>7000000</v>
      </c>
    </row>
    <row r="1692" spans="1:8" ht="13.5" customHeight="1" x14ac:dyDescent="0.3">
      <c r="A1692" s="1" t="s">
        <v>241</v>
      </c>
      <c r="B1692" s="1" t="s">
        <v>4777</v>
      </c>
      <c r="C1692" s="1" t="s">
        <v>4783</v>
      </c>
      <c r="D1692" s="1">
        <v>2020</v>
      </c>
      <c r="E1692" s="1" t="str">
        <f t="shared" si="6"/>
        <v>208208 PURE TECH HB 1.22020</v>
      </c>
      <c r="F1692" s="1" t="s">
        <v>1172</v>
      </c>
      <c r="G1692" s="1">
        <v>7990000</v>
      </c>
      <c r="H1692" s="1">
        <v>6300000</v>
      </c>
    </row>
    <row r="1693" spans="1:8" ht="13.5" customHeight="1" x14ac:dyDescent="0.3">
      <c r="A1693" s="1" t="s">
        <v>241</v>
      </c>
      <c r="B1693" s="1" t="s">
        <v>4777</v>
      </c>
      <c r="C1693" s="1" t="s">
        <v>4784</v>
      </c>
      <c r="D1693" s="1">
        <v>2023</v>
      </c>
      <c r="E1693" s="1" t="str">
        <f t="shared" si="6"/>
        <v>208208 PURETECH 130 EAT8 1.2 AUT2023</v>
      </c>
      <c r="F1693" s="1" t="s">
        <v>1184</v>
      </c>
      <c r="G1693" s="1">
        <v>13310120</v>
      </c>
      <c r="H1693" s="1">
        <v>11500000</v>
      </c>
    </row>
    <row r="1694" spans="1:8" ht="13.5" customHeight="1" x14ac:dyDescent="0.3">
      <c r="A1694" s="1" t="s">
        <v>241</v>
      </c>
      <c r="B1694" s="1" t="s">
        <v>4777</v>
      </c>
      <c r="C1694" s="1" t="s">
        <v>4784</v>
      </c>
      <c r="D1694" s="1">
        <v>2023</v>
      </c>
      <c r="E1694" s="1" t="str">
        <f t="shared" si="6"/>
        <v>208208 PURETECH 130 EAT8 1.2 AUT2023</v>
      </c>
      <c r="F1694" s="1" t="s">
        <v>1201</v>
      </c>
      <c r="G1694" s="1">
        <v>17095520</v>
      </c>
      <c r="H1694" s="1">
        <v>15000000</v>
      </c>
    </row>
    <row r="1695" spans="1:8" ht="13.5" customHeight="1" x14ac:dyDescent="0.3">
      <c r="A1695" s="1" t="s">
        <v>241</v>
      </c>
      <c r="B1695" s="1" t="s">
        <v>4777</v>
      </c>
      <c r="C1695" s="1" t="s">
        <v>4784</v>
      </c>
      <c r="D1695" s="1">
        <v>2023</v>
      </c>
      <c r="E1695" s="1" t="str">
        <f t="shared" si="6"/>
        <v>208208 PURETECH 130 EAT8 1.2 AUT2023</v>
      </c>
      <c r="F1695" s="1" t="s">
        <v>408</v>
      </c>
      <c r="G1695" s="1">
        <v>14290000</v>
      </c>
      <c r="H1695" s="1">
        <v>11000000</v>
      </c>
    </row>
    <row r="1696" spans="1:8" ht="13.5" customHeight="1" x14ac:dyDescent="0.3">
      <c r="A1696" s="1" t="s">
        <v>241</v>
      </c>
      <c r="B1696" s="1" t="s">
        <v>4777</v>
      </c>
      <c r="C1696" s="1" t="s">
        <v>4785</v>
      </c>
      <c r="D1696" s="1">
        <v>2024</v>
      </c>
      <c r="E1696" s="1" t="str">
        <f t="shared" si="6"/>
        <v>208208 PURETECH 4X2 1.22024</v>
      </c>
      <c r="F1696" s="1" t="s">
        <v>889</v>
      </c>
      <c r="G1696" s="1">
        <v>11144620</v>
      </c>
      <c r="H1696" s="1">
        <v>12990000</v>
      </c>
    </row>
    <row r="1697" spans="1:8" ht="13.5" customHeight="1" x14ac:dyDescent="0.3">
      <c r="A1697" s="1" t="s">
        <v>241</v>
      </c>
      <c r="B1697" s="1" t="s">
        <v>4777</v>
      </c>
      <c r="C1697" s="1" t="s">
        <v>4785</v>
      </c>
      <c r="D1697" s="1">
        <v>2025</v>
      </c>
      <c r="E1697" s="1" t="str">
        <f t="shared" si="6"/>
        <v>208208 PURETECH 4X2 1.22025</v>
      </c>
      <c r="F1697" s="1" t="s">
        <v>463</v>
      </c>
      <c r="G1697" s="1">
        <v>11190000</v>
      </c>
      <c r="H1697" s="1">
        <v>10000000</v>
      </c>
    </row>
    <row r="1698" spans="1:8" ht="13.5" customHeight="1" x14ac:dyDescent="0.3">
      <c r="A1698" s="1" t="s">
        <v>241</v>
      </c>
      <c r="B1698" s="1" t="s">
        <v>4777</v>
      </c>
      <c r="C1698" s="1" t="s">
        <v>4786</v>
      </c>
      <c r="D1698" s="1">
        <v>2021</v>
      </c>
      <c r="E1698" s="1" t="str">
        <f t="shared" si="6"/>
        <v>208208 PURETECH 75 1.22021</v>
      </c>
      <c r="F1698" s="1" t="s">
        <v>1911</v>
      </c>
      <c r="G1698" s="1">
        <v>10690000</v>
      </c>
      <c r="H1698" s="1">
        <v>8700000</v>
      </c>
    </row>
    <row r="1699" spans="1:8" ht="13.5" customHeight="1" x14ac:dyDescent="0.3">
      <c r="A1699" s="1" t="s">
        <v>241</v>
      </c>
      <c r="B1699" s="1" t="s">
        <v>4777</v>
      </c>
      <c r="C1699" s="1" t="s">
        <v>4786</v>
      </c>
      <c r="D1699" s="1">
        <v>2022</v>
      </c>
      <c r="E1699" s="1" t="str">
        <f t="shared" si="6"/>
        <v>208208 PURETECH 75 1.22022</v>
      </c>
      <c r="F1699" s="1" t="s">
        <v>1471</v>
      </c>
      <c r="G1699" s="1">
        <v>11390000</v>
      </c>
      <c r="H1699" s="1">
        <v>9500000</v>
      </c>
    </row>
    <row r="1700" spans="1:8" ht="13.5" customHeight="1" x14ac:dyDescent="0.3">
      <c r="A1700" s="1" t="s">
        <v>241</v>
      </c>
      <c r="B1700" s="1" t="s">
        <v>4777</v>
      </c>
      <c r="C1700" s="1" t="s">
        <v>4786</v>
      </c>
      <c r="D1700" s="1">
        <v>2022</v>
      </c>
      <c r="E1700" s="1" t="str">
        <f t="shared" si="6"/>
        <v>208208 PURETECH 75 1.22022</v>
      </c>
      <c r="F1700" s="1" t="s">
        <v>780</v>
      </c>
      <c r="G1700" s="1">
        <v>9690000</v>
      </c>
      <c r="H1700" s="1">
        <v>8000000</v>
      </c>
    </row>
    <row r="1701" spans="1:8" ht="13.5" customHeight="1" x14ac:dyDescent="0.3">
      <c r="A1701" s="1" t="s">
        <v>241</v>
      </c>
      <c r="B1701" s="1" t="s">
        <v>4777</v>
      </c>
      <c r="C1701" s="1" t="s">
        <v>4786</v>
      </c>
      <c r="D1701" s="1">
        <v>2022</v>
      </c>
      <c r="E1701" s="1" t="str">
        <f t="shared" si="6"/>
        <v>208208 PURETECH 75 1.22022</v>
      </c>
      <c r="F1701" s="1" t="s">
        <v>505</v>
      </c>
      <c r="G1701" s="1">
        <v>8890000</v>
      </c>
      <c r="H1701" s="1">
        <v>7400000</v>
      </c>
    </row>
    <row r="1702" spans="1:8" ht="13.5" customHeight="1" x14ac:dyDescent="0.3">
      <c r="A1702" s="1" t="s">
        <v>241</v>
      </c>
      <c r="B1702" s="1" t="s">
        <v>4777</v>
      </c>
      <c r="C1702" s="1" t="s">
        <v>4786</v>
      </c>
      <c r="D1702" s="1">
        <v>2024</v>
      </c>
      <c r="E1702" s="1" t="str">
        <f t="shared" si="6"/>
        <v>208208 PURETECH 75 1.22024</v>
      </c>
      <c r="F1702" s="1" t="s">
        <v>1077</v>
      </c>
      <c r="G1702" s="1">
        <v>10990000</v>
      </c>
      <c r="H1702" s="1">
        <v>9000000</v>
      </c>
    </row>
    <row r="1703" spans="1:8" ht="13.5" customHeight="1" x14ac:dyDescent="0.3">
      <c r="A1703" s="1" t="s">
        <v>241</v>
      </c>
      <c r="B1703" s="1" t="s">
        <v>4777</v>
      </c>
      <c r="C1703" s="1" t="s">
        <v>4787</v>
      </c>
      <c r="D1703" s="1">
        <v>2023</v>
      </c>
      <c r="E1703" s="1" t="str">
        <f t="shared" si="6"/>
        <v>208208 PURETECH 75 MT 1.22023</v>
      </c>
      <c r="F1703" s="1" t="s">
        <v>1485</v>
      </c>
      <c r="G1703" s="1">
        <v>11490000</v>
      </c>
      <c r="H1703" s="1">
        <v>9000000</v>
      </c>
    </row>
    <row r="1704" spans="1:8" ht="13.5" customHeight="1" x14ac:dyDescent="0.3">
      <c r="A1704" s="1" t="s">
        <v>241</v>
      </c>
      <c r="B1704" s="1" t="s">
        <v>4777</v>
      </c>
      <c r="C1704" s="1" t="s">
        <v>4787</v>
      </c>
      <c r="D1704" s="1">
        <v>2023</v>
      </c>
      <c r="E1704" s="1" t="str">
        <f t="shared" si="6"/>
        <v>208208 PURETECH 75 MT 1.22023</v>
      </c>
      <c r="F1704" s="1" t="s">
        <v>1970</v>
      </c>
      <c r="G1704" s="1">
        <v>10490000</v>
      </c>
      <c r="H1704" s="1">
        <v>9000000</v>
      </c>
    </row>
    <row r="1705" spans="1:8" ht="13.5" customHeight="1" x14ac:dyDescent="0.3">
      <c r="A1705" s="1" t="s">
        <v>241</v>
      </c>
      <c r="B1705" s="1" t="s">
        <v>4777</v>
      </c>
      <c r="C1705" s="1" t="s">
        <v>4787</v>
      </c>
      <c r="D1705" s="1">
        <v>2023</v>
      </c>
      <c r="E1705" s="1" t="str">
        <f t="shared" si="6"/>
        <v>208208 PURETECH 75 MT 1.22023</v>
      </c>
      <c r="F1705" s="1" t="s">
        <v>865</v>
      </c>
      <c r="G1705" s="1">
        <v>9990000</v>
      </c>
      <c r="H1705" s="1">
        <v>8000000</v>
      </c>
    </row>
    <row r="1706" spans="1:8" ht="13.5" customHeight="1" x14ac:dyDescent="0.3">
      <c r="A1706" s="1" t="s">
        <v>241</v>
      </c>
      <c r="B1706" s="1" t="s">
        <v>4777</v>
      </c>
      <c r="C1706" s="1" t="s">
        <v>4787</v>
      </c>
      <c r="D1706" s="1">
        <v>2023</v>
      </c>
      <c r="E1706" s="1" t="str">
        <f t="shared" si="6"/>
        <v>208208 PURETECH 75 MT 1.22023</v>
      </c>
      <c r="F1706" s="1" t="s">
        <v>1935</v>
      </c>
      <c r="G1706" s="1">
        <v>13090000</v>
      </c>
      <c r="H1706" s="1">
        <v>10200000</v>
      </c>
    </row>
    <row r="1707" spans="1:8" ht="13.5" customHeight="1" x14ac:dyDescent="0.3">
      <c r="A1707" s="1" t="s">
        <v>241</v>
      </c>
      <c r="B1707" s="1" t="s">
        <v>4777</v>
      </c>
      <c r="C1707" s="1" t="s">
        <v>4788</v>
      </c>
      <c r="D1707" s="1">
        <v>2020</v>
      </c>
      <c r="E1707" s="1" t="str">
        <f t="shared" si="6"/>
        <v>208208 SIGNATURE 1.22020</v>
      </c>
      <c r="F1707" s="1" t="s">
        <v>931</v>
      </c>
      <c r="G1707" s="1">
        <v>6226000</v>
      </c>
      <c r="H1707" s="1">
        <v>6000000</v>
      </c>
    </row>
    <row r="1708" spans="1:8" ht="13.5" customHeight="1" x14ac:dyDescent="0.3">
      <c r="A1708" s="1" t="s">
        <v>241</v>
      </c>
      <c r="B1708" s="1" t="s">
        <v>4777</v>
      </c>
      <c r="C1708" s="1" t="s">
        <v>4788</v>
      </c>
      <c r="D1708" s="1">
        <v>2020</v>
      </c>
      <c r="E1708" s="1" t="str">
        <f t="shared" si="6"/>
        <v>208208 SIGNATURE 1.22020</v>
      </c>
      <c r="F1708" s="1" t="s">
        <v>975</v>
      </c>
      <c r="G1708" s="1">
        <v>7200000</v>
      </c>
      <c r="H1708" s="1">
        <v>5000000</v>
      </c>
    </row>
    <row r="1709" spans="1:8" ht="13.5" customHeight="1" x14ac:dyDescent="0.3">
      <c r="A1709" s="1" t="s">
        <v>241</v>
      </c>
      <c r="B1709" s="1" t="s">
        <v>4777</v>
      </c>
      <c r="C1709" s="1" t="s">
        <v>4789</v>
      </c>
      <c r="D1709" s="1">
        <v>2019</v>
      </c>
      <c r="E1709" s="1" t="str">
        <f t="shared" si="6"/>
        <v>208208 SIGNATURE BLUEHDI 1.52019</v>
      </c>
      <c r="F1709" s="1" t="s">
        <v>1590</v>
      </c>
      <c r="G1709" s="1">
        <v>8690000</v>
      </c>
      <c r="H1709" s="1">
        <v>7000000</v>
      </c>
    </row>
    <row r="1710" spans="1:8" ht="13.5" customHeight="1" x14ac:dyDescent="0.3">
      <c r="A1710" s="1" t="s">
        <v>241</v>
      </c>
      <c r="B1710" s="1" t="s">
        <v>4777</v>
      </c>
      <c r="C1710" s="1" t="s">
        <v>4790</v>
      </c>
      <c r="D1710" s="1">
        <v>2023</v>
      </c>
      <c r="E1710" s="1" t="str">
        <f t="shared" si="6"/>
        <v>208208 STYLE PURETECH 75 1.22023</v>
      </c>
      <c r="F1710" s="1" t="s">
        <v>2028</v>
      </c>
      <c r="G1710" s="1">
        <v>11690000</v>
      </c>
      <c r="H1710" s="1">
        <v>9500000</v>
      </c>
    </row>
    <row r="1711" spans="1:8" ht="13.5" customHeight="1" x14ac:dyDescent="0.3">
      <c r="A1711" s="1" t="s">
        <v>241</v>
      </c>
      <c r="B1711" s="1" t="s">
        <v>4791</v>
      </c>
      <c r="C1711" s="1" t="s">
        <v>4792</v>
      </c>
      <c r="D1711" s="1">
        <v>2020</v>
      </c>
      <c r="E1711" s="1" t="str">
        <f t="shared" si="6"/>
        <v>30083008 ACTIVE 1.22020</v>
      </c>
      <c r="F1711" s="1" t="s">
        <v>2014</v>
      </c>
      <c r="G1711" s="1">
        <v>14490000</v>
      </c>
      <c r="H1711" s="1">
        <v>13500000</v>
      </c>
    </row>
    <row r="1712" spans="1:8" ht="13.5" customHeight="1" x14ac:dyDescent="0.3">
      <c r="A1712" s="1" t="s">
        <v>241</v>
      </c>
      <c r="B1712" s="1" t="s">
        <v>4791</v>
      </c>
      <c r="C1712" s="1" t="s">
        <v>4793</v>
      </c>
      <c r="D1712" s="1">
        <v>2019</v>
      </c>
      <c r="E1712" s="1" t="str">
        <f t="shared" si="6"/>
        <v>30083008 ACTIVE 1.6 AUT2019</v>
      </c>
      <c r="F1712" s="1" t="s">
        <v>2078</v>
      </c>
      <c r="G1712" s="1">
        <v>16590000</v>
      </c>
      <c r="H1712" s="1">
        <v>14200000</v>
      </c>
    </row>
    <row r="1713" spans="1:8" ht="13.5" customHeight="1" x14ac:dyDescent="0.3">
      <c r="A1713" s="1" t="s">
        <v>241</v>
      </c>
      <c r="B1713" s="1" t="s">
        <v>4791</v>
      </c>
      <c r="C1713" s="1" t="s">
        <v>4794</v>
      </c>
      <c r="D1713" s="1">
        <v>2019</v>
      </c>
      <c r="E1713" s="1" t="str">
        <f t="shared" si="6"/>
        <v>30083008 ACTIVE BLUEHDI 1.52019</v>
      </c>
      <c r="F1713" s="1" t="s">
        <v>1400</v>
      </c>
      <c r="G1713" s="1">
        <v>29280000</v>
      </c>
      <c r="H1713" s="1">
        <v>24100000</v>
      </c>
    </row>
    <row r="1714" spans="1:8" ht="13.5" customHeight="1" x14ac:dyDescent="0.3">
      <c r="A1714" s="1" t="s">
        <v>241</v>
      </c>
      <c r="B1714" s="1" t="s">
        <v>4791</v>
      </c>
      <c r="C1714" s="1" t="s">
        <v>4794</v>
      </c>
      <c r="D1714" s="1">
        <v>2019</v>
      </c>
      <c r="E1714" s="1" t="str">
        <f t="shared" si="6"/>
        <v>30083008 ACTIVE BLUEHDI 1.52019</v>
      </c>
      <c r="F1714" s="1" t="s">
        <v>850</v>
      </c>
      <c r="G1714" s="1">
        <v>13024470</v>
      </c>
      <c r="H1714" s="1">
        <v>11000000</v>
      </c>
    </row>
    <row r="1715" spans="1:8" ht="13.5" customHeight="1" x14ac:dyDescent="0.3">
      <c r="A1715" s="1" t="s">
        <v>241</v>
      </c>
      <c r="B1715" s="1" t="s">
        <v>4791</v>
      </c>
      <c r="C1715" s="1" t="s">
        <v>4794</v>
      </c>
      <c r="D1715" s="1">
        <v>2019</v>
      </c>
      <c r="E1715" s="1" t="str">
        <f t="shared" si="6"/>
        <v>30083008 ACTIVE BLUEHDI 1.52019</v>
      </c>
      <c r="F1715" s="1" t="s">
        <v>1494</v>
      </c>
      <c r="G1715" s="1">
        <v>30274620</v>
      </c>
      <c r="H1715" s="1">
        <v>24000000</v>
      </c>
    </row>
    <row r="1716" spans="1:8" ht="13.5" customHeight="1" x14ac:dyDescent="0.3">
      <c r="A1716" s="1" t="s">
        <v>241</v>
      </c>
      <c r="B1716" s="1" t="s">
        <v>4791</v>
      </c>
      <c r="C1716" s="1" t="s">
        <v>4794</v>
      </c>
      <c r="D1716" s="1">
        <v>2019</v>
      </c>
      <c r="E1716" s="1" t="str">
        <f t="shared" si="6"/>
        <v>30083008 ACTIVE BLUEHDI 1.52019</v>
      </c>
      <c r="F1716" s="1" t="s">
        <v>1951</v>
      </c>
      <c r="G1716" s="1">
        <v>11640000</v>
      </c>
      <c r="H1716" s="1">
        <v>13200000</v>
      </c>
    </row>
    <row r="1717" spans="1:8" ht="13.5" customHeight="1" x14ac:dyDescent="0.3">
      <c r="A1717" s="1" t="s">
        <v>241</v>
      </c>
      <c r="B1717" s="1" t="s">
        <v>4791</v>
      </c>
      <c r="C1717" s="1" t="s">
        <v>4794</v>
      </c>
      <c r="D1717" s="1">
        <v>2019</v>
      </c>
      <c r="E1717" s="1" t="str">
        <f t="shared" si="6"/>
        <v>30083008 ACTIVE BLUEHDI 1.52019</v>
      </c>
      <c r="F1717" s="1" t="s">
        <v>2409</v>
      </c>
      <c r="G1717" s="1">
        <v>17990000</v>
      </c>
      <c r="H1717" s="1">
        <v>17000000</v>
      </c>
    </row>
    <row r="1718" spans="1:8" ht="13.5" customHeight="1" x14ac:dyDescent="0.3">
      <c r="A1718" s="1" t="s">
        <v>241</v>
      </c>
      <c r="B1718" s="1" t="s">
        <v>4791</v>
      </c>
      <c r="C1718" s="1" t="s">
        <v>4794</v>
      </c>
      <c r="D1718" s="1">
        <v>2019</v>
      </c>
      <c r="E1718" s="1" t="str">
        <f t="shared" si="6"/>
        <v>30083008 ACTIVE BLUEHDI 1.52019</v>
      </c>
      <c r="F1718" s="1" t="s">
        <v>2424</v>
      </c>
      <c r="G1718" s="1">
        <v>13212620</v>
      </c>
      <c r="H1718" s="1">
        <v>17000000</v>
      </c>
    </row>
    <row r="1719" spans="1:8" ht="13.5" customHeight="1" x14ac:dyDescent="0.3">
      <c r="A1719" s="1" t="s">
        <v>241</v>
      </c>
      <c r="B1719" s="1" t="s">
        <v>4791</v>
      </c>
      <c r="C1719" s="1" t="s">
        <v>4794</v>
      </c>
      <c r="D1719" s="1">
        <v>2019</v>
      </c>
      <c r="E1719" s="1" t="str">
        <f t="shared" si="6"/>
        <v>30083008 ACTIVE BLUEHDI 1.52019</v>
      </c>
      <c r="F1719" s="1" t="s">
        <v>518</v>
      </c>
      <c r="G1719" s="1">
        <v>13790000</v>
      </c>
      <c r="H1719" s="1">
        <v>11000000</v>
      </c>
    </row>
    <row r="1720" spans="1:8" ht="13.5" customHeight="1" x14ac:dyDescent="0.3">
      <c r="A1720" s="1" t="s">
        <v>241</v>
      </c>
      <c r="B1720" s="1" t="s">
        <v>4791</v>
      </c>
      <c r="C1720" s="1" t="s">
        <v>4794</v>
      </c>
      <c r="D1720" s="1">
        <v>2020</v>
      </c>
      <c r="E1720" s="1" t="str">
        <f t="shared" si="6"/>
        <v>30083008 ACTIVE BLUEHDI 1.52020</v>
      </c>
      <c r="G1720" s="1">
        <v>15690000</v>
      </c>
      <c r="H1720" s="1">
        <v>0</v>
      </c>
    </row>
    <row r="1721" spans="1:8" ht="13.5" customHeight="1" x14ac:dyDescent="0.3">
      <c r="A1721" s="1" t="s">
        <v>241</v>
      </c>
      <c r="B1721" s="1" t="s">
        <v>4791</v>
      </c>
      <c r="C1721" s="1" t="s">
        <v>4794</v>
      </c>
      <c r="D1721" s="1">
        <v>2020</v>
      </c>
      <c r="E1721" s="1" t="str">
        <f t="shared" si="6"/>
        <v>30083008 ACTIVE BLUEHDI 1.52020</v>
      </c>
      <c r="F1721" s="1" t="s">
        <v>2408</v>
      </c>
      <c r="G1721" s="1">
        <v>19690000</v>
      </c>
      <c r="H1721" s="1">
        <v>17000000</v>
      </c>
    </row>
    <row r="1722" spans="1:8" ht="13.5" customHeight="1" x14ac:dyDescent="0.3">
      <c r="A1722" s="1" t="s">
        <v>241</v>
      </c>
      <c r="B1722" s="1" t="s">
        <v>4791</v>
      </c>
      <c r="C1722" s="1" t="s">
        <v>4794</v>
      </c>
      <c r="D1722" s="1">
        <v>2020</v>
      </c>
      <c r="E1722" s="1" t="str">
        <f t="shared" si="6"/>
        <v>30083008 ACTIVE BLUEHDI 1.52020</v>
      </c>
      <c r="F1722" s="1" t="s">
        <v>2070</v>
      </c>
      <c r="G1722" s="1">
        <v>18190000</v>
      </c>
      <c r="H1722" s="1">
        <v>15000000</v>
      </c>
    </row>
    <row r="1723" spans="1:8" ht="13.5" customHeight="1" x14ac:dyDescent="0.3">
      <c r="A1723" s="1" t="s">
        <v>241</v>
      </c>
      <c r="B1723" s="1" t="s">
        <v>4791</v>
      </c>
      <c r="C1723" s="1" t="s">
        <v>4794</v>
      </c>
      <c r="D1723" s="1">
        <v>2020</v>
      </c>
      <c r="E1723" s="1" t="str">
        <f t="shared" si="6"/>
        <v>30083008 ACTIVE BLUEHDI 1.52020</v>
      </c>
      <c r="F1723" s="1" t="s">
        <v>2364</v>
      </c>
      <c r="G1723" s="1">
        <v>20290000</v>
      </c>
      <c r="H1723" s="1">
        <v>16800000</v>
      </c>
    </row>
    <row r="1724" spans="1:8" ht="13.5" customHeight="1" x14ac:dyDescent="0.3">
      <c r="A1724" s="1" t="s">
        <v>241</v>
      </c>
      <c r="B1724" s="1" t="s">
        <v>4791</v>
      </c>
      <c r="C1724" s="1" t="s">
        <v>4794</v>
      </c>
      <c r="D1724" s="1">
        <v>2020</v>
      </c>
      <c r="E1724" s="1" t="str">
        <f t="shared" si="6"/>
        <v>30083008 ACTIVE BLUEHDI 1.52020</v>
      </c>
      <c r="F1724" s="1" t="s">
        <v>1938</v>
      </c>
      <c r="G1724" s="1">
        <v>12427000</v>
      </c>
      <c r="H1724" s="1">
        <v>14000000</v>
      </c>
    </row>
    <row r="1725" spans="1:8" ht="13.5" customHeight="1" x14ac:dyDescent="0.3">
      <c r="A1725" s="1" t="s">
        <v>241</v>
      </c>
      <c r="B1725" s="1" t="s">
        <v>4791</v>
      </c>
      <c r="C1725" s="1" t="s">
        <v>4794</v>
      </c>
      <c r="D1725" s="1">
        <v>2020</v>
      </c>
      <c r="E1725" s="1" t="str">
        <f t="shared" si="6"/>
        <v>30083008 ACTIVE BLUEHDI 1.52020</v>
      </c>
      <c r="F1725" s="1" t="s">
        <v>2111</v>
      </c>
      <c r="G1725" s="1">
        <v>13290000</v>
      </c>
      <c r="H1725" s="1">
        <v>15300000</v>
      </c>
    </row>
    <row r="1726" spans="1:8" ht="13.5" customHeight="1" x14ac:dyDescent="0.3">
      <c r="A1726" s="1" t="s">
        <v>241</v>
      </c>
      <c r="B1726" s="1" t="s">
        <v>4791</v>
      </c>
      <c r="C1726" s="1" t="s">
        <v>4795</v>
      </c>
      <c r="D1726" s="1">
        <v>2019</v>
      </c>
      <c r="E1726" s="1" t="str">
        <f t="shared" si="6"/>
        <v>30083008 ACTIVE BLUEHDI 1.5 AT2019</v>
      </c>
      <c r="F1726" s="1" t="s">
        <v>4796</v>
      </c>
      <c r="G1726" s="1">
        <v>18000000</v>
      </c>
      <c r="H1726" s="1">
        <v>17838300</v>
      </c>
    </row>
    <row r="1727" spans="1:8" ht="13.5" customHeight="1" x14ac:dyDescent="0.3">
      <c r="A1727" s="1" t="s">
        <v>241</v>
      </c>
      <c r="B1727" s="1" t="s">
        <v>4791</v>
      </c>
      <c r="C1727" s="1" t="s">
        <v>4797</v>
      </c>
      <c r="D1727" s="1">
        <v>2018</v>
      </c>
      <c r="E1727" s="1" t="str">
        <f t="shared" si="6"/>
        <v>30083008 ACTIVE BLUEHDI 1.62018</v>
      </c>
      <c r="F1727" s="1" t="s">
        <v>1722</v>
      </c>
      <c r="G1727" s="1">
        <v>11490000</v>
      </c>
      <c r="H1727" s="1">
        <v>8399159</v>
      </c>
    </row>
    <row r="1728" spans="1:8" ht="13.5" customHeight="1" x14ac:dyDescent="0.3">
      <c r="A1728" s="1" t="s">
        <v>241</v>
      </c>
      <c r="B1728" s="1" t="s">
        <v>4791</v>
      </c>
      <c r="C1728" s="1" t="s">
        <v>4797</v>
      </c>
      <c r="D1728" s="1">
        <v>2018</v>
      </c>
      <c r="E1728" s="1" t="str">
        <f t="shared" si="6"/>
        <v>30083008 ACTIVE BLUEHDI 1.62018</v>
      </c>
      <c r="F1728" s="1" t="s">
        <v>2012</v>
      </c>
      <c r="G1728" s="1">
        <v>14790000</v>
      </c>
      <c r="H1728" s="1">
        <v>12457983</v>
      </c>
    </row>
    <row r="1729" spans="1:8" ht="13.5" customHeight="1" x14ac:dyDescent="0.3">
      <c r="A1729" s="1" t="s">
        <v>241</v>
      </c>
      <c r="B1729" s="1" t="s">
        <v>4791</v>
      </c>
      <c r="C1729" s="1" t="s">
        <v>4798</v>
      </c>
      <c r="D1729" s="1">
        <v>2018</v>
      </c>
      <c r="E1729" s="1" t="str">
        <f t="shared" si="6"/>
        <v>30083008 ALLURE 1.62018</v>
      </c>
      <c r="F1729" s="1" t="s">
        <v>1374</v>
      </c>
      <c r="G1729" s="1">
        <v>13790000</v>
      </c>
      <c r="H1729" s="1">
        <v>11500000</v>
      </c>
    </row>
    <row r="1730" spans="1:8" ht="13.5" customHeight="1" x14ac:dyDescent="0.3">
      <c r="A1730" s="1" t="s">
        <v>241</v>
      </c>
      <c r="B1730" s="1" t="s">
        <v>4791</v>
      </c>
      <c r="C1730" s="1" t="s">
        <v>4799</v>
      </c>
      <c r="D1730" s="1">
        <v>2020</v>
      </c>
      <c r="E1730" s="1" t="str">
        <f t="shared" si="6"/>
        <v>30083008 ALLURE 1.6 AUT2020</v>
      </c>
      <c r="F1730" s="1" t="s">
        <v>2047</v>
      </c>
      <c r="G1730" s="1">
        <v>18690000</v>
      </c>
      <c r="H1730" s="1">
        <v>15000000</v>
      </c>
    </row>
    <row r="1731" spans="1:8" ht="13.5" customHeight="1" x14ac:dyDescent="0.3">
      <c r="A1731" s="1" t="s">
        <v>241</v>
      </c>
      <c r="B1731" s="1" t="s">
        <v>4791</v>
      </c>
      <c r="C1731" s="1" t="s">
        <v>4800</v>
      </c>
      <c r="D1731" s="1">
        <v>2019</v>
      </c>
      <c r="E1731" s="1" t="str">
        <f t="shared" si="6"/>
        <v>30083008 ALLURE BLUEHDI 1.5 AT2019</v>
      </c>
      <c r="F1731" s="1" t="s">
        <v>1737</v>
      </c>
      <c r="G1731" s="1">
        <v>12753377</v>
      </c>
      <c r="H1731" s="1">
        <v>11300000</v>
      </c>
    </row>
    <row r="1732" spans="1:8" ht="13.5" customHeight="1" x14ac:dyDescent="0.3">
      <c r="A1732" s="1" t="s">
        <v>241</v>
      </c>
      <c r="B1732" s="1" t="s">
        <v>4791</v>
      </c>
      <c r="C1732" s="1" t="s">
        <v>4800</v>
      </c>
      <c r="D1732" s="1">
        <v>2019</v>
      </c>
      <c r="E1732" s="1" t="str">
        <f t="shared" si="6"/>
        <v>30083008 ALLURE BLUEHDI 1.5 AT2019</v>
      </c>
      <c r="F1732" s="1" t="s">
        <v>1826</v>
      </c>
      <c r="G1732" s="1">
        <v>15790000</v>
      </c>
      <c r="H1732" s="1">
        <v>12500000</v>
      </c>
    </row>
    <row r="1733" spans="1:8" ht="13.5" customHeight="1" x14ac:dyDescent="0.3">
      <c r="A1733" s="1" t="s">
        <v>241</v>
      </c>
      <c r="B1733" s="1" t="s">
        <v>4791</v>
      </c>
      <c r="C1733" s="1" t="s">
        <v>4801</v>
      </c>
      <c r="D1733" s="1">
        <v>2019</v>
      </c>
      <c r="E1733" s="1" t="str">
        <f t="shared" si="6"/>
        <v>30083008 ALLURE BLUEHDI 1.5 AUT2019</v>
      </c>
      <c r="F1733" s="1" t="s">
        <v>2185</v>
      </c>
      <c r="G1733" s="1">
        <v>30378040</v>
      </c>
      <c r="H1733" s="1">
        <v>30000000</v>
      </c>
    </row>
    <row r="1734" spans="1:8" ht="13.5" customHeight="1" x14ac:dyDescent="0.3">
      <c r="A1734" s="1" t="s">
        <v>241</v>
      </c>
      <c r="B1734" s="1" t="s">
        <v>4791</v>
      </c>
      <c r="C1734" s="1" t="s">
        <v>4801</v>
      </c>
      <c r="D1734" s="1">
        <v>2020</v>
      </c>
      <c r="E1734" s="1" t="str">
        <f t="shared" si="6"/>
        <v>30083008 ALLURE BLUEHDI 1.5 AUT2020</v>
      </c>
      <c r="F1734" s="1" t="s">
        <v>1842</v>
      </c>
      <c r="G1734" s="1">
        <v>16790000</v>
      </c>
      <c r="H1734" s="1">
        <v>14000000</v>
      </c>
    </row>
    <row r="1735" spans="1:8" ht="13.5" customHeight="1" x14ac:dyDescent="0.3">
      <c r="A1735" s="1" t="s">
        <v>241</v>
      </c>
      <c r="B1735" s="1" t="s">
        <v>4791</v>
      </c>
      <c r="C1735" s="1" t="s">
        <v>4801</v>
      </c>
      <c r="D1735" s="1">
        <v>2021</v>
      </c>
      <c r="E1735" s="1" t="str">
        <f t="shared" si="6"/>
        <v>30083008 ALLURE BLUEHDI 1.5 AUT2021</v>
      </c>
      <c r="F1735" s="1" t="s">
        <v>981</v>
      </c>
      <c r="G1735" s="1">
        <v>15490000</v>
      </c>
      <c r="H1735" s="1">
        <v>14000000</v>
      </c>
    </row>
    <row r="1736" spans="1:8" ht="13.5" customHeight="1" x14ac:dyDescent="0.3">
      <c r="A1736" s="1" t="s">
        <v>241</v>
      </c>
      <c r="B1736" s="1" t="s">
        <v>4791</v>
      </c>
      <c r="C1736" s="1" t="s">
        <v>4802</v>
      </c>
      <c r="D1736" s="1">
        <v>2015</v>
      </c>
      <c r="E1736" s="1" t="str">
        <f t="shared" si="6"/>
        <v>30083008 ALLURE E HDI 1.62015</v>
      </c>
      <c r="G1736" s="1">
        <v>8700000</v>
      </c>
      <c r="H1736" s="1">
        <v>0</v>
      </c>
    </row>
    <row r="1737" spans="1:8" ht="13.5" customHeight="1" x14ac:dyDescent="0.3">
      <c r="A1737" s="1" t="s">
        <v>241</v>
      </c>
      <c r="B1737" s="1" t="s">
        <v>4791</v>
      </c>
      <c r="C1737" s="1" t="s">
        <v>4802</v>
      </c>
      <c r="D1737" s="1">
        <v>2015</v>
      </c>
      <c r="E1737" s="1" t="str">
        <f t="shared" si="6"/>
        <v>30083008 ALLURE E HDI 1.62015</v>
      </c>
      <c r="F1737" s="1" t="s">
        <v>1922</v>
      </c>
      <c r="G1737" s="1">
        <v>8000000</v>
      </c>
      <c r="H1737" s="1">
        <v>6500000</v>
      </c>
    </row>
    <row r="1738" spans="1:8" ht="13.5" customHeight="1" x14ac:dyDescent="0.3">
      <c r="A1738" s="1" t="s">
        <v>241</v>
      </c>
      <c r="B1738" s="1" t="s">
        <v>4791</v>
      </c>
      <c r="C1738" s="1" t="s">
        <v>4803</v>
      </c>
      <c r="D1738" s="1">
        <v>2019</v>
      </c>
      <c r="E1738" s="1" t="str">
        <f t="shared" si="6"/>
        <v>30083008 BLUE HDI 1.6 AUT2019</v>
      </c>
      <c r="F1738" s="1" t="s">
        <v>2109</v>
      </c>
      <c r="G1738" s="1">
        <v>16490000</v>
      </c>
      <c r="H1738" s="1">
        <v>13500000</v>
      </c>
    </row>
    <row r="1739" spans="1:8" ht="13.5" customHeight="1" x14ac:dyDescent="0.3">
      <c r="A1739" s="1" t="s">
        <v>241</v>
      </c>
      <c r="B1739" s="1" t="s">
        <v>4791</v>
      </c>
      <c r="C1739" s="1" t="s">
        <v>250</v>
      </c>
      <c r="D1739" s="1">
        <v>2021</v>
      </c>
      <c r="E1739" s="1" t="str">
        <f t="shared" si="6"/>
        <v>30083008 BLUE HDI 130 1.52021</v>
      </c>
      <c r="F1739" s="1" t="s">
        <v>251</v>
      </c>
      <c r="G1739" s="1">
        <v>13490000</v>
      </c>
      <c r="H1739" s="1">
        <v>11500000</v>
      </c>
    </row>
    <row r="1740" spans="1:8" ht="13.5" customHeight="1" x14ac:dyDescent="0.3">
      <c r="A1740" s="1" t="s">
        <v>241</v>
      </c>
      <c r="B1740" s="1" t="s">
        <v>4791</v>
      </c>
      <c r="C1740" s="1" t="s">
        <v>250</v>
      </c>
      <c r="D1740" s="1">
        <v>2022</v>
      </c>
      <c r="E1740" s="1" t="str">
        <f t="shared" si="6"/>
        <v>30083008 BLUE HDI 130 1.52022</v>
      </c>
      <c r="F1740" s="1" t="s">
        <v>892</v>
      </c>
      <c r="G1740" s="1">
        <v>14990000</v>
      </c>
      <c r="H1740" s="1">
        <v>18000000</v>
      </c>
    </row>
    <row r="1741" spans="1:8" ht="13.5" customHeight="1" x14ac:dyDescent="0.3">
      <c r="A1741" s="1" t="s">
        <v>241</v>
      </c>
      <c r="B1741" s="1" t="s">
        <v>4791</v>
      </c>
      <c r="C1741" s="1" t="s">
        <v>250</v>
      </c>
      <c r="D1741" s="1">
        <v>2022</v>
      </c>
      <c r="E1741" s="1" t="str">
        <f t="shared" si="6"/>
        <v>30083008 BLUE HDI 130 1.52022</v>
      </c>
      <c r="F1741" s="1" t="s">
        <v>1822</v>
      </c>
      <c r="G1741" s="1">
        <v>18990000</v>
      </c>
      <c r="H1741" s="1">
        <v>17000000</v>
      </c>
    </row>
    <row r="1742" spans="1:8" ht="13.5" customHeight="1" x14ac:dyDescent="0.3">
      <c r="A1742" s="1" t="s">
        <v>241</v>
      </c>
      <c r="B1742" s="1" t="s">
        <v>4791</v>
      </c>
      <c r="C1742" s="1" t="s">
        <v>250</v>
      </c>
      <c r="D1742" s="1">
        <v>2023</v>
      </c>
      <c r="E1742" s="1" t="str">
        <f t="shared" si="6"/>
        <v>30083008 BLUE HDI 130 1.52023</v>
      </c>
      <c r="F1742" s="1" t="s">
        <v>760</v>
      </c>
      <c r="G1742" s="1">
        <v>14828172</v>
      </c>
      <c r="H1742" s="1">
        <v>15150000</v>
      </c>
    </row>
    <row r="1743" spans="1:8" ht="13.5" customHeight="1" x14ac:dyDescent="0.3">
      <c r="A1743" s="1" t="s">
        <v>241</v>
      </c>
      <c r="B1743" s="1" t="s">
        <v>4791</v>
      </c>
      <c r="C1743" s="1" t="s">
        <v>4804</v>
      </c>
      <c r="D1743" s="1">
        <v>2021</v>
      </c>
      <c r="E1743" s="1" t="str">
        <f t="shared" si="6"/>
        <v>30083008 BLUE HDI 130 EAT8 1.5 AUT2021</v>
      </c>
      <c r="F1743" s="1" t="s">
        <v>924</v>
      </c>
      <c r="G1743" s="1">
        <v>32480000</v>
      </c>
      <c r="H1743" s="1">
        <v>30000000</v>
      </c>
    </row>
    <row r="1744" spans="1:8" ht="13.5" customHeight="1" x14ac:dyDescent="0.3">
      <c r="A1744" s="1" t="s">
        <v>241</v>
      </c>
      <c r="B1744" s="1" t="s">
        <v>4791</v>
      </c>
      <c r="C1744" s="1" t="s">
        <v>4804</v>
      </c>
      <c r="D1744" s="1">
        <v>2021</v>
      </c>
      <c r="E1744" s="1" t="str">
        <f t="shared" si="6"/>
        <v>30083008 BLUE HDI 130 EAT8 1.5 AUT2021</v>
      </c>
      <c r="F1744" s="1" t="s">
        <v>1735</v>
      </c>
      <c r="G1744" s="1">
        <v>17590000</v>
      </c>
      <c r="H1744" s="1">
        <v>15097584</v>
      </c>
    </row>
    <row r="1745" spans="1:8" ht="13.5" customHeight="1" x14ac:dyDescent="0.3">
      <c r="A1745" s="1" t="s">
        <v>241</v>
      </c>
      <c r="B1745" s="1" t="s">
        <v>4791</v>
      </c>
      <c r="C1745" s="1" t="s">
        <v>4804</v>
      </c>
      <c r="D1745" s="1">
        <v>2021</v>
      </c>
      <c r="E1745" s="1" t="str">
        <f t="shared" si="6"/>
        <v>30083008 BLUE HDI 130 EAT8 1.5 AUT2021</v>
      </c>
      <c r="F1745" s="1" t="s">
        <v>585</v>
      </c>
      <c r="G1745" s="1">
        <v>15990000</v>
      </c>
      <c r="H1745" s="1">
        <v>15189938</v>
      </c>
    </row>
    <row r="1746" spans="1:8" ht="13.5" customHeight="1" x14ac:dyDescent="0.3">
      <c r="A1746" s="1" t="s">
        <v>241</v>
      </c>
      <c r="B1746" s="1" t="s">
        <v>4791</v>
      </c>
      <c r="C1746" s="1" t="s">
        <v>4804</v>
      </c>
      <c r="D1746" s="1">
        <v>2021</v>
      </c>
      <c r="E1746" s="1" t="str">
        <f t="shared" si="6"/>
        <v>30083008 BLUE HDI 130 EAT8 1.5 AUT2021</v>
      </c>
      <c r="F1746" s="1" t="s">
        <v>1288</v>
      </c>
      <c r="G1746" s="1">
        <v>19590000</v>
      </c>
      <c r="H1746" s="1">
        <v>16000000</v>
      </c>
    </row>
    <row r="1747" spans="1:8" ht="13.5" customHeight="1" x14ac:dyDescent="0.3">
      <c r="A1747" s="1" t="s">
        <v>241</v>
      </c>
      <c r="B1747" s="1" t="s">
        <v>4791</v>
      </c>
      <c r="C1747" s="1" t="s">
        <v>4804</v>
      </c>
      <c r="D1747" s="1">
        <v>2022</v>
      </c>
      <c r="E1747" s="1" t="str">
        <f t="shared" si="6"/>
        <v>30083008 BLUE HDI 130 EAT8 1.5 AUT2022</v>
      </c>
      <c r="F1747" s="1" t="s">
        <v>912</v>
      </c>
      <c r="G1747" s="1">
        <v>22990000</v>
      </c>
      <c r="H1747" s="1">
        <v>22409620</v>
      </c>
    </row>
    <row r="1748" spans="1:8" ht="13.5" customHeight="1" x14ac:dyDescent="0.3">
      <c r="A1748" s="1" t="s">
        <v>241</v>
      </c>
      <c r="B1748" s="1" t="s">
        <v>4791</v>
      </c>
      <c r="C1748" s="1" t="s">
        <v>4804</v>
      </c>
      <c r="D1748" s="1">
        <v>2023</v>
      </c>
      <c r="E1748" s="1" t="str">
        <f t="shared" si="6"/>
        <v>30083008 BLUE HDI 130 EAT8 1.5 AUT2023</v>
      </c>
      <c r="F1748" s="1" t="s">
        <v>1178</v>
      </c>
      <c r="G1748" s="1">
        <v>24050000</v>
      </c>
      <c r="H1748" s="1">
        <v>21000000</v>
      </c>
    </row>
    <row r="1749" spans="1:8" ht="13.5" customHeight="1" x14ac:dyDescent="0.3">
      <c r="A1749" s="1" t="s">
        <v>241</v>
      </c>
      <c r="B1749" s="1" t="s">
        <v>4791</v>
      </c>
      <c r="C1749" s="1" t="s">
        <v>4804</v>
      </c>
      <c r="D1749" s="1">
        <v>2023</v>
      </c>
      <c r="E1749" s="1" t="str">
        <f t="shared" si="6"/>
        <v>30083008 BLUE HDI 130 EAT8 1.5 AUT2023</v>
      </c>
      <c r="F1749" s="1" t="s">
        <v>4805</v>
      </c>
      <c r="G1749" s="1">
        <v>27500000</v>
      </c>
      <c r="H1749" s="1">
        <v>26675000</v>
      </c>
    </row>
    <row r="1750" spans="1:8" ht="13.5" customHeight="1" x14ac:dyDescent="0.3">
      <c r="A1750" s="1" t="s">
        <v>241</v>
      </c>
      <c r="B1750" s="1" t="s">
        <v>4791</v>
      </c>
      <c r="C1750" s="1" t="s">
        <v>4804</v>
      </c>
      <c r="D1750" s="1">
        <v>2023</v>
      </c>
      <c r="E1750" s="1" t="str">
        <f t="shared" si="6"/>
        <v>30083008 BLUE HDI 130 EAT8 1.5 AUT2023</v>
      </c>
      <c r="F1750" s="1" t="s">
        <v>400</v>
      </c>
      <c r="G1750" s="1">
        <v>20990000</v>
      </c>
      <c r="H1750" s="1">
        <v>17500000</v>
      </c>
    </row>
    <row r="1751" spans="1:8" ht="13.5" customHeight="1" x14ac:dyDescent="0.3">
      <c r="A1751" s="1" t="s">
        <v>241</v>
      </c>
      <c r="B1751" s="1" t="s">
        <v>4791</v>
      </c>
      <c r="C1751" s="1" t="s">
        <v>4804</v>
      </c>
      <c r="D1751" s="1">
        <v>2023</v>
      </c>
      <c r="E1751" s="1" t="str">
        <f t="shared" si="6"/>
        <v>30083008 BLUE HDI 130 EAT8 1.5 AUT2023</v>
      </c>
      <c r="F1751" s="1" t="s">
        <v>1683</v>
      </c>
      <c r="G1751" s="1">
        <v>17430030</v>
      </c>
      <c r="H1751" s="1">
        <v>17000000</v>
      </c>
    </row>
    <row r="1752" spans="1:8" ht="13.5" customHeight="1" x14ac:dyDescent="0.3">
      <c r="A1752" s="1" t="s">
        <v>241</v>
      </c>
      <c r="B1752" s="1" t="s">
        <v>4791</v>
      </c>
      <c r="C1752" s="1" t="s">
        <v>4804</v>
      </c>
      <c r="D1752" s="1">
        <v>2024</v>
      </c>
      <c r="E1752" s="1" t="str">
        <f t="shared" si="6"/>
        <v>30083008 BLUE HDI 130 EAT8 1.5 AUT2024</v>
      </c>
      <c r="F1752" s="1" t="s">
        <v>488</v>
      </c>
      <c r="G1752" s="1">
        <v>23890000</v>
      </c>
      <c r="H1752" s="1">
        <v>19200000</v>
      </c>
    </row>
    <row r="1753" spans="1:8" ht="13.5" customHeight="1" x14ac:dyDescent="0.3">
      <c r="A1753" s="1" t="s">
        <v>241</v>
      </c>
      <c r="B1753" s="1" t="s">
        <v>4791</v>
      </c>
      <c r="C1753" s="1" t="s">
        <v>252</v>
      </c>
      <c r="D1753" s="1">
        <v>2019</v>
      </c>
      <c r="E1753" s="1" t="str">
        <f t="shared" si="6"/>
        <v>30083008 BLUE HDI HP 1.5 AUT2019</v>
      </c>
      <c r="F1753" s="1" t="s">
        <v>1591</v>
      </c>
      <c r="G1753" s="1">
        <v>13977150</v>
      </c>
      <c r="H1753" s="1">
        <v>11983193</v>
      </c>
    </row>
    <row r="1754" spans="1:8" ht="13.5" customHeight="1" x14ac:dyDescent="0.3">
      <c r="A1754" s="1" t="s">
        <v>241</v>
      </c>
      <c r="B1754" s="1" t="s">
        <v>4791</v>
      </c>
      <c r="C1754" s="1" t="s">
        <v>252</v>
      </c>
      <c r="D1754" s="1">
        <v>2019</v>
      </c>
      <c r="E1754" s="1" t="str">
        <f t="shared" si="6"/>
        <v>30083008 BLUE HDI HP 1.5 AUT2019</v>
      </c>
      <c r="F1754" s="1" t="s">
        <v>715</v>
      </c>
      <c r="G1754" s="1">
        <v>14000000</v>
      </c>
      <c r="H1754" s="1">
        <v>12071500</v>
      </c>
    </row>
    <row r="1755" spans="1:8" ht="13.5" customHeight="1" x14ac:dyDescent="0.3">
      <c r="A1755" s="1" t="s">
        <v>241</v>
      </c>
      <c r="B1755" s="1" t="s">
        <v>4791</v>
      </c>
      <c r="C1755" s="1" t="s">
        <v>252</v>
      </c>
      <c r="D1755" s="1">
        <v>2020</v>
      </c>
      <c r="E1755" s="1" t="str">
        <f t="shared" si="6"/>
        <v>30083008 BLUE HDI HP 1.5 AUT2020</v>
      </c>
      <c r="F1755" s="1" t="s">
        <v>253</v>
      </c>
      <c r="G1755" s="1">
        <v>14990000</v>
      </c>
      <c r="H1755" s="1">
        <v>19904201</v>
      </c>
    </row>
    <row r="1756" spans="1:8" ht="13.5" customHeight="1" x14ac:dyDescent="0.3">
      <c r="A1756" s="1" t="s">
        <v>241</v>
      </c>
      <c r="B1756" s="1" t="s">
        <v>4791</v>
      </c>
      <c r="C1756" s="1" t="s">
        <v>4806</v>
      </c>
      <c r="D1756" s="1">
        <v>2020</v>
      </c>
      <c r="E1756" s="1" t="str">
        <f t="shared" si="6"/>
        <v>30083008 BLUEHDI2020</v>
      </c>
      <c r="F1756" s="1" t="s">
        <v>2168</v>
      </c>
      <c r="G1756" s="1">
        <v>18890000</v>
      </c>
      <c r="H1756" s="1">
        <v>16000000</v>
      </c>
    </row>
    <row r="1757" spans="1:8" ht="13.5" customHeight="1" x14ac:dyDescent="0.3">
      <c r="A1757" s="1" t="s">
        <v>241</v>
      </c>
      <c r="B1757" s="1" t="s">
        <v>4791</v>
      </c>
      <c r="C1757" s="1" t="s">
        <v>4807</v>
      </c>
      <c r="D1757" s="1">
        <v>2025</v>
      </c>
      <c r="E1757" s="1" t="str">
        <f t="shared" si="6"/>
        <v>30083008 GT 1.2 AUT2025</v>
      </c>
      <c r="F1757" s="1" t="s">
        <v>671</v>
      </c>
      <c r="G1757" s="1">
        <v>27990000</v>
      </c>
      <c r="H1757" s="1">
        <v>28199795</v>
      </c>
    </row>
    <row r="1758" spans="1:8" ht="13.5" customHeight="1" x14ac:dyDescent="0.3">
      <c r="A1758" s="1" t="s">
        <v>241</v>
      </c>
      <c r="B1758" s="1" t="s">
        <v>4791</v>
      </c>
      <c r="C1758" s="1" t="s">
        <v>4808</v>
      </c>
      <c r="D1758" s="1">
        <v>2019</v>
      </c>
      <c r="E1758" s="1" t="str">
        <f t="shared" si="6"/>
        <v>30083008 GT BLUEHDI 2.0 AUT2019</v>
      </c>
      <c r="G1758" s="1">
        <v>16290000</v>
      </c>
      <c r="H1758" s="1">
        <v>0</v>
      </c>
    </row>
    <row r="1759" spans="1:8" ht="13.5" customHeight="1" x14ac:dyDescent="0.3">
      <c r="A1759" s="1" t="s">
        <v>241</v>
      </c>
      <c r="B1759" s="1" t="s">
        <v>4791</v>
      </c>
      <c r="C1759" s="1" t="s">
        <v>4808</v>
      </c>
      <c r="D1759" s="1">
        <v>2019</v>
      </c>
      <c r="E1759" s="1" t="str">
        <f t="shared" si="6"/>
        <v>30083008 GT BLUEHDI 2.0 AUT2019</v>
      </c>
      <c r="F1759" s="1" t="s">
        <v>1809</v>
      </c>
      <c r="G1759" s="1">
        <v>16290000</v>
      </c>
      <c r="H1759" s="1">
        <v>14394958</v>
      </c>
    </row>
    <row r="1760" spans="1:8" ht="13.5" customHeight="1" x14ac:dyDescent="0.3">
      <c r="A1760" s="1" t="s">
        <v>241</v>
      </c>
      <c r="B1760" s="1" t="s">
        <v>4791</v>
      </c>
      <c r="C1760" s="1" t="s">
        <v>4809</v>
      </c>
      <c r="D1760" s="1">
        <v>2018</v>
      </c>
      <c r="E1760" s="1" t="str">
        <f t="shared" si="6"/>
        <v>30083008 GT LINE 1.62018</v>
      </c>
      <c r="F1760" s="1" t="s">
        <v>1820</v>
      </c>
      <c r="G1760" s="1">
        <v>16190000</v>
      </c>
      <c r="H1760" s="1">
        <v>13000000</v>
      </c>
    </row>
    <row r="1761" spans="1:8" ht="13.5" customHeight="1" x14ac:dyDescent="0.3">
      <c r="A1761" s="1" t="s">
        <v>241</v>
      </c>
      <c r="B1761" s="1" t="s">
        <v>4791</v>
      </c>
      <c r="C1761" s="1" t="s">
        <v>4810</v>
      </c>
      <c r="D1761" s="1">
        <v>2019</v>
      </c>
      <c r="E1761" s="1" t="str">
        <f t="shared" si="6"/>
        <v>30083008 GT LINE 1.6 AT2019</v>
      </c>
      <c r="F1761" s="1" t="s">
        <v>2016</v>
      </c>
      <c r="G1761" s="1">
        <v>18990000</v>
      </c>
      <c r="H1761" s="1">
        <v>16300000</v>
      </c>
    </row>
    <row r="1762" spans="1:8" ht="13.5" customHeight="1" x14ac:dyDescent="0.3">
      <c r="A1762" s="1" t="s">
        <v>241</v>
      </c>
      <c r="B1762" s="1" t="s">
        <v>4791</v>
      </c>
      <c r="C1762" s="1" t="s">
        <v>4811</v>
      </c>
      <c r="D1762" s="1">
        <v>2019</v>
      </c>
      <c r="E1762" s="1" t="str">
        <f t="shared" si="6"/>
        <v>30083008 GT LINE BLUEHDI 1.5 AUT2019</v>
      </c>
      <c r="F1762" s="1" t="s">
        <v>1795</v>
      </c>
      <c r="G1762" s="1">
        <v>17090000</v>
      </c>
      <c r="H1762" s="1">
        <v>14500000</v>
      </c>
    </row>
    <row r="1763" spans="1:8" ht="13.5" customHeight="1" x14ac:dyDescent="0.3">
      <c r="A1763" s="1" t="s">
        <v>241</v>
      </c>
      <c r="B1763" s="1" t="s">
        <v>4791</v>
      </c>
      <c r="C1763" s="1" t="s">
        <v>254</v>
      </c>
      <c r="D1763" s="1">
        <v>2021</v>
      </c>
      <c r="E1763" s="1" t="str">
        <f t="shared" si="6"/>
        <v>30083008 PURETECH 1.2L2021</v>
      </c>
      <c r="F1763" s="1" t="s">
        <v>612</v>
      </c>
      <c r="G1763" s="1">
        <v>11090000</v>
      </c>
      <c r="H1763" s="1">
        <v>9300000</v>
      </c>
    </row>
    <row r="1764" spans="1:8" ht="13.5" customHeight="1" x14ac:dyDescent="0.3">
      <c r="A1764" s="1" t="s">
        <v>241</v>
      </c>
      <c r="B1764" s="1" t="s">
        <v>4791</v>
      </c>
      <c r="C1764" s="1" t="s">
        <v>254</v>
      </c>
      <c r="D1764" s="1">
        <v>2021</v>
      </c>
      <c r="E1764" s="1" t="str">
        <f t="shared" si="6"/>
        <v>30083008 PURETECH 1.2L2021</v>
      </c>
      <c r="F1764" s="1" t="s">
        <v>1620</v>
      </c>
      <c r="G1764" s="1">
        <v>14990000</v>
      </c>
      <c r="H1764" s="1">
        <v>12500000</v>
      </c>
    </row>
    <row r="1765" spans="1:8" ht="13.5" customHeight="1" x14ac:dyDescent="0.3">
      <c r="A1765" s="1" t="s">
        <v>241</v>
      </c>
      <c r="B1765" s="1" t="s">
        <v>4791</v>
      </c>
      <c r="C1765" s="1" t="s">
        <v>254</v>
      </c>
      <c r="D1765" s="1">
        <v>2021</v>
      </c>
      <c r="E1765" s="1" t="str">
        <f t="shared" si="6"/>
        <v>30083008 PURETECH 1.2L2021</v>
      </c>
      <c r="F1765" s="1" t="s">
        <v>896</v>
      </c>
      <c r="G1765" s="1">
        <v>12690000</v>
      </c>
      <c r="H1765" s="1">
        <v>10700000</v>
      </c>
    </row>
    <row r="1766" spans="1:8" ht="13.5" customHeight="1" x14ac:dyDescent="0.3">
      <c r="A1766" s="1" t="s">
        <v>241</v>
      </c>
      <c r="B1766" s="1" t="s">
        <v>4791</v>
      </c>
      <c r="C1766" s="1" t="s">
        <v>254</v>
      </c>
      <c r="D1766" s="1">
        <v>2022</v>
      </c>
      <c r="E1766" s="1" t="str">
        <f t="shared" si="6"/>
        <v>30083008 PURETECH 1.2L2022</v>
      </c>
      <c r="F1766" s="1" t="s">
        <v>1251</v>
      </c>
      <c r="G1766" s="1">
        <v>14290000</v>
      </c>
      <c r="H1766" s="1">
        <v>13500000</v>
      </c>
    </row>
    <row r="1767" spans="1:8" ht="13.5" customHeight="1" x14ac:dyDescent="0.3">
      <c r="A1767" s="1" t="s">
        <v>241</v>
      </c>
      <c r="B1767" s="1" t="s">
        <v>4791</v>
      </c>
      <c r="C1767" s="1" t="s">
        <v>254</v>
      </c>
      <c r="D1767" s="1">
        <v>2022</v>
      </c>
      <c r="E1767" s="1" t="str">
        <f t="shared" si="6"/>
        <v>30083008 PURETECH 1.2L2022</v>
      </c>
      <c r="F1767" s="1" t="s">
        <v>2156</v>
      </c>
      <c r="G1767" s="1">
        <v>17490000</v>
      </c>
      <c r="H1767" s="1">
        <v>16800000</v>
      </c>
    </row>
    <row r="1768" spans="1:8" ht="13.5" customHeight="1" x14ac:dyDescent="0.3">
      <c r="A1768" s="1" t="s">
        <v>241</v>
      </c>
      <c r="B1768" s="1" t="s">
        <v>4791</v>
      </c>
      <c r="C1768" s="1" t="s">
        <v>254</v>
      </c>
      <c r="D1768" s="1">
        <v>2022</v>
      </c>
      <c r="E1768" s="1" t="str">
        <f t="shared" si="6"/>
        <v>30083008 PURETECH 1.2L2022</v>
      </c>
      <c r="F1768" s="1" t="s">
        <v>1239</v>
      </c>
      <c r="G1768" s="1">
        <v>11390000</v>
      </c>
      <c r="H1768" s="1">
        <v>13100000</v>
      </c>
    </row>
    <row r="1769" spans="1:8" ht="13.5" customHeight="1" x14ac:dyDescent="0.3">
      <c r="A1769" s="1" t="s">
        <v>241</v>
      </c>
      <c r="B1769" s="1" t="s">
        <v>4791</v>
      </c>
      <c r="C1769" s="1" t="s">
        <v>4812</v>
      </c>
      <c r="D1769" s="1">
        <v>2021</v>
      </c>
      <c r="E1769" s="1" t="str">
        <f t="shared" si="6"/>
        <v>30083008 PURETECH 180 EAT8 1.6 AUT2021</v>
      </c>
      <c r="F1769" s="1" t="s">
        <v>1150</v>
      </c>
      <c r="G1769" s="1">
        <v>18990000</v>
      </c>
      <c r="H1769" s="1">
        <v>16200000</v>
      </c>
    </row>
    <row r="1770" spans="1:8" ht="13.5" customHeight="1" x14ac:dyDescent="0.3">
      <c r="A1770" s="1" t="s">
        <v>241</v>
      </c>
      <c r="B1770" s="1" t="s">
        <v>4791</v>
      </c>
      <c r="C1770" s="1" t="s">
        <v>4812</v>
      </c>
      <c r="D1770" s="1">
        <v>2022</v>
      </c>
      <c r="E1770" s="1" t="str">
        <f t="shared" si="6"/>
        <v>30083008 PURETECH 180 EAT8 1.6 AUT2022</v>
      </c>
      <c r="F1770" s="1" t="s">
        <v>754</v>
      </c>
      <c r="G1770" s="1">
        <v>16890000</v>
      </c>
      <c r="H1770" s="1">
        <v>16300000</v>
      </c>
    </row>
    <row r="1771" spans="1:8" ht="13.5" customHeight="1" x14ac:dyDescent="0.3">
      <c r="A1771" s="1" t="s">
        <v>241</v>
      </c>
      <c r="B1771" s="1" t="s">
        <v>4791</v>
      </c>
      <c r="C1771" s="1" t="s">
        <v>4812</v>
      </c>
      <c r="D1771" s="1">
        <v>2022</v>
      </c>
      <c r="E1771" s="1" t="str">
        <f t="shared" si="6"/>
        <v>30083008 PURETECH 180 EAT8 1.6 AUT2022</v>
      </c>
      <c r="F1771" s="1" t="s">
        <v>1224</v>
      </c>
      <c r="G1771" s="1">
        <v>20990000</v>
      </c>
      <c r="H1771" s="1">
        <v>18600000</v>
      </c>
    </row>
    <row r="1772" spans="1:8" ht="13.5" customHeight="1" x14ac:dyDescent="0.3">
      <c r="A1772" s="1" t="s">
        <v>241</v>
      </c>
      <c r="B1772" s="1" t="s">
        <v>4791</v>
      </c>
      <c r="C1772" s="1" t="s">
        <v>258</v>
      </c>
      <c r="D1772" s="1">
        <v>2021</v>
      </c>
      <c r="E1772" s="1" t="str">
        <f t="shared" si="6"/>
        <v>30083008 THP 165HP 1.6 AUT2021</v>
      </c>
      <c r="F1772" s="1" t="s">
        <v>1175</v>
      </c>
      <c r="G1772" s="1">
        <v>15990000</v>
      </c>
      <c r="H1772" s="1">
        <v>13500000</v>
      </c>
    </row>
    <row r="1773" spans="1:8" ht="13.5" customHeight="1" x14ac:dyDescent="0.3">
      <c r="A1773" s="1" t="s">
        <v>241</v>
      </c>
      <c r="B1773" s="1" t="s">
        <v>4791</v>
      </c>
      <c r="C1773" s="1" t="s">
        <v>258</v>
      </c>
      <c r="D1773" s="1">
        <v>2021</v>
      </c>
      <c r="E1773" s="1" t="str">
        <f t="shared" si="6"/>
        <v>30083008 THP 165HP 1.6 AUT2021</v>
      </c>
      <c r="F1773" s="1" t="s">
        <v>1267</v>
      </c>
      <c r="G1773" s="1">
        <v>16328310</v>
      </c>
      <c r="H1773" s="1">
        <v>14000000</v>
      </c>
    </row>
    <row r="1774" spans="1:8" ht="13.5" customHeight="1" x14ac:dyDescent="0.3">
      <c r="A1774" s="1" t="s">
        <v>241</v>
      </c>
      <c r="B1774" s="1" t="s">
        <v>4791</v>
      </c>
      <c r="C1774" s="1" t="s">
        <v>258</v>
      </c>
      <c r="D1774" s="1">
        <v>2021</v>
      </c>
      <c r="E1774" s="1" t="str">
        <f t="shared" si="6"/>
        <v>30083008 THP 165HP 1.6 AUT2021</v>
      </c>
      <c r="F1774" s="1" t="s">
        <v>1405</v>
      </c>
      <c r="G1774" s="1">
        <v>16954620</v>
      </c>
      <c r="H1774" s="1">
        <v>14700000</v>
      </c>
    </row>
    <row r="1775" spans="1:8" ht="13.5" customHeight="1" x14ac:dyDescent="0.3">
      <c r="A1775" s="1" t="s">
        <v>241</v>
      </c>
      <c r="B1775" s="1" t="s">
        <v>4791</v>
      </c>
      <c r="C1775" s="1" t="s">
        <v>258</v>
      </c>
      <c r="D1775" s="1">
        <v>2021</v>
      </c>
      <c r="E1775" s="1" t="str">
        <f t="shared" si="6"/>
        <v>30083008 THP 165HP 1.6 AUT2021</v>
      </c>
      <c r="F1775" s="1" t="s">
        <v>1026</v>
      </c>
      <c r="G1775" s="1">
        <v>15890000</v>
      </c>
      <c r="H1775" s="1">
        <v>13500000</v>
      </c>
    </row>
    <row r="1776" spans="1:8" ht="13.5" customHeight="1" x14ac:dyDescent="0.3">
      <c r="A1776" s="1" t="s">
        <v>241</v>
      </c>
      <c r="B1776" s="1" t="s">
        <v>4791</v>
      </c>
      <c r="C1776" s="1" t="s">
        <v>258</v>
      </c>
      <c r="D1776" s="1">
        <v>2022</v>
      </c>
      <c r="E1776" s="1" t="str">
        <f t="shared" si="6"/>
        <v>30083008 THP 165HP 1.6 AUT2022</v>
      </c>
      <c r="F1776" s="1" t="s">
        <v>815</v>
      </c>
      <c r="G1776" s="1">
        <v>15190000</v>
      </c>
      <c r="H1776" s="1">
        <v>12500000</v>
      </c>
    </row>
    <row r="1777" spans="1:8" ht="13.5" customHeight="1" x14ac:dyDescent="0.3">
      <c r="A1777" s="1" t="s">
        <v>241</v>
      </c>
      <c r="B1777" s="1" t="s">
        <v>4791</v>
      </c>
      <c r="C1777" s="1" t="s">
        <v>258</v>
      </c>
      <c r="D1777" s="1">
        <v>2023</v>
      </c>
      <c r="E1777" s="1" t="str">
        <f t="shared" si="6"/>
        <v>30083008 THP 165HP 1.6 AUT2023</v>
      </c>
      <c r="F1777" s="1" t="s">
        <v>259</v>
      </c>
      <c r="G1777" s="1">
        <v>20241150</v>
      </c>
      <c r="H1777" s="1">
        <v>17600000</v>
      </c>
    </row>
    <row r="1778" spans="1:8" ht="13.5" customHeight="1" x14ac:dyDescent="0.3">
      <c r="A1778" s="1" t="s">
        <v>241</v>
      </c>
      <c r="B1778" s="1" t="s">
        <v>4791</v>
      </c>
      <c r="C1778" s="1" t="s">
        <v>258</v>
      </c>
      <c r="D1778" s="1">
        <v>2023</v>
      </c>
      <c r="E1778" s="1" t="str">
        <f t="shared" si="6"/>
        <v>30083008 THP 165HP 1.6 AUT2023</v>
      </c>
      <c r="F1778" s="1" t="s">
        <v>735</v>
      </c>
      <c r="G1778" s="1">
        <v>18990000</v>
      </c>
      <c r="H1778" s="1">
        <v>17000000</v>
      </c>
    </row>
    <row r="1779" spans="1:8" ht="13.5" customHeight="1" x14ac:dyDescent="0.3">
      <c r="A1779" s="1" t="s">
        <v>241</v>
      </c>
      <c r="B1779" s="1" t="s">
        <v>4791</v>
      </c>
      <c r="C1779" s="1" t="s">
        <v>258</v>
      </c>
      <c r="D1779" s="1">
        <v>2024</v>
      </c>
      <c r="E1779" s="1" t="str">
        <f t="shared" si="6"/>
        <v>30083008 THP 165HP 1.6 AUT2024</v>
      </c>
      <c r="F1779" s="1" t="s">
        <v>902</v>
      </c>
      <c r="G1779" s="1">
        <v>19990000</v>
      </c>
      <c r="H1779" s="1">
        <v>18500000</v>
      </c>
    </row>
    <row r="1780" spans="1:8" ht="13.5" customHeight="1" x14ac:dyDescent="0.3">
      <c r="A1780" s="1" t="s">
        <v>241</v>
      </c>
      <c r="B1780" s="1" t="s">
        <v>4791</v>
      </c>
      <c r="C1780" s="1" t="s">
        <v>258</v>
      </c>
      <c r="D1780" s="1">
        <v>2024</v>
      </c>
      <c r="E1780" s="1" t="str">
        <f t="shared" si="6"/>
        <v>30083008 THP 165HP 1.6 AUT2024</v>
      </c>
      <c r="F1780" s="1" t="s">
        <v>1176</v>
      </c>
      <c r="G1780" s="1">
        <v>23690000</v>
      </c>
      <c r="H1780" s="1">
        <v>20300000</v>
      </c>
    </row>
    <row r="1781" spans="1:8" ht="13.5" customHeight="1" x14ac:dyDescent="0.3">
      <c r="A1781" s="1" t="s">
        <v>241</v>
      </c>
      <c r="B1781" s="1" t="s">
        <v>4813</v>
      </c>
      <c r="C1781" s="1" t="s">
        <v>4814</v>
      </c>
      <c r="D1781" s="1">
        <v>2022</v>
      </c>
      <c r="E1781" s="1" t="str">
        <f t="shared" si="6"/>
        <v>301301 HDI 92HP 1.62022</v>
      </c>
      <c r="F1781" s="1" t="s">
        <v>1572</v>
      </c>
      <c r="G1781" s="1">
        <v>10190000</v>
      </c>
      <c r="H1781" s="1">
        <v>8500000</v>
      </c>
    </row>
    <row r="1782" spans="1:8" ht="13.5" customHeight="1" x14ac:dyDescent="0.3">
      <c r="A1782" s="1" t="s">
        <v>241</v>
      </c>
      <c r="B1782" s="1" t="s">
        <v>4815</v>
      </c>
      <c r="C1782" s="1" t="s">
        <v>4816</v>
      </c>
      <c r="D1782" s="1">
        <v>2015</v>
      </c>
      <c r="E1782" s="1" t="str">
        <f t="shared" si="6"/>
        <v>308308 ALLURE 1.2 AT2015</v>
      </c>
      <c r="F1782" s="1" t="s">
        <v>1779</v>
      </c>
      <c r="G1782" s="1">
        <v>6990000</v>
      </c>
      <c r="H1782" s="1">
        <v>4600000</v>
      </c>
    </row>
    <row r="1783" spans="1:8" ht="13.5" customHeight="1" x14ac:dyDescent="0.3">
      <c r="A1783" s="1" t="s">
        <v>241</v>
      </c>
      <c r="B1783" s="1" t="s">
        <v>4815</v>
      </c>
      <c r="C1783" s="1" t="s">
        <v>4817</v>
      </c>
      <c r="D1783" s="1">
        <v>2019</v>
      </c>
      <c r="E1783" s="1" t="str">
        <f t="shared" si="6"/>
        <v>308308 ALLURE 1.62019</v>
      </c>
      <c r="F1783" s="1" t="s">
        <v>1234</v>
      </c>
      <c r="G1783" s="1">
        <v>11990000</v>
      </c>
      <c r="H1783" s="1">
        <v>11000000</v>
      </c>
    </row>
    <row r="1784" spans="1:8" ht="13.5" customHeight="1" x14ac:dyDescent="0.3">
      <c r="A1784" s="1" t="s">
        <v>241</v>
      </c>
      <c r="B1784" s="1" t="s">
        <v>4815</v>
      </c>
      <c r="C1784" s="1" t="s">
        <v>4818</v>
      </c>
      <c r="D1784" s="1">
        <v>2018</v>
      </c>
      <c r="E1784" s="1" t="str">
        <f t="shared" si="6"/>
        <v>308308 ALLURE BLUE HDI 1.62018</v>
      </c>
      <c r="F1784" s="1" t="s">
        <v>1868</v>
      </c>
      <c r="G1784" s="1">
        <v>11690000</v>
      </c>
      <c r="H1784" s="1">
        <v>9000000</v>
      </c>
    </row>
    <row r="1785" spans="1:8" ht="13.5" customHeight="1" x14ac:dyDescent="0.3">
      <c r="A1785" s="1" t="s">
        <v>241</v>
      </c>
      <c r="B1785" s="1" t="s">
        <v>4815</v>
      </c>
      <c r="C1785" s="1" t="s">
        <v>4819</v>
      </c>
      <c r="D1785" s="1">
        <v>2021</v>
      </c>
      <c r="E1785" s="1" t="str">
        <f t="shared" si="6"/>
        <v>308308 BLUE HDI 130 1.52021</v>
      </c>
      <c r="F1785" s="1" t="s">
        <v>2392</v>
      </c>
      <c r="G1785" s="1">
        <v>16990000</v>
      </c>
      <c r="H1785" s="1">
        <v>15500000</v>
      </c>
    </row>
    <row r="1786" spans="1:8" ht="13.5" customHeight="1" x14ac:dyDescent="0.3">
      <c r="A1786" s="1" t="s">
        <v>241</v>
      </c>
      <c r="B1786" s="1" t="s">
        <v>4815</v>
      </c>
      <c r="C1786" s="1" t="s">
        <v>4820</v>
      </c>
      <c r="D1786" s="1">
        <v>2022</v>
      </c>
      <c r="E1786" s="1" t="str">
        <f t="shared" si="6"/>
        <v>308308 BLUEHDI 1.5 AUT2022</v>
      </c>
      <c r="F1786" s="1" t="s">
        <v>2117</v>
      </c>
      <c r="G1786" s="1">
        <v>20790000</v>
      </c>
      <c r="H1786" s="1">
        <v>17500000</v>
      </c>
    </row>
    <row r="1787" spans="1:8" ht="13.5" customHeight="1" x14ac:dyDescent="0.3">
      <c r="A1787" s="1" t="s">
        <v>241</v>
      </c>
      <c r="B1787" s="1" t="s">
        <v>4815</v>
      </c>
      <c r="C1787" s="1" t="s">
        <v>4820</v>
      </c>
      <c r="D1787" s="1">
        <v>2023</v>
      </c>
      <c r="E1787" s="1" t="str">
        <f t="shared" si="6"/>
        <v>308308 BLUEHDI 1.5 AUT2023</v>
      </c>
      <c r="F1787" s="1" t="s">
        <v>919</v>
      </c>
      <c r="G1787" s="1">
        <v>17348620</v>
      </c>
      <c r="H1787" s="1">
        <v>15000000</v>
      </c>
    </row>
    <row r="1788" spans="1:8" ht="13.5" customHeight="1" x14ac:dyDescent="0.3">
      <c r="A1788" s="1" t="s">
        <v>241</v>
      </c>
      <c r="B1788" s="1" t="s">
        <v>4815</v>
      </c>
      <c r="C1788" s="1" t="s">
        <v>4820</v>
      </c>
      <c r="D1788" s="1">
        <v>2023</v>
      </c>
      <c r="E1788" s="1" t="str">
        <f t="shared" ref="E1788:E2042" si="7">CONCATENATE(B1788,C1788,D1788)</f>
        <v>308308 BLUEHDI 1.5 AUT2023</v>
      </c>
      <c r="F1788" s="1" t="s">
        <v>1648</v>
      </c>
      <c r="G1788" s="1">
        <v>20190000</v>
      </c>
      <c r="H1788" s="1">
        <v>17300000</v>
      </c>
    </row>
    <row r="1789" spans="1:8" ht="13.5" customHeight="1" x14ac:dyDescent="0.3">
      <c r="A1789" s="1" t="s">
        <v>241</v>
      </c>
      <c r="B1789" s="1" t="s">
        <v>4815</v>
      </c>
      <c r="C1789" s="1" t="s">
        <v>4820</v>
      </c>
      <c r="D1789" s="1">
        <v>2024</v>
      </c>
      <c r="E1789" s="1" t="str">
        <f t="shared" si="7"/>
        <v>308308 BLUEHDI 1.5 AUT2024</v>
      </c>
      <c r="F1789" s="1" t="s">
        <v>732</v>
      </c>
      <c r="G1789" s="1">
        <v>19890000</v>
      </c>
      <c r="H1789" s="1">
        <v>17000000</v>
      </c>
    </row>
    <row r="1790" spans="1:8" ht="13.5" customHeight="1" x14ac:dyDescent="0.3">
      <c r="A1790" s="1" t="s">
        <v>241</v>
      </c>
      <c r="B1790" s="1" t="s">
        <v>4815</v>
      </c>
      <c r="C1790" s="1" t="s">
        <v>4821</v>
      </c>
      <c r="D1790" s="1">
        <v>2017</v>
      </c>
      <c r="E1790" s="1" t="str">
        <f t="shared" si="7"/>
        <v>308308 FELINE BLUE HDI 1.62017</v>
      </c>
      <c r="F1790" s="1" t="s">
        <v>2287</v>
      </c>
      <c r="G1790" s="1">
        <v>11890000</v>
      </c>
      <c r="H1790" s="1">
        <v>10000000</v>
      </c>
    </row>
    <row r="1791" spans="1:8" ht="13.5" customHeight="1" x14ac:dyDescent="0.3">
      <c r="A1791" s="1" t="s">
        <v>241</v>
      </c>
      <c r="B1791" s="1" t="s">
        <v>4815</v>
      </c>
      <c r="C1791" s="1" t="s">
        <v>4822</v>
      </c>
      <c r="D1791" s="1">
        <v>2020</v>
      </c>
      <c r="E1791" s="1" t="str">
        <f t="shared" si="7"/>
        <v>308308 FELINE BLUEHDI 1.5 AUT2020</v>
      </c>
      <c r="F1791" s="1" t="s">
        <v>2257</v>
      </c>
      <c r="G1791" s="1">
        <v>14640000</v>
      </c>
      <c r="H1791" s="1">
        <v>12800000</v>
      </c>
    </row>
    <row r="1792" spans="1:8" ht="13.5" customHeight="1" x14ac:dyDescent="0.3">
      <c r="A1792" s="1" t="s">
        <v>241</v>
      </c>
      <c r="B1792" s="1" t="s">
        <v>4815</v>
      </c>
      <c r="C1792" s="1" t="s">
        <v>4823</v>
      </c>
      <c r="D1792" s="1">
        <v>2022</v>
      </c>
      <c r="E1792" s="1" t="str">
        <f t="shared" si="7"/>
        <v>308308 PURETECH 1.2 AUT2022</v>
      </c>
      <c r="F1792" s="1" t="s">
        <v>1179</v>
      </c>
      <c r="G1792" s="1">
        <v>17000000</v>
      </c>
      <c r="H1792" s="1">
        <v>19500000</v>
      </c>
    </row>
    <row r="1793" spans="1:8" ht="13.5" customHeight="1" x14ac:dyDescent="0.3">
      <c r="A1793" s="1" t="s">
        <v>241</v>
      </c>
      <c r="B1793" s="1" t="s">
        <v>4815</v>
      </c>
      <c r="C1793" s="1" t="s">
        <v>4823</v>
      </c>
      <c r="D1793" s="1">
        <v>2023</v>
      </c>
      <c r="E1793" s="1" t="str">
        <f t="shared" si="7"/>
        <v>308308 PURETECH 1.2 AUT2023</v>
      </c>
      <c r="G1793" s="1">
        <v>12890000</v>
      </c>
      <c r="H1793" s="1">
        <v>0</v>
      </c>
    </row>
    <row r="1794" spans="1:8" ht="13.5" customHeight="1" x14ac:dyDescent="0.3">
      <c r="A1794" s="1" t="s">
        <v>241</v>
      </c>
      <c r="B1794" s="1" t="s">
        <v>4815</v>
      </c>
      <c r="C1794" s="1" t="s">
        <v>4823</v>
      </c>
      <c r="D1794" s="1">
        <v>2023</v>
      </c>
      <c r="E1794" s="1" t="str">
        <f t="shared" si="7"/>
        <v>308308 PURETECH 1.2 AUT2023</v>
      </c>
      <c r="F1794" s="1" t="s">
        <v>1232</v>
      </c>
      <c r="G1794" s="1">
        <v>12890000</v>
      </c>
      <c r="H1794" s="1">
        <v>15400000</v>
      </c>
    </row>
    <row r="1795" spans="1:8" ht="13.5" customHeight="1" x14ac:dyDescent="0.3">
      <c r="A1795" s="1" t="s">
        <v>241</v>
      </c>
      <c r="B1795" s="1" t="s">
        <v>4815</v>
      </c>
      <c r="C1795" s="1" t="s">
        <v>4823</v>
      </c>
      <c r="D1795" s="1">
        <v>2023</v>
      </c>
      <c r="E1795" s="1" t="str">
        <f t="shared" si="7"/>
        <v>308308 PURETECH 1.2 AUT2023</v>
      </c>
      <c r="F1795" s="1" t="s">
        <v>769</v>
      </c>
      <c r="G1795" s="1">
        <v>15990000</v>
      </c>
      <c r="H1795" s="1">
        <v>15100000</v>
      </c>
    </row>
    <row r="1796" spans="1:8" ht="13.5" customHeight="1" x14ac:dyDescent="0.3">
      <c r="A1796" s="1" t="s">
        <v>241</v>
      </c>
      <c r="B1796" s="1" t="s">
        <v>4815</v>
      </c>
      <c r="C1796" s="1" t="s">
        <v>4823</v>
      </c>
      <c r="D1796" s="1">
        <v>2024</v>
      </c>
      <c r="E1796" s="1" t="str">
        <f t="shared" si="7"/>
        <v>308308 PURETECH 1.2 AUT2024</v>
      </c>
      <c r="F1796" s="1" t="s">
        <v>1404</v>
      </c>
      <c r="G1796" s="1">
        <v>14050000</v>
      </c>
      <c r="H1796" s="1">
        <v>18000000</v>
      </c>
    </row>
    <row r="1797" spans="1:8" ht="13.5" customHeight="1" x14ac:dyDescent="0.3">
      <c r="A1797" s="1" t="s">
        <v>241</v>
      </c>
      <c r="B1797" s="1" t="s">
        <v>4815</v>
      </c>
      <c r="C1797" s="1" t="s">
        <v>4823</v>
      </c>
      <c r="D1797" s="1">
        <v>2024</v>
      </c>
      <c r="E1797" s="1" t="str">
        <f t="shared" si="7"/>
        <v>308308 PURETECH 1.2 AUT2024</v>
      </c>
      <c r="F1797" s="1" t="s">
        <v>1565</v>
      </c>
      <c r="G1797" s="1">
        <v>13890000</v>
      </c>
      <c r="H1797" s="1">
        <v>24723805</v>
      </c>
    </row>
    <row r="1798" spans="1:8" ht="13.5" customHeight="1" x14ac:dyDescent="0.3">
      <c r="A1798" s="1" t="s">
        <v>241</v>
      </c>
      <c r="B1798" s="1" t="s">
        <v>4815</v>
      </c>
      <c r="C1798" s="1" t="s">
        <v>4823</v>
      </c>
      <c r="D1798" s="1">
        <v>2024</v>
      </c>
      <c r="E1798" s="1" t="str">
        <f t="shared" si="7"/>
        <v>308308 PURETECH 1.2 AUT2024</v>
      </c>
      <c r="F1798" s="1" t="s">
        <v>1203</v>
      </c>
      <c r="G1798" s="1">
        <v>22990000</v>
      </c>
      <c r="H1798" s="1">
        <v>23539532</v>
      </c>
    </row>
    <row r="1799" spans="1:8" ht="13.5" customHeight="1" x14ac:dyDescent="0.3">
      <c r="A1799" s="1" t="s">
        <v>241</v>
      </c>
      <c r="B1799" s="1" t="s">
        <v>4815</v>
      </c>
      <c r="C1799" s="1" t="s">
        <v>4824</v>
      </c>
      <c r="D1799" s="1">
        <v>2021</v>
      </c>
      <c r="E1799" s="1" t="str">
        <f t="shared" si="7"/>
        <v>308308 PURETECH HB OTTO 1.22021</v>
      </c>
      <c r="F1799" s="1" t="s">
        <v>1236</v>
      </c>
      <c r="G1799" s="1">
        <v>19980000</v>
      </c>
      <c r="H1799" s="1">
        <v>20800000</v>
      </c>
    </row>
    <row r="1800" spans="1:8" ht="13.5" customHeight="1" x14ac:dyDescent="0.3">
      <c r="A1800" s="1" t="s">
        <v>241</v>
      </c>
      <c r="B1800" s="1" t="s">
        <v>4825</v>
      </c>
      <c r="C1800" s="1" t="s">
        <v>4826</v>
      </c>
      <c r="D1800" s="1">
        <v>2015</v>
      </c>
      <c r="E1800" s="1" t="str">
        <f t="shared" si="7"/>
        <v>40084008 FELINE 4WD 2.0 AT2015</v>
      </c>
      <c r="F1800" s="1" t="s">
        <v>1772</v>
      </c>
      <c r="G1800" s="1">
        <v>8000000</v>
      </c>
      <c r="H1800" s="1">
        <v>6500000</v>
      </c>
    </row>
    <row r="1801" spans="1:8" ht="13.5" customHeight="1" x14ac:dyDescent="0.3">
      <c r="A1801" s="1" t="s">
        <v>241</v>
      </c>
      <c r="B1801" s="1" t="s">
        <v>4827</v>
      </c>
      <c r="C1801" s="1" t="s">
        <v>4828</v>
      </c>
      <c r="D1801" s="1">
        <v>2020</v>
      </c>
      <c r="E1801" s="1" t="str">
        <f t="shared" si="7"/>
        <v>50085008 ACTIVE BLUEHDI 1.5 AUT2020</v>
      </c>
      <c r="F1801" s="1" t="s">
        <v>680</v>
      </c>
      <c r="G1801" s="1">
        <v>14890000</v>
      </c>
      <c r="H1801" s="1">
        <v>13450000</v>
      </c>
    </row>
    <row r="1802" spans="1:8" ht="13.5" customHeight="1" x14ac:dyDescent="0.3">
      <c r="A1802" s="1" t="s">
        <v>241</v>
      </c>
      <c r="B1802" s="1" t="s">
        <v>4827</v>
      </c>
      <c r="C1802" s="1" t="s">
        <v>4828</v>
      </c>
      <c r="D1802" s="1">
        <v>2020</v>
      </c>
      <c r="E1802" s="1" t="str">
        <f t="shared" si="7"/>
        <v>50085008 ACTIVE BLUEHDI 1.5 AUT2020</v>
      </c>
      <c r="F1802" s="1" t="s">
        <v>2079</v>
      </c>
      <c r="G1802" s="1">
        <v>19790000</v>
      </c>
      <c r="H1802" s="1">
        <v>16200000</v>
      </c>
    </row>
    <row r="1803" spans="1:8" ht="13.5" customHeight="1" x14ac:dyDescent="0.3">
      <c r="A1803" s="1" t="s">
        <v>241</v>
      </c>
      <c r="B1803" s="1" t="s">
        <v>4827</v>
      </c>
      <c r="C1803" s="1" t="s">
        <v>4829</v>
      </c>
      <c r="D1803" s="1">
        <v>2018</v>
      </c>
      <c r="E1803" s="1" t="str">
        <f t="shared" si="7"/>
        <v>50085008 ALLURE 1.62018</v>
      </c>
      <c r="F1803" s="1" t="s">
        <v>1302</v>
      </c>
      <c r="G1803" s="1">
        <v>13990000</v>
      </c>
      <c r="H1803" s="1">
        <v>10500000</v>
      </c>
    </row>
    <row r="1804" spans="1:8" ht="13.5" customHeight="1" x14ac:dyDescent="0.3">
      <c r="A1804" s="1" t="s">
        <v>241</v>
      </c>
      <c r="B1804" s="1" t="s">
        <v>4827</v>
      </c>
      <c r="C1804" s="1" t="s">
        <v>4830</v>
      </c>
      <c r="D1804" s="1">
        <v>2020</v>
      </c>
      <c r="E1804" s="1" t="str">
        <f t="shared" si="7"/>
        <v>50085008 ALLURE 1.6 AUT2020</v>
      </c>
      <c r="F1804" s="1" t="s">
        <v>1386</v>
      </c>
      <c r="G1804" s="1">
        <v>16990000</v>
      </c>
      <c r="H1804" s="1">
        <v>14500000</v>
      </c>
    </row>
    <row r="1805" spans="1:8" ht="13.5" customHeight="1" x14ac:dyDescent="0.3">
      <c r="A1805" s="1" t="s">
        <v>241</v>
      </c>
      <c r="B1805" s="1" t="s">
        <v>4827</v>
      </c>
      <c r="C1805" s="1" t="s">
        <v>4831</v>
      </c>
      <c r="D1805" s="1">
        <v>2019</v>
      </c>
      <c r="E1805" s="1" t="str">
        <f t="shared" si="7"/>
        <v>50085008 ALLURE BLUEHDI 1.5 AUT2019</v>
      </c>
      <c r="F1805" s="1" t="s">
        <v>1519</v>
      </c>
      <c r="G1805" s="1">
        <v>14990000</v>
      </c>
      <c r="H1805" s="1">
        <v>12400000</v>
      </c>
    </row>
    <row r="1806" spans="1:8" ht="13.5" customHeight="1" x14ac:dyDescent="0.3">
      <c r="A1806" s="1" t="s">
        <v>241</v>
      </c>
      <c r="B1806" s="1" t="s">
        <v>4827</v>
      </c>
      <c r="C1806" s="1" t="s">
        <v>4831</v>
      </c>
      <c r="D1806" s="1">
        <v>2019</v>
      </c>
      <c r="E1806" s="1" t="str">
        <f t="shared" si="7"/>
        <v>50085008 ALLURE BLUEHDI 1.5 AUT2019</v>
      </c>
      <c r="F1806" s="1" t="s">
        <v>1299</v>
      </c>
      <c r="G1806" s="1">
        <v>15890000</v>
      </c>
      <c r="H1806" s="1">
        <v>13500000</v>
      </c>
    </row>
    <row r="1807" spans="1:8" ht="13.5" customHeight="1" x14ac:dyDescent="0.3">
      <c r="A1807" s="1" t="s">
        <v>241</v>
      </c>
      <c r="B1807" s="1" t="s">
        <v>4827</v>
      </c>
      <c r="C1807" s="1" t="s">
        <v>4832</v>
      </c>
      <c r="D1807" s="1">
        <v>2018</v>
      </c>
      <c r="E1807" s="1" t="str">
        <f t="shared" si="7"/>
        <v>50085008 ALLURE BLUEHDI 2.02018</v>
      </c>
      <c r="F1807" s="1" t="s">
        <v>2170</v>
      </c>
      <c r="G1807" s="1">
        <v>15990000</v>
      </c>
      <c r="H1807" s="1">
        <v>13236000</v>
      </c>
    </row>
    <row r="1808" spans="1:8" ht="13.5" customHeight="1" x14ac:dyDescent="0.3">
      <c r="A1808" s="1" t="s">
        <v>241</v>
      </c>
      <c r="B1808" s="1" t="s">
        <v>4827</v>
      </c>
      <c r="C1808" s="1" t="s">
        <v>4833</v>
      </c>
      <c r="D1808" s="1">
        <v>2021</v>
      </c>
      <c r="E1808" s="1" t="str">
        <f t="shared" si="7"/>
        <v>50085008 BLUE HDI 1.5 AT2021</v>
      </c>
      <c r="F1808" s="1" t="s">
        <v>2388</v>
      </c>
      <c r="G1808" s="1">
        <v>20490000</v>
      </c>
      <c r="H1808" s="1">
        <v>21000000</v>
      </c>
    </row>
    <row r="1809" spans="1:8" ht="13.5" customHeight="1" x14ac:dyDescent="0.3">
      <c r="A1809" s="1" t="s">
        <v>241</v>
      </c>
      <c r="B1809" s="1" t="s">
        <v>4827</v>
      </c>
      <c r="C1809" s="1" t="s">
        <v>262</v>
      </c>
      <c r="D1809" s="1">
        <v>2021</v>
      </c>
      <c r="E1809" s="1" t="str">
        <f t="shared" si="7"/>
        <v>50085008 BLUEHDI 130 1.5 AUT2021</v>
      </c>
      <c r="F1809" s="1" t="s">
        <v>969</v>
      </c>
      <c r="G1809" s="1">
        <v>17990000</v>
      </c>
      <c r="H1809" s="1">
        <v>16900000</v>
      </c>
    </row>
    <row r="1810" spans="1:8" ht="13.5" customHeight="1" x14ac:dyDescent="0.3">
      <c r="A1810" s="1" t="s">
        <v>241</v>
      </c>
      <c r="B1810" s="1" t="s">
        <v>4827</v>
      </c>
      <c r="C1810" s="1" t="s">
        <v>262</v>
      </c>
      <c r="D1810" s="1">
        <v>2022</v>
      </c>
      <c r="E1810" s="1" t="str">
        <f t="shared" si="7"/>
        <v>50085008 BLUEHDI 130 1.5 AUT2022</v>
      </c>
      <c r="F1810" s="1" t="s">
        <v>1736</v>
      </c>
      <c r="G1810" s="1">
        <v>20636150</v>
      </c>
      <c r="H1810" s="1">
        <v>18000000</v>
      </c>
    </row>
    <row r="1811" spans="1:8" ht="13.5" customHeight="1" x14ac:dyDescent="0.3">
      <c r="A1811" s="1" t="s">
        <v>241</v>
      </c>
      <c r="B1811" s="1" t="s">
        <v>4827</v>
      </c>
      <c r="C1811" s="1" t="s">
        <v>262</v>
      </c>
      <c r="D1811" s="1">
        <v>2022</v>
      </c>
      <c r="E1811" s="1" t="str">
        <f t="shared" si="7"/>
        <v>50085008 BLUEHDI 130 1.5 AUT2022</v>
      </c>
      <c r="F1811" s="1" t="s">
        <v>1500</v>
      </c>
      <c r="G1811" s="1">
        <v>21790000</v>
      </c>
      <c r="H1811" s="1">
        <v>19000000</v>
      </c>
    </row>
    <row r="1812" spans="1:8" ht="13.5" customHeight="1" x14ac:dyDescent="0.3">
      <c r="A1812" s="1" t="s">
        <v>241</v>
      </c>
      <c r="B1812" s="1" t="s">
        <v>4827</v>
      </c>
      <c r="C1812" s="1" t="s">
        <v>262</v>
      </c>
      <c r="D1812" s="1">
        <v>2022</v>
      </c>
      <c r="E1812" s="1" t="str">
        <f t="shared" si="7"/>
        <v>50085008 BLUEHDI 130 1.5 AUT2022</v>
      </c>
      <c r="F1812" s="1" t="s">
        <v>1953</v>
      </c>
      <c r="G1812" s="1">
        <v>24990000</v>
      </c>
      <c r="H1812" s="1">
        <v>21000000</v>
      </c>
    </row>
    <row r="1813" spans="1:8" ht="13.5" customHeight="1" x14ac:dyDescent="0.3">
      <c r="A1813" s="1" t="s">
        <v>241</v>
      </c>
      <c r="B1813" s="1" t="s">
        <v>4827</v>
      </c>
      <c r="C1813" s="1" t="s">
        <v>262</v>
      </c>
      <c r="D1813" s="1">
        <v>2023</v>
      </c>
      <c r="E1813" s="1" t="str">
        <f t="shared" si="7"/>
        <v>50085008 BLUEHDI 130 1.5 AUT2023</v>
      </c>
      <c r="F1813" s="1" t="s">
        <v>814</v>
      </c>
      <c r="G1813" s="1">
        <v>23990000</v>
      </c>
      <c r="H1813" s="1">
        <v>20500000</v>
      </c>
    </row>
    <row r="1814" spans="1:8" ht="13.5" customHeight="1" x14ac:dyDescent="0.3">
      <c r="A1814" s="1" t="s">
        <v>241</v>
      </c>
      <c r="B1814" s="1" t="s">
        <v>4827</v>
      </c>
      <c r="C1814" s="1" t="s">
        <v>262</v>
      </c>
      <c r="D1814" s="1">
        <v>2024</v>
      </c>
      <c r="E1814" s="1" t="str">
        <f t="shared" si="7"/>
        <v>50085008 BLUEHDI 130 1.5 AUT2024</v>
      </c>
      <c r="F1814" s="1" t="s">
        <v>950</v>
      </c>
      <c r="G1814" s="1">
        <v>23790000</v>
      </c>
      <c r="H1814" s="1">
        <v>22000000</v>
      </c>
    </row>
    <row r="1815" spans="1:8" ht="13.5" customHeight="1" x14ac:dyDescent="0.3">
      <c r="A1815" s="1" t="s">
        <v>241</v>
      </c>
      <c r="B1815" s="1" t="s">
        <v>4827</v>
      </c>
      <c r="C1815" s="1" t="s">
        <v>262</v>
      </c>
      <c r="D1815" s="1">
        <v>2024</v>
      </c>
      <c r="E1815" s="1" t="str">
        <f t="shared" si="7"/>
        <v>50085008 BLUEHDI 130 1.5 AUT2024</v>
      </c>
      <c r="F1815" s="1" t="s">
        <v>644</v>
      </c>
      <c r="G1815" s="1">
        <v>23471030</v>
      </c>
      <c r="H1815" s="1">
        <v>23000000</v>
      </c>
    </row>
    <row r="1816" spans="1:8" ht="13.5" customHeight="1" x14ac:dyDescent="0.3">
      <c r="A1816" s="1" t="s">
        <v>241</v>
      </c>
      <c r="B1816" s="1" t="s">
        <v>4827</v>
      </c>
      <c r="C1816" s="1" t="s">
        <v>262</v>
      </c>
      <c r="D1816" s="1">
        <v>2024</v>
      </c>
      <c r="E1816" s="1" t="str">
        <f t="shared" si="7"/>
        <v>50085008 BLUEHDI 130 1.5 AUT2024</v>
      </c>
      <c r="F1816" s="1" t="s">
        <v>1194</v>
      </c>
      <c r="G1816" s="1">
        <v>26016620</v>
      </c>
      <c r="H1816" s="1">
        <v>22800000</v>
      </c>
    </row>
    <row r="1817" spans="1:8" ht="13.5" customHeight="1" x14ac:dyDescent="0.3">
      <c r="A1817" s="1" t="s">
        <v>241</v>
      </c>
      <c r="B1817" s="1" t="s">
        <v>4827</v>
      </c>
      <c r="C1817" s="1" t="s">
        <v>4834</v>
      </c>
      <c r="D1817" s="1">
        <v>2021</v>
      </c>
      <c r="E1817" s="1" t="str">
        <f t="shared" si="7"/>
        <v>50085008 GT BLUEHDI 1.5 AUT2021</v>
      </c>
      <c r="F1817" s="1" t="s">
        <v>885</v>
      </c>
      <c r="G1817" s="1">
        <v>18990000</v>
      </c>
      <c r="H1817" s="1">
        <v>16200000</v>
      </c>
    </row>
    <row r="1818" spans="1:8" ht="13.5" customHeight="1" x14ac:dyDescent="0.3">
      <c r="A1818" s="1" t="s">
        <v>241</v>
      </c>
      <c r="B1818" s="1" t="s">
        <v>4827</v>
      </c>
      <c r="C1818" s="1" t="s">
        <v>4835</v>
      </c>
      <c r="D1818" s="1">
        <v>2020</v>
      </c>
      <c r="E1818" s="1" t="str">
        <f t="shared" si="7"/>
        <v>50085008 GT BLUEHDI 2.0 AUT2020</v>
      </c>
      <c r="F1818" s="1" t="s">
        <v>2176</v>
      </c>
      <c r="G1818" s="1">
        <v>20990000</v>
      </c>
      <c r="H1818" s="1">
        <v>17000000</v>
      </c>
    </row>
    <row r="1819" spans="1:8" ht="13.5" customHeight="1" x14ac:dyDescent="0.3">
      <c r="A1819" s="1" t="s">
        <v>241</v>
      </c>
      <c r="B1819" s="1" t="s">
        <v>4827</v>
      </c>
      <c r="C1819" s="1" t="s">
        <v>4836</v>
      </c>
      <c r="D1819" s="1">
        <v>2020</v>
      </c>
      <c r="E1819" s="1" t="str">
        <f t="shared" si="7"/>
        <v>50085008 GT LINE BLUEHDI 1.5 AUT2020</v>
      </c>
      <c r="F1819" s="1" t="s">
        <v>2423</v>
      </c>
      <c r="G1819" s="1">
        <v>25590000</v>
      </c>
      <c r="H1819" s="1">
        <v>22000000</v>
      </c>
    </row>
    <row r="1820" spans="1:8" ht="13.5" customHeight="1" x14ac:dyDescent="0.3">
      <c r="A1820" s="1" t="s">
        <v>241</v>
      </c>
      <c r="B1820" s="1" t="s">
        <v>4827</v>
      </c>
      <c r="C1820" s="1" t="s">
        <v>4836</v>
      </c>
      <c r="D1820" s="1">
        <v>2020</v>
      </c>
      <c r="E1820" s="1" t="str">
        <f t="shared" si="7"/>
        <v>50085008 GT LINE BLUEHDI 1.5 AUT2020</v>
      </c>
      <c r="F1820" s="1" t="s">
        <v>1879</v>
      </c>
      <c r="G1820" s="1">
        <v>20890000</v>
      </c>
      <c r="H1820" s="1">
        <v>17000000</v>
      </c>
    </row>
    <row r="1821" spans="1:8" ht="13.5" customHeight="1" x14ac:dyDescent="0.3">
      <c r="A1821" s="1" t="s">
        <v>241</v>
      </c>
      <c r="B1821" s="1" t="s">
        <v>4827</v>
      </c>
      <c r="C1821" s="1" t="s">
        <v>266</v>
      </c>
      <c r="D1821" s="1">
        <v>2022</v>
      </c>
      <c r="E1821" s="1" t="str">
        <f t="shared" si="7"/>
        <v>50085008 PURETECH 180 EAT8 1.6 AUT2022</v>
      </c>
      <c r="F1821" s="1" t="s">
        <v>619</v>
      </c>
      <c r="G1821" s="1">
        <v>20290000</v>
      </c>
      <c r="H1821" s="1">
        <v>18000000</v>
      </c>
    </row>
    <row r="1822" spans="1:8" ht="13.5" customHeight="1" x14ac:dyDescent="0.3">
      <c r="A1822" s="1" t="s">
        <v>241</v>
      </c>
      <c r="B1822" s="1" t="s">
        <v>4827</v>
      </c>
      <c r="C1822" s="1" t="s">
        <v>4837</v>
      </c>
      <c r="D1822" s="1">
        <v>2021</v>
      </c>
      <c r="E1822" s="1" t="str">
        <f t="shared" si="7"/>
        <v>50085008 THP 165 1.6 AUT2021</v>
      </c>
      <c r="F1822" s="1" t="s">
        <v>2187</v>
      </c>
      <c r="G1822" s="1">
        <v>21590000</v>
      </c>
      <c r="H1822" s="1">
        <v>18000000</v>
      </c>
    </row>
    <row r="1823" spans="1:8" ht="13.5" customHeight="1" x14ac:dyDescent="0.3">
      <c r="A1823" s="1" t="s">
        <v>241</v>
      </c>
      <c r="B1823" s="1" t="s">
        <v>4827</v>
      </c>
      <c r="C1823" s="1" t="s">
        <v>4837</v>
      </c>
      <c r="D1823" s="1">
        <v>2021</v>
      </c>
      <c r="E1823" s="1" t="str">
        <f t="shared" si="7"/>
        <v>50085008 THP 165 1.6 AUT2021</v>
      </c>
      <c r="F1823" s="1" t="s">
        <v>2328</v>
      </c>
      <c r="G1823" s="1">
        <v>19590000</v>
      </c>
      <c r="H1823" s="1">
        <v>17000000</v>
      </c>
    </row>
    <row r="1824" spans="1:8" ht="13.5" customHeight="1" x14ac:dyDescent="0.3">
      <c r="A1824" s="1" t="s">
        <v>241</v>
      </c>
      <c r="B1824" s="1" t="s">
        <v>4827</v>
      </c>
      <c r="C1824" s="1" t="s">
        <v>4837</v>
      </c>
      <c r="D1824" s="1">
        <v>2021</v>
      </c>
      <c r="E1824" s="1" t="str">
        <f t="shared" si="7"/>
        <v>50085008 THP 165 1.6 AUT2021</v>
      </c>
      <c r="F1824" s="1" t="s">
        <v>1743</v>
      </c>
      <c r="G1824" s="1">
        <v>19790000</v>
      </c>
      <c r="H1824" s="1">
        <v>17000000</v>
      </c>
    </row>
    <row r="1825" spans="1:8" ht="13.5" customHeight="1" x14ac:dyDescent="0.3">
      <c r="A1825" s="1" t="s">
        <v>241</v>
      </c>
      <c r="B1825" s="1" t="s">
        <v>4827</v>
      </c>
      <c r="C1825" s="1" t="s">
        <v>4837</v>
      </c>
      <c r="D1825" s="1">
        <v>2022</v>
      </c>
      <c r="E1825" s="1" t="str">
        <f t="shared" si="7"/>
        <v>50085008 THP 165 1.6 AUT2022</v>
      </c>
      <c r="F1825" s="1" t="s">
        <v>1824</v>
      </c>
      <c r="G1825" s="1">
        <v>22390000</v>
      </c>
      <c r="H1825" s="1">
        <v>18500000</v>
      </c>
    </row>
    <row r="1826" spans="1:8" ht="13.5" customHeight="1" x14ac:dyDescent="0.3">
      <c r="A1826" s="1" t="s">
        <v>241</v>
      </c>
      <c r="B1826" s="1" t="s">
        <v>3164</v>
      </c>
      <c r="C1826" s="1" t="s">
        <v>4838</v>
      </c>
      <c r="D1826" s="1">
        <v>2023</v>
      </c>
      <c r="E1826" s="1" t="str">
        <f t="shared" si="7"/>
        <v>BOXERBOXER BLUEHDI 2.02023</v>
      </c>
      <c r="F1826" s="1" t="s">
        <v>1365</v>
      </c>
      <c r="G1826" s="1">
        <v>23290000</v>
      </c>
      <c r="H1826" s="1">
        <v>19880000</v>
      </c>
    </row>
    <row r="1827" spans="1:8" ht="13.5" customHeight="1" x14ac:dyDescent="0.3">
      <c r="A1827" s="1" t="s">
        <v>241</v>
      </c>
      <c r="B1827" s="1" t="s">
        <v>269</v>
      </c>
      <c r="C1827" s="1" t="s">
        <v>270</v>
      </c>
      <c r="D1827" s="1">
        <v>2022</v>
      </c>
      <c r="E1827" s="1" t="str">
        <f t="shared" si="7"/>
        <v>LANDTREKLANDTREK 1.92022</v>
      </c>
      <c r="F1827" s="1" t="s">
        <v>1571</v>
      </c>
      <c r="G1827" s="1">
        <v>17690000</v>
      </c>
      <c r="H1827" s="1">
        <v>15000000</v>
      </c>
    </row>
    <row r="1828" spans="1:8" ht="13.5" customHeight="1" x14ac:dyDescent="0.3">
      <c r="A1828" s="1" t="s">
        <v>241</v>
      </c>
      <c r="B1828" s="1" t="s">
        <v>269</v>
      </c>
      <c r="C1828" s="1" t="s">
        <v>270</v>
      </c>
      <c r="D1828" s="1">
        <v>2023</v>
      </c>
      <c r="E1828" s="1" t="str">
        <f t="shared" si="7"/>
        <v>LANDTREKLANDTREK 1.92023</v>
      </c>
      <c r="F1828" s="1" t="s">
        <v>271</v>
      </c>
      <c r="G1828" s="1">
        <v>14690000</v>
      </c>
      <c r="H1828" s="1">
        <v>14000000</v>
      </c>
    </row>
    <row r="1829" spans="1:8" ht="13.5" customHeight="1" x14ac:dyDescent="0.3">
      <c r="A1829" s="1" t="s">
        <v>241</v>
      </c>
      <c r="B1829" s="1" t="s">
        <v>269</v>
      </c>
      <c r="C1829" s="1" t="s">
        <v>270</v>
      </c>
      <c r="D1829" s="1">
        <v>2023</v>
      </c>
      <c r="E1829" s="1" t="str">
        <f t="shared" si="7"/>
        <v>LANDTREKLANDTREK 1.92023</v>
      </c>
      <c r="F1829" s="1" t="s">
        <v>1885</v>
      </c>
      <c r="G1829" s="1">
        <v>21590000</v>
      </c>
      <c r="H1829" s="1">
        <v>18350000</v>
      </c>
    </row>
    <row r="1830" spans="1:8" ht="13.5" customHeight="1" x14ac:dyDescent="0.3">
      <c r="A1830" s="1" t="s">
        <v>241</v>
      </c>
      <c r="B1830" s="1" t="s">
        <v>269</v>
      </c>
      <c r="C1830" s="1" t="s">
        <v>4839</v>
      </c>
      <c r="D1830" s="1">
        <v>2022</v>
      </c>
      <c r="E1830" s="1" t="str">
        <f t="shared" si="7"/>
        <v>LANDTREKLANDTREK 4X4 1.92022</v>
      </c>
      <c r="G1830" s="1">
        <v>20490000</v>
      </c>
      <c r="H1830" s="1">
        <v>0</v>
      </c>
    </row>
    <row r="1831" spans="1:8" ht="13.5" customHeight="1" x14ac:dyDescent="0.3">
      <c r="A1831" s="1" t="s">
        <v>241</v>
      </c>
      <c r="B1831" s="1" t="s">
        <v>269</v>
      </c>
      <c r="C1831" s="1" t="s">
        <v>4839</v>
      </c>
      <c r="D1831" s="1">
        <v>2022</v>
      </c>
      <c r="E1831" s="1" t="str">
        <f t="shared" si="7"/>
        <v>LANDTREKLANDTREK 4X4 1.92022</v>
      </c>
      <c r="F1831" s="1" t="s">
        <v>2162</v>
      </c>
      <c r="G1831" s="1">
        <v>17990000</v>
      </c>
      <c r="H1831" s="1">
        <v>17000000</v>
      </c>
    </row>
    <row r="1832" spans="1:8" ht="13.5" customHeight="1" x14ac:dyDescent="0.3">
      <c r="A1832" s="1" t="s">
        <v>241</v>
      </c>
      <c r="B1832" s="1" t="s">
        <v>269</v>
      </c>
      <c r="C1832" s="1" t="s">
        <v>4839</v>
      </c>
      <c r="D1832" s="1">
        <v>2022</v>
      </c>
      <c r="E1832" s="1" t="str">
        <f t="shared" si="7"/>
        <v>LANDTREKLANDTREK 4X4 1.92022</v>
      </c>
      <c r="F1832" s="1" t="s">
        <v>527</v>
      </c>
      <c r="G1832" s="1">
        <v>17890000</v>
      </c>
      <c r="H1832" s="1">
        <v>14400000</v>
      </c>
    </row>
    <row r="1833" spans="1:8" ht="13.5" customHeight="1" x14ac:dyDescent="0.3">
      <c r="A1833" s="1" t="s">
        <v>241</v>
      </c>
      <c r="B1833" s="1" t="s">
        <v>269</v>
      </c>
      <c r="C1833" s="1" t="s">
        <v>4839</v>
      </c>
      <c r="D1833" s="1">
        <v>2023</v>
      </c>
      <c r="E1833" s="1" t="str">
        <f t="shared" si="7"/>
        <v>LANDTREKLANDTREK 4X4 1.92023</v>
      </c>
      <c r="F1833" s="1" t="s">
        <v>1154</v>
      </c>
      <c r="G1833" s="1">
        <v>20490000</v>
      </c>
      <c r="H1833" s="1">
        <v>18730000</v>
      </c>
    </row>
    <row r="1834" spans="1:8" ht="13.5" customHeight="1" x14ac:dyDescent="0.3">
      <c r="A1834" s="1" t="s">
        <v>241</v>
      </c>
      <c r="B1834" s="1" t="s">
        <v>269</v>
      </c>
      <c r="C1834" s="1" t="s">
        <v>4839</v>
      </c>
      <c r="D1834" s="1">
        <v>2023</v>
      </c>
      <c r="E1834" s="1" t="str">
        <f t="shared" si="7"/>
        <v>LANDTREKLANDTREK 4X4 1.92023</v>
      </c>
      <c r="F1834" s="1" t="s">
        <v>2203</v>
      </c>
      <c r="G1834" s="1">
        <v>25490000</v>
      </c>
      <c r="H1834" s="1">
        <v>29024100</v>
      </c>
    </row>
    <row r="1835" spans="1:8" ht="13.5" customHeight="1" x14ac:dyDescent="0.3">
      <c r="A1835" s="1" t="s">
        <v>241</v>
      </c>
      <c r="B1835" s="1" t="s">
        <v>269</v>
      </c>
      <c r="C1835" s="1" t="s">
        <v>4840</v>
      </c>
      <c r="D1835" s="1">
        <v>2023</v>
      </c>
      <c r="E1835" s="1" t="str">
        <f t="shared" si="7"/>
        <v>LANDTREKLANDTREK 4X4 2.4 AUT2023</v>
      </c>
      <c r="F1835" s="1" t="s">
        <v>741</v>
      </c>
      <c r="G1835" s="1">
        <v>18990000</v>
      </c>
      <c r="H1835" s="1">
        <v>17800000</v>
      </c>
    </row>
    <row r="1836" spans="1:8" ht="13.5" customHeight="1" x14ac:dyDescent="0.3">
      <c r="A1836" s="1" t="s">
        <v>241</v>
      </c>
      <c r="B1836" s="1" t="s">
        <v>269</v>
      </c>
      <c r="C1836" s="1" t="s">
        <v>4841</v>
      </c>
      <c r="D1836" s="1">
        <v>2023</v>
      </c>
      <c r="E1836" s="1" t="str">
        <f t="shared" si="7"/>
        <v>LANDTREKLANDTREK BLUE HDI 180 4X4 2.22023</v>
      </c>
      <c r="F1836" s="1" t="s">
        <v>1515</v>
      </c>
      <c r="G1836" s="1">
        <v>23290000</v>
      </c>
      <c r="H1836" s="1">
        <v>20000000</v>
      </c>
    </row>
    <row r="1837" spans="1:8" ht="13.5" customHeight="1" x14ac:dyDescent="0.3">
      <c r="A1837" s="1" t="s">
        <v>241</v>
      </c>
      <c r="B1837" s="1" t="s">
        <v>269</v>
      </c>
      <c r="C1837" s="1" t="s">
        <v>272</v>
      </c>
      <c r="D1837" s="1">
        <v>2023</v>
      </c>
      <c r="E1837" s="1" t="str">
        <f t="shared" si="7"/>
        <v>LANDTREKLANDTREK BLUEHDI 4X4 2.2 AUT2023</v>
      </c>
      <c r="F1837" s="1" t="s">
        <v>738</v>
      </c>
      <c r="G1837" s="1">
        <v>17990000</v>
      </c>
      <c r="H1837" s="1">
        <v>17000000</v>
      </c>
    </row>
    <row r="1838" spans="1:8" ht="13.5" customHeight="1" x14ac:dyDescent="0.3">
      <c r="A1838" s="1" t="s">
        <v>241</v>
      </c>
      <c r="B1838" s="1" t="s">
        <v>269</v>
      </c>
      <c r="C1838" s="1" t="s">
        <v>272</v>
      </c>
      <c r="D1838" s="1">
        <v>2024</v>
      </c>
      <c r="E1838" s="1" t="str">
        <f t="shared" si="7"/>
        <v>LANDTREKLANDTREK BLUEHDI 4X4 2.2 AUT2024</v>
      </c>
      <c r="F1838" s="1" t="s">
        <v>679</v>
      </c>
      <c r="G1838" s="1">
        <v>21790000</v>
      </c>
      <c r="H1838" s="1">
        <v>18400000</v>
      </c>
    </row>
    <row r="1839" spans="1:8" ht="13.5" customHeight="1" x14ac:dyDescent="0.3">
      <c r="A1839" s="1" t="s">
        <v>241</v>
      </c>
      <c r="B1839" s="1" t="s">
        <v>269</v>
      </c>
      <c r="C1839" s="1" t="s">
        <v>272</v>
      </c>
      <c r="D1839" s="1">
        <v>2024</v>
      </c>
      <c r="E1839" s="1" t="str">
        <f t="shared" si="7"/>
        <v>LANDTREKLANDTREK BLUEHDI 4X4 2.2 AUT2024</v>
      </c>
      <c r="F1839" s="1" t="s">
        <v>1126</v>
      </c>
      <c r="G1839" s="1">
        <v>26990000</v>
      </c>
      <c r="H1839" s="1">
        <v>21800000</v>
      </c>
    </row>
    <row r="1840" spans="1:8" ht="13.5" customHeight="1" x14ac:dyDescent="0.3">
      <c r="A1840" s="1" t="s">
        <v>241</v>
      </c>
      <c r="B1840" s="1" t="s">
        <v>269</v>
      </c>
      <c r="C1840" s="1" t="s">
        <v>272</v>
      </c>
      <c r="D1840" s="1">
        <v>2024</v>
      </c>
      <c r="E1840" s="1" t="str">
        <f t="shared" si="7"/>
        <v>LANDTREKLANDTREK BLUEHDI 4X4 2.2 AUT2024</v>
      </c>
      <c r="F1840" s="1" t="s">
        <v>1055</v>
      </c>
      <c r="G1840" s="1">
        <v>25290000</v>
      </c>
      <c r="H1840" s="1">
        <v>21600000</v>
      </c>
    </row>
    <row r="1841" spans="1:8" ht="13.5" customHeight="1" x14ac:dyDescent="0.3">
      <c r="A1841" s="1" t="s">
        <v>241</v>
      </c>
      <c r="B1841" s="1" t="s">
        <v>269</v>
      </c>
      <c r="C1841" s="1" t="s">
        <v>272</v>
      </c>
      <c r="D1841" s="1">
        <v>2024</v>
      </c>
      <c r="E1841" s="1" t="str">
        <f t="shared" si="7"/>
        <v>LANDTREKLANDTREK BLUEHDI 4X4 2.2 AUT2024</v>
      </c>
      <c r="F1841" s="1" t="s">
        <v>854</v>
      </c>
      <c r="G1841" s="1">
        <v>21990000</v>
      </c>
      <c r="H1841" s="1">
        <v>19000001</v>
      </c>
    </row>
    <row r="1842" spans="1:8" ht="13.5" customHeight="1" x14ac:dyDescent="0.3">
      <c r="A1842" s="1" t="s">
        <v>241</v>
      </c>
      <c r="B1842" s="1" t="s">
        <v>269</v>
      </c>
      <c r="C1842" s="1" t="s">
        <v>4842</v>
      </c>
      <c r="D1842" s="1">
        <v>2022</v>
      </c>
      <c r="E1842" s="1" t="str">
        <f t="shared" si="7"/>
        <v>LANDTREKLANDTREK HDI 1.92022</v>
      </c>
      <c r="F1842" s="1" t="s">
        <v>2275</v>
      </c>
      <c r="G1842" s="1">
        <v>21590000</v>
      </c>
      <c r="H1842" s="1">
        <v>18000000</v>
      </c>
    </row>
    <row r="1843" spans="1:8" ht="13.5" customHeight="1" x14ac:dyDescent="0.3">
      <c r="A1843" s="1" t="s">
        <v>241</v>
      </c>
      <c r="B1843" s="1" t="s">
        <v>276</v>
      </c>
      <c r="C1843" s="1" t="s">
        <v>4843</v>
      </c>
      <c r="D1843" s="1">
        <v>2022</v>
      </c>
      <c r="E1843" s="1" t="str">
        <f t="shared" si="7"/>
        <v>PARTNERPARTNER HDI 92 L2 1.62022</v>
      </c>
      <c r="F1843" s="1" t="s">
        <v>2272</v>
      </c>
      <c r="G1843" s="1">
        <v>15290000</v>
      </c>
      <c r="H1843" s="1">
        <v>14478992</v>
      </c>
    </row>
    <row r="1844" spans="1:8" ht="13.5" customHeight="1" x14ac:dyDescent="0.3">
      <c r="A1844" s="1" t="s">
        <v>241</v>
      </c>
      <c r="B1844" s="1" t="s">
        <v>276</v>
      </c>
      <c r="C1844" s="1" t="s">
        <v>4844</v>
      </c>
      <c r="D1844" s="1">
        <v>2023</v>
      </c>
      <c r="E1844" s="1" t="str">
        <f t="shared" si="7"/>
        <v>PARTNERPARTNER L2 BLUE HDI 100 1.52023</v>
      </c>
      <c r="F1844" s="1" t="s">
        <v>1462</v>
      </c>
      <c r="G1844" s="1">
        <v>16990000</v>
      </c>
      <c r="H1844" s="1">
        <v>13700000</v>
      </c>
    </row>
    <row r="1845" spans="1:8" ht="13.5" customHeight="1" x14ac:dyDescent="0.3">
      <c r="A1845" s="1" t="s">
        <v>241</v>
      </c>
      <c r="B1845" s="1" t="s">
        <v>2630</v>
      </c>
      <c r="C1845" s="1" t="s">
        <v>4845</v>
      </c>
      <c r="D1845" s="1">
        <v>2021</v>
      </c>
      <c r="E1845" s="1" t="str">
        <f t="shared" si="7"/>
        <v>RIFTERRIFTER ALLURE BLUEHDI 1.5 AUT2021</v>
      </c>
      <c r="F1845" s="1" t="s">
        <v>1261</v>
      </c>
      <c r="G1845" s="1">
        <v>13590000</v>
      </c>
      <c r="H1845" s="1">
        <v>11500000</v>
      </c>
    </row>
    <row r="1846" spans="1:8" ht="13.5" customHeight="1" x14ac:dyDescent="0.3">
      <c r="A1846" s="1" t="s">
        <v>241</v>
      </c>
      <c r="B1846" s="1" t="s">
        <v>2630</v>
      </c>
      <c r="C1846" s="1" t="s">
        <v>4846</v>
      </c>
      <c r="D1846" s="1">
        <v>2019</v>
      </c>
      <c r="E1846" s="1" t="str">
        <f t="shared" si="7"/>
        <v>RIFTERRIFTER ALLURE BLUEHDI 1.62019</v>
      </c>
      <c r="F1846" s="1" t="s">
        <v>1237</v>
      </c>
      <c r="G1846" s="1">
        <v>12720000</v>
      </c>
      <c r="H1846" s="1">
        <v>11000000</v>
      </c>
    </row>
    <row r="1847" spans="1:8" ht="13.5" customHeight="1" x14ac:dyDescent="0.3">
      <c r="A1847" s="1" t="s">
        <v>241</v>
      </c>
      <c r="B1847" s="1" t="s">
        <v>2630</v>
      </c>
      <c r="C1847" s="1" t="s">
        <v>4847</v>
      </c>
      <c r="D1847" s="1">
        <v>2020</v>
      </c>
      <c r="E1847" s="1" t="str">
        <f t="shared" si="7"/>
        <v>RIFTERRIFTER BLUE HDI 100 1.62020</v>
      </c>
      <c r="F1847" s="1" t="s">
        <v>1984</v>
      </c>
      <c r="G1847" s="1">
        <v>13990000</v>
      </c>
      <c r="H1847" s="1">
        <v>11500000</v>
      </c>
    </row>
    <row r="1848" spans="1:8" ht="13.5" customHeight="1" x14ac:dyDescent="0.3">
      <c r="A1848" s="1" t="s">
        <v>241</v>
      </c>
      <c r="B1848" s="1" t="s">
        <v>2630</v>
      </c>
      <c r="C1848" s="1" t="s">
        <v>4848</v>
      </c>
      <c r="D1848" s="1">
        <v>2021</v>
      </c>
      <c r="E1848" s="1" t="str">
        <f t="shared" si="7"/>
        <v>RIFTERRIFTER PURETECH 130 1.2 AUT2021</v>
      </c>
      <c r="F1848" s="1" t="s">
        <v>832</v>
      </c>
      <c r="G1848" s="1">
        <v>12990000</v>
      </c>
      <c r="H1848" s="1">
        <v>11000000</v>
      </c>
    </row>
    <row r="1849" spans="1:8" ht="13.5" customHeight="1" x14ac:dyDescent="0.3">
      <c r="A1849" s="1" t="s">
        <v>241</v>
      </c>
      <c r="B1849" s="1" t="s">
        <v>2630</v>
      </c>
      <c r="C1849" s="1" t="s">
        <v>4848</v>
      </c>
      <c r="D1849" s="1">
        <v>2024</v>
      </c>
      <c r="E1849" s="1" t="str">
        <f t="shared" si="7"/>
        <v>RIFTERRIFTER PURETECH 130 1.2 AUT2024</v>
      </c>
      <c r="F1849" s="1" t="s">
        <v>1670</v>
      </c>
      <c r="G1849" s="1">
        <v>19900000</v>
      </c>
      <c r="H1849" s="1">
        <v>16980672</v>
      </c>
    </row>
    <row r="1850" spans="1:8" ht="13.5" customHeight="1" x14ac:dyDescent="0.3">
      <c r="A1850" s="1" t="s">
        <v>241</v>
      </c>
      <c r="B1850" s="1" t="s">
        <v>2630</v>
      </c>
      <c r="C1850" s="1" t="s">
        <v>4849</v>
      </c>
      <c r="D1850" s="1">
        <v>2025</v>
      </c>
      <c r="E1850" s="1" t="str">
        <f t="shared" si="7"/>
        <v>RIFTERRITTER ALLURE 1.52025</v>
      </c>
      <c r="F1850" s="1" t="s">
        <v>770</v>
      </c>
      <c r="G1850" s="1">
        <v>19990000</v>
      </c>
      <c r="H1850" s="1">
        <v>22390000</v>
      </c>
    </row>
    <row r="1851" spans="1:8" ht="13.5" customHeight="1" x14ac:dyDescent="0.3">
      <c r="A1851" s="1" t="s">
        <v>241</v>
      </c>
      <c r="B1851" s="1" t="s">
        <v>3269</v>
      </c>
      <c r="C1851" s="1" t="s">
        <v>4850</v>
      </c>
      <c r="D1851" s="1">
        <v>2021</v>
      </c>
      <c r="E1851" s="1" t="str">
        <f t="shared" si="7"/>
        <v>TRAVELLERTRAVELLER L3 BLUE HDI 150 2.02021</v>
      </c>
      <c r="F1851" s="1" t="s">
        <v>580</v>
      </c>
      <c r="G1851" s="1">
        <v>18000000</v>
      </c>
      <c r="H1851" s="1">
        <v>15000000</v>
      </c>
    </row>
    <row r="1852" spans="1:8" ht="13.5" customHeight="1" x14ac:dyDescent="0.3">
      <c r="A1852" s="1" t="s">
        <v>241</v>
      </c>
      <c r="B1852" s="1" t="s">
        <v>3269</v>
      </c>
      <c r="C1852" s="1" t="s">
        <v>4851</v>
      </c>
      <c r="D1852" s="1">
        <v>2023</v>
      </c>
      <c r="E1852" s="1" t="str">
        <f t="shared" si="7"/>
        <v>TRAVELLERTRAVELLER L3 BLUE HDI 180 2.02023</v>
      </c>
      <c r="F1852" s="1" t="s">
        <v>1952</v>
      </c>
      <c r="G1852" s="1">
        <v>22600000</v>
      </c>
      <c r="H1852" s="1">
        <v>17850000</v>
      </c>
    </row>
    <row r="1853" spans="1:8" ht="13.5" customHeight="1" x14ac:dyDescent="0.3">
      <c r="A1853" s="1" t="s">
        <v>4852</v>
      </c>
      <c r="B1853" s="1" t="s">
        <v>4852</v>
      </c>
      <c r="C1853" s="1" t="s">
        <v>4853</v>
      </c>
      <c r="D1853" s="1">
        <v>2018</v>
      </c>
      <c r="E1853" s="1" t="str">
        <f t="shared" si="7"/>
        <v>PORSCHECAYENE 3.02018</v>
      </c>
      <c r="F1853" s="1" t="s">
        <v>2441</v>
      </c>
      <c r="G1853" s="1">
        <v>29990000</v>
      </c>
      <c r="H1853" s="1">
        <v>43000000</v>
      </c>
    </row>
    <row r="1854" spans="1:8" ht="13.5" customHeight="1" x14ac:dyDescent="0.3">
      <c r="A1854" s="1" t="s">
        <v>278</v>
      </c>
      <c r="B1854" s="1" t="s">
        <v>4854</v>
      </c>
      <c r="C1854" s="1" t="s">
        <v>4855</v>
      </c>
      <c r="D1854" s="1">
        <v>2021</v>
      </c>
      <c r="E1854" s="1" t="str">
        <f t="shared" si="7"/>
        <v>RAM 10001000 BIG HORN 1.8 AUT2021</v>
      </c>
      <c r="G1854" s="1">
        <v>13000000</v>
      </c>
      <c r="H1854" s="1">
        <v>0</v>
      </c>
    </row>
    <row r="1855" spans="1:8" ht="13.5" customHeight="1" x14ac:dyDescent="0.3">
      <c r="A1855" s="1" t="s">
        <v>278</v>
      </c>
      <c r="B1855" s="1" t="s">
        <v>4854</v>
      </c>
      <c r="C1855" s="1" t="s">
        <v>4855</v>
      </c>
      <c r="D1855" s="1">
        <v>2021</v>
      </c>
      <c r="E1855" s="1" t="str">
        <f t="shared" si="7"/>
        <v>RAM 10001000 BIG HORN 1.8 AUT2021</v>
      </c>
      <c r="F1855" s="1" t="s">
        <v>1964</v>
      </c>
      <c r="G1855" s="1">
        <v>15590000</v>
      </c>
      <c r="H1855" s="1">
        <v>12898001</v>
      </c>
    </row>
    <row r="1856" spans="1:8" ht="13.5" customHeight="1" x14ac:dyDescent="0.3">
      <c r="A1856" s="1" t="s">
        <v>278</v>
      </c>
      <c r="B1856" s="1" t="s">
        <v>4854</v>
      </c>
      <c r="C1856" s="1" t="s">
        <v>4856</v>
      </c>
      <c r="D1856" s="1">
        <v>2020</v>
      </c>
      <c r="E1856" s="1" t="str">
        <f t="shared" si="7"/>
        <v>RAM 10001000 BIG HORN DCAB 1.8 AUT2020</v>
      </c>
      <c r="F1856" s="1" t="s">
        <v>2096</v>
      </c>
      <c r="G1856" s="1">
        <v>16490000</v>
      </c>
      <c r="H1856" s="1">
        <v>13200000</v>
      </c>
    </row>
    <row r="1857" spans="1:8" ht="13.5" customHeight="1" x14ac:dyDescent="0.3">
      <c r="A1857" s="1" t="s">
        <v>278</v>
      </c>
      <c r="B1857" s="1" t="s">
        <v>4854</v>
      </c>
      <c r="C1857" s="1" t="s">
        <v>4856</v>
      </c>
      <c r="D1857" s="1">
        <v>2021</v>
      </c>
      <c r="E1857" s="1" t="str">
        <f t="shared" si="7"/>
        <v>RAM 10001000 BIG HORN DCAB 1.8 AUT2021</v>
      </c>
      <c r="F1857" s="1" t="s">
        <v>1867</v>
      </c>
      <c r="G1857" s="1">
        <v>13890000</v>
      </c>
      <c r="H1857" s="1">
        <v>11800000</v>
      </c>
    </row>
    <row r="1858" spans="1:8" ht="13.5" customHeight="1" x14ac:dyDescent="0.3">
      <c r="A1858" s="1" t="s">
        <v>278</v>
      </c>
      <c r="B1858" s="1" t="s">
        <v>4854</v>
      </c>
      <c r="C1858" s="1" t="s">
        <v>4856</v>
      </c>
      <c r="D1858" s="1">
        <v>2022</v>
      </c>
      <c r="E1858" s="1" t="str">
        <f t="shared" si="7"/>
        <v>RAM 10001000 BIG HORN DCAB 1.8 AUT2022</v>
      </c>
      <c r="F1858" s="1" t="s">
        <v>2316</v>
      </c>
      <c r="G1858" s="1">
        <v>19290000</v>
      </c>
      <c r="H1858" s="1">
        <v>16250000</v>
      </c>
    </row>
    <row r="1859" spans="1:8" ht="13.5" customHeight="1" x14ac:dyDescent="0.3">
      <c r="A1859" s="1" t="s">
        <v>278</v>
      </c>
      <c r="B1859" s="1" t="s">
        <v>4854</v>
      </c>
      <c r="C1859" s="1" t="s">
        <v>4857</v>
      </c>
      <c r="D1859" s="1">
        <v>2019</v>
      </c>
      <c r="E1859" s="1" t="str">
        <f t="shared" si="7"/>
        <v>RAM 10001000 DCAB 1.8 AUT2019</v>
      </c>
      <c r="F1859" s="1" t="s">
        <v>1274</v>
      </c>
      <c r="G1859" s="1">
        <v>12590000</v>
      </c>
      <c r="H1859" s="1">
        <v>11000000</v>
      </c>
    </row>
    <row r="1860" spans="1:8" ht="13.5" customHeight="1" x14ac:dyDescent="0.3">
      <c r="A1860" s="1" t="s">
        <v>278</v>
      </c>
      <c r="B1860" s="1" t="s">
        <v>4854</v>
      </c>
      <c r="C1860" s="1" t="s">
        <v>4857</v>
      </c>
      <c r="D1860" s="1">
        <v>2021</v>
      </c>
      <c r="E1860" s="1" t="str">
        <f t="shared" si="7"/>
        <v>RAM 10001000 DCAB 1.8 AUT2021</v>
      </c>
      <c r="F1860" s="1" t="s">
        <v>2439</v>
      </c>
      <c r="G1860" s="1">
        <v>16990000</v>
      </c>
      <c r="H1860" s="1">
        <v>18000000</v>
      </c>
    </row>
    <row r="1861" spans="1:8" ht="13.5" customHeight="1" x14ac:dyDescent="0.3">
      <c r="A1861" s="1" t="s">
        <v>278</v>
      </c>
      <c r="B1861" s="1" t="s">
        <v>279</v>
      </c>
      <c r="C1861" s="1" t="s">
        <v>4858</v>
      </c>
      <c r="D1861" s="1">
        <v>2025</v>
      </c>
      <c r="E1861" s="1" t="str">
        <f t="shared" si="7"/>
        <v>RAM 15001500 BIG HORN 4X4 3.6 AT2025</v>
      </c>
      <c r="F1861" s="1" t="s">
        <v>866</v>
      </c>
      <c r="G1861" s="1">
        <v>46990000</v>
      </c>
      <c r="H1861" s="1">
        <v>44000000</v>
      </c>
    </row>
    <row r="1862" spans="1:8" ht="13.5" customHeight="1" x14ac:dyDescent="0.3">
      <c r="A1862" s="1" t="s">
        <v>278</v>
      </c>
      <c r="B1862" s="1" t="s">
        <v>279</v>
      </c>
      <c r="C1862" s="1" t="s">
        <v>4859</v>
      </c>
      <c r="D1862" s="1">
        <v>2021</v>
      </c>
      <c r="E1862" s="1" t="str">
        <f t="shared" si="7"/>
        <v>RAM 15001500 BIG HORN CREW CAB 4X4 3.6 AUT2021</v>
      </c>
      <c r="F1862" s="1" t="s">
        <v>978</v>
      </c>
      <c r="G1862" s="1">
        <v>27990000</v>
      </c>
      <c r="H1862" s="1">
        <v>25000000</v>
      </c>
    </row>
    <row r="1863" spans="1:8" ht="13.5" customHeight="1" x14ac:dyDescent="0.3">
      <c r="A1863" s="1" t="s">
        <v>278</v>
      </c>
      <c r="B1863" s="1" t="s">
        <v>279</v>
      </c>
      <c r="C1863" s="1" t="s">
        <v>4859</v>
      </c>
      <c r="D1863" s="1">
        <v>2022</v>
      </c>
      <c r="E1863" s="1" t="str">
        <f t="shared" si="7"/>
        <v>RAM 15001500 BIG HORN CREW CAB 4X4 3.6 AUT2022</v>
      </c>
      <c r="F1863" s="1" t="s">
        <v>875</v>
      </c>
      <c r="G1863" s="1">
        <v>32990000</v>
      </c>
      <c r="H1863" s="1">
        <v>28300000</v>
      </c>
    </row>
    <row r="1864" spans="1:8" ht="13.5" customHeight="1" x14ac:dyDescent="0.3">
      <c r="A1864" s="1" t="s">
        <v>278</v>
      </c>
      <c r="B1864" s="1" t="s">
        <v>279</v>
      </c>
      <c r="C1864" s="1" t="s">
        <v>4859</v>
      </c>
      <c r="D1864" s="1">
        <v>2023</v>
      </c>
      <c r="E1864" s="1" t="str">
        <f t="shared" si="7"/>
        <v>RAM 15001500 BIG HORN CREW CAB 4X4 3.6 AUT2023</v>
      </c>
      <c r="F1864" s="1" t="s">
        <v>1010</v>
      </c>
      <c r="G1864" s="1">
        <v>83480000</v>
      </c>
      <c r="H1864" s="1">
        <v>73350000</v>
      </c>
    </row>
    <row r="1865" spans="1:8" ht="13.5" customHeight="1" x14ac:dyDescent="0.3">
      <c r="A1865" s="1" t="s">
        <v>278</v>
      </c>
      <c r="B1865" s="1" t="s">
        <v>279</v>
      </c>
      <c r="C1865" s="1" t="s">
        <v>4860</v>
      </c>
      <c r="D1865" s="1">
        <v>2020</v>
      </c>
      <c r="E1865" s="1" t="str">
        <f t="shared" si="7"/>
        <v>RAM 15001500 CREW CAB LARAMIE 4X4 3.0 AUT2020</v>
      </c>
      <c r="F1865" s="1" t="s">
        <v>2394</v>
      </c>
      <c r="G1865" s="1">
        <v>34000000</v>
      </c>
      <c r="H1865" s="1">
        <v>35000000</v>
      </c>
    </row>
    <row r="1866" spans="1:8" ht="13.5" customHeight="1" x14ac:dyDescent="0.3">
      <c r="A1866" s="1" t="s">
        <v>278</v>
      </c>
      <c r="B1866" s="1" t="s">
        <v>279</v>
      </c>
      <c r="C1866" s="1" t="s">
        <v>4861</v>
      </c>
      <c r="D1866" s="1">
        <v>2020</v>
      </c>
      <c r="E1866" s="1" t="str">
        <f t="shared" si="7"/>
        <v>RAM 15001500 LARAMIE 4X4 3.0 AUT2020</v>
      </c>
      <c r="F1866" s="1" t="s">
        <v>1382</v>
      </c>
      <c r="G1866" s="1">
        <v>34990000</v>
      </c>
      <c r="H1866" s="1">
        <v>30000000</v>
      </c>
    </row>
    <row r="1867" spans="1:8" ht="13.5" customHeight="1" x14ac:dyDescent="0.3">
      <c r="A1867" s="1" t="s">
        <v>278</v>
      </c>
      <c r="B1867" s="1" t="s">
        <v>279</v>
      </c>
      <c r="C1867" s="1" t="s">
        <v>4862</v>
      </c>
      <c r="D1867" s="1">
        <v>2022</v>
      </c>
      <c r="E1867" s="1" t="str">
        <f t="shared" si="7"/>
        <v>RAM 15001500 LARAMIE CREW CAB 4X4 5.7 AUT2022</v>
      </c>
      <c r="F1867" s="1" t="s">
        <v>1658</v>
      </c>
      <c r="G1867" s="1">
        <v>33404120</v>
      </c>
      <c r="H1867" s="1">
        <v>32500000</v>
      </c>
    </row>
    <row r="1868" spans="1:8" ht="13.5" customHeight="1" x14ac:dyDescent="0.3">
      <c r="A1868" s="1" t="s">
        <v>278</v>
      </c>
      <c r="B1868" s="1" t="s">
        <v>279</v>
      </c>
      <c r="C1868" s="1" t="s">
        <v>4863</v>
      </c>
      <c r="D1868" s="1">
        <v>2020</v>
      </c>
      <c r="E1868" s="1" t="str">
        <f t="shared" si="7"/>
        <v>RAM 15001500 QUAD CAB SLT DCAB 4X4 3.6 AUT2020</v>
      </c>
      <c r="F1868" s="1" t="s">
        <v>1439</v>
      </c>
      <c r="G1868" s="1">
        <v>19790000</v>
      </c>
      <c r="H1868" s="1">
        <v>17000000</v>
      </c>
    </row>
    <row r="1869" spans="1:8" ht="13.5" customHeight="1" x14ac:dyDescent="0.3">
      <c r="A1869" s="1" t="s">
        <v>278</v>
      </c>
      <c r="B1869" s="1" t="s">
        <v>279</v>
      </c>
      <c r="C1869" s="1" t="s">
        <v>281</v>
      </c>
      <c r="D1869" s="1">
        <v>2022</v>
      </c>
      <c r="E1869" s="1" t="str">
        <f t="shared" si="7"/>
        <v>RAM 15001500 REBEL CREW DCAB 4X4 5.7 AUT2022</v>
      </c>
      <c r="F1869" s="1" t="s">
        <v>537</v>
      </c>
      <c r="G1869" s="1">
        <v>33290000</v>
      </c>
      <c r="H1869" s="1">
        <v>30000000</v>
      </c>
    </row>
    <row r="1870" spans="1:8" ht="13.5" customHeight="1" x14ac:dyDescent="0.3">
      <c r="A1870" s="1" t="s">
        <v>278</v>
      </c>
      <c r="B1870" s="1" t="s">
        <v>279</v>
      </c>
      <c r="C1870" s="1" t="s">
        <v>281</v>
      </c>
      <c r="D1870" s="1">
        <v>2023</v>
      </c>
      <c r="E1870" s="1" t="str">
        <f t="shared" si="7"/>
        <v>RAM 15001500 REBEL CREW DCAB 4X4 5.7 AUT2023</v>
      </c>
      <c r="F1870" s="1" t="s">
        <v>1042</v>
      </c>
      <c r="G1870" s="1">
        <v>43990000</v>
      </c>
      <c r="H1870" s="1">
        <v>37500000</v>
      </c>
    </row>
    <row r="1871" spans="1:8" ht="13.5" customHeight="1" x14ac:dyDescent="0.3">
      <c r="A1871" s="1" t="s">
        <v>278</v>
      </c>
      <c r="B1871" s="1" t="s">
        <v>279</v>
      </c>
      <c r="C1871" s="1" t="s">
        <v>4864</v>
      </c>
      <c r="D1871" s="1">
        <v>2019</v>
      </c>
      <c r="E1871" s="1" t="str">
        <f t="shared" si="7"/>
        <v>RAM 1500NEW RAM 1500 4X4 5.7 AUT2019</v>
      </c>
      <c r="F1871" s="1" t="s">
        <v>421</v>
      </c>
      <c r="G1871" s="1">
        <v>28990000</v>
      </c>
      <c r="H1871" s="1">
        <v>24500000</v>
      </c>
    </row>
    <row r="1872" spans="1:8" ht="13.5" customHeight="1" x14ac:dyDescent="0.3">
      <c r="A1872" s="1" t="s">
        <v>278</v>
      </c>
      <c r="B1872" s="1" t="s">
        <v>279</v>
      </c>
      <c r="C1872" s="1" t="s">
        <v>4865</v>
      </c>
      <c r="D1872" s="1">
        <v>2017</v>
      </c>
      <c r="E1872" s="1" t="str">
        <f t="shared" si="7"/>
        <v>RAM 1500NEW RAM1500 DCAB SLT 4X4 3.6 AUT2017</v>
      </c>
      <c r="F1872" s="1" t="s">
        <v>945</v>
      </c>
      <c r="G1872" s="1">
        <v>16490000</v>
      </c>
      <c r="H1872" s="1">
        <v>14000000</v>
      </c>
    </row>
    <row r="1873" spans="1:8" ht="13.5" customHeight="1" x14ac:dyDescent="0.3">
      <c r="A1873" s="1" t="s">
        <v>278</v>
      </c>
      <c r="B1873" s="1" t="s">
        <v>279</v>
      </c>
      <c r="C1873" s="1" t="s">
        <v>4866</v>
      </c>
      <c r="D1873" s="1">
        <v>2019</v>
      </c>
      <c r="E1873" s="1" t="str">
        <f t="shared" si="7"/>
        <v>RAM 1500RAM1500 4X4 3.6 AUT2019</v>
      </c>
      <c r="F1873" s="1" t="s">
        <v>798</v>
      </c>
      <c r="G1873" s="1">
        <v>19000000</v>
      </c>
      <c r="H1873" s="1">
        <v>14500000</v>
      </c>
    </row>
    <row r="1874" spans="1:8" ht="13.5" customHeight="1" x14ac:dyDescent="0.3">
      <c r="A1874" s="1" t="s">
        <v>278</v>
      </c>
      <c r="B1874" s="1" t="s">
        <v>4867</v>
      </c>
      <c r="C1874" s="1" t="s">
        <v>4868</v>
      </c>
      <c r="D1874" s="1">
        <v>2019</v>
      </c>
      <c r="E1874" s="1" t="str">
        <f t="shared" si="7"/>
        <v>RAM 700700 ADVENTURE DCAB 1.62019</v>
      </c>
      <c r="F1874" s="1" t="s">
        <v>1534</v>
      </c>
      <c r="G1874" s="1">
        <v>8990000</v>
      </c>
      <c r="H1874" s="1">
        <v>7500000</v>
      </c>
    </row>
    <row r="1875" spans="1:8" ht="13.5" customHeight="1" x14ac:dyDescent="0.3">
      <c r="A1875" s="1" t="s">
        <v>278</v>
      </c>
      <c r="B1875" s="1" t="s">
        <v>4867</v>
      </c>
      <c r="C1875" s="1" t="s">
        <v>4869</v>
      </c>
      <c r="D1875" s="1">
        <v>2021</v>
      </c>
      <c r="E1875" s="1" t="str">
        <f t="shared" si="7"/>
        <v>RAM 700700 BIGHORN CD 1.42021</v>
      </c>
      <c r="F1875" s="1" t="s">
        <v>1934</v>
      </c>
      <c r="G1875" s="1">
        <v>12290000</v>
      </c>
      <c r="H1875" s="1">
        <v>9500000</v>
      </c>
    </row>
    <row r="1876" spans="1:8" ht="13.5" customHeight="1" x14ac:dyDescent="0.3">
      <c r="A1876" s="1" t="s">
        <v>278</v>
      </c>
      <c r="B1876" s="1" t="s">
        <v>4867</v>
      </c>
      <c r="C1876" s="1" t="s">
        <v>4869</v>
      </c>
      <c r="D1876" s="1">
        <v>2022</v>
      </c>
      <c r="E1876" s="1" t="str">
        <f t="shared" si="7"/>
        <v>RAM 700700 BIGHORN CD 1.42022</v>
      </c>
      <c r="F1876" s="1" t="s">
        <v>702</v>
      </c>
      <c r="G1876" s="1">
        <v>11840000</v>
      </c>
      <c r="H1876" s="1">
        <v>10000000</v>
      </c>
    </row>
    <row r="1877" spans="1:8" ht="13.5" customHeight="1" x14ac:dyDescent="0.3">
      <c r="A1877" s="1" t="s">
        <v>278</v>
      </c>
      <c r="B1877" s="1" t="s">
        <v>4867</v>
      </c>
      <c r="C1877" s="1" t="s">
        <v>4869</v>
      </c>
      <c r="D1877" s="1">
        <v>2023</v>
      </c>
      <c r="E1877" s="1" t="str">
        <f t="shared" si="7"/>
        <v>RAM 700700 BIGHORN CD 1.42023</v>
      </c>
      <c r="F1877" s="1" t="s">
        <v>803</v>
      </c>
      <c r="G1877" s="1">
        <v>11690000</v>
      </c>
      <c r="H1877" s="1">
        <v>9500000</v>
      </c>
    </row>
    <row r="1878" spans="1:8" ht="13.5" customHeight="1" x14ac:dyDescent="0.3">
      <c r="A1878" s="1" t="s">
        <v>278</v>
      </c>
      <c r="B1878" s="1" t="s">
        <v>4867</v>
      </c>
      <c r="C1878" s="1" t="s">
        <v>4870</v>
      </c>
      <c r="D1878" s="1">
        <v>2024</v>
      </c>
      <c r="E1878" s="1" t="str">
        <f t="shared" si="7"/>
        <v>RAM 700700 BIGHORN D CAB 4X2 1.42024</v>
      </c>
      <c r="F1878" s="1" t="s">
        <v>481</v>
      </c>
      <c r="G1878" s="1">
        <v>12000000</v>
      </c>
      <c r="H1878" s="1">
        <v>11300000</v>
      </c>
    </row>
    <row r="1879" spans="1:8" ht="13.5" customHeight="1" x14ac:dyDescent="0.3">
      <c r="A1879" s="1" t="s">
        <v>278</v>
      </c>
      <c r="B1879" s="1" t="s">
        <v>4867</v>
      </c>
      <c r="C1879" s="1" t="s">
        <v>4870</v>
      </c>
      <c r="D1879" s="1">
        <v>2024</v>
      </c>
      <c r="E1879" s="1" t="str">
        <f t="shared" si="7"/>
        <v>RAM 700700 BIGHORN D CAB 4X2 1.42024</v>
      </c>
      <c r="F1879" s="1" t="s">
        <v>687</v>
      </c>
      <c r="G1879" s="1">
        <v>12390000</v>
      </c>
      <c r="H1879" s="1">
        <v>10500000</v>
      </c>
    </row>
    <row r="1880" spans="1:8" ht="13.5" customHeight="1" x14ac:dyDescent="0.3">
      <c r="A1880" s="1" t="s">
        <v>278</v>
      </c>
      <c r="B1880" s="1" t="s">
        <v>4867</v>
      </c>
      <c r="C1880" s="1" t="s">
        <v>4871</v>
      </c>
      <c r="D1880" s="1">
        <v>2021</v>
      </c>
      <c r="E1880" s="1" t="str">
        <f t="shared" si="7"/>
        <v>RAM 700700 EXPRESS 1.42021</v>
      </c>
      <c r="F1880" s="1" t="s">
        <v>1802</v>
      </c>
      <c r="G1880" s="1">
        <v>7695620</v>
      </c>
      <c r="H1880" s="1">
        <v>8200000</v>
      </c>
    </row>
    <row r="1881" spans="1:8" ht="13.5" customHeight="1" x14ac:dyDescent="0.3">
      <c r="A1881" s="1" t="s">
        <v>278</v>
      </c>
      <c r="B1881" s="1" t="s">
        <v>4867</v>
      </c>
      <c r="C1881" s="1" t="s">
        <v>4872</v>
      </c>
      <c r="D1881" s="1">
        <v>2021</v>
      </c>
      <c r="E1881" s="1" t="str">
        <f t="shared" si="7"/>
        <v>RAM 700700 EXPRESS CS 1.42021</v>
      </c>
      <c r="F1881" s="1" t="s">
        <v>1520</v>
      </c>
      <c r="G1881" s="1">
        <v>8990000</v>
      </c>
      <c r="H1881" s="1">
        <v>6500000</v>
      </c>
    </row>
    <row r="1882" spans="1:8" ht="13.5" customHeight="1" x14ac:dyDescent="0.3">
      <c r="A1882" s="1" t="s">
        <v>278</v>
      </c>
      <c r="B1882" s="1" t="s">
        <v>4867</v>
      </c>
      <c r="C1882" s="1" t="s">
        <v>4872</v>
      </c>
      <c r="D1882" s="1">
        <v>2022</v>
      </c>
      <c r="E1882" s="1" t="str">
        <f t="shared" si="7"/>
        <v>RAM 700700 EXPRESS CS 1.42022</v>
      </c>
      <c r="F1882" s="1" t="s">
        <v>1839</v>
      </c>
      <c r="G1882" s="1">
        <v>9478788</v>
      </c>
      <c r="H1882" s="1">
        <v>7800000</v>
      </c>
    </row>
    <row r="1883" spans="1:8" ht="13.5" customHeight="1" x14ac:dyDescent="0.3">
      <c r="A1883" s="1" t="s">
        <v>278</v>
      </c>
      <c r="B1883" s="1" t="s">
        <v>4867</v>
      </c>
      <c r="C1883" s="1" t="s">
        <v>4873</v>
      </c>
      <c r="D1883" s="1">
        <v>2024</v>
      </c>
      <c r="E1883" s="1" t="str">
        <f t="shared" si="7"/>
        <v>RAM 700700 LARAMIE 4X2 1.32024</v>
      </c>
      <c r="F1883" s="1" t="s">
        <v>1675</v>
      </c>
      <c r="G1883" s="1">
        <v>15290000</v>
      </c>
      <c r="H1883" s="1">
        <v>13000000</v>
      </c>
    </row>
    <row r="1884" spans="1:8" ht="13.5" customHeight="1" x14ac:dyDescent="0.3">
      <c r="A1884" s="1" t="s">
        <v>278</v>
      </c>
      <c r="B1884" s="1" t="s">
        <v>4867</v>
      </c>
      <c r="C1884" s="1" t="s">
        <v>4874</v>
      </c>
      <c r="D1884" s="1">
        <v>2021</v>
      </c>
      <c r="E1884" s="1" t="str">
        <f t="shared" si="7"/>
        <v>RAM 700700 LARAMIE CD 1.32021</v>
      </c>
      <c r="F1884" s="1" t="s">
        <v>568</v>
      </c>
      <c r="G1884" s="1">
        <v>11635620</v>
      </c>
      <c r="H1884" s="1">
        <v>9250000</v>
      </c>
    </row>
    <row r="1885" spans="1:8" ht="13.5" customHeight="1" x14ac:dyDescent="0.3">
      <c r="A1885" s="1" t="s">
        <v>278</v>
      </c>
      <c r="B1885" s="1" t="s">
        <v>4867</v>
      </c>
      <c r="C1885" s="1" t="s">
        <v>4874</v>
      </c>
      <c r="D1885" s="1">
        <v>2022</v>
      </c>
      <c r="E1885" s="1" t="str">
        <f t="shared" si="7"/>
        <v>RAM 700700 LARAMIE CD 1.32022</v>
      </c>
      <c r="F1885" s="1" t="s">
        <v>787</v>
      </c>
      <c r="G1885" s="1">
        <v>12990000</v>
      </c>
      <c r="H1885" s="1">
        <v>10350000</v>
      </c>
    </row>
    <row r="1886" spans="1:8" ht="13.5" customHeight="1" x14ac:dyDescent="0.3">
      <c r="A1886" s="1" t="s">
        <v>278</v>
      </c>
      <c r="B1886" s="1" t="s">
        <v>4867</v>
      </c>
      <c r="C1886" s="1" t="s">
        <v>4874</v>
      </c>
      <c r="D1886" s="1">
        <v>2022</v>
      </c>
      <c r="E1886" s="1" t="str">
        <f t="shared" si="7"/>
        <v>RAM 700700 LARAMIE CD 1.32022</v>
      </c>
      <c r="F1886" s="1" t="s">
        <v>928</v>
      </c>
      <c r="G1886" s="1">
        <v>12990000</v>
      </c>
      <c r="H1886" s="1">
        <v>11000000</v>
      </c>
    </row>
    <row r="1887" spans="1:8" ht="13.5" customHeight="1" x14ac:dyDescent="0.3">
      <c r="A1887" s="1" t="s">
        <v>278</v>
      </c>
      <c r="B1887" s="1" t="s">
        <v>4867</v>
      </c>
      <c r="C1887" s="1" t="s">
        <v>4875</v>
      </c>
      <c r="D1887" s="1">
        <v>2023</v>
      </c>
      <c r="E1887" s="1" t="str">
        <f t="shared" si="7"/>
        <v>RAM 700700 SLT DCAB 1.42023</v>
      </c>
      <c r="F1887" s="1" t="s">
        <v>1765</v>
      </c>
      <c r="G1887" s="1">
        <v>11490000</v>
      </c>
      <c r="H1887" s="1">
        <v>10000000</v>
      </c>
    </row>
    <row r="1888" spans="1:8" ht="13.5" customHeight="1" x14ac:dyDescent="0.3">
      <c r="A1888" s="1" t="s">
        <v>278</v>
      </c>
      <c r="B1888" s="1" t="s">
        <v>4876</v>
      </c>
      <c r="C1888" s="1" t="s">
        <v>4877</v>
      </c>
      <c r="D1888" s="1">
        <v>2020</v>
      </c>
      <c r="E1888" s="1" t="str">
        <f t="shared" si="7"/>
        <v>RAM V700VAN 700 RAPID 1.42020</v>
      </c>
      <c r="F1888" s="1" t="s">
        <v>2150</v>
      </c>
      <c r="G1888" s="1">
        <v>7900000</v>
      </c>
      <c r="H1888" s="1">
        <v>6000000</v>
      </c>
    </row>
    <row r="1889" spans="1:8" ht="13.5" customHeight="1" x14ac:dyDescent="0.3">
      <c r="A1889" s="1" t="s">
        <v>278</v>
      </c>
      <c r="B1889" s="1" t="s">
        <v>4876</v>
      </c>
      <c r="C1889" s="1" t="s">
        <v>4877</v>
      </c>
      <c r="D1889" s="1">
        <v>2022</v>
      </c>
      <c r="E1889" s="1" t="str">
        <f t="shared" si="7"/>
        <v>RAM V700VAN 700 RAPID 1.42022</v>
      </c>
      <c r="F1889" s="1" t="s">
        <v>2132</v>
      </c>
      <c r="G1889" s="1">
        <v>9490000</v>
      </c>
      <c r="H1889" s="1">
        <v>8915966</v>
      </c>
    </row>
    <row r="1890" spans="1:8" ht="13.5" customHeight="1" x14ac:dyDescent="0.3">
      <c r="A1890" s="1" t="s">
        <v>278</v>
      </c>
      <c r="B1890" s="1" t="s">
        <v>285</v>
      </c>
      <c r="C1890" s="1" t="s">
        <v>286</v>
      </c>
      <c r="D1890" s="1">
        <v>2024</v>
      </c>
      <c r="E1890" s="1" t="str">
        <f t="shared" si="7"/>
        <v>RAMPAGERAMPAGE DS BIGHORN 4X4 2.0 AUT2024</v>
      </c>
      <c r="F1890" s="1" t="s">
        <v>624</v>
      </c>
      <c r="G1890" s="1">
        <v>28290000</v>
      </c>
      <c r="H1890" s="1">
        <v>24300000</v>
      </c>
    </row>
    <row r="1891" spans="1:8" ht="13.5" customHeight="1" x14ac:dyDescent="0.3">
      <c r="A1891" s="1" t="s">
        <v>288</v>
      </c>
      <c r="B1891" s="1" t="s">
        <v>288</v>
      </c>
      <c r="C1891" s="1" t="s">
        <v>4878</v>
      </c>
      <c r="D1891" s="1">
        <v>2021</v>
      </c>
      <c r="E1891" s="1" t="str">
        <f t="shared" si="7"/>
        <v>RENAULTCAPTUR SOHC 1.52021</v>
      </c>
      <c r="F1891" s="1" t="s">
        <v>2034</v>
      </c>
      <c r="G1891" s="1">
        <v>9990000</v>
      </c>
      <c r="H1891" s="1">
        <v>9800000</v>
      </c>
    </row>
    <row r="1892" spans="1:8" ht="13.5" customHeight="1" x14ac:dyDescent="0.3">
      <c r="A1892" s="1" t="s">
        <v>288</v>
      </c>
      <c r="B1892" s="1" t="s">
        <v>288</v>
      </c>
      <c r="C1892" s="1" t="s">
        <v>4879</v>
      </c>
      <c r="D1892" s="1">
        <v>2019</v>
      </c>
      <c r="E1892" s="1" t="str">
        <f t="shared" si="7"/>
        <v>RENAULTCLIO HB EXPRESSION 1.22019</v>
      </c>
      <c r="F1892" s="1" t="s">
        <v>1170</v>
      </c>
      <c r="G1892" s="1">
        <v>6809120</v>
      </c>
      <c r="H1892" s="1">
        <v>5600000</v>
      </c>
    </row>
    <row r="1893" spans="1:8" ht="13.5" customHeight="1" x14ac:dyDescent="0.3">
      <c r="A1893" s="1" t="s">
        <v>288</v>
      </c>
      <c r="B1893" s="1" t="s">
        <v>288</v>
      </c>
      <c r="C1893" s="1" t="s">
        <v>4880</v>
      </c>
      <c r="D1893" s="1">
        <v>2019</v>
      </c>
      <c r="E1893" s="1" t="str">
        <f t="shared" si="7"/>
        <v>RENAULTCLIO IV HB 1.22019</v>
      </c>
      <c r="F1893" s="1" t="s">
        <v>1645</v>
      </c>
      <c r="G1893" s="1">
        <v>7732250</v>
      </c>
      <c r="H1893" s="1">
        <v>6500000</v>
      </c>
    </row>
    <row r="1894" spans="1:8" ht="13.5" customHeight="1" x14ac:dyDescent="0.3">
      <c r="A1894" s="1" t="s">
        <v>288</v>
      </c>
      <c r="B1894" s="1" t="s">
        <v>288</v>
      </c>
      <c r="C1894" s="1" t="s">
        <v>4881</v>
      </c>
      <c r="D1894" s="1">
        <v>2020</v>
      </c>
      <c r="E1894" s="1" t="str">
        <f t="shared" si="7"/>
        <v>RENAULTDUSTER 1.62020</v>
      </c>
      <c r="F1894" s="1" t="s">
        <v>405</v>
      </c>
      <c r="G1894" s="1">
        <v>8790000</v>
      </c>
      <c r="H1894" s="1">
        <v>6800000</v>
      </c>
    </row>
    <row r="1895" spans="1:8" ht="13.5" customHeight="1" x14ac:dyDescent="0.3">
      <c r="A1895" s="1" t="s">
        <v>288</v>
      </c>
      <c r="B1895" s="1" t="s">
        <v>288</v>
      </c>
      <c r="C1895" s="1" t="s">
        <v>4881</v>
      </c>
      <c r="D1895" s="1">
        <v>2021</v>
      </c>
      <c r="E1895" s="1" t="str">
        <f t="shared" si="7"/>
        <v>RENAULTDUSTER 1.62021</v>
      </c>
      <c r="F1895" s="1" t="s">
        <v>1956</v>
      </c>
      <c r="G1895" s="1">
        <v>10990000</v>
      </c>
      <c r="H1895" s="1">
        <v>9000000</v>
      </c>
    </row>
    <row r="1896" spans="1:8" ht="13.5" customHeight="1" x14ac:dyDescent="0.3">
      <c r="A1896" s="1" t="s">
        <v>288</v>
      </c>
      <c r="B1896" s="1" t="s">
        <v>288</v>
      </c>
      <c r="C1896" s="1" t="s">
        <v>4882</v>
      </c>
      <c r="D1896" s="1">
        <v>2016</v>
      </c>
      <c r="E1896" s="1" t="str">
        <f t="shared" si="7"/>
        <v>RENAULTDUSTER DYNAMIQUE 1.62016</v>
      </c>
      <c r="F1896" s="1" t="s">
        <v>2163</v>
      </c>
      <c r="G1896" s="1">
        <v>6990000</v>
      </c>
      <c r="H1896" s="1">
        <v>5500000</v>
      </c>
    </row>
    <row r="1897" spans="1:8" ht="13.5" customHeight="1" x14ac:dyDescent="0.3">
      <c r="A1897" s="1" t="s">
        <v>288</v>
      </c>
      <c r="B1897" s="1" t="s">
        <v>288</v>
      </c>
      <c r="C1897" s="1" t="s">
        <v>4883</v>
      </c>
      <c r="D1897" s="1">
        <v>2018</v>
      </c>
      <c r="E1897" s="1" t="str">
        <f t="shared" si="7"/>
        <v>RENAULTDUSTER LIFE 1.62018</v>
      </c>
      <c r="F1897" s="1" t="s">
        <v>1516</v>
      </c>
      <c r="G1897" s="1">
        <v>7390000</v>
      </c>
      <c r="H1897" s="1">
        <v>5800000</v>
      </c>
    </row>
    <row r="1898" spans="1:8" ht="13.5" customHeight="1" x14ac:dyDescent="0.3">
      <c r="A1898" s="1" t="s">
        <v>288</v>
      </c>
      <c r="B1898" s="1" t="s">
        <v>288</v>
      </c>
      <c r="C1898" s="1" t="s">
        <v>4883</v>
      </c>
      <c r="D1898" s="1">
        <v>2021</v>
      </c>
      <c r="E1898" s="1" t="str">
        <f t="shared" si="7"/>
        <v>RENAULTDUSTER LIFE 1.62021</v>
      </c>
      <c r="F1898" s="1" t="s">
        <v>2043</v>
      </c>
      <c r="G1898" s="1">
        <v>10090000</v>
      </c>
      <c r="H1898" s="1">
        <v>8200000</v>
      </c>
    </row>
    <row r="1899" spans="1:8" ht="13.5" customHeight="1" x14ac:dyDescent="0.3">
      <c r="A1899" s="1" t="s">
        <v>288</v>
      </c>
      <c r="B1899" s="1" t="s">
        <v>288</v>
      </c>
      <c r="C1899" s="1" t="s">
        <v>289</v>
      </c>
      <c r="D1899" s="1">
        <v>2018</v>
      </c>
      <c r="E1899" s="1" t="str">
        <f t="shared" si="7"/>
        <v>RENAULTDUSTER ZEN 1.62018</v>
      </c>
      <c r="F1899" s="1" t="s">
        <v>2024</v>
      </c>
      <c r="G1899" s="1">
        <v>7490000</v>
      </c>
      <c r="H1899" s="1">
        <v>5700000</v>
      </c>
    </row>
    <row r="1900" spans="1:8" ht="13.5" customHeight="1" x14ac:dyDescent="0.3">
      <c r="A1900" s="1" t="s">
        <v>288</v>
      </c>
      <c r="B1900" s="1" t="s">
        <v>288</v>
      </c>
      <c r="C1900" s="1" t="s">
        <v>289</v>
      </c>
      <c r="D1900" s="1">
        <v>2018</v>
      </c>
      <c r="E1900" s="1" t="str">
        <f t="shared" si="7"/>
        <v>RENAULTDUSTER ZEN 1.62018</v>
      </c>
      <c r="F1900" s="1" t="s">
        <v>1242</v>
      </c>
      <c r="G1900" s="1">
        <v>6790000</v>
      </c>
      <c r="H1900" s="1">
        <v>5500000</v>
      </c>
    </row>
    <row r="1901" spans="1:8" ht="13.5" customHeight="1" x14ac:dyDescent="0.3">
      <c r="A1901" s="1" t="s">
        <v>288</v>
      </c>
      <c r="B1901" s="1" t="s">
        <v>288</v>
      </c>
      <c r="C1901" s="1" t="s">
        <v>289</v>
      </c>
      <c r="D1901" s="1">
        <v>2019</v>
      </c>
      <c r="E1901" s="1" t="str">
        <f t="shared" si="7"/>
        <v>RENAULTDUSTER ZEN 1.62019</v>
      </c>
      <c r="F1901" s="1" t="s">
        <v>1560</v>
      </c>
      <c r="G1901" s="1">
        <v>7850000</v>
      </c>
      <c r="H1901" s="1">
        <v>5800000</v>
      </c>
    </row>
    <row r="1902" spans="1:8" ht="13.5" customHeight="1" x14ac:dyDescent="0.3">
      <c r="A1902" s="1" t="s">
        <v>288</v>
      </c>
      <c r="B1902" s="1" t="s">
        <v>288</v>
      </c>
      <c r="C1902" s="1" t="s">
        <v>289</v>
      </c>
      <c r="D1902" s="1">
        <v>2019</v>
      </c>
      <c r="E1902" s="1" t="str">
        <f t="shared" si="7"/>
        <v>RENAULTDUSTER ZEN 1.62019</v>
      </c>
      <c r="F1902" s="1" t="s">
        <v>2299</v>
      </c>
      <c r="G1902" s="1">
        <v>7990000</v>
      </c>
      <c r="H1902" s="1">
        <v>6500000</v>
      </c>
    </row>
    <row r="1903" spans="1:8" ht="13.5" customHeight="1" x14ac:dyDescent="0.3">
      <c r="A1903" s="1" t="s">
        <v>288</v>
      </c>
      <c r="B1903" s="1" t="s">
        <v>288</v>
      </c>
      <c r="C1903" s="1" t="s">
        <v>289</v>
      </c>
      <c r="D1903" s="1">
        <v>2019</v>
      </c>
      <c r="E1903" s="1" t="str">
        <f t="shared" si="7"/>
        <v>RENAULTDUSTER ZEN 1.62019</v>
      </c>
      <c r="F1903" s="1" t="s">
        <v>1857</v>
      </c>
      <c r="G1903" s="1">
        <v>7300000</v>
      </c>
      <c r="H1903" s="1">
        <v>5840000</v>
      </c>
    </row>
    <row r="1904" spans="1:8" ht="13.5" customHeight="1" x14ac:dyDescent="0.3">
      <c r="A1904" s="1" t="s">
        <v>288</v>
      </c>
      <c r="B1904" s="1" t="s">
        <v>288</v>
      </c>
      <c r="C1904" s="1" t="s">
        <v>289</v>
      </c>
      <c r="D1904" s="1">
        <v>2020</v>
      </c>
      <c r="E1904" s="1" t="str">
        <f t="shared" si="7"/>
        <v>RENAULTDUSTER ZEN 1.62020</v>
      </c>
      <c r="F1904" s="1" t="s">
        <v>2273</v>
      </c>
      <c r="G1904" s="1">
        <v>9790000</v>
      </c>
      <c r="H1904" s="1">
        <v>8300000</v>
      </c>
    </row>
    <row r="1905" spans="1:8" ht="13.5" customHeight="1" x14ac:dyDescent="0.3">
      <c r="A1905" s="1" t="s">
        <v>288</v>
      </c>
      <c r="B1905" s="1" t="s">
        <v>288</v>
      </c>
      <c r="C1905" s="1" t="s">
        <v>4884</v>
      </c>
      <c r="D1905" s="1">
        <v>2018</v>
      </c>
      <c r="E1905" s="1" t="str">
        <f t="shared" si="7"/>
        <v>RENAULTDUSTER ZEN 2.02018</v>
      </c>
      <c r="F1905" s="1" t="s">
        <v>903</v>
      </c>
      <c r="G1905" s="1">
        <v>6810000</v>
      </c>
      <c r="H1905" s="1">
        <v>5700000</v>
      </c>
    </row>
    <row r="1906" spans="1:8" ht="13.5" customHeight="1" x14ac:dyDescent="0.3">
      <c r="A1906" s="1" t="s">
        <v>288</v>
      </c>
      <c r="B1906" s="1" t="s">
        <v>288</v>
      </c>
      <c r="C1906" s="1" t="s">
        <v>4885</v>
      </c>
      <c r="D1906" s="1">
        <v>2023</v>
      </c>
      <c r="E1906" s="1" t="str">
        <f t="shared" si="7"/>
        <v>RENAULTKWID HB 1.02023</v>
      </c>
      <c r="F1906" s="1" t="s">
        <v>490</v>
      </c>
      <c r="G1906" s="1">
        <v>6790000</v>
      </c>
      <c r="H1906" s="1">
        <v>4550000</v>
      </c>
    </row>
    <row r="1907" spans="1:8" ht="13.5" customHeight="1" x14ac:dyDescent="0.3">
      <c r="A1907" s="1" t="s">
        <v>288</v>
      </c>
      <c r="B1907" s="1" t="s">
        <v>288</v>
      </c>
      <c r="C1907" s="1" t="s">
        <v>4886</v>
      </c>
      <c r="D1907" s="1">
        <v>2018</v>
      </c>
      <c r="E1907" s="1" t="str">
        <f t="shared" si="7"/>
        <v>RENAULTOROCH 2.02018</v>
      </c>
      <c r="F1907" s="1" t="s">
        <v>631</v>
      </c>
      <c r="G1907" s="1">
        <v>7800000</v>
      </c>
      <c r="H1907" s="1">
        <v>6450000</v>
      </c>
    </row>
    <row r="1908" spans="1:8" ht="13.5" customHeight="1" x14ac:dyDescent="0.3">
      <c r="A1908" s="1" t="s">
        <v>288</v>
      </c>
      <c r="B1908" s="1" t="s">
        <v>288</v>
      </c>
      <c r="C1908" s="1" t="s">
        <v>4887</v>
      </c>
      <c r="D1908" s="1">
        <v>2020</v>
      </c>
      <c r="E1908" s="1" t="str">
        <f t="shared" si="7"/>
        <v>RENAULTOROCH ZEN 1.62020</v>
      </c>
      <c r="F1908" s="1" t="s">
        <v>600</v>
      </c>
      <c r="G1908" s="1">
        <v>10150000</v>
      </c>
      <c r="H1908" s="1">
        <v>8300000</v>
      </c>
    </row>
    <row r="1909" spans="1:8" ht="13.5" customHeight="1" x14ac:dyDescent="0.3">
      <c r="A1909" s="1" t="s">
        <v>288</v>
      </c>
      <c r="B1909" s="1" t="s">
        <v>288</v>
      </c>
      <c r="C1909" s="1" t="s">
        <v>4888</v>
      </c>
      <c r="D1909" s="1">
        <v>2019</v>
      </c>
      <c r="E1909" s="1" t="str">
        <f t="shared" si="7"/>
        <v>RENAULTSYMBOL 1.62019</v>
      </c>
      <c r="F1909" s="1" t="s">
        <v>1937</v>
      </c>
      <c r="G1909" s="1">
        <v>7290000</v>
      </c>
      <c r="H1909" s="1">
        <v>4900000</v>
      </c>
    </row>
    <row r="1910" spans="1:8" ht="13.5" customHeight="1" x14ac:dyDescent="0.3">
      <c r="A1910" s="1" t="s">
        <v>288</v>
      </c>
      <c r="B1910" s="1" t="s">
        <v>4418</v>
      </c>
      <c r="C1910" s="1" t="s">
        <v>4889</v>
      </c>
      <c r="D1910" s="1">
        <v>2022</v>
      </c>
      <c r="E1910" s="1" t="str">
        <f t="shared" si="7"/>
        <v>TODOSDUSTER 4X2 1.62022</v>
      </c>
      <c r="F1910" s="1" t="s">
        <v>1263</v>
      </c>
      <c r="G1910" s="1">
        <v>10190000</v>
      </c>
      <c r="H1910" s="1">
        <v>7800000</v>
      </c>
    </row>
    <row r="1911" spans="1:8" ht="13.5" customHeight="1" x14ac:dyDescent="0.3">
      <c r="A1911" s="1" t="s">
        <v>288</v>
      </c>
      <c r="B1911" s="1" t="s">
        <v>4418</v>
      </c>
      <c r="C1911" s="1" t="s">
        <v>4890</v>
      </c>
      <c r="D1911" s="1">
        <v>2022</v>
      </c>
      <c r="E1911" s="1" t="str">
        <f t="shared" si="7"/>
        <v>TODOSKOLEOS 2.5 AUT2022</v>
      </c>
      <c r="F1911" s="1" t="s">
        <v>1438</v>
      </c>
      <c r="G1911" s="1">
        <v>16290000</v>
      </c>
      <c r="H1911" s="1">
        <v>15500000</v>
      </c>
    </row>
    <row r="1912" spans="1:8" ht="13.5" customHeight="1" x14ac:dyDescent="0.3">
      <c r="A1912" s="1" t="s">
        <v>288</v>
      </c>
      <c r="B1912" s="1" t="s">
        <v>4418</v>
      </c>
      <c r="C1912" s="1" t="s">
        <v>4891</v>
      </c>
      <c r="D1912" s="1">
        <v>2022</v>
      </c>
      <c r="E1912" s="1" t="str">
        <f t="shared" si="7"/>
        <v>TODOSKOLEOS 4X4 2.5 AUT2022</v>
      </c>
      <c r="F1912" s="1" t="s">
        <v>1099</v>
      </c>
      <c r="G1912" s="1">
        <v>17490000</v>
      </c>
      <c r="H1912" s="1">
        <v>13500000</v>
      </c>
    </row>
    <row r="1913" spans="1:8" ht="13.5" customHeight="1" x14ac:dyDescent="0.3">
      <c r="A1913" s="1" t="s">
        <v>288</v>
      </c>
      <c r="B1913" s="1" t="s">
        <v>4418</v>
      </c>
      <c r="C1913" s="1" t="s">
        <v>4892</v>
      </c>
      <c r="D1913" s="1">
        <v>2019</v>
      </c>
      <c r="E1913" s="1" t="str">
        <f t="shared" si="7"/>
        <v>TODOSSYMBOL SOHC 1.62019</v>
      </c>
      <c r="F1913" s="1" t="s">
        <v>1075</v>
      </c>
      <c r="G1913" s="1">
        <v>5990000</v>
      </c>
      <c r="H1913" s="1">
        <v>4700000</v>
      </c>
    </row>
    <row r="1914" spans="1:8" ht="13.5" customHeight="1" x14ac:dyDescent="0.3">
      <c r="A1914" s="1" t="s">
        <v>3308</v>
      </c>
      <c r="B1914" s="1" t="s">
        <v>3459</v>
      </c>
      <c r="C1914" s="1" t="s">
        <v>4893</v>
      </c>
      <c r="D1914" s="1">
        <v>2021</v>
      </c>
      <c r="E1914" s="1" t="str">
        <f t="shared" si="7"/>
        <v>ATECAATECA 4X4 1.4 AUT2021</v>
      </c>
      <c r="F1914" s="1" t="s">
        <v>365</v>
      </c>
      <c r="G1914" s="1">
        <v>11990000</v>
      </c>
      <c r="H1914" s="1">
        <v>10000000</v>
      </c>
    </row>
    <row r="1915" spans="1:8" ht="13.5" customHeight="1" x14ac:dyDescent="0.3">
      <c r="A1915" s="1" t="s">
        <v>291</v>
      </c>
      <c r="B1915" s="1" t="s">
        <v>4894</v>
      </c>
      <c r="C1915" s="1" t="s">
        <v>4895</v>
      </c>
      <c r="D1915" s="1">
        <v>2021</v>
      </c>
      <c r="E1915" s="1" t="str">
        <f t="shared" si="7"/>
        <v>ACTYONACTYON SPORT 2.22021</v>
      </c>
      <c r="F1915" s="1" t="s">
        <v>2448</v>
      </c>
      <c r="G1915" s="1">
        <v>12990000</v>
      </c>
      <c r="H1915" s="1">
        <v>16700000</v>
      </c>
    </row>
    <row r="1916" spans="1:8" ht="13.5" customHeight="1" x14ac:dyDescent="0.3">
      <c r="A1916" s="1" t="s">
        <v>291</v>
      </c>
      <c r="B1916" s="1" t="s">
        <v>292</v>
      </c>
      <c r="C1916" s="1" t="s">
        <v>4896</v>
      </c>
      <c r="D1916" s="1">
        <v>2021</v>
      </c>
      <c r="E1916" s="1" t="str">
        <f t="shared" si="7"/>
        <v>KORANDOKORANDO 1.52021</v>
      </c>
      <c r="F1916" s="1" t="s">
        <v>1309</v>
      </c>
      <c r="G1916" s="1">
        <v>11088638</v>
      </c>
      <c r="H1916" s="1">
        <v>10500000</v>
      </c>
    </row>
    <row r="1917" spans="1:8" ht="13.5" customHeight="1" x14ac:dyDescent="0.3">
      <c r="A1917" s="1" t="s">
        <v>291</v>
      </c>
      <c r="B1917" s="1" t="s">
        <v>292</v>
      </c>
      <c r="C1917" s="1" t="s">
        <v>4896</v>
      </c>
      <c r="D1917" s="1">
        <v>2021</v>
      </c>
      <c r="E1917" s="1" t="str">
        <f t="shared" si="7"/>
        <v>KORANDOKORANDO 1.52021</v>
      </c>
      <c r="F1917" s="1" t="s">
        <v>1668</v>
      </c>
      <c r="G1917" s="1">
        <v>12990000</v>
      </c>
      <c r="H1917" s="1">
        <v>10500000</v>
      </c>
    </row>
    <row r="1918" spans="1:8" ht="13.5" customHeight="1" x14ac:dyDescent="0.3">
      <c r="A1918" s="1" t="s">
        <v>291</v>
      </c>
      <c r="B1918" s="1" t="s">
        <v>292</v>
      </c>
      <c r="C1918" s="1" t="s">
        <v>4896</v>
      </c>
      <c r="D1918" s="1">
        <v>2021</v>
      </c>
      <c r="E1918" s="1" t="str">
        <f t="shared" si="7"/>
        <v>KORANDOKORANDO 1.52021</v>
      </c>
      <c r="F1918" s="1" t="s">
        <v>459</v>
      </c>
      <c r="G1918" s="1">
        <v>10990000</v>
      </c>
      <c r="H1918" s="1">
        <v>9200000</v>
      </c>
    </row>
    <row r="1919" spans="1:8" ht="13.5" customHeight="1" x14ac:dyDescent="0.3">
      <c r="A1919" s="1" t="s">
        <v>291</v>
      </c>
      <c r="B1919" s="1" t="s">
        <v>292</v>
      </c>
      <c r="C1919" s="1" t="s">
        <v>4897</v>
      </c>
      <c r="D1919" s="1">
        <v>2016</v>
      </c>
      <c r="E1919" s="1" t="str">
        <f t="shared" si="7"/>
        <v>KORANDOKORANDO 2.22016</v>
      </c>
      <c r="F1919" s="1" t="s">
        <v>1330</v>
      </c>
      <c r="G1919" s="1">
        <v>7890000</v>
      </c>
      <c r="H1919" s="1">
        <v>6500000</v>
      </c>
    </row>
    <row r="1920" spans="1:8" ht="13.5" customHeight="1" x14ac:dyDescent="0.3">
      <c r="A1920" s="1" t="s">
        <v>291</v>
      </c>
      <c r="B1920" s="1" t="s">
        <v>292</v>
      </c>
      <c r="C1920" s="1" t="s">
        <v>4897</v>
      </c>
      <c r="D1920" s="1">
        <v>2018</v>
      </c>
      <c r="E1920" s="1" t="str">
        <f t="shared" si="7"/>
        <v>KORANDOKORANDO 2.22018</v>
      </c>
      <c r="F1920" s="1" t="s">
        <v>1103</v>
      </c>
      <c r="G1920" s="1">
        <v>8990000</v>
      </c>
      <c r="H1920" s="1">
        <v>7200000</v>
      </c>
    </row>
    <row r="1921" spans="1:8" ht="13.5" customHeight="1" x14ac:dyDescent="0.3">
      <c r="A1921" s="1" t="s">
        <v>291</v>
      </c>
      <c r="B1921" s="1" t="s">
        <v>292</v>
      </c>
      <c r="C1921" s="1" t="s">
        <v>4898</v>
      </c>
      <c r="D1921" s="1">
        <v>2019</v>
      </c>
      <c r="E1921" s="1" t="str">
        <f t="shared" si="7"/>
        <v>KORANDOKORANDO 2.2 AUT2019</v>
      </c>
      <c r="F1921" s="1" t="s">
        <v>2031</v>
      </c>
      <c r="G1921" s="1">
        <v>9990000</v>
      </c>
      <c r="H1921" s="1">
        <v>8170588</v>
      </c>
    </row>
    <row r="1922" spans="1:8" ht="13.5" customHeight="1" x14ac:dyDescent="0.3">
      <c r="A1922" s="1" t="s">
        <v>291</v>
      </c>
      <c r="B1922" s="1" t="s">
        <v>292</v>
      </c>
      <c r="C1922" s="1" t="s">
        <v>293</v>
      </c>
      <c r="D1922" s="1">
        <v>2021</v>
      </c>
      <c r="E1922" s="1" t="str">
        <f t="shared" si="7"/>
        <v>KORANDONEW KORANDO 1.62021</v>
      </c>
      <c r="F1922" s="1" t="s">
        <v>294</v>
      </c>
      <c r="G1922" s="1">
        <v>13990000</v>
      </c>
      <c r="H1922" s="1">
        <v>12000000</v>
      </c>
    </row>
    <row r="1923" spans="1:8" ht="13.5" customHeight="1" x14ac:dyDescent="0.3">
      <c r="A1923" s="1" t="s">
        <v>291</v>
      </c>
      <c r="B1923" s="1" t="s">
        <v>292</v>
      </c>
      <c r="C1923" s="1" t="s">
        <v>4899</v>
      </c>
      <c r="D1923" s="1">
        <v>2022</v>
      </c>
      <c r="E1923" s="1" t="str">
        <f t="shared" si="7"/>
        <v>KORANDONEW KORANDO GLX 1.52022</v>
      </c>
      <c r="G1923" s="1">
        <v>14490000</v>
      </c>
      <c r="H1923" s="1">
        <v>0</v>
      </c>
    </row>
    <row r="1924" spans="1:8" ht="13.5" customHeight="1" x14ac:dyDescent="0.3">
      <c r="A1924" s="1" t="s">
        <v>291</v>
      </c>
      <c r="B1924" s="1" t="s">
        <v>292</v>
      </c>
      <c r="C1924" s="1" t="s">
        <v>4899</v>
      </c>
      <c r="D1924" s="1">
        <v>2022</v>
      </c>
      <c r="E1924" s="1" t="str">
        <f t="shared" si="7"/>
        <v>KORANDONEW KORANDO GLX 1.52022</v>
      </c>
      <c r="F1924" s="1" t="s">
        <v>1018</v>
      </c>
      <c r="G1924" s="1">
        <v>14490000</v>
      </c>
      <c r="H1924" s="1">
        <v>11300000</v>
      </c>
    </row>
    <row r="1925" spans="1:8" ht="13.5" customHeight="1" x14ac:dyDescent="0.3">
      <c r="A1925" s="1" t="s">
        <v>291</v>
      </c>
      <c r="B1925" s="1" t="s">
        <v>292</v>
      </c>
      <c r="C1925" s="1" t="s">
        <v>4899</v>
      </c>
      <c r="D1925" s="1">
        <v>2022</v>
      </c>
      <c r="E1925" s="1" t="str">
        <f t="shared" si="7"/>
        <v>KORANDONEW KORANDO GLX 1.52022</v>
      </c>
      <c r="F1925" s="1" t="s">
        <v>437</v>
      </c>
      <c r="G1925" s="1">
        <v>13990000</v>
      </c>
      <c r="H1925" s="1">
        <v>11300000</v>
      </c>
    </row>
    <row r="1926" spans="1:8" ht="13.5" customHeight="1" x14ac:dyDescent="0.3">
      <c r="A1926" s="1" t="s">
        <v>291</v>
      </c>
      <c r="B1926" s="1" t="s">
        <v>292</v>
      </c>
      <c r="C1926" s="1" t="s">
        <v>4900</v>
      </c>
      <c r="D1926" s="1">
        <v>2022</v>
      </c>
      <c r="E1926" s="1" t="str">
        <f t="shared" si="7"/>
        <v>KORANDONEW KORANDO GLX 1.5 AUT2022</v>
      </c>
      <c r="F1926" s="1" t="s">
        <v>1976</v>
      </c>
      <c r="G1926" s="1">
        <v>14990000</v>
      </c>
      <c r="H1926" s="1">
        <v>15500000</v>
      </c>
    </row>
    <row r="1927" spans="1:8" ht="13.5" customHeight="1" x14ac:dyDescent="0.3">
      <c r="A1927" s="1" t="s">
        <v>291</v>
      </c>
      <c r="B1927" s="1" t="s">
        <v>292</v>
      </c>
      <c r="C1927" s="1" t="s">
        <v>4901</v>
      </c>
      <c r="D1927" s="1">
        <v>2021</v>
      </c>
      <c r="E1927" s="1" t="str">
        <f t="shared" si="7"/>
        <v>KORANDONEW KORANDO GLX FULL 1.6 AUT2021</v>
      </c>
      <c r="F1927" s="1" t="s">
        <v>1468</v>
      </c>
      <c r="G1927" s="1">
        <v>15550000</v>
      </c>
      <c r="H1927" s="1">
        <v>13250000</v>
      </c>
    </row>
    <row r="1928" spans="1:8" ht="13.5" customHeight="1" x14ac:dyDescent="0.3">
      <c r="A1928" s="1" t="s">
        <v>291</v>
      </c>
      <c r="B1928" s="1" t="s">
        <v>292</v>
      </c>
      <c r="C1928" s="1" t="s">
        <v>4902</v>
      </c>
      <c r="D1928" s="1">
        <v>2022</v>
      </c>
      <c r="E1928" s="1" t="str">
        <f t="shared" si="7"/>
        <v>KORANDONEW KORANDO LIMITED 1.5 AUT2022</v>
      </c>
      <c r="F1928" s="1" t="s">
        <v>1801</v>
      </c>
      <c r="G1928" s="1">
        <v>15990000</v>
      </c>
      <c r="H1928" s="1">
        <v>14500000</v>
      </c>
    </row>
    <row r="1929" spans="1:8" ht="13.5" customHeight="1" x14ac:dyDescent="0.3">
      <c r="A1929" s="1" t="s">
        <v>291</v>
      </c>
      <c r="B1929" s="1" t="s">
        <v>4903</v>
      </c>
      <c r="C1929" s="1" t="s">
        <v>4904</v>
      </c>
      <c r="D1929" s="1">
        <v>2021</v>
      </c>
      <c r="E1929" s="1" t="str">
        <f t="shared" si="7"/>
        <v>MUSSO GRAND EURO 6BMUSSO DCAB 4X4 2.2 AUT2021</v>
      </c>
      <c r="F1929" s="1" t="s">
        <v>1441</v>
      </c>
      <c r="G1929" s="1">
        <v>18924620</v>
      </c>
      <c r="H1929" s="1">
        <v>16500000</v>
      </c>
    </row>
    <row r="1930" spans="1:8" ht="13.5" customHeight="1" x14ac:dyDescent="0.3">
      <c r="A1930" s="1" t="s">
        <v>291</v>
      </c>
      <c r="B1930" s="1" t="s">
        <v>4903</v>
      </c>
      <c r="C1930" s="1" t="s">
        <v>4904</v>
      </c>
      <c r="D1930" s="1">
        <v>2021</v>
      </c>
      <c r="E1930" s="1" t="str">
        <f t="shared" si="7"/>
        <v>MUSSO GRAND EURO 6BMUSSO DCAB 4X4 2.2 AUT2021</v>
      </c>
      <c r="F1930" s="1" t="s">
        <v>1443</v>
      </c>
      <c r="G1930" s="1">
        <v>19000000</v>
      </c>
      <c r="H1930" s="1">
        <v>16500000</v>
      </c>
    </row>
    <row r="1931" spans="1:8" ht="13.5" customHeight="1" x14ac:dyDescent="0.3">
      <c r="A1931" s="1" t="s">
        <v>291</v>
      </c>
      <c r="B1931" s="1" t="s">
        <v>4903</v>
      </c>
      <c r="C1931" s="1" t="s">
        <v>4904</v>
      </c>
      <c r="D1931" s="1">
        <v>2022</v>
      </c>
      <c r="E1931" s="1" t="str">
        <f t="shared" si="7"/>
        <v>MUSSO GRAND EURO 6BMUSSO DCAB 4X4 2.2 AUT2022</v>
      </c>
      <c r="F1931" s="1" t="s">
        <v>1584</v>
      </c>
      <c r="G1931" s="1">
        <v>17652515</v>
      </c>
      <c r="H1931" s="1">
        <v>16000000</v>
      </c>
    </row>
    <row r="1932" spans="1:8" ht="13.5" customHeight="1" x14ac:dyDescent="0.3">
      <c r="A1932" s="1" t="s">
        <v>291</v>
      </c>
      <c r="B1932" s="1" t="s">
        <v>4903</v>
      </c>
      <c r="C1932" s="1" t="s">
        <v>4905</v>
      </c>
      <c r="D1932" s="1">
        <v>2021</v>
      </c>
      <c r="E1932" s="1" t="str">
        <f t="shared" si="7"/>
        <v>MUSSO GRAND EURO 6BMUSSO GRAND 2.22021</v>
      </c>
      <c r="F1932" s="1" t="s">
        <v>1721</v>
      </c>
      <c r="G1932" s="1">
        <v>13790000</v>
      </c>
      <c r="H1932" s="1">
        <v>12000000</v>
      </c>
    </row>
    <row r="1933" spans="1:8" ht="13.5" customHeight="1" x14ac:dyDescent="0.3">
      <c r="A1933" s="1" t="s">
        <v>291</v>
      </c>
      <c r="B1933" s="1" t="s">
        <v>4903</v>
      </c>
      <c r="C1933" s="1" t="s">
        <v>4905</v>
      </c>
      <c r="D1933" s="1">
        <v>2021</v>
      </c>
      <c r="E1933" s="1" t="str">
        <f t="shared" si="7"/>
        <v>MUSSO GRAND EURO 6BMUSSO GRAND 2.22021</v>
      </c>
      <c r="F1933" s="1" t="s">
        <v>2179</v>
      </c>
      <c r="G1933" s="1">
        <v>16290000</v>
      </c>
      <c r="H1933" s="1">
        <v>14000000</v>
      </c>
    </row>
    <row r="1934" spans="1:8" ht="13.5" customHeight="1" x14ac:dyDescent="0.3">
      <c r="A1934" s="1" t="s">
        <v>291</v>
      </c>
      <c r="B1934" s="1" t="s">
        <v>4903</v>
      </c>
      <c r="C1934" s="1" t="s">
        <v>4905</v>
      </c>
      <c r="D1934" s="1">
        <v>2021</v>
      </c>
      <c r="E1934" s="1" t="str">
        <f t="shared" si="7"/>
        <v>MUSSO GRAND EURO 6BMUSSO GRAND 2.22021</v>
      </c>
      <c r="F1934" s="1" t="s">
        <v>2389</v>
      </c>
      <c r="G1934" s="1">
        <v>19620000</v>
      </c>
      <c r="H1934" s="1">
        <v>16700000</v>
      </c>
    </row>
    <row r="1935" spans="1:8" ht="13.5" customHeight="1" x14ac:dyDescent="0.3">
      <c r="A1935" s="1" t="s">
        <v>291</v>
      </c>
      <c r="B1935" s="1" t="s">
        <v>4903</v>
      </c>
      <c r="C1935" s="1" t="s">
        <v>4905</v>
      </c>
      <c r="D1935" s="1">
        <v>2021</v>
      </c>
      <c r="E1935" s="1" t="str">
        <f t="shared" si="7"/>
        <v>MUSSO GRAND EURO 6BMUSSO GRAND 2.22021</v>
      </c>
      <c r="F1935" s="1" t="s">
        <v>1761</v>
      </c>
      <c r="G1935" s="1">
        <v>13690000</v>
      </c>
      <c r="H1935" s="1">
        <v>11800000</v>
      </c>
    </row>
    <row r="1936" spans="1:8" ht="13.5" customHeight="1" x14ac:dyDescent="0.3">
      <c r="A1936" s="1" t="s">
        <v>291</v>
      </c>
      <c r="B1936" s="1" t="s">
        <v>4903</v>
      </c>
      <c r="C1936" s="1" t="s">
        <v>4905</v>
      </c>
      <c r="D1936" s="1">
        <v>2021</v>
      </c>
      <c r="E1936" s="1" t="str">
        <f t="shared" si="7"/>
        <v>MUSSO GRAND EURO 6BMUSSO GRAND 2.22021</v>
      </c>
      <c r="F1936" s="1" t="s">
        <v>2317</v>
      </c>
      <c r="G1936" s="1">
        <v>16990000</v>
      </c>
      <c r="H1936" s="1">
        <v>16000000</v>
      </c>
    </row>
    <row r="1937" spans="1:8" ht="13.5" customHeight="1" x14ac:dyDescent="0.3">
      <c r="A1937" s="1" t="s">
        <v>291</v>
      </c>
      <c r="B1937" s="1" t="s">
        <v>4903</v>
      </c>
      <c r="C1937" s="1" t="s">
        <v>4905</v>
      </c>
      <c r="D1937" s="1">
        <v>2021</v>
      </c>
      <c r="E1937" s="1" t="str">
        <f t="shared" si="7"/>
        <v>MUSSO GRAND EURO 6BMUSSO GRAND 2.22021</v>
      </c>
      <c r="F1937" s="1" t="s">
        <v>1384</v>
      </c>
      <c r="G1937" s="1">
        <v>15060650</v>
      </c>
      <c r="H1937" s="1">
        <v>13000000</v>
      </c>
    </row>
    <row r="1938" spans="1:8" ht="13.5" customHeight="1" x14ac:dyDescent="0.3">
      <c r="A1938" s="1" t="s">
        <v>291</v>
      </c>
      <c r="B1938" s="1" t="s">
        <v>4903</v>
      </c>
      <c r="C1938" s="1" t="s">
        <v>4905</v>
      </c>
      <c r="D1938" s="1">
        <v>2021</v>
      </c>
      <c r="E1938" s="1" t="str">
        <f t="shared" si="7"/>
        <v>MUSSO GRAND EURO 6BMUSSO GRAND 2.22021</v>
      </c>
      <c r="F1938" s="1" t="s">
        <v>2052</v>
      </c>
      <c r="G1938" s="1">
        <v>17690000</v>
      </c>
      <c r="H1938" s="1">
        <v>14500000</v>
      </c>
    </row>
    <row r="1939" spans="1:8" ht="13.5" customHeight="1" x14ac:dyDescent="0.3">
      <c r="A1939" s="1" t="s">
        <v>291</v>
      </c>
      <c r="B1939" s="1" t="s">
        <v>4903</v>
      </c>
      <c r="C1939" s="1" t="s">
        <v>4905</v>
      </c>
      <c r="D1939" s="1">
        <v>2022</v>
      </c>
      <c r="E1939" s="1" t="str">
        <f t="shared" si="7"/>
        <v>MUSSO GRAND EURO 6BMUSSO GRAND 2.22022</v>
      </c>
      <c r="F1939" s="1" t="s">
        <v>2263</v>
      </c>
      <c r="G1939" s="1">
        <v>17100000</v>
      </c>
      <c r="H1939" s="1">
        <v>16500000</v>
      </c>
    </row>
    <row r="1940" spans="1:8" ht="13.5" customHeight="1" x14ac:dyDescent="0.3">
      <c r="A1940" s="1" t="s">
        <v>291</v>
      </c>
      <c r="B1940" s="1" t="s">
        <v>4903</v>
      </c>
      <c r="C1940" s="1" t="s">
        <v>4905</v>
      </c>
      <c r="D1940" s="1">
        <v>2023</v>
      </c>
      <c r="E1940" s="1" t="str">
        <f t="shared" si="7"/>
        <v>MUSSO GRAND EURO 6BMUSSO GRAND 2.22023</v>
      </c>
      <c r="F1940" s="1" t="s">
        <v>954</v>
      </c>
      <c r="G1940" s="1">
        <v>19490000</v>
      </c>
      <c r="H1940" s="1">
        <v>18600000</v>
      </c>
    </row>
    <row r="1941" spans="1:8" ht="13.5" customHeight="1" x14ac:dyDescent="0.3">
      <c r="A1941" s="1" t="s">
        <v>291</v>
      </c>
      <c r="B1941" s="1" t="s">
        <v>4903</v>
      </c>
      <c r="C1941" s="1" t="s">
        <v>4905</v>
      </c>
      <c r="D1941" s="1">
        <v>2024</v>
      </c>
      <c r="E1941" s="1" t="str">
        <f t="shared" si="7"/>
        <v>MUSSO GRAND EURO 6BMUSSO GRAND 2.22024</v>
      </c>
      <c r="F1941" s="1" t="s">
        <v>1286</v>
      </c>
      <c r="G1941" s="1">
        <v>18500000</v>
      </c>
      <c r="H1941" s="1">
        <v>16500000</v>
      </c>
    </row>
    <row r="1942" spans="1:8" ht="13.5" customHeight="1" x14ac:dyDescent="0.3">
      <c r="A1942" s="1" t="s">
        <v>291</v>
      </c>
      <c r="B1942" s="1" t="s">
        <v>4903</v>
      </c>
      <c r="C1942" s="1" t="s">
        <v>4906</v>
      </c>
      <c r="D1942" s="1">
        <v>2021</v>
      </c>
      <c r="E1942" s="1" t="str">
        <f t="shared" si="7"/>
        <v>MUSSO GRAND EURO 6BMUSSO GRAND 4X4 2.22021</v>
      </c>
      <c r="F1942" s="1" t="s">
        <v>1445</v>
      </c>
      <c r="G1942" s="1">
        <v>15990000</v>
      </c>
      <c r="H1942" s="1">
        <v>13300000</v>
      </c>
    </row>
    <row r="1943" spans="1:8" ht="13.5" customHeight="1" x14ac:dyDescent="0.3">
      <c r="A1943" s="1" t="s">
        <v>291</v>
      </c>
      <c r="B1943" s="1" t="s">
        <v>4903</v>
      </c>
      <c r="C1943" s="1" t="s">
        <v>4906</v>
      </c>
      <c r="D1943" s="1">
        <v>2024</v>
      </c>
      <c r="E1943" s="1" t="str">
        <f t="shared" si="7"/>
        <v>MUSSO GRAND EURO 6BMUSSO GRAND 4X4 2.22024</v>
      </c>
      <c r="F1943" s="1" t="s">
        <v>1507</v>
      </c>
      <c r="G1943" s="1">
        <v>21990000</v>
      </c>
      <c r="H1943" s="1">
        <v>20700000</v>
      </c>
    </row>
    <row r="1944" spans="1:8" ht="13.5" customHeight="1" x14ac:dyDescent="0.3">
      <c r="A1944" s="1" t="s">
        <v>291</v>
      </c>
      <c r="B1944" s="1" t="s">
        <v>4907</v>
      </c>
      <c r="C1944" s="1" t="s">
        <v>4908</v>
      </c>
      <c r="D1944" s="1">
        <v>2020</v>
      </c>
      <c r="E1944" s="1" t="str">
        <f t="shared" si="7"/>
        <v>NEW MUSSO E6GRAND MUSSO 4X4 2.22020</v>
      </c>
      <c r="F1944" s="1" t="s">
        <v>2035</v>
      </c>
      <c r="G1944" s="1">
        <v>15690000</v>
      </c>
      <c r="H1944" s="1">
        <v>12500000</v>
      </c>
    </row>
    <row r="1945" spans="1:8" ht="13.5" customHeight="1" x14ac:dyDescent="0.3">
      <c r="A1945" s="1" t="s">
        <v>291</v>
      </c>
      <c r="B1945" s="1" t="s">
        <v>4907</v>
      </c>
      <c r="C1945" s="1" t="s">
        <v>4909</v>
      </c>
      <c r="D1945" s="1">
        <v>2021</v>
      </c>
      <c r="E1945" s="1" t="str">
        <f t="shared" si="7"/>
        <v>NEW MUSSO E6MUSSO DCAB 4X4 2.22021</v>
      </c>
      <c r="F1945" s="1" t="s">
        <v>1823</v>
      </c>
      <c r="G1945" s="1">
        <v>14790000</v>
      </c>
      <c r="H1945" s="1">
        <v>12500000</v>
      </c>
    </row>
    <row r="1946" spans="1:8" ht="13.5" customHeight="1" x14ac:dyDescent="0.3">
      <c r="A1946" s="1" t="s">
        <v>291</v>
      </c>
      <c r="B1946" s="1" t="s">
        <v>4907</v>
      </c>
      <c r="C1946" s="1" t="s">
        <v>4909</v>
      </c>
      <c r="D1946" s="1">
        <v>2023</v>
      </c>
      <c r="E1946" s="1" t="str">
        <f t="shared" si="7"/>
        <v>NEW MUSSO E6MUSSO DCAB 4X4 2.22023</v>
      </c>
      <c r="F1946" s="1" t="s">
        <v>773</v>
      </c>
      <c r="G1946" s="1">
        <v>20490000</v>
      </c>
      <c r="H1946" s="1">
        <v>17500000</v>
      </c>
    </row>
    <row r="1947" spans="1:8" ht="13.5" customHeight="1" x14ac:dyDescent="0.3">
      <c r="A1947" s="1" t="s">
        <v>291</v>
      </c>
      <c r="B1947" s="1" t="s">
        <v>3161</v>
      </c>
      <c r="C1947" s="1" t="s">
        <v>4910</v>
      </c>
      <c r="D1947" s="1">
        <v>2023</v>
      </c>
      <c r="E1947" s="1" t="str">
        <f t="shared" si="7"/>
        <v>NEW REXTONNEW REXTON 2.0 AT2023</v>
      </c>
      <c r="F1947" s="1" t="s">
        <v>719</v>
      </c>
      <c r="G1947" s="1">
        <v>21585000</v>
      </c>
      <c r="H1947" s="1">
        <v>17800000</v>
      </c>
    </row>
    <row r="1948" spans="1:8" ht="13.5" customHeight="1" x14ac:dyDescent="0.3">
      <c r="A1948" s="1" t="s">
        <v>291</v>
      </c>
      <c r="B1948" s="1" t="s">
        <v>3161</v>
      </c>
      <c r="C1948" s="1" t="s">
        <v>4911</v>
      </c>
      <c r="D1948" s="1">
        <v>2023</v>
      </c>
      <c r="E1948" s="1" t="str">
        <f t="shared" si="7"/>
        <v>NEW REXTONNEW REXTON LX 4X4 2.0 AUT2023</v>
      </c>
      <c r="F1948" s="1" t="s">
        <v>909</v>
      </c>
      <c r="G1948" s="1">
        <v>21580000</v>
      </c>
      <c r="H1948" s="1">
        <v>18000000</v>
      </c>
    </row>
    <row r="1949" spans="1:8" ht="13.5" customHeight="1" x14ac:dyDescent="0.3">
      <c r="A1949" s="1" t="s">
        <v>291</v>
      </c>
      <c r="B1949" s="1" t="s">
        <v>4912</v>
      </c>
      <c r="C1949" s="1" t="s">
        <v>4913</v>
      </c>
      <c r="D1949" s="1">
        <v>2024</v>
      </c>
      <c r="E1949" s="1" t="str">
        <f t="shared" si="7"/>
        <v>NEW REXTON E6 SAREXTON 2.2 AUT2024</v>
      </c>
      <c r="F1949" s="1" t="s">
        <v>353</v>
      </c>
      <c r="G1949" s="1">
        <v>24790000</v>
      </c>
      <c r="H1949" s="1">
        <v>21000000</v>
      </c>
    </row>
    <row r="1950" spans="1:8" ht="13.5" customHeight="1" x14ac:dyDescent="0.3">
      <c r="A1950" s="1" t="s">
        <v>291</v>
      </c>
      <c r="B1950" s="1" t="s">
        <v>295</v>
      </c>
      <c r="C1950" s="1" t="s">
        <v>4914</v>
      </c>
      <c r="D1950" s="1">
        <v>2019</v>
      </c>
      <c r="E1950" s="1" t="str">
        <f t="shared" si="7"/>
        <v>REXTONNEW REXTON 2.02019</v>
      </c>
      <c r="F1950" s="1" t="s">
        <v>1476</v>
      </c>
      <c r="G1950" s="1">
        <v>16190000</v>
      </c>
      <c r="H1950" s="1">
        <v>13800000</v>
      </c>
    </row>
    <row r="1951" spans="1:8" ht="13.5" customHeight="1" x14ac:dyDescent="0.3">
      <c r="A1951" s="1" t="s">
        <v>291</v>
      </c>
      <c r="B1951" s="1" t="s">
        <v>295</v>
      </c>
      <c r="C1951" s="1" t="s">
        <v>4915</v>
      </c>
      <c r="D1951" s="1">
        <v>2020</v>
      </c>
      <c r="E1951" s="1" t="str">
        <f t="shared" si="7"/>
        <v>REXTONNEW REXTON 2.0 AUT2020</v>
      </c>
      <c r="F1951" s="1" t="s">
        <v>2230</v>
      </c>
      <c r="G1951" s="1">
        <v>16990000</v>
      </c>
      <c r="H1951" s="1">
        <v>16000000</v>
      </c>
    </row>
    <row r="1952" spans="1:8" ht="13.5" customHeight="1" x14ac:dyDescent="0.3">
      <c r="A1952" s="1" t="s">
        <v>291</v>
      </c>
      <c r="B1952" s="1" t="s">
        <v>295</v>
      </c>
      <c r="C1952" s="1" t="s">
        <v>4916</v>
      </c>
      <c r="D1952" s="1">
        <v>2018</v>
      </c>
      <c r="E1952" s="1" t="str">
        <f t="shared" si="7"/>
        <v>REXTONNEW REXTON 2.22018</v>
      </c>
      <c r="F1952" s="1" t="s">
        <v>2360</v>
      </c>
      <c r="G1952" s="1">
        <v>15490000</v>
      </c>
      <c r="H1952" s="1">
        <v>14600000</v>
      </c>
    </row>
    <row r="1953" spans="1:8" ht="13.5" customHeight="1" x14ac:dyDescent="0.3">
      <c r="A1953" s="1" t="s">
        <v>291</v>
      </c>
      <c r="B1953" s="1" t="s">
        <v>295</v>
      </c>
      <c r="C1953" s="1" t="s">
        <v>4916</v>
      </c>
      <c r="D1953" s="1">
        <v>2018</v>
      </c>
      <c r="E1953" s="1" t="str">
        <f t="shared" si="7"/>
        <v>REXTONNEW REXTON 2.22018</v>
      </c>
      <c r="F1953" s="1" t="s">
        <v>2189</v>
      </c>
      <c r="G1953" s="1">
        <v>14990000</v>
      </c>
      <c r="H1953" s="1">
        <v>13000000</v>
      </c>
    </row>
    <row r="1954" spans="1:8" ht="13.5" customHeight="1" x14ac:dyDescent="0.3">
      <c r="A1954" s="1" t="s">
        <v>291</v>
      </c>
      <c r="B1954" s="1" t="s">
        <v>295</v>
      </c>
      <c r="C1954" s="1" t="s">
        <v>4916</v>
      </c>
      <c r="D1954" s="1">
        <v>2020</v>
      </c>
      <c r="E1954" s="1" t="str">
        <f t="shared" si="7"/>
        <v>REXTONNEW REXTON 2.22020</v>
      </c>
      <c r="F1954" s="1" t="s">
        <v>1990</v>
      </c>
      <c r="G1954" s="1">
        <v>18990000</v>
      </c>
      <c r="H1954" s="1">
        <v>16000000</v>
      </c>
    </row>
    <row r="1955" spans="1:8" ht="13.5" customHeight="1" x14ac:dyDescent="0.3">
      <c r="A1955" s="1" t="s">
        <v>291</v>
      </c>
      <c r="B1955" s="1" t="s">
        <v>295</v>
      </c>
      <c r="C1955" s="1" t="s">
        <v>4917</v>
      </c>
      <c r="D1955" s="1">
        <v>2018</v>
      </c>
      <c r="E1955" s="1" t="str">
        <f t="shared" si="7"/>
        <v>REXTONNEW REXTON 2.2 AUT2018</v>
      </c>
      <c r="F1955" s="1" t="s">
        <v>2113</v>
      </c>
      <c r="G1955" s="1">
        <v>13990000</v>
      </c>
      <c r="H1955" s="1">
        <v>11500000</v>
      </c>
    </row>
    <row r="1956" spans="1:8" ht="13.5" customHeight="1" x14ac:dyDescent="0.3">
      <c r="A1956" s="1" t="s">
        <v>291</v>
      </c>
      <c r="B1956" s="1" t="s">
        <v>295</v>
      </c>
      <c r="C1956" s="1" t="s">
        <v>4917</v>
      </c>
      <c r="D1956" s="1">
        <v>2020</v>
      </c>
      <c r="E1956" s="1" t="str">
        <f t="shared" si="7"/>
        <v>REXTONNEW REXTON 2.2 AUT2020</v>
      </c>
      <c r="F1956" s="1" t="s">
        <v>1331</v>
      </c>
      <c r="G1956" s="1">
        <v>16290000</v>
      </c>
      <c r="H1956" s="1">
        <v>14850000</v>
      </c>
    </row>
    <row r="1957" spans="1:8" ht="13.5" customHeight="1" x14ac:dyDescent="0.3">
      <c r="A1957" s="1" t="s">
        <v>291</v>
      </c>
      <c r="B1957" s="1" t="s">
        <v>295</v>
      </c>
      <c r="C1957" s="1" t="s">
        <v>4918</v>
      </c>
      <c r="D1957" s="1">
        <v>2019</v>
      </c>
      <c r="E1957" s="1" t="str">
        <f t="shared" si="7"/>
        <v>REXTONNEW REXTON 4X4 2.2 AUT2019</v>
      </c>
      <c r="F1957" s="1" t="s">
        <v>2294</v>
      </c>
      <c r="G1957" s="1">
        <v>17590000</v>
      </c>
      <c r="H1957" s="1">
        <v>15000000</v>
      </c>
    </row>
    <row r="1958" spans="1:8" ht="13.5" customHeight="1" x14ac:dyDescent="0.3">
      <c r="A1958" s="1" t="s">
        <v>291</v>
      </c>
      <c r="B1958" s="1" t="s">
        <v>295</v>
      </c>
      <c r="C1958" s="1" t="s">
        <v>4918</v>
      </c>
      <c r="D1958" s="1">
        <v>2021</v>
      </c>
      <c r="E1958" s="1" t="str">
        <f t="shared" si="7"/>
        <v>REXTONNEW REXTON 4X4 2.2 AUT2021</v>
      </c>
      <c r="F1958" s="1" t="s">
        <v>1625</v>
      </c>
      <c r="G1958" s="1">
        <v>45390000</v>
      </c>
      <c r="H1958" s="1">
        <v>38500000</v>
      </c>
    </row>
    <row r="1959" spans="1:8" ht="13.5" customHeight="1" x14ac:dyDescent="0.3">
      <c r="A1959" s="1" t="s">
        <v>291</v>
      </c>
      <c r="B1959" s="1" t="s">
        <v>295</v>
      </c>
      <c r="C1959" s="1" t="s">
        <v>4919</v>
      </c>
      <c r="D1959" s="1">
        <v>2023</v>
      </c>
      <c r="E1959" s="1" t="str">
        <f t="shared" si="7"/>
        <v>REXTONNEW REXTON GLX TD 2.2 AUT2023</v>
      </c>
      <c r="F1959" s="1" t="s">
        <v>808</v>
      </c>
      <c r="G1959" s="1">
        <v>22500000</v>
      </c>
      <c r="H1959" s="1">
        <v>19500000</v>
      </c>
    </row>
    <row r="1960" spans="1:8" ht="13.5" customHeight="1" x14ac:dyDescent="0.3">
      <c r="A1960" s="1" t="s">
        <v>291</v>
      </c>
      <c r="B1960" s="1" t="s">
        <v>295</v>
      </c>
      <c r="C1960" s="1" t="s">
        <v>4920</v>
      </c>
      <c r="D1960" s="1">
        <v>2023</v>
      </c>
      <c r="E1960" s="1" t="str">
        <f t="shared" si="7"/>
        <v>REXTONNEW REXTON OTTO 2.02023</v>
      </c>
      <c r="F1960" s="1" t="s">
        <v>1418</v>
      </c>
      <c r="G1960" s="1">
        <v>21090000</v>
      </c>
      <c r="H1960" s="1">
        <v>18000000</v>
      </c>
    </row>
    <row r="1961" spans="1:8" ht="13.5" customHeight="1" x14ac:dyDescent="0.3">
      <c r="A1961" s="1" t="s">
        <v>291</v>
      </c>
      <c r="B1961" s="1" t="s">
        <v>4921</v>
      </c>
      <c r="C1961" s="1" t="s">
        <v>4922</v>
      </c>
      <c r="D1961" s="1">
        <v>2016</v>
      </c>
      <c r="E1961" s="1" t="str">
        <f t="shared" si="7"/>
        <v>TIVOLITIVOLI  1.62016</v>
      </c>
      <c r="F1961" s="1" t="s">
        <v>2044</v>
      </c>
      <c r="G1961" s="1">
        <v>8490000</v>
      </c>
      <c r="H1961" s="1">
        <v>5974790</v>
      </c>
    </row>
    <row r="1962" spans="1:8" ht="13.5" customHeight="1" x14ac:dyDescent="0.3">
      <c r="A1962" s="1" t="s">
        <v>291</v>
      </c>
      <c r="B1962" s="1" t="s">
        <v>4921</v>
      </c>
      <c r="C1962" s="1" t="s">
        <v>4923</v>
      </c>
      <c r="D1962" s="1">
        <v>2019</v>
      </c>
      <c r="E1962" s="1" t="str">
        <f t="shared" si="7"/>
        <v>TIVOLITIVOLI 1.6 AUT2019</v>
      </c>
      <c r="F1962" s="1" t="s">
        <v>2161</v>
      </c>
      <c r="G1962" s="1">
        <v>11490000</v>
      </c>
      <c r="H1962" s="1">
        <v>9000000</v>
      </c>
    </row>
    <row r="1963" spans="1:8" ht="13.5" customHeight="1" x14ac:dyDescent="0.3">
      <c r="A1963" s="1" t="s">
        <v>291</v>
      </c>
      <c r="B1963" s="1" t="s">
        <v>4921</v>
      </c>
      <c r="C1963" s="1" t="s">
        <v>4924</v>
      </c>
      <c r="D1963" s="1">
        <v>2022</v>
      </c>
      <c r="E1963" s="1" t="str">
        <f t="shared" si="7"/>
        <v>TIVOLITIVOLI GLX 1.62022</v>
      </c>
      <c r="F1963" s="1" t="s">
        <v>1549</v>
      </c>
      <c r="G1963" s="1">
        <v>11100000</v>
      </c>
      <c r="H1963" s="1">
        <v>9500000</v>
      </c>
    </row>
    <row r="1964" spans="1:8" ht="13.5" customHeight="1" x14ac:dyDescent="0.3">
      <c r="A1964" s="1" t="s">
        <v>291</v>
      </c>
      <c r="B1964" s="1" t="s">
        <v>297</v>
      </c>
      <c r="C1964" s="1" t="s">
        <v>4925</v>
      </c>
      <c r="D1964" s="1">
        <v>2024</v>
      </c>
      <c r="E1964" s="1" t="str">
        <f t="shared" si="7"/>
        <v>TORRESTORRES GLX 1.5 AUT2024</v>
      </c>
      <c r="F1964" s="1" t="s">
        <v>933</v>
      </c>
      <c r="G1964" s="1">
        <v>21190000</v>
      </c>
      <c r="H1964" s="1">
        <v>19000000</v>
      </c>
    </row>
    <row r="1965" spans="1:8" ht="13.5" customHeight="1" x14ac:dyDescent="0.3">
      <c r="A1965" s="1" t="s">
        <v>291</v>
      </c>
      <c r="B1965" s="1" t="s">
        <v>297</v>
      </c>
      <c r="C1965" s="1" t="s">
        <v>4926</v>
      </c>
      <c r="D1965" s="1">
        <v>2024</v>
      </c>
      <c r="E1965" s="1" t="str">
        <f t="shared" si="7"/>
        <v>TORRESTORRES GLX 4X4 1.5 AUT2024</v>
      </c>
      <c r="F1965" s="1" t="s">
        <v>843</v>
      </c>
      <c r="G1965" s="1">
        <v>21990000</v>
      </c>
      <c r="H1965" s="1">
        <v>19000000</v>
      </c>
    </row>
    <row r="1966" spans="1:8" ht="13.5" customHeight="1" x14ac:dyDescent="0.3">
      <c r="A1966" s="1" t="s">
        <v>2545</v>
      </c>
      <c r="B1966" s="1" t="s">
        <v>3398</v>
      </c>
      <c r="C1966" s="1" t="s">
        <v>4927</v>
      </c>
      <c r="D1966" s="1">
        <v>2022</v>
      </c>
      <c r="E1966" s="1" t="str">
        <f t="shared" si="7"/>
        <v>EVOLTISEVOLTIS LIMITED 4X4 2.4 AUT2022</v>
      </c>
      <c r="F1966" s="1" t="s">
        <v>1643</v>
      </c>
      <c r="G1966" s="1">
        <v>26990000</v>
      </c>
      <c r="H1966" s="1">
        <v>25500000</v>
      </c>
    </row>
    <row r="1967" spans="1:8" ht="13.5" customHeight="1" x14ac:dyDescent="0.3">
      <c r="A1967" s="1" t="s">
        <v>2545</v>
      </c>
      <c r="B1967" s="1" t="s">
        <v>3398</v>
      </c>
      <c r="C1967" s="1" t="s">
        <v>4928</v>
      </c>
      <c r="D1967" s="1">
        <v>2023</v>
      </c>
      <c r="E1967" s="1" t="str">
        <f t="shared" si="7"/>
        <v>EVOLTISEVOLTIS TOURING 4X4 2.4 AUT2023</v>
      </c>
      <c r="F1967" s="1" t="s">
        <v>1421</v>
      </c>
      <c r="G1967" s="1">
        <v>32000000</v>
      </c>
      <c r="H1967" s="1">
        <v>31000000</v>
      </c>
    </row>
    <row r="1968" spans="1:8" ht="13.5" customHeight="1" x14ac:dyDescent="0.3">
      <c r="A1968" s="1" t="s">
        <v>2545</v>
      </c>
      <c r="B1968" s="1" t="s">
        <v>2856</v>
      </c>
      <c r="C1968" s="1" t="s">
        <v>4929</v>
      </c>
      <c r="D1968" s="1">
        <v>2020</v>
      </c>
      <c r="E1968" s="1" t="str">
        <f t="shared" si="7"/>
        <v>FORESTERALL NEW FORESTER XS AWD CVT 2.0I2020</v>
      </c>
      <c r="F1968" s="1" t="s">
        <v>557</v>
      </c>
      <c r="G1968" s="1">
        <v>16990000</v>
      </c>
      <c r="H1968" s="1">
        <v>14200000</v>
      </c>
    </row>
    <row r="1969" spans="1:8" ht="13.5" customHeight="1" x14ac:dyDescent="0.3">
      <c r="A1969" s="1" t="s">
        <v>2545</v>
      </c>
      <c r="B1969" s="1" t="s">
        <v>2856</v>
      </c>
      <c r="C1969" s="1" t="s">
        <v>4930</v>
      </c>
      <c r="D1969" s="1">
        <v>2022</v>
      </c>
      <c r="E1969" s="1" t="str">
        <f t="shared" si="7"/>
        <v>FORESTERFORESTER 4X4 2.0 AT2022</v>
      </c>
      <c r="F1969" s="1" t="s">
        <v>2137</v>
      </c>
      <c r="G1969" s="1">
        <v>19517000</v>
      </c>
      <c r="H1969" s="1">
        <v>20000000</v>
      </c>
    </row>
    <row r="1970" spans="1:8" ht="13.5" customHeight="1" x14ac:dyDescent="0.3">
      <c r="A1970" s="1" t="s">
        <v>2545</v>
      </c>
      <c r="B1970" s="1" t="s">
        <v>2856</v>
      </c>
      <c r="C1970" s="1" t="s">
        <v>4930</v>
      </c>
      <c r="D1970" s="1">
        <v>2022</v>
      </c>
      <c r="E1970" s="1" t="str">
        <f t="shared" si="7"/>
        <v>FORESTERFORESTER 4X4 2.0 AT2022</v>
      </c>
      <c r="F1970" s="1" t="s">
        <v>4931</v>
      </c>
      <c r="G1970" s="1">
        <v>17990000</v>
      </c>
      <c r="H1970" s="1">
        <v>15500000</v>
      </c>
    </row>
    <row r="1971" spans="1:8" ht="13.5" customHeight="1" x14ac:dyDescent="0.3">
      <c r="A1971" s="1" t="s">
        <v>2545</v>
      </c>
      <c r="B1971" s="1" t="s">
        <v>2856</v>
      </c>
      <c r="C1971" s="1" t="s">
        <v>4930</v>
      </c>
      <c r="D1971" s="1">
        <v>2023</v>
      </c>
      <c r="E1971" s="1" t="str">
        <f t="shared" si="7"/>
        <v>FORESTERFORESTER 4X4 2.0 AT2023</v>
      </c>
      <c r="F1971" s="1" t="s">
        <v>367</v>
      </c>
      <c r="G1971" s="1">
        <v>22690000</v>
      </c>
      <c r="H1971" s="1">
        <v>19700000</v>
      </c>
    </row>
    <row r="1972" spans="1:8" ht="13.5" customHeight="1" x14ac:dyDescent="0.3">
      <c r="A1972" s="1" t="s">
        <v>2545</v>
      </c>
      <c r="B1972" s="1" t="s">
        <v>2856</v>
      </c>
      <c r="C1972" s="1" t="s">
        <v>4932</v>
      </c>
      <c r="D1972" s="1">
        <v>2016</v>
      </c>
      <c r="E1972" s="1" t="str">
        <f t="shared" si="7"/>
        <v>FORESTERFORESTER 4X4 2.0I AUT2016</v>
      </c>
      <c r="F1972" s="1" t="s">
        <v>2200</v>
      </c>
      <c r="G1972" s="1">
        <v>11490000</v>
      </c>
      <c r="H1972" s="1">
        <v>9500000</v>
      </c>
    </row>
    <row r="1973" spans="1:8" ht="13.5" customHeight="1" x14ac:dyDescent="0.3">
      <c r="A1973" s="1" t="s">
        <v>2545</v>
      </c>
      <c r="B1973" s="1" t="s">
        <v>2856</v>
      </c>
      <c r="C1973" s="1" t="s">
        <v>4933</v>
      </c>
      <c r="D1973" s="1">
        <v>2017</v>
      </c>
      <c r="E1973" s="1" t="str">
        <f t="shared" si="7"/>
        <v>FORESTERFORESTER AWD 2.02017</v>
      </c>
      <c r="F1973" s="1" t="s">
        <v>2256</v>
      </c>
      <c r="G1973" s="1">
        <v>11690000</v>
      </c>
      <c r="H1973" s="1">
        <v>9750000</v>
      </c>
    </row>
    <row r="1974" spans="1:8" ht="13.5" customHeight="1" x14ac:dyDescent="0.3">
      <c r="A1974" s="1" t="s">
        <v>2545</v>
      </c>
      <c r="B1974" s="1" t="s">
        <v>2856</v>
      </c>
      <c r="C1974" s="1" t="s">
        <v>4934</v>
      </c>
      <c r="D1974" s="1">
        <v>2018</v>
      </c>
      <c r="E1974" s="1" t="str">
        <f t="shared" si="7"/>
        <v>FORESTERFORESTER AWD 2.0 AUT2018</v>
      </c>
      <c r="F1974" s="1" t="s">
        <v>1422</v>
      </c>
      <c r="G1974" s="1">
        <v>12990000</v>
      </c>
      <c r="H1974" s="1">
        <v>11000000</v>
      </c>
    </row>
    <row r="1975" spans="1:8" ht="13.5" customHeight="1" x14ac:dyDescent="0.3">
      <c r="A1975" s="1" t="s">
        <v>2545</v>
      </c>
      <c r="B1975" s="1" t="s">
        <v>2856</v>
      </c>
      <c r="C1975" s="1" t="s">
        <v>4935</v>
      </c>
      <c r="D1975" s="1">
        <v>2018</v>
      </c>
      <c r="E1975" s="1" t="str">
        <f t="shared" si="7"/>
        <v>FORESTERFORESTER AWD 2.0I2018</v>
      </c>
      <c r="F1975" s="1" t="s">
        <v>1360</v>
      </c>
      <c r="G1975" s="1">
        <v>22480000</v>
      </c>
      <c r="H1975" s="1">
        <v>19070588</v>
      </c>
    </row>
    <row r="1976" spans="1:8" ht="13.5" customHeight="1" x14ac:dyDescent="0.3">
      <c r="A1976" s="1" t="s">
        <v>2545</v>
      </c>
      <c r="B1976" s="1" t="s">
        <v>2856</v>
      </c>
      <c r="C1976" s="1" t="s">
        <v>4935</v>
      </c>
      <c r="D1976" s="1">
        <v>2019</v>
      </c>
      <c r="E1976" s="1" t="str">
        <f t="shared" si="7"/>
        <v>FORESTERFORESTER AWD 2.0I2019</v>
      </c>
      <c r="F1976" s="1" t="s">
        <v>2225</v>
      </c>
      <c r="G1976" s="1">
        <v>16990000</v>
      </c>
      <c r="H1976" s="1">
        <v>14500000</v>
      </c>
    </row>
    <row r="1977" spans="1:8" ht="13.5" customHeight="1" x14ac:dyDescent="0.3">
      <c r="A1977" s="1" t="s">
        <v>2545</v>
      </c>
      <c r="B1977" s="1" t="s">
        <v>2856</v>
      </c>
      <c r="C1977" s="1" t="s">
        <v>4936</v>
      </c>
      <c r="D1977" s="1">
        <v>2021</v>
      </c>
      <c r="E1977" s="1" t="str">
        <f t="shared" si="7"/>
        <v>FORESTERFORESTER CVT 4X4 2.0 AUT2021</v>
      </c>
      <c r="F1977" s="1" t="s">
        <v>1351</v>
      </c>
      <c r="G1977" s="1">
        <v>17590000</v>
      </c>
      <c r="H1977" s="1">
        <v>15000000</v>
      </c>
    </row>
    <row r="1978" spans="1:8" ht="13.5" customHeight="1" x14ac:dyDescent="0.3">
      <c r="A1978" s="1" t="s">
        <v>2545</v>
      </c>
      <c r="B1978" s="1" t="s">
        <v>2856</v>
      </c>
      <c r="C1978" s="1" t="s">
        <v>4936</v>
      </c>
      <c r="D1978" s="1">
        <v>2021</v>
      </c>
      <c r="E1978" s="1" t="str">
        <f t="shared" si="7"/>
        <v>FORESTERFORESTER CVT 4X4 2.0 AUT2021</v>
      </c>
      <c r="F1978" s="1" t="s">
        <v>602</v>
      </c>
      <c r="G1978" s="1">
        <v>17190000</v>
      </c>
      <c r="H1978" s="1">
        <v>14700000</v>
      </c>
    </row>
    <row r="1979" spans="1:8" ht="13.5" customHeight="1" x14ac:dyDescent="0.3">
      <c r="A1979" s="1" t="s">
        <v>2545</v>
      </c>
      <c r="B1979" s="1" t="s">
        <v>2856</v>
      </c>
      <c r="C1979" s="1" t="s">
        <v>4937</v>
      </c>
      <c r="D1979" s="1">
        <v>2021</v>
      </c>
      <c r="E1979" s="1" t="str">
        <f t="shared" si="7"/>
        <v>FORESTERFORESTER CVT 4X4 2.5 AUT2021</v>
      </c>
      <c r="F1979" s="1" t="s">
        <v>1968</v>
      </c>
      <c r="G1979" s="1">
        <v>22990000</v>
      </c>
      <c r="H1979" s="1">
        <v>19000000</v>
      </c>
    </row>
    <row r="1980" spans="1:8" ht="13.5" customHeight="1" x14ac:dyDescent="0.3">
      <c r="A1980" s="1" t="s">
        <v>2545</v>
      </c>
      <c r="B1980" s="1" t="s">
        <v>2856</v>
      </c>
      <c r="C1980" s="1" t="s">
        <v>4938</v>
      </c>
      <c r="D1980" s="1">
        <v>2020</v>
      </c>
      <c r="E1980" s="1" t="str">
        <f t="shared" si="7"/>
        <v>FORESTERFORESTER XS 2.0 AUT2020</v>
      </c>
      <c r="F1980" s="1" t="s">
        <v>1415</v>
      </c>
      <c r="G1980" s="1">
        <v>18340000</v>
      </c>
      <c r="H1980" s="1">
        <v>16000000</v>
      </c>
    </row>
    <row r="1981" spans="1:8" ht="13.5" customHeight="1" x14ac:dyDescent="0.3">
      <c r="A1981" s="1" t="s">
        <v>2545</v>
      </c>
      <c r="B1981" s="1" t="s">
        <v>2856</v>
      </c>
      <c r="C1981" s="1" t="s">
        <v>4939</v>
      </c>
      <c r="D1981" s="1">
        <v>2016</v>
      </c>
      <c r="E1981" s="1" t="str">
        <f t="shared" si="7"/>
        <v>FORESTERFORESTER XS 4X4 2.0I AUT2016</v>
      </c>
      <c r="F1981" s="1" t="s">
        <v>1369</v>
      </c>
      <c r="G1981" s="1">
        <v>9468620</v>
      </c>
      <c r="H1981" s="1">
        <v>8000000</v>
      </c>
    </row>
    <row r="1982" spans="1:8" ht="13.5" customHeight="1" x14ac:dyDescent="0.3">
      <c r="A1982" s="1" t="s">
        <v>2545</v>
      </c>
      <c r="B1982" s="1" t="s">
        <v>2856</v>
      </c>
      <c r="C1982" s="1" t="s">
        <v>4939</v>
      </c>
      <c r="D1982" s="1">
        <v>2018</v>
      </c>
      <c r="E1982" s="1" t="str">
        <f t="shared" si="7"/>
        <v>FORESTERFORESTER XS 4X4 2.0I AUT2018</v>
      </c>
      <c r="F1982" s="1" t="s">
        <v>341</v>
      </c>
      <c r="G1982" s="1">
        <v>14990000</v>
      </c>
      <c r="H1982" s="1">
        <v>12000000</v>
      </c>
    </row>
    <row r="1983" spans="1:8" ht="13.5" customHeight="1" x14ac:dyDescent="0.3">
      <c r="A1983" s="1" t="s">
        <v>2545</v>
      </c>
      <c r="B1983" s="1" t="s">
        <v>2856</v>
      </c>
      <c r="C1983" s="1" t="s">
        <v>4940</v>
      </c>
      <c r="D1983" s="1">
        <v>2020</v>
      </c>
      <c r="E1983" s="1" t="str">
        <f t="shared" si="7"/>
        <v>FORESTERNEW FORESTER AWD CVT 2.0I2020</v>
      </c>
      <c r="F1983" s="1" t="s">
        <v>2181</v>
      </c>
      <c r="G1983" s="1">
        <v>16890000</v>
      </c>
      <c r="H1983" s="1">
        <v>14000000</v>
      </c>
    </row>
    <row r="1984" spans="1:8" ht="13.5" customHeight="1" x14ac:dyDescent="0.3">
      <c r="A1984" s="1" t="s">
        <v>2545</v>
      </c>
      <c r="B1984" s="1" t="s">
        <v>2856</v>
      </c>
      <c r="C1984" s="1" t="s">
        <v>4940</v>
      </c>
      <c r="D1984" s="1">
        <v>2021</v>
      </c>
      <c r="E1984" s="1" t="str">
        <f t="shared" si="7"/>
        <v>FORESTERNEW FORESTER AWD CVT 2.0I2021</v>
      </c>
      <c r="F1984" s="1" t="s">
        <v>1840</v>
      </c>
      <c r="G1984" s="1">
        <v>15990000</v>
      </c>
      <c r="H1984" s="1">
        <v>14300000</v>
      </c>
    </row>
    <row r="1985" spans="1:8" ht="13.5" customHeight="1" x14ac:dyDescent="0.3">
      <c r="A1985" s="1" t="s">
        <v>2545</v>
      </c>
      <c r="B1985" s="1" t="s">
        <v>4941</v>
      </c>
      <c r="C1985" s="1" t="s">
        <v>4942</v>
      </c>
      <c r="D1985" s="1">
        <v>2019</v>
      </c>
      <c r="E1985" s="1" t="str">
        <f t="shared" si="7"/>
        <v>IMPREZAIMPREZA 4X4 CVT 2.0 AT2019</v>
      </c>
      <c r="F1985" s="1" t="s">
        <v>2361</v>
      </c>
      <c r="G1985" s="1">
        <v>12990000</v>
      </c>
      <c r="H1985" s="1">
        <v>10700000</v>
      </c>
    </row>
    <row r="1986" spans="1:8" ht="13.5" customHeight="1" x14ac:dyDescent="0.3">
      <c r="A1986" s="1" t="s">
        <v>2545</v>
      </c>
      <c r="B1986" s="1" t="s">
        <v>4941</v>
      </c>
      <c r="C1986" s="1" t="s">
        <v>4943</v>
      </c>
      <c r="D1986" s="1">
        <v>2020</v>
      </c>
      <c r="E1986" s="1" t="str">
        <f t="shared" si="7"/>
        <v>IMPREZANEW IMPREZA 4X4 1.6 AUT2020</v>
      </c>
      <c r="F1986" s="1" t="s">
        <v>2455</v>
      </c>
      <c r="G1986" s="1">
        <v>13990000</v>
      </c>
      <c r="H1986" s="1">
        <v>15700000</v>
      </c>
    </row>
    <row r="1987" spans="1:8" ht="13.5" customHeight="1" x14ac:dyDescent="0.3">
      <c r="A1987" s="1" t="s">
        <v>2545</v>
      </c>
      <c r="B1987" s="1" t="s">
        <v>4941</v>
      </c>
      <c r="C1987" s="1" t="s">
        <v>4944</v>
      </c>
      <c r="D1987" s="1">
        <v>2020</v>
      </c>
      <c r="E1987" s="1" t="str">
        <f t="shared" si="7"/>
        <v>IMPREZANEW IMPREZA SPORT 4X4 1.6 AUT2020</v>
      </c>
      <c r="F1987" s="1" t="s">
        <v>4945</v>
      </c>
      <c r="G1987" s="1">
        <v>15990000</v>
      </c>
      <c r="H1987" s="1">
        <v>15000000</v>
      </c>
    </row>
    <row r="1988" spans="1:8" ht="13.5" customHeight="1" x14ac:dyDescent="0.3">
      <c r="A1988" s="1" t="s">
        <v>2545</v>
      </c>
      <c r="B1988" s="1" t="s">
        <v>2651</v>
      </c>
      <c r="C1988" s="1" t="s">
        <v>4946</v>
      </c>
      <c r="D1988" s="1">
        <v>2020</v>
      </c>
      <c r="E1988" s="1" t="str">
        <f t="shared" si="7"/>
        <v>OUTBACKALL NEW OUTBACK 4X4 2.5I AUT2020</v>
      </c>
      <c r="F1988" s="1" t="s">
        <v>1298</v>
      </c>
      <c r="G1988" s="1">
        <v>20990000</v>
      </c>
      <c r="H1988" s="1">
        <v>19000000</v>
      </c>
    </row>
    <row r="1989" spans="1:8" ht="13.5" customHeight="1" x14ac:dyDescent="0.3">
      <c r="A1989" s="1" t="s">
        <v>2545</v>
      </c>
      <c r="B1989" s="1" t="s">
        <v>2651</v>
      </c>
      <c r="C1989" s="1" t="s">
        <v>4946</v>
      </c>
      <c r="D1989" s="1">
        <v>2020</v>
      </c>
      <c r="E1989" s="1" t="str">
        <f t="shared" si="7"/>
        <v>OUTBACKALL NEW OUTBACK 4X4 2.5I AUT2020</v>
      </c>
      <c r="F1989" s="1" t="s">
        <v>620</v>
      </c>
      <c r="G1989" s="1">
        <v>16990000</v>
      </c>
      <c r="H1989" s="1">
        <v>14300000</v>
      </c>
    </row>
    <row r="1990" spans="1:8" ht="13.5" customHeight="1" x14ac:dyDescent="0.3">
      <c r="A1990" s="1" t="s">
        <v>2545</v>
      </c>
      <c r="B1990" s="1" t="s">
        <v>2651</v>
      </c>
      <c r="C1990" s="1" t="s">
        <v>4947</v>
      </c>
      <c r="D1990" s="1">
        <v>2018</v>
      </c>
      <c r="E1990" s="1" t="str">
        <f t="shared" si="7"/>
        <v>OUTBACKALL NEW OUTBACK LTD 4X4 2.5I AUT2018</v>
      </c>
      <c r="F1990" s="1" t="s">
        <v>2049</v>
      </c>
      <c r="G1990" s="1">
        <v>15190000</v>
      </c>
      <c r="H1990" s="1">
        <v>14000000</v>
      </c>
    </row>
    <row r="1991" spans="1:8" ht="13.5" customHeight="1" x14ac:dyDescent="0.3">
      <c r="A1991" s="1" t="s">
        <v>2545</v>
      </c>
      <c r="B1991" s="1" t="s">
        <v>2651</v>
      </c>
      <c r="C1991" s="1" t="s">
        <v>4947</v>
      </c>
      <c r="D1991" s="1">
        <v>2018</v>
      </c>
      <c r="E1991" s="1" t="str">
        <f t="shared" si="7"/>
        <v>OUTBACKALL NEW OUTBACK LTD 4X4 2.5I AUT2018</v>
      </c>
      <c r="F1991" s="1" t="s">
        <v>1846</v>
      </c>
      <c r="G1991" s="1">
        <v>13990000</v>
      </c>
      <c r="H1991" s="1">
        <v>13100000</v>
      </c>
    </row>
    <row r="1992" spans="1:8" ht="13.5" customHeight="1" x14ac:dyDescent="0.3">
      <c r="A1992" s="1" t="s">
        <v>2545</v>
      </c>
      <c r="B1992" s="1" t="s">
        <v>2651</v>
      </c>
      <c r="C1992" s="1" t="s">
        <v>4948</v>
      </c>
      <c r="D1992" s="1">
        <v>2010</v>
      </c>
      <c r="E1992" s="1" t="str">
        <f t="shared" si="7"/>
        <v>OUTBACKNEW OUTBACK 3.6R AWD AUT2010</v>
      </c>
      <c r="F1992" s="1" t="s">
        <v>2383</v>
      </c>
      <c r="G1992" s="1">
        <v>8990000</v>
      </c>
      <c r="H1992" s="1">
        <v>9000000</v>
      </c>
    </row>
    <row r="1993" spans="1:8" ht="13.5" customHeight="1" x14ac:dyDescent="0.3">
      <c r="A1993" s="1" t="s">
        <v>2545</v>
      </c>
      <c r="B1993" s="1" t="s">
        <v>2651</v>
      </c>
      <c r="C1993" s="1" t="s">
        <v>4949</v>
      </c>
      <c r="D1993" s="1">
        <v>2022</v>
      </c>
      <c r="E1993" s="1" t="str">
        <f t="shared" si="7"/>
        <v>OUTBACKOUTBACK 4X4 2.5 AT2022</v>
      </c>
      <c r="F1993" s="1" t="s">
        <v>1188</v>
      </c>
      <c r="G1993" s="1">
        <v>20990000</v>
      </c>
      <c r="H1993" s="1">
        <v>18200000</v>
      </c>
    </row>
    <row r="1994" spans="1:8" ht="13.5" customHeight="1" x14ac:dyDescent="0.3">
      <c r="A1994" s="1" t="s">
        <v>2545</v>
      </c>
      <c r="B1994" s="1" t="s">
        <v>2651</v>
      </c>
      <c r="C1994" s="1" t="s">
        <v>4949</v>
      </c>
      <c r="D1994" s="1">
        <v>2022</v>
      </c>
      <c r="E1994" s="1" t="str">
        <f t="shared" si="7"/>
        <v>OUTBACKOUTBACK 4X4 2.5 AT2022</v>
      </c>
      <c r="F1994" s="1" t="s">
        <v>1215</v>
      </c>
      <c r="G1994" s="1">
        <v>22490000</v>
      </c>
      <c r="H1994" s="1">
        <v>19000000</v>
      </c>
    </row>
    <row r="1995" spans="1:8" ht="13.5" customHeight="1" x14ac:dyDescent="0.3">
      <c r="A1995" s="1" t="s">
        <v>2545</v>
      </c>
      <c r="B1995" s="1" t="s">
        <v>2651</v>
      </c>
      <c r="C1995" s="1" t="s">
        <v>4949</v>
      </c>
      <c r="D1995" s="1">
        <v>2023</v>
      </c>
      <c r="E1995" s="1" t="str">
        <f t="shared" si="7"/>
        <v>OUTBACKOUTBACK 4X4 2.5 AT2023</v>
      </c>
      <c r="F1995" s="1" t="s">
        <v>1082</v>
      </c>
      <c r="G1995" s="1">
        <v>24990000</v>
      </c>
      <c r="H1995" s="1">
        <v>24500000</v>
      </c>
    </row>
    <row r="1996" spans="1:8" ht="13.5" customHeight="1" x14ac:dyDescent="0.3">
      <c r="A1996" s="1" t="s">
        <v>2545</v>
      </c>
      <c r="B1996" s="1" t="s">
        <v>2651</v>
      </c>
      <c r="C1996" s="1" t="s">
        <v>4950</v>
      </c>
      <c r="D1996" s="1">
        <v>2021</v>
      </c>
      <c r="E1996" s="1" t="str">
        <f t="shared" si="7"/>
        <v>OUTBACKOUTBACK 4X4 CVT 2.5 AT2021</v>
      </c>
      <c r="F1996" s="1" t="s">
        <v>1657</v>
      </c>
      <c r="G1996" s="1">
        <v>25190000</v>
      </c>
      <c r="H1996" s="1">
        <v>21250000</v>
      </c>
    </row>
    <row r="1997" spans="1:8" ht="13.5" customHeight="1" x14ac:dyDescent="0.3">
      <c r="A1997" s="1" t="s">
        <v>2545</v>
      </c>
      <c r="B1997" s="1" t="s">
        <v>4951</v>
      </c>
      <c r="C1997" s="1" t="s">
        <v>4952</v>
      </c>
      <c r="D1997" s="1">
        <v>2019</v>
      </c>
      <c r="E1997" s="1" t="str">
        <f t="shared" si="7"/>
        <v>OUTBACK (exclusivo servicio)OUTBACK AWD 2.5I AUT2019</v>
      </c>
      <c r="F1997" s="1" t="s">
        <v>2284</v>
      </c>
      <c r="G1997" s="1">
        <v>19990000</v>
      </c>
      <c r="H1997" s="1">
        <v>16500000</v>
      </c>
    </row>
    <row r="1998" spans="1:8" ht="13.5" customHeight="1" x14ac:dyDescent="0.3">
      <c r="A1998" s="1" t="s">
        <v>2545</v>
      </c>
      <c r="B1998" s="1" t="s">
        <v>2546</v>
      </c>
      <c r="C1998" s="1" t="s">
        <v>4953</v>
      </c>
      <c r="D1998" s="1">
        <v>2018</v>
      </c>
      <c r="E1998" s="1" t="str">
        <f t="shared" si="7"/>
        <v>XVNEW XV 4X4 1.6I AUT2018</v>
      </c>
      <c r="F1998" s="1" t="s">
        <v>2404</v>
      </c>
      <c r="G1998" s="1">
        <v>16790000</v>
      </c>
      <c r="H1998" s="1">
        <v>15000000</v>
      </c>
    </row>
    <row r="1999" spans="1:8" ht="13.5" customHeight="1" x14ac:dyDescent="0.3">
      <c r="A1999" s="1" t="s">
        <v>2545</v>
      </c>
      <c r="B1999" s="1" t="s">
        <v>2546</v>
      </c>
      <c r="C1999" s="1" t="s">
        <v>4954</v>
      </c>
      <c r="D1999" s="1">
        <v>2016</v>
      </c>
      <c r="E1999" s="1" t="str">
        <f t="shared" si="7"/>
        <v>XVNEW XV 4x4 2.0I2016</v>
      </c>
      <c r="F1999" s="1" t="s">
        <v>2309</v>
      </c>
      <c r="G1999" s="1">
        <v>12690000</v>
      </c>
      <c r="H1999" s="1">
        <v>10700000</v>
      </c>
    </row>
    <row r="2000" spans="1:8" ht="13.5" customHeight="1" x14ac:dyDescent="0.3">
      <c r="A2000" s="1" t="s">
        <v>2545</v>
      </c>
      <c r="B2000" s="1" t="s">
        <v>2546</v>
      </c>
      <c r="C2000" s="1" t="s">
        <v>4955</v>
      </c>
      <c r="D2000" s="1">
        <v>2018</v>
      </c>
      <c r="E2000" s="1" t="str">
        <f t="shared" si="7"/>
        <v>XVNEW XV 4X4 2.0I AUT2018</v>
      </c>
      <c r="F2000" s="1" t="s">
        <v>1562</v>
      </c>
      <c r="G2000" s="1">
        <v>14290000</v>
      </c>
      <c r="H2000" s="1">
        <v>12500000</v>
      </c>
    </row>
    <row r="2001" spans="1:8" ht="13.5" customHeight="1" x14ac:dyDescent="0.3">
      <c r="A2001" s="1" t="s">
        <v>2545</v>
      </c>
      <c r="B2001" s="1" t="s">
        <v>2546</v>
      </c>
      <c r="C2001" s="1" t="s">
        <v>4955</v>
      </c>
      <c r="D2001" s="1">
        <v>2019</v>
      </c>
      <c r="E2001" s="1" t="str">
        <f t="shared" si="7"/>
        <v>XVNEW XV 4X4 2.0I AUT2019</v>
      </c>
      <c r="F2001" s="1" t="s">
        <v>1617</v>
      </c>
      <c r="G2001" s="1">
        <v>15192470</v>
      </c>
      <c r="H2001" s="1">
        <v>13000000</v>
      </c>
    </row>
    <row r="2002" spans="1:8" ht="13.5" customHeight="1" x14ac:dyDescent="0.3">
      <c r="A2002" s="1" t="s">
        <v>2545</v>
      </c>
      <c r="B2002" s="1" t="s">
        <v>2546</v>
      </c>
      <c r="C2002" s="1" t="s">
        <v>4955</v>
      </c>
      <c r="D2002" s="1">
        <v>2020</v>
      </c>
      <c r="E2002" s="1" t="str">
        <f t="shared" si="7"/>
        <v>XVNEW XV 4X4 2.0I AUT2020</v>
      </c>
      <c r="F2002" s="1" t="s">
        <v>1812</v>
      </c>
      <c r="G2002" s="1">
        <v>16890000</v>
      </c>
      <c r="H2002" s="1">
        <v>14300000</v>
      </c>
    </row>
    <row r="2003" spans="1:8" ht="13.5" customHeight="1" x14ac:dyDescent="0.3">
      <c r="A2003" s="1" t="s">
        <v>2545</v>
      </c>
      <c r="B2003" s="1" t="s">
        <v>2546</v>
      </c>
      <c r="C2003" s="1" t="s">
        <v>4956</v>
      </c>
      <c r="D2003" s="1">
        <v>2018</v>
      </c>
      <c r="E2003" s="1" t="str">
        <f t="shared" si="7"/>
        <v>XVNEW XV AWD 1.6I AUT2018</v>
      </c>
      <c r="F2003" s="1" t="s">
        <v>1101</v>
      </c>
      <c r="G2003" s="1">
        <v>11990000</v>
      </c>
      <c r="H2003" s="1">
        <v>10000000</v>
      </c>
    </row>
    <row r="2004" spans="1:8" ht="13.5" customHeight="1" x14ac:dyDescent="0.3">
      <c r="A2004" s="1" t="s">
        <v>2545</v>
      </c>
      <c r="B2004" s="1" t="s">
        <v>2546</v>
      </c>
      <c r="C2004" s="1" t="s">
        <v>4957</v>
      </c>
      <c r="D2004" s="1">
        <v>2020</v>
      </c>
      <c r="E2004" s="1" t="str">
        <f t="shared" si="7"/>
        <v>XVNEW XV AWD 2.0I AUT2020</v>
      </c>
      <c r="F2004" s="1" t="s">
        <v>1444</v>
      </c>
      <c r="G2004" s="1">
        <v>15890000</v>
      </c>
      <c r="H2004" s="1">
        <v>13500000</v>
      </c>
    </row>
    <row r="2005" spans="1:8" ht="13.5" customHeight="1" x14ac:dyDescent="0.3">
      <c r="A2005" s="1" t="s">
        <v>2545</v>
      </c>
      <c r="B2005" s="1" t="s">
        <v>2546</v>
      </c>
      <c r="C2005" s="1" t="s">
        <v>4958</v>
      </c>
      <c r="D2005" s="1">
        <v>2019</v>
      </c>
      <c r="E2005" s="1" t="str">
        <f t="shared" si="7"/>
        <v>XVNEW XV AWD CVT 2.0I2019</v>
      </c>
      <c r="F2005" s="1" t="s">
        <v>1041</v>
      </c>
      <c r="G2005" s="1">
        <v>12990000</v>
      </c>
      <c r="H2005" s="1">
        <v>11200000</v>
      </c>
    </row>
    <row r="2006" spans="1:8" ht="13.5" customHeight="1" x14ac:dyDescent="0.3">
      <c r="A2006" s="1" t="s">
        <v>2545</v>
      </c>
      <c r="B2006" s="1" t="s">
        <v>2546</v>
      </c>
      <c r="C2006" s="1" t="s">
        <v>4959</v>
      </c>
      <c r="D2006" s="1">
        <v>2015</v>
      </c>
      <c r="E2006" s="1" t="str">
        <f t="shared" si="7"/>
        <v>XVXV AWD 1.6I2015</v>
      </c>
      <c r="F2006" s="1" t="s">
        <v>1270</v>
      </c>
      <c r="G2006" s="1">
        <v>8658150</v>
      </c>
      <c r="H2006" s="1">
        <v>6600000</v>
      </c>
    </row>
    <row r="2007" spans="1:8" ht="13.5" customHeight="1" x14ac:dyDescent="0.3">
      <c r="A2007" s="1" t="s">
        <v>2545</v>
      </c>
      <c r="B2007" s="1" t="s">
        <v>2546</v>
      </c>
      <c r="C2007" s="1" t="s">
        <v>4960</v>
      </c>
      <c r="D2007" s="1">
        <v>2018</v>
      </c>
      <c r="E2007" s="1" t="str">
        <f t="shared" si="7"/>
        <v>XVXV AWD CVT 2.02018</v>
      </c>
      <c r="F2007" s="1" t="s">
        <v>695</v>
      </c>
      <c r="G2007" s="1">
        <v>13590000</v>
      </c>
      <c r="H2007" s="1">
        <v>11500000</v>
      </c>
    </row>
    <row r="2008" spans="1:8" ht="13.5" customHeight="1" x14ac:dyDescent="0.3">
      <c r="A2008" s="1" t="s">
        <v>2545</v>
      </c>
      <c r="B2008" s="1" t="s">
        <v>2546</v>
      </c>
      <c r="C2008" s="1" t="s">
        <v>4961</v>
      </c>
      <c r="D2008" s="1">
        <v>2021</v>
      </c>
      <c r="E2008" s="1" t="str">
        <f t="shared" si="7"/>
        <v>XVXV CVT 2.0 AUT2021</v>
      </c>
      <c r="F2008" s="1" t="s">
        <v>484</v>
      </c>
      <c r="G2008" s="1">
        <v>16990000</v>
      </c>
      <c r="H2008" s="1">
        <v>14000000</v>
      </c>
    </row>
    <row r="2009" spans="1:8" ht="13.5" customHeight="1" x14ac:dyDescent="0.3">
      <c r="A2009" s="1" t="s">
        <v>2545</v>
      </c>
      <c r="B2009" s="1" t="s">
        <v>2546</v>
      </c>
      <c r="C2009" s="1" t="s">
        <v>4961</v>
      </c>
      <c r="D2009" s="1">
        <v>2021</v>
      </c>
      <c r="E2009" s="1" t="str">
        <f t="shared" si="7"/>
        <v>XVXV CVT 2.0 AUT2021</v>
      </c>
      <c r="F2009" s="1" t="s">
        <v>1918</v>
      </c>
      <c r="G2009" s="1">
        <v>21000000</v>
      </c>
      <c r="H2009" s="1">
        <v>18000000</v>
      </c>
    </row>
    <row r="2010" spans="1:8" ht="13.5" customHeight="1" x14ac:dyDescent="0.3">
      <c r="A2010" s="1" t="s">
        <v>2545</v>
      </c>
      <c r="B2010" s="1" t="s">
        <v>2546</v>
      </c>
      <c r="C2010" s="1" t="s">
        <v>4961</v>
      </c>
      <c r="D2010" s="1">
        <v>2021</v>
      </c>
      <c r="E2010" s="1" t="str">
        <f t="shared" si="7"/>
        <v>XVXV CVT 2.0 AUT2021</v>
      </c>
      <c r="F2010" s="1" t="s">
        <v>750</v>
      </c>
      <c r="G2010" s="1">
        <v>15674120</v>
      </c>
      <c r="H2010" s="1">
        <v>13400000</v>
      </c>
    </row>
    <row r="2011" spans="1:8" ht="13.5" customHeight="1" x14ac:dyDescent="0.3">
      <c r="A2011" s="1" t="s">
        <v>2545</v>
      </c>
      <c r="B2011" s="1" t="s">
        <v>2546</v>
      </c>
      <c r="C2011" s="1" t="s">
        <v>4961</v>
      </c>
      <c r="D2011" s="1">
        <v>2021</v>
      </c>
      <c r="E2011" s="1" t="str">
        <f t="shared" si="7"/>
        <v>XVXV CVT 2.0 AUT2021</v>
      </c>
      <c r="F2011" s="1" t="s">
        <v>1210</v>
      </c>
      <c r="G2011" s="1">
        <v>18790000</v>
      </c>
      <c r="H2011" s="1">
        <v>16000000</v>
      </c>
    </row>
    <row r="2012" spans="1:8" ht="13.5" customHeight="1" x14ac:dyDescent="0.3">
      <c r="A2012" s="1" t="s">
        <v>2545</v>
      </c>
      <c r="B2012" s="1" t="s">
        <v>2546</v>
      </c>
      <c r="C2012" s="1" t="s">
        <v>4961</v>
      </c>
      <c r="D2012" s="1">
        <v>2022</v>
      </c>
      <c r="E2012" s="1" t="str">
        <f t="shared" si="7"/>
        <v>XVXV CVT 2.0 AUT2022</v>
      </c>
      <c r="F2012" s="1" t="s">
        <v>1514</v>
      </c>
      <c r="G2012" s="1">
        <v>18190000</v>
      </c>
      <c r="H2012" s="1">
        <v>15500000</v>
      </c>
    </row>
    <row r="2013" spans="1:8" ht="13.5" customHeight="1" x14ac:dyDescent="0.3">
      <c r="A2013" s="1" t="s">
        <v>2545</v>
      </c>
      <c r="B2013" s="1" t="s">
        <v>2546</v>
      </c>
      <c r="C2013" s="1" t="s">
        <v>4961</v>
      </c>
      <c r="D2013" s="1">
        <v>2022</v>
      </c>
      <c r="E2013" s="1" t="str">
        <f t="shared" si="7"/>
        <v>XVXV CVT 2.0 AUT2022</v>
      </c>
      <c r="F2013" s="1" t="s">
        <v>656</v>
      </c>
      <c r="G2013" s="1">
        <v>37980000</v>
      </c>
      <c r="H2013" s="1">
        <v>33000000</v>
      </c>
    </row>
    <row r="2014" spans="1:8" ht="13.5" customHeight="1" x14ac:dyDescent="0.3">
      <c r="A2014" s="1" t="s">
        <v>2545</v>
      </c>
      <c r="B2014" s="1" t="s">
        <v>2546</v>
      </c>
      <c r="C2014" s="1" t="s">
        <v>4961</v>
      </c>
      <c r="D2014" s="1">
        <v>2023</v>
      </c>
      <c r="E2014" s="1" t="str">
        <f t="shared" si="7"/>
        <v>XVXV CVT 2.0 AUT2023</v>
      </c>
      <c r="F2014" s="1" t="s">
        <v>499</v>
      </c>
      <c r="G2014" s="1">
        <v>17990000</v>
      </c>
      <c r="H2014" s="1">
        <v>16000000</v>
      </c>
    </row>
    <row r="2015" spans="1:8" ht="13.5" customHeight="1" x14ac:dyDescent="0.3">
      <c r="A2015" s="1" t="s">
        <v>2545</v>
      </c>
      <c r="B2015" s="1" t="s">
        <v>2546</v>
      </c>
      <c r="C2015" s="1" t="s">
        <v>4961</v>
      </c>
      <c r="D2015" s="1">
        <v>2023</v>
      </c>
      <c r="E2015" s="1" t="str">
        <f t="shared" si="7"/>
        <v>XVXV CVT 2.0 AUT2023</v>
      </c>
      <c r="F2015" s="1" t="s">
        <v>498</v>
      </c>
      <c r="G2015" s="1">
        <v>18890000</v>
      </c>
      <c r="H2015" s="1">
        <v>16150000</v>
      </c>
    </row>
    <row r="2016" spans="1:8" ht="13.5" customHeight="1" x14ac:dyDescent="0.3">
      <c r="A2016" s="1" t="s">
        <v>2545</v>
      </c>
      <c r="B2016" s="1" t="s">
        <v>2546</v>
      </c>
      <c r="C2016" s="1" t="s">
        <v>4962</v>
      </c>
      <c r="D2016" s="1">
        <v>2017</v>
      </c>
      <c r="E2016" s="1" t="str">
        <f t="shared" si="7"/>
        <v>XVXV DYNAMIC AWD 2.0I AUT2017</v>
      </c>
      <c r="F2016" s="1" t="s">
        <v>4963</v>
      </c>
      <c r="G2016" s="1">
        <v>12990000</v>
      </c>
      <c r="H2016" s="1">
        <v>17092020</v>
      </c>
    </row>
    <row r="2017" spans="1:8" ht="13.5" customHeight="1" x14ac:dyDescent="0.3">
      <c r="A2017" s="1" t="s">
        <v>300</v>
      </c>
      <c r="B2017" s="1" t="s">
        <v>2735</v>
      </c>
      <c r="C2017" s="1" t="s">
        <v>4964</v>
      </c>
      <c r="D2017" s="1">
        <v>2024</v>
      </c>
      <c r="E2017" s="1" t="str">
        <f t="shared" si="7"/>
        <v>ALTOALTO 4X2 1.02024</v>
      </c>
      <c r="F2017" s="1" t="s">
        <v>352</v>
      </c>
      <c r="G2017" s="1">
        <v>7390000</v>
      </c>
      <c r="H2017" s="1">
        <v>6200000</v>
      </c>
    </row>
    <row r="2018" spans="1:8" ht="13.5" customHeight="1" x14ac:dyDescent="0.3">
      <c r="A2018" s="1" t="s">
        <v>300</v>
      </c>
      <c r="B2018" s="1" t="s">
        <v>2735</v>
      </c>
      <c r="C2018" s="1" t="s">
        <v>4965</v>
      </c>
      <c r="D2018" s="1">
        <v>2020</v>
      </c>
      <c r="E2018" s="1" t="str">
        <f t="shared" si="7"/>
        <v>ALTOALTO 8002020</v>
      </c>
      <c r="F2018" s="1" t="s">
        <v>985</v>
      </c>
      <c r="G2018" s="1">
        <v>4790000</v>
      </c>
      <c r="H2018" s="1">
        <v>3350000</v>
      </c>
    </row>
    <row r="2019" spans="1:8" ht="13.5" customHeight="1" x14ac:dyDescent="0.3">
      <c r="A2019" s="1" t="s">
        <v>300</v>
      </c>
      <c r="B2019" s="1" t="s">
        <v>2735</v>
      </c>
      <c r="C2019" s="1" t="s">
        <v>4966</v>
      </c>
      <c r="D2019" s="1">
        <v>2017</v>
      </c>
      <c r="E2019" s="1" t="str">
        <f t="shared" si="7"/>
        <v>ALTOALTO DLX HB 800CC2017</v>
      </c>
      <c r="F2019" s="1" t="s">
        <v>1930</v>
      </c>
      <c r="G2019" s="1">
        <v>4890000</v>
      </c>
      <c r="H2019" s="1">
        <v>3500000</v>
      </c>
    </row>
    <row r="2020" spans="1:8" ht="13.5" customHeight="1" x14ac:dyDescent="0.3">
      <c r="A2020" s="1" t="s">
        <v>300</v>
      </c>
      <c r="B2020" s="1" t="s">
        <v>2735</v>
      </c>
      <c r="C2020" s="1" t="s">
        <v>4966</v>
      </c>
      <c r="D2020" s="1">
        <v>2018</v>
      </c>
      <c r="E2020" s="1" t="str">
        <f t="shared" si="7"/>
        <v>ALTOALTO DLX HB 800CC2018</v>
      </c>
      <c r="F2020" s="1" t="s">
        <v>1109</v>
      </c>
      <c r="G2020" s="1">
        <v>3990000</v>
      </c>
      <c r="H2020" s="1">
        <v>3000000</v>
      </c>
    </row>
    <row r="2021" spans="1:8" ht="13.5" customHeight="1" x14ac:dyDescent="0.3">
      <c r="A2021" s="1" t="s">
        <v>300</v>
      </c>
      <c r="B2021" s="1" t="s">
        <v>2735</v>
      </c>
      <c r="C2021" s="1" t="s">
        <v>4967</v>
      </c>
      <c r="D2021" s="1">
        <v>2022</v>
      </c>
      <c r="E2021" s="1" t="str">
        <f t="shared" si="7"/>
        <v>ALTOALTO GL 800 CC2022</v>
      </c>
      <c r="F2021" s="1" t="s">
        <v>439</v>
      </c>
      <c r="G2021" s="1">
        <v>5250000</v>
      </c>
      <c r="H2021" s="1">
        <v>4450000</v>
      </c>
    </row>
    <row r="2022" spans="1:8" ht="13.5" customHeight="1" x14ac:dyDescent="0.3">
      <c r="A2022" s="1" t="s">
        <v>300</v>
      </c>
      <c r="B2022" s="1" t="s">
        <v>2735</v>
      </c>
      <c r="C2022" s="1" t="s">
        <v>4968</v>
      </c>
      <c r="D2022" s="1">
        <v>2017</v>
      </c>
      <c r="E2022" s="1" t="str">
        <f t="shared" si="7"/>
        <v>ALTOALTO GL HB 800CC2017</v>
      </c>
      <c r="F2022" s="1" t="s">
        <v>1883</v>
      </c>
      <c r="G2022" s="1">
        <v>4490000</v>
      </c>
      <c r="H2022" s="1">
        <v>3599159</v>
      </c>
    </row>
    <row r="2023" spans="1:8" ht="13.5" customHeight="1" x14ac:dyDescent="0.3">
      <c r="A2023" s="1" t="s">
        <v>300</v>
      </c>
      <c r="B2023" s="1" t="s">
        <v>2735</v>
      </c>
      <c r="C2023" s="1" t="s">
        <v>4968</v>
      </c>
      <c r="D2023" s="1">
        <v>2019</v>
      </c>
      <c r="E2023" s="1" t="str">
        <f t="shared" si="7"/>
        <v>ALTOALTO GL HB 800CC2019</v>
      </c>
      <c r="F2023" s="1" t="s">
        <v>881</v>
      </c>
      <c r="G2023" s="1">
        <v>4390000</v>
      </c>
      <c r="H2023" s="1">
        <v>3000000</v>
      </c>
    </row>
    <row r="2024" spans="1:8" ht="13.5" customHeight="1" x14ac:dyDescent="0.3">
      <c r="A2024" s="1" t="s">
        <v>300</v>
      </c>
      <c r="B2024" s="1" t="s">
        <v>2735</v>
      </c>
      <c r="C2024" s="1" t="s">
        <v>4969</v>
      </c>
      <c r="D2024" s="1">
        <v>2020</v>
      </c>
      <c r="E2024" s="1" t="str">
        <f t="shared" si="7"/>
        <v>ALTOALTO GLX HB 800 CC2020</v>
      </c>
      <c r="F2024" s="1" t="s">
        <v>1912</v>
      </c>
      <c r="G2024" s="1">
        <v>9700000</v>
      </c>
      <c r="H2024" s="1">
        <v>7804162</v>
      </c>
    </row>
    <row r="2025" spans="1:8" ht="13.5" customHeight="1" x14ac:dyDescent="0.3">
      <c r="A2025" s="1" t="s">
        <v>300</v>
      </c>
      <c r="B2025" s="1" t="s">
        <v>2653</v>
      </c>
      <c r="C2025" s="1" t="s">
        <v>4970</v>
      </c>
      <c r="D2025" s="1">
        <v>2025</v>
      </c>
      <c r="E2025" s="1" t="str">
        <f t="shared" si="7"/>
        <v>BALENOBALENO 4X2 1.5 AUT2025</v>
      </c>
      <c r="F2025" s="1" t="s">
        <v>910</v>
      </c>
      <c r="G2025" s="1">
        <v>13490000</v>
      </c>
      <c r="H2025" s="1">
        <v>12300000</v>
      </c>
    </row>
    <row r="2026" spans="1:8" ht="13.5" customHeight="1" x14ac:dyDescent="0.3">
      <c r="A2026" s="1" t="s">
        <v>300</v>
      </c>
      <c r="B2026" s="1" t="s">
        <v>2653</v>
      </c>
      <c r="C2026" s="1" t="s">
        <v>4971</v>
      </c>
      <c r="D2026" s="1">
        <v>2022</v>
      </c>
      <c r="E2026" s="1" t="str">
        <f t="shared" si="7"/>
        <v>BALENOBALENO GLS 1.4 AUT2022</v>
      </c>
      <c r="F2026" s="1" t="s">
        <v>1211</v>
      </c>
      <c r="G2026" s="1">
        <v>9990000</v>
      </c>
      <c r="H2026" s="1">
        <v>8500000</v>
      </c>
    </row>
    <row r="2027" spans="1:8" ht="13.5" customHeight="1" x14ac:dyDescent="0.3">
      <c r="A2027" s="1" t="s">
        <v>300</v>
      </c>
      <c r="B2027" s="1" t="s">
        <v>2653</v>
      </c>
      <c r="C2027" s="1" t="s">
        <v>4972</v>
      </c>
      <c r="D2027" s="1">
        <v>2017</v>
      </c>
      <c r="E2027" s="1" t="str">
        <f t="shared" si="7"/>
        <v>BALENOBALENO GLS HB 1.42017</v>
      </c>
      <c r="F2027" s="1" t="s">
        <v>1412</v>
      </c>
      <c r="G2027" s="1">
        <v>7490000</v>
      </c>
      <c r="H2027" s="1">
        <v>5600000</v>
      </c>
    </row>
    <row r="2028" spans="1:8" ht="13.5" customHeight="1" x14ac:dyDescent="0.3">
      <c r="A2028" s="1" t="s">
        <v>300</v>
      </c>
      <c r="B2028" s="1" t="s">
        <v>2653</v>
      </c>
      <c r="C2028" s="1" t="s">
        <v>4972</v>
      </c>
      <c r="D2028" s="1">
        <v>2019</v>
      </c>
      <c r="E2028" s="1" t="str">
        <f t="shared" si="7"/>
        <v>BALENOBALENO GLS HB 1.42019</v>
      </c>
      <c r="F2028" s="1" t="s">
        <v>2140</v>
      </c>
      <c r="G2028" s="1">
        <v>8990000</v>
      </c>
      <c r="H2028" s="1">
        <v>7000000</v>
      </c>
    </row>
    <row r="2029" spans="1:8" ht="13.5" customHeight="1" x14ac:dyDescent="0.3">
      <c r="A2029" s="1" t="s">
        <v>300</v>
      </c>
      <c r="B2029" s="1" t="s">
        <v>2653</v>
      </c>
      <c r="C2029" s="1" t="s">
        <v>4972</v>
      </c>
      <c r="D2029" s="1">
        <v>2022</v>
      </c>
      <c r="E2029" s="1" t="str">
        <f t="shared" si="7"/>
        <v>BALENOBALENO GLS HB 1.42022</v>
      </c>
      <c r="F2029" s="1" t="s">
        <v>2311</v>
      </c>
      <c r="G2029" s="1">
        <v>9790000</v>
      </c>
      <c r="H2029" s="1">
        <v>8500000</v>
      </c>
    </row>
    <row r="2030" spans="1:8" ht="13.5" customHeight="1" x14ac:dyDescent="0.3">
      <c r="A2030" s="1" t="s">
        <v>300</v>
      </c>
      <c r="B2030" s="1" t="s">
        <v>2653</v>
      </c>
      <c r="C2030" s="1" t="s">
        <v>4973</v>
      </c>
      <c r="D2030" s="1">
        <v>2021</v>
      </c>
      <c r="E2030" s="1" t="str">
        <f t="shared" si="7"/>
        <v>BALENOBALENO GLS HB 1.4 AUT2021</v>
      </c>
      <c r="F2030" s="1" t="s">
        <v>1924</v>
      </c>
      <c r="G2030" s="1">
        <v>8790000</v>
      </c>
      <c r="H2030" s="1">
        <v>8160504</v>
      </c>
    </row>
    <row r="2031" spans="1:8" ht="13.5" customHeight="1" x14ac:dyDescent="0.3">
      <c r="A2031" s="1" t="s">
        <v>300</v>
      </c>
      <c r="B2031" s="1" t="s">
        <v>2653</v>
      </c>
      <c r="C2031" s="1" t="s">
        <v>4974</v>
      </c>
      <c r="D2031" s="1">
        <v>2018</v>
      </c>
      <c r="E2031" s="1" t="str">
        <f t="shared" si="7"/>
        <v>BALENOBALENO GLX HB 1.42018</v>
      </c>
      <c r="F2031" s="1" t="s">
        <v>2235</v>
      </c>
      <c r="G2031" s="1">
        <v>7690000</v>
      </c>
      <c r="H2031" s="1">
        <v>6200000</v>
      </c>
    </row>
    <row r="2032" spans="1:8" ht="13.5" customHeight="1" x14ac:dyDescent="0.3">
      <c r="A2032" s="1" t="s">
        <v>300</v>
      </c>
      <c r="B2032" s="1" t="s">
        <v>2653</v>
      </c>
      <c r="C2032" s="1" t="s">
        <v>4974</v>
      </c>
      <c r="D2032" s="1">
        <v>2020</v>
      </c>
      <c r="E2032" s="1" t="str">
        <f t="shared" si="7"/>
        <v>BALENOBALENO GLX HB 1.42020</v>
      </c>
      <c r="F2032" s="1" t="s">
        <v>2025</v>
      </c>
      <c r="G2032" s="1">
        <v>9000000</v>
      </c>
      <c r="H2032" s="1">
        <v>7200000</v>
      </c>
    </row>
    <row r="2033" spans="1:8" ht="13.5" customHeight="1" x14ac:dyDescent="0.3">
      <c r="A2033" s="1" t="s">
        <v>300</v>
      </c>
      <c r="B2033" s="1" t="s">
        <v>2653</v>
      </c>
      <c r="C2033" s="1" t="s">
        <v>4974</v>
      </c>
      <c r="D2033" s="1">
        <v>2020</v>
      </c>
      <c r="E2033" s="1" t="str">
        <f t="shared" si="7"/>
        <v>BALENOBALENO GLX HB 1.42020</v>
      </c>
      <c r="F2033" s="1" t="s">
        <v>816</v>
      </c>
      <c r="G2033" s="1">
        <v>8990000</v>
      </c>
      <c r="H2033" s="1">
        <v>7300000</v>
      </c>
    </row>
    <row r="2034" spans="1:8" ht="13.5" customHeight="1" x14ac:dyDescent="0.3">
      <c r="A2034" s="1" t="s">
        <v>300</v>
      </c>
      <c r="B2034" s="1" t="s">
        <v>2653</v>
      </c>
      <c r="C2034" s="1" t="s">
        <v>4975</v>
      </c>
      <c r="D2034" s="1">
        <v>2022</v>
      </c>
      <c r="E2034" s="1" t="str">
        <f t="shared" si="7"/>
        <v>BALENOBALENO HB 1.42022</v>
      </c>
      <c r="F2034" s="1" t="s">
        <v>908</v>
      </c>
      <c r="G2034" s="1">
        <v>8690000</v>
      </c>
      <c r="H2034" s="1">
        <v>6600000</v>
      </c>
    </row>
    <row r="2035" spans="1:8" ht="13.5" customHeight="1" x14ac:dyDescent="0.3">
      <c r="A2035" s="1" t="s">
        <v>300</v>
      </c>
      <c r="B2035" s="1" t="s">
        <v>2653</v>
      </c>
      <c r="C2035" s="1" t="s">
        <v>4976</v>
      </c>
      <c r="D2035" s="1">
        <v>2023</v>
      </c>
      <c r="E2035" s="1" t="str">
        <f t="shared" si="7"/>
        <v>BALENONEW BALENO GLX 1.52023</v>
      </c>
      <c r="F2035" s="1" t="s">
        <v>823</v>
      </c>
      <c r="G2035" s="1">
        <v>12190000</v>
      </c>
      <c r="H2035" s="1">
        <v>10200000</v>
      </c>
    </row>
    <row r="2036" spans="1:8" ht="13.5" customHeight="1" x14ac:dyDescent="0.3">
      <c r="A2036" s="1" t="s">
        <v>300</v>
      </c>
      <c r="B2036" s="1" t="s">
        <v>2653</v>
      </c>
      <c r="C2036" s="1" t="s">
        <v>4977</v>
      </c>
      <c r="D2036" s="1">
        <v>2024</v>
      </c>
      <c r="E2036" s="1" t="str">
        <f t="shared" si="7"/>
        <v>BALENONEW BALENO GLX HB 1.52024</v>
      </c>
      <c r="F2036" s="1" t="s">
        <v>1340</v>
      </c>
      <c r="G2036" s="1">
        <v>12719120</v>
      </c>
      <c r="H2036" s="1">
        <v>10800000</v>
      </c>
    </row>
    <row r="2037" spans="1:8" ht="13.5" customHeight="1" x14ac:dyDescent="0.3">
      <c r="A2037" s="1" t="s">
        <v>300</v>
      </c>
      <c r="B2037" s="1" t="s">
        <v>3142</v>
      </c>
      <c r="C2037" s="1" t="s">
        <v>4978</v>
      </c>
      <c r="D2037" s="1">
        <v>2018</v>
      </c>
      <c r="E2037" s="1" t="str">
        <f t="shared" si="7"/>
        <v>CELERIOCELERIO GA HB 1.02018</v>
      </c>
      <c r="F2037" s="1" t="s">
        <v>876</v>
      </c>
      <c r="G2037" s="1">
        <v>5990000</v>
      </c>
      <c r="H2037" s="1">
        <v>4800000</v>
      </c>
    </row>
    <row r="2038" spans="1:8" ht="13.5" customHeight="1" x14ac:dyDescent="0.3">
      <c r="A2038" s="1" t="s">
        <v>300</v>
      </c>
      <c r="B2038" s="1" t="s">
        <v>3142</v>
      </c>
      <c r="C2038" s="1" t="s">
        <v>4978</v>
      </c>
      <c r="D2038" s="1">
        <v>2019</v>
      </c>
      <c r="E2038" s="1" t="str">
        <f t="shared" si="7"/>
        <v>CELERIOCELERIO GA HB 1.02019</v>
      </c>
      <c r="F2038" s="1" t="s">
        <v>1859</v>
      </c>
      <c r="G2038" s="1">
        <v>6390000</v>
      </c>
      <c r="H2038" s="1">
        <v>4400000</v>
      </c>
    </row>
    <row r="2039" spans="1:8" ht="13.5" customHeight="1" x14ac:dyDescent="0.3">
      <c r="A2039" s="1" t="s">
        <v>300</v>
      </c>
      <c r="B2039" s="1" t="s">
        <v>3142</v>
      </c>
      <c r="C2039" s="1" t="s">
        <v>4979</v>
      </c>
      <c r="D2039" s="1">
        <v>2016</v>
      </c>
      <c r="E2039" s="1" t="str">
        <f t="shared" si="7"/>
        <v>CELERIOCELERIO GLX HB 1.02016</v>
      </c>
      <c r="F2039" s="1" t="s">
        <v>2293</v>
      </c>
      <c r="G2039" s="1">
        <v>7500000</v>
      </c>
      <c r="H2039" s="1">
        <v>6000000</v>
      </c>
    </row>
    <row r="2040" spans="1:8" ht="13.5" customHeight="1" x14ac:dyDescent="0.3">
      <c r="A2040" s="1" t="s">
        <v>300</v>
      </c>
      <c r="B2040" s="1" t="s">
        <v>3142</v>
      </c>
      <c r="C2040" s="1" t="s">
        <v>4980</v>
      </c>
      <c r="D2040" s="1">
        <v>2022</v>
      </c>
      <c r="E2040" s="1" t="str">
        <f t="shared" si="7"/>
        <v>CELERIOCELERIO HB MT 1.02022</v>
      </c>
      <c r="F2040" s="1" t="s">
        <v>1424</v>
      </c>
      <c r="G2040" s="1">
        <v>6990000</v>
      </c>
      <c r="H2040" s="1">
        <v>5800000</v>
      </c>
    </row>
    <row r="2041" spans="1:8" ht="13.5" customHeight="1" x14ac:dyDescent="0.3">
      <c r="A2041" s="1" t="s">
        <v>300</v>
      </c>
      <c r="B2041" s="1" t="s">
        <v>3142</v>
      </c>
      <c r="C2041" s="1" t="s">
        <v>4980</v>
      </c>
      <c r="D2041" s="1">
        <v>2022</v>
      </c>
      <c r="E2041" s="1" t="str">
        <f t="shared" si="7"/>
        <v>CELERIOCELERIO HB MT 1.02022</v>
      </c>
      <c r="F2041" s="1" t="s">
        <v>709</v>
      </c>
      <c r="G2041" s="1">
        <v>7490000</v>
      </c>
      <c r="H2041" s="1">
        <v>6000000</v>
      </c>
    </row>
    <row r="2042" spans="1:8" ht="13.5" customHeight="1" x14ac:dyDescent="0.3">
      <c r="A2042" s="1" t="s">
        <v>300</v>
      </c>
      <c r="B2042" s="1" t="s">
        <v>3571</v>
      </c>
      <c r="C2042" s="1" t="s">
        <v>4981</v>
      </c>
      <c r="D2042" s="1">
        <v>2018</v>
      </c>
      <c r="E2042" s="1" t="str">
        <f t="shared" si="7"/>
        <v>DZIREDZIRE GL 1.22018</v>
      </c>
      <c r="F2042" s="1" t="s">
        <v>1766</v>
      </c>
      <c r="G2042" s="1">
        <v>6490000</v>
      </c>
      <c r="H2042" s="1">
        <v>5115966</v>
      </c>
    </row>
    <row r="2043" spans="1:8" ht="13.5" customHeight="1" x14ac:dyDescent="0.3">
      <c r="A2043" s="1" t="s">
        <v>300</v>
      </c>
      <c r="B2043" s="1" t="s">
        <v>3571</v>
      </c>
      <c r="C2043" s="1" t="s">
        <v>4981</v>
      </c>
      <c r="D2043" s="1">
        <v>2022</v>
      </c>
      <c r="E2043" s="1" t="str">
        <f t="shared" ref="E2043:E2183" si="8">CONCATENATE(B2043,C2043,D2043)</f>
        <v>DZIREDZIRE GL 1.22022</v>
      </c>
      <c r="F2043" s="1" t="s">
        <v>1694</v>
      </c>
      <c r="G2043" s="1">
        <v>8190000</v>
      </c>
      <c r="H2043" s="1">
        <v>6500000</v>
      </c>
    </row>
    <row r="2044" spans="1:8" ht="13.5" customHeight="1" x14ac:dyDescent="0.3">
      <c r="A2044" s="1" t="s">
        <v>300</v>
      </c>
      <c r="B2044" s="1" t="s">
        <v>3571</v>
      </c>
      <c r="C2044" s="1" t="s">
        <v>4982</v>
      </c>
      <c r="D2044" s="1">
        <v>2023</v>
      </c>
      <c r="E2044" s="1" t="str">
        <f t="shared" si="8"/>
        <v>DZIREDZIRE SEDAN 1.22023</v>
      </c>
      <c r="F2044" s="1" t="s">
        <v>1377</v>
      </c>
      <c r="G2044" s="1">
        <v>8490000</v>
      </c>
      <c r="H2044" s="1">
        <v>7000000</v>
      </c>
    </row>
    <row r="2045" spans="1:8" ht="13.5" customHeight="1" x14ac:dyDescent="0.3">
      <c r="A2045" s="1" t="s">
        <v>300</v>
      </c>
      <c r="B2045" s="1" t="s">
        <v>4983</v>
      </c>
      <c r="C2045" s="1" t="s">
        <v>4984</v>
      </c>
      <c r="D2045" s="1">
        <v>2016</v>
      </c>
      <c r="E2045" s="1" t="str">
        <f t="shared" si="8"/>
        <v>ERTIGAERTIGA GLS 1.42016</v>
      </c>
      <c r="F2045" s="1" t="s">
        <v>869</v>
      </c>
      <c r="G2045" s="1">
        <v>7098060</v>
      </c>
      <c r="H2045" s="1">
        <v>5900000</v>
      </c>
    </row>
    <row r="2046" spans="1:8" ht="13.5" customHeight="1" x14ac:dyDescent="0.3">
      <c r="A2046" s="1" t="s">
        <v>300</v>
      </c>
      <c r="B2046" s="1" t="s">
        <v>301</v>
      </c>
      <c r="C2046" s="1" t="s">
        <v>4985</v>
      </c>
      <c r="D2046" s="1">
        <v>2019</v>
      </c>
      <c r="E2046" s="1" t="str">
        <f t="shared" si="8"/>
        <v>GRAND NOMADEGRAND NOMADE GLX  2.42019</v>
      </c>
      <c r="F2046" s="1" t="s">
        <v>2465</v>
      </c>
      <c r="G2046" s="1">
        <v>12890000</v>
      </c>
      <c r="H2046" s="1">
        <v>13800000</v>
      </c>
    </row>
    <row r="2047" spans="1:8" ht="13.5" customHeight="1" x14ac:dyDescent="0.3">
      <c r="A2047" s="1" t="s">
        <v>300</v>
      </c>
      <c r="B2047" s="1" t="s">
        <v>301</v>
      </c>
      <c r="C2047" s="1" t="s">
        <v>4986</v>
      </c>
      <c r="D2047" s="1">
        <v>2017</v>
      </c>
      <c r="E2047" s="1" t="str">
        <f t="shared" si="8"/>
        <v>GRAND NOMADEGRAND NOMADE GLX 4X4 2.42017</v>
      </c>
      <c r="F2047" s="1" t="s">
        <v>1904</v>
      </c>
      <c r="G2047" s="1">
        <v>10490000</v>
      </c>
      <c r="H2047" s="1">
        <v>7700000</v>
      </c>
    </row>
    <row r="2048" spans="1:8" ht="13.5" customHeight="1" x14ac:dyDescent="0.3">
      <c r="A2048" s="1" t="s">
        <v>300</v>
      </c>
      <c r="B2048" s="1" t="s">
        <v>4987</v>
      </c>
      <c r="C2048" s="1" t="s">
        <v>4988</v>
      </c>
      <c r="D2048" s="1">
        <v>2017</v>
      </c>
      <c r="E2048" s="1" t="str">
        <f t="shared" si="8"/>
        <v>IGNISIGNIS GL HB 1.22017</v>
      </c>
      <c r="F2048" s="1" t="s">
        <v>2277</v>
      </c>
      <c r="G2048" s="1">
        <v>5900000</v>
      </c>
      <c r="H2048" s="1">
        <v>5100000</v>
      </c>
    </row>
    <row r="2049" spans="1:8" ht="13.5" customHeight="1" x14ac:dyDescent="0.3">
      <c r="A2049" s="1" t="s">
        <v>300</v>
      </c>
      <c r="B2049" s="1" t="s">
        <v>4987</v>
      </c>
      <c r="C2049" s="1" t="s">
        <v>4988</v>
      </c>
      <c r="D2049" s="1">
        <v>2020</v>
      </c>
      <c r="E2049" s="1" t="str">
        <f t="shared" si="8"/>
        <v>IGNISIGNIS GL HB 1.22020</v>
      </c>
      <c r="F2049" s="1" t="s">
        <v>601</v>
      </c>
      <c r="G2049" s="1">
        <v>7104620</v>
      </c>
      <c r="H2049" s="1">
        <v>5850000</v>
      </c>
    </row>
    <row r="2050" spans="1:8" ht="13.5" customHeight="1" x14ac:dyDescent="0.3">
      <c r="A2050" s="1" t="s">
        <v>300</v>
      </c>
      <c r="B2050" s="1" t="s">
        <v>303</v>
      </c>
      <c r="C2050" s="1" t="s">
        <v>304</v>
      </c>
      <c r="D2050" s="1">
        <v>2022</v>
      </c>
      <c r="E2050" s="1" t="str">
        <f t="shared" si="8"/>
        <v>JIMNYJIMNY 4X4 OTTO 1.52022</v>
      </c>
      <c r="F2050" s="1" t="s">
        <v>329</v>
      </c>
      <c r="G2050" s="1">
        <v>13490000</v>
      </c>
      <c r="H2050" s="1">
        <v>10800000</v>
      </c>
    </row>
    <row r="2051" spans="1:8" ht="13.5" customHeight="1" x14ac:dyDescent="0.3">
      <c r="A2051" s="1" t="s">
        <v>300</v>
      </c>
      <c r="B2051" s="1" t="s">
        <v>303</v>
      </c>
      <c r="C2051" s="1" t="s">
        <v>304</v>
      </c>
      <c r="D2051" s="1">
        <v>2022</v>
      </c>
      <c r="E2051" s="1" t="str">
        <f t="shared" si="8"/>
        <v>JIMNYJIMNY 4X4 OTTO 1.52022</v>
      </c>
      <c r="F2051" s="1" t="s">
        <v>995</v>
      </c>
      <c r="G2051" s="1">
        <v>12358310</v>
      </c>
      <c r="H2051" s="1">
        <v>10000000</v>
      </c>
    </row>
    <row r="2052" spans="1:8" ht="13.5" customHeight="1" x14ac:dyDescent="0.3">
      <c r="A2052" s="1" t="s">
        <v>300</v>
      </c>
      <c r="B2052" s="1" t="s">
        <v>303</v>
      </c>
      <c r="C2052" s="1" t="s">
        <v>304</v>
      </c>
      <c r="D2052" s="1">
        <v>2023</v>
      </c>
      <c r="E2052" s="1" t="str">
        <f t="shared" si="8"/>
        <v>JIMNYJIMNY 4X4 OTTO 1.52023</v>
      </c>
      <c r="F2052" s="1" t="s">
        <v>998</v>
      </c>
      <c r="G2052" s="1">
        <v>12790000</v>
      </c>
      <c r="H2052" s="1">
        <v>10800000</v>
      </c>
    </row>
    <row r="2053" spans="1:8" ht="13.5" customHeight="1" x14ac:dyDescent="0.3">
      <c r="A2053" s="1" t="s">
        <v>300</v>
      </c>
      <c r="B2053" s="1" t="s">
        <v>303</v>
      </c>
      <c r="C2053" s="1" t="s">
        <v>4989</v>
      </c>
      <c r="D2053" s="1">
        <v>2020</v>
      </c>
      <c r="E2053" s="1" t="str">
        <f t="shared" si="8"/>
        <v>JIMNYJIMNY GLX 4X4 1.52020</v>
      </c>
      <c r="F2053" s="1" t="s">
        <v>366</v>
      </c>
      <c r="G2053" s="1">
        <v>12000000</v>
      </c>
      <c r="H2053" s="1">
        <v>10100000</v>
      </c>
    </row>
    <row r="2054" spans="1:8" ht="13.5" customHeight="1" x14ac:dyDescent="0.3">
      <c r="A2054" s="1" t="s">
        <v>300</v>
      </c>
      <c r="B2054" s="1" t="s">
        <v>4990</v>
      </c>
      <c r="C2054" s="1" t="s">
        <v>4991</v>
      </c>
      <c r="D2054" s="1">
        <v>2018</v>
      </c>
      <c r="E2054" s="1" t="str">
        <f t="shared" si="8"/>
        <v>S CROSSS CROSS GL 1.62018</v>
      </c>
      <c r="F2054" s="1" t="s">
        <v>641</v>
      </c>
      <c r="G2054" s="1">
        <v>8690000</v>
      </c>
      <c r="H2054" s="1">
        <v>6900000</v>
      </c>
    </row>
    <row r="2055" spans="1:8" ht="13.5" customHeight="1" x14ac:dyDescent="0.3">
      <c r="A2055" s="1" t="s">
        <v>300</v>
      </c>
      <c r="B2055" s="1" t="s">
        <v>4990</v>
      </c>
      <c r="C2055" s="1" t="s">
        <v>4992</v>
      </c>
      <c r="D2055" s="1">
        <v>2023</v>
      </c>
      <c r="E2055" s="1" t="str">
        <f t="shared" si="8"/>
        <v>S CROSSS CROSS GLX 1.4 AUT2023</v>
      </c>
      <c r="F2055" s="1" t="s">
        <v>1134</v>
      </c>
      <c r="G2055" s="1">
        <v>16000000</v>
      </c>
      <c r="H2055" s="1">
        <v>13800000</v>
      </c>
    </row>
    <row r="2056" spans="1:8" ht="13.5" customHeight="1" x14ac:dyDescent="0.3">
      <c r="A2056" s="1" t="s">
        <v>300</v>
      </c>
      <c r="B2056" s="1" t="s">
        <v>4993</v>
      </c>
      <c r="C2056" s="1" t="s">
        <v>4994</v>
      </c>
      <c r="D2056" s="1">
        <v>2022</v>
      </c>
      <c r="E2056" s="1" t="str">
        <f t="shared" si="8"/>
        <v>SPRESSOS PRESSO HB 1.02022</v>
      </c>
      <c r="F2056" s="1" t="s">
        <v>859</v>
      </c>
      <c r="G2056" s="1">
        <v>6190000</v>
      </c>
      <c r="H2056" s="1">
        <v>4900000</v>
      </c>
    </row>
    <row r="2057" spans="1:8" ht="13.5" customHeight="1" x14ac:dyDescent="0.3">
      <c r="A2057" s="1" t="s">
        <v>300</v>
      </c>
      <c r="B2057" s="1" t="s">
        <v>4993</v>
      </c>
      <c r="C2057" s="1" t="s">
        <v>4995</v>
      </c>
      <c r="D2057" s="1">
        <v>2023</v>
      </c>
      <c r="E2057" s="1" t="str">
        <f t="shared" si="8"/>
        <v>SPRESSOSPRESSO 1.02023</v>
      </c>
      <c r="F2057" s="1" t="s">
        <v>1108</v>
      </c>
      <c r="G2057" s="1">
        <v>7180650</v>
      </c>
      <c r="H2057" s="1">
        <v>6000000</v>
      </c>
    </row>
    <row r="2058" spans="1:8" ht="13.5" customHeight="1" x14ac:dyDescent="0.3">
      <c r="A2058" s="1" t="s">
        <v>300</v>
      </c>
      <c r="B2058" s="1" t="s">
        <v>4993</v>
      </c>
      <c r="C2058" s="1" t="s">
        <v>4996</v>
      </c>
      <c r="D2058" s="1">
        <v>2022</v>
      </c>
      <c r="E2058" s="1" t="str">
        <f t="shared" si="8"/>
        <v>SPRESSOSPRESSO GLX 1.02022</v>
      </c>
      <c r="F2058" s="1" t="s">
        <v>1538</v>
      </c>
      <c r="G2058" s="1">
        <v>5990000</v>
      </c>
      <c r="H2058" s="1">
        <v>4430000</v>
      </c>
    </row>
    <row r="2059" spans="1:8" ht="13.5" customHeight="1" x14ac:dyDescent="0.3">
      <c r="A2059" s="1" t="s">
        <v>300</v>
      </c>
      <c r="B2059" s="1" t="s">
        <v>4993</v>
      </c>
      <c r="C2059" s="1" t="s">
        <v>4996</v>
      </c>
      <c r="D2059" s="1">
        <v>2022</v>
      </c>
      <c r="E2059" s="1" t="str">
        <f t="shared" si="8"/>
        <v>SPRESSOSPRESSO GLX 1.02022</v>
      </c>
      <c r="F2059" s="1" t="s">
        <v>650</v>
      </c>
      <c r="G2059" s="1">
        <v>6190000</v>
      </c>
      <c r="H2059" s="1">
        <v>5000000</v>
      </c>
    </row>
    <row r="2060" spans="1:8" ht="13.5" customHeight="1" x14ac:dyDescent="0.3">
      <c r="A2060" s="1" t="s">
        <v>300</v>
      </c>
      <c r="B2060" s="1" t="s">
        <v>3132</v>
      </c>
      <c r="C2060" s="1" t="s">
        <v>4997</v>
      </c>
      <c r="D2060" s="1">
        <v>2023</v>
      </c>
      <c r="E2060" s="1" t="str">
        <f t="shared" si="8"/>
        <v>SWIFTSWIFT 2WD 1.2 AUT2023</v>
      </c>
      <c r="F2060" s="1" t="s">
        <v>1760</v>
      </c>
      <c r="G2060" s="1">
        <v>9890000</v>
      </c>
      <c r="H2060" s="1">
        <v>8500000</v>
      </c>
    </row>
    <row r="2061" spans="1:8" ht="13.5" customHeight="1" x14ac:dyDescent="0.3">
      <c r="A2061" s="1" t="s">
        <v>300</v>
      </c>
      <c r="B2061" s="1" t="s">
        <v>3132</v>
      </c>
      <c r="C2061" s="1" t="s">
        <v>4997</v>
      </c>
      <c r="D2061" s="1">
        <v>2024</v>
      </c>
      <c r="E2061" s="1" t="str">
        <f t="shared" si="8"/>
        <v>SWIFTSWIFT 2WD 1.2 AUT2024</v>
      </c>
      <c r="F2061" s="1" t="s">
        <v>1271</v>
      </c>
      <c r="G2061" s="1">
        <v>11990000</v>
      </c>
      <c r="H2061" s="1">
        <v>11300000</v>
      </c>
    </row>
    <row r="2062" spans="1:8" ht="13.5" customHeight="1" x14ac:dyDescent="0.3">
      <c r="A2062" s="1" t="s">
        <v>300</v>
      </c>
      <c r="B2062" s="1" t="s">
        <v>3132</v>
      </c>
      <c r="C2062" s="1" t="s">
        <v>4998</v>
      </c>
      <c r="D2062" s="1">
        <v>2024</v>
      </c>
      <c r="E2062" s="1" t="str">
        <f t="shared" si="8"/>
        <v>SWIFTSWIFT 4X2 1.22024</v>
      </c>
      <c r="F2062" s="1" t="s">
        <v>1030</v>
      </c>
      <c r="G2062" s="1">
        <v>9490000</v>
      </c>
      <c r="H2062" s="1">
        <v>8000000</v>
      </c>
    </row>
    <row r="2063" spans="1:8" ht="13.5" customHeight="1" x14ac:dyDescent="0.3">
      <c r="A2063" s="1" t="s">
        <v>300</v>
      </c>
      <c r="B2063" s="1" t="s">
        <v>3132</v>
      </c>
      <c r="C2063" s="1" t="s">
        <v>4999</v>
      </c>
      <c r="D2063" s="1">
        <v>2018</v>
      </c>
      <c r="E2063" s="1" t="str">
        <f t="shared" si="8"/>
        <v>SWIFTSWIFT GA 1.22018</v>
      </c>
      <c r="F2063" s="1" t="s">
        <v>720</v>
      </c>
      <c r="G2063" s="1">
        <v>7490000</v>
      </c>
      <c r="H2063" s="1">
        <v>6000000</v>
      </c>
    </row>
    <row r="2064" spans="1:8" ht="13.5" customHeight="1" x14ac:dyDescent="0.3">
      <c r="A2064" s="1" t="s">
        <v>300</v>
      </c>
      <c r="B2064" s="1" t="s">
        <v>3132</v>
      </c>
      <c r="C2064" s="1" t="s">
        <v>5000</v>
      </c>
      <c r="D2064" s="1">
        <v>2022</v>
      </c>
      <c r="E2064" s="1" t="str">
        <f t="shared" si="8"/>
        <v>SWIFTSWIFT GL 1.22022</v>
      </c>
      <c r="F2064" s="1" t="s">
        <v>2046</v>
      </c>
      <c r="G2064" s="1">
        <v>11090000</v>
      </c>
      <c r="H2064" s="1">
        <v>9500000</v>
      </c>
    </row>
    <row r="2065" spans="1:8" ht="13.5" customHeight="1" x14ac:dyDescent="0.3">
      <c r="A2065" s="1" t="s">
        <v>300</v>
      </c>
      <c r="B2065" s="1" t="s">
        <v>3132</v>
      </c>
      <c r="C2065" s="1" t="s">
        <v>5001</v>
      </c>
      <c r="D2065" s="1">
        <v>2019</v>
      </c>
      <c r="E2065" s="1" t="str">
        <f t="shared" si="8"/>
        <v>SWIFTSWIFT GL SPORT 1.22019</v>
      </c>
      <c r="F2065" s="1" t="s">
        <v>785</v>
      </c>
      <c r="G2065" s="1">
        <v>8990000</v>
      </c>
      <c r="H2065" s="1">
        <v>7240000</v>
      </c>
    </row>
    <row r="2066" spans="1:8" ht="13.5" customHeight="1" x14ac:dyDescent="0.3">
      <c r="A2066" s="1" t="s">
        <v>300</v>
      </c>
      <c r="B2066" s="1" t="s">
        <v>3132</v>
      </c>
      <c r="C2066" s="1" t="s">
        <v>5002</v>
      </c>
      <c r="D2066" s="1">
        <v>2015</v>
      </c>
      <c r="E2066" s="1" t="str">
        <f t="shared" si="8"/>
        <v>SWIFTSWIFT GLA SPORT 1.22015</v>
      </c>
      <c r="F2066" s="1" t="s">
        <v>2248</v>
      </c>
      <c r="G2066" s="1">
        <v>7290000</v>
      </c>
      <c r="H2066" s="1">
        <v>6000000</v>
      </c>
    </row>
    <row r="2067" spans="1:8" ht="13.5" customHeight="1" x14ac:dyDescent="0.3">
      <c r="A2067" s="1" t="s">
        <v>300</v>
      </c>
      <c r="B2067" s="1" t="s">
        <v>3132</v>
      </c>
      <c r="C2067" s="1" t="s">
        <v>5003</v>
      </c>
      <c r="D2067" s="1">
        <v>2022</v>
      </c>
      <c r="E2067" s="1" t="str">
        <f t="shared" si="8"/>
        <v>SWIFTSWIFT HB 1.2 AT2022</v>
      </c>
      <c r="F2067" s="1" t="s">
        <v>1241</v>
      </c>
      <c r="G2067" s="1">
        <v>11890000</v>
      </c>
      <c r="H2067" s="1">
        <v>10000000</v>
      </c>
    </row>
    <row r="2068" spans="1:8" ht="13.5" customHeight="1" x14ac:dyDescent="0.3">
      <c r="A2068" s="1" t="s">
        <v>300</v>
      </c>
      <c r="B2068" s="1" t="s">
        <v>5004</v>
      </c>
      <c r="C2068" s="1" t="s">
        <v>5005</v>
      </c>
      <c r="D2068" s="1">
        <v>2022</v>
      </c>
      <c r="E2068" s="1" t="str">
        <f t="shared" si="8"/>
        <v>SX4SX4 S CROSS 4X4 1.62022</v>
      </c>
      <c r="F2068" s="1" t="s">
        <v>1557</v>
      </c>
      <c r="G2068" s="1">
        <v>14990000</v>
      </c>
      <c r="H2068" s="1">
        <v>12000000</v>
      </c>
    </row>
    <row r="2069" spans="1:8" ht="13.5" customHeight="1" x14ac:dyDescent="0.3">
      <c r="A2069" s="1" t="s">
        <v>300</v>
      </c>
      <c r="B2069" s="1" t="s">
        <v>3299</v>
      </c>
      <c r="C2069" s="1" t="s">
        <v>5006</v>
      </c>
      <c r="D2069" s="1">
        <v>2014</v>
      </c>
      <c r="E2069" s="1" t="str">
        <f t="shared" si="8"/>
        <v>VITARAGRAND VITARA 1.62014</v>
      </c>
      <c r="F2069" s="1" t="s">
        <v>2443</v>
      </c>
      <c r="G2069" s="1">
        <v>7990000</v>
      </c>
      <c r="H2069" s="1">
        <v>8800000</v>
      </c>
    </row>
    <row r="2070" spans="1:8" ht="13.5" customHeight="1" x14ac:dyDescent="0.3">
      <c r="A2070" s="1" t="s">
        <v>300</v>
      </c>
      <c r="B2070" s="1" t="s">
        <v>3299</v>
      </c>
      <c r="C2070" s="1" t="s">
        <v>5007</v>
      </c>
      <c r="D2070" s="1">
        <v>2024</v>
      </c>
      <c r="E2070" s="1" t="str">
        <f t="shared" si="8"/>
        <v>VITARAGRAND VITARA 2WD 1.5 AT2024</v>
      </c>
      <c r="F2070" s="1" t="s">
        <v>1463</v>
      </c>
      <c r="G2070" s="1">
        <v>17690000</v>
      </c>
      <c r="H2070" s="1">
        <v>15000000</v>
      </c>
    </row>
    <row r="2071" spans="1:8" ht="13.5" customHeight="1" x14ac:dyDescent="0.3">
      <c r="A2071" s="1" t="s">
        <v>300</v>
      </c>
      <c r="B2071" s="1" t="s">
        <v>3299</v>
      </c>
      <c r="C2071" s="1" t="s">
        <v>5008</v>
      </c>
      <c r="D2071" s="1">
        <v>2015</v>
      </c>
      <c r="E2071" s="1" t="str">
        <f t="shared" si="8"/>
        <v>VITARAGRAND VITARA GLX 4X4 1.62015</v>
      </c>
      <c r="F2071" s="1" t="s">
        <v>2358</v>
      </c>
      <c r="G2071" s="1">
        <v>8990000</v>
      </c>
      <c r="H2071" s="1">
        <v>7000000</v>
      </c>
    </row>
    <row r="2072" spans="1:8" ht="13.5" customHeight="1" x14ac:dyDescent="0.3">
      <c r="A2072" s="1" t="s">
        <v>300</v>
      </c>
      <c r="B2072" s="1" t="s">
        <v>3299</v>
      </c>
      <c r="C2072" s="1" t="s">
        <v>5009</v>
      </c>
      <c r="D2072" s="1">
        <v>2018</v>
      </c>
      <c r="E2072" s="1" t="str">
        <f t="shared" si="8"/>
        <v>VITARAVITARA GLS 1.62018</v>
      </c>
      <c r="F2072" s="1" t="s">
        <v>1845</v>
      </c>
      <c r="G2072" s="1">
        <v>9890000</v>
      </c>
      <c r="H2072" s="1">
        <v>7500000</v>
      </c>
    </row>
    <row r="2073" spans="1:8" ht="13.5" customHeight="1" x14ac:dyDescent="0.3">
      <c r="A2073" s="1" t="s">
        <v>300</v>
      </c>
      <c r="B2073" s="1" t="s">
        <v>3299</v>
      </c>
      <c r="C2073" s="1" t="s">
        <v>5010</v>
      </c>
      <c r="D2073" s="1">
        <v>2019</v>
      </c>
      <c r="E2073" s="1" t="str">
        <f t="shared" si="8"/>
        <v>VITARAVITARA GLX 4X4 1.42019</v>
      </c>
      <c r="F2073" s="1" t="s">
        <v>1254</v>
      </c>
      <c r="G2073" s="1">
        <v>10990000</v>
      </c>
      <c r="H2073" s="1">
        <v>8400000</v>
      </c>
    </row>
    <row r="2074" spans="1:8" ht="13.5" customHeight="1" x14ac:dyDescent="0.3">
      <c r="A2074" s="1" t="s">
        <v>300</v>
      </c>
      <c r="B2074" s="1" t="s">
        <v>3299</v>
      </c>
      <c r="C2074" s="1" t="s">
        <v>5011</v>
      </c>
      <c r="D2074" s="1">
        <v>2021</v>
      </c>
      <c r="E2074" s="1" t="str">
        <f t="shared" si="8"/>
        <v>VITARAVITARA II GLX 1.62021</v>
      </c>
      <c r="F2074" s="1" t="s">
        <v>1575</v>
      </c>
      <c r="G2074" s="1">
        <v>10490000</v>
      </c>
      <c r="H2074" s="1">
        <v>8700000</v>
      </c>
    </row>
    <row r="2075" spans="1:8" ht="13.5" customHeight="1" x14ac:dyDescent="0.3">
      <c r="A2075" s="1" t="s">
        <v>300</v>
      </c>
      <c r="B2075" s="1" t="s">
        <v>3299</v>
      </c>
      <c r="C2075" s="1" t="s">
        <v>5012</v>
      </c>
      <c r="D2075" s="1">
        <v>2022</v>
      </c>
      <c r="E2075" s="1" t="str">
        <f t="shared" si="8"/>
        <v>VITARAVITARA OTTO 1.62022</v>
      </c>
      <c r="F2075" s="1" t="s">
        <v>1257</v>
      </c>
      <c r="G2075" s="1">
        <v>13390000</v>
      </c>
      <c r="H2075" s="1">
        <v>11500000</v>
      </c>
    </row>
    <row r="2076" spans="1:8" ht="13.5" customHeight="1" x14ac:dyDescent="0.3">
      <c r="A2076" s="1" t="s">
        <v>5013</v>
      </c>
      <c r="B2076" s="1" t="s">
        <v>5014</v>
      </c>
      <c r="C2076" s="1" t="s">
        <v>5015</v>
      </c>
      <c r="D2076" s="1">
        <v>2024</v>
      </c>
      <c r="E2076" s="1" t="str">
        <f t="shared" si="8"/>
        <v>G03FG03F 1.52024</v>
      </c>
      <c r="F2076" s="1" t="s">
        <v>1027</v>
      </c>
      <c r="G2076" s="1">
        <v>10490000</v>
      </c>
      <c r="H2076" s="1">
        <v>10000000</v>
      </c>
    </row>
    <row r="2077" spans="1:8" ht="13.5" customHeight="1" x14ac:dyDescent="0.3">
      <c r="A2077" s="1" t="s">
        <v>306</v>
      </c>
      <c r="B2077" s="1" t="s">
        <v>5016</v>
      </c>
      <c r="C2077" s="1" t="s">
        <v>5017</v>
      </c>
      <c r="D2077" s="1">
        <v>2022</v>
      </c>
      <c r="E2077" s="1" t="str">
        <f t="shared" si="8"/>
        <v>4 RUNNER4 RUNNER 4.0  AUT2022</v>
      </c>
      <c r="F2077" s="1" t="s">
        <v>1783</v>
      </c>
      <c r="G2077" s="1">
        <v>26190000</v>
      </c>
      <c r="H2077" s="1">
        <v>22500000</v>
      </c>
    </row>
    <row r="2078" spans="1:8" ht="13.5" customHeight="1" x14ac:dyDescent="0.3">
      <c r="A2078" s="1" t="s">
        <v>306</v>
      </c>
      <c r="B2078" s="1" t="s">
        <v>5016</v>
      </c>
      <c r="C2078" s="1" t="s">
        <v>5018</v>
      </c>
      <c r="D2078" s="1">
        <v>2023</v>
      </c>
      <c r="E2078" s="1" t="str">
        <f t="shared" si="8"/>
        <v>4 RUNNER4RUNNER SR5 4.0 AUT2023</v>
      </c>
      <c r="F2078" s="1" t="s">
        <v>1835</v>
      </c>
      <c r="G2078" s="1">
        <v>28500000</v>
      </c>
      <c r="H2078" s="1">
        <v>25000000</v>
      </c>
    </row>
    <row r="2079" spans="1:8" ht="13.5" customHeight="1" x14ac:dyDescent="0.3">
      <c r="A2079" s="1" t="s">
        <v>306</v>
      </c>
      <c r="B2079" s="1" t="s">
        <v>5019</v>
      </c>
      <c r="C2079" s="1" t="s">
        <v>5020</v>
      </c>
      <c r="D2079" s="1">
        <v>2017</v>
      </c>
      <c r="E2079" s="1" t="str">
        <f t="shared" si="8"/>
        <v>AURISAURIS LEI 1.6 AUT2017</v>
      </c>
      <c r="F2079" s="1" t="s">
        <v>1118</v>
      </c>
      <c r="G2079" s="1">
        <v>8890000</v>
      </c>
      <c r="H2079" s="1">
        <v>6700000</v>
      </c>
    </row>
    <row r="2080" spans="1:8" ht="13.5" customHeight="1" x14ac:dyDescent="0.3">
      <c r="A2080" s="1" t="s">
        <v>306</v>
      </c>
      <c r="B2080" s="1" t="s">
        <v>3636</v>
      </c>
      <c r="C2080" s="1" t="s">
        <v>5021</v>
      </c>
      <c r="D2080" s="1">
        <v>2023</v>
      </c>
      <c r="E2080" s="1" t="str">
        <f t="shared" si="8"/>
        <v>COROLLACOROLLA CROSS 2.02023</v>
      </c>
      <c r="F2080" s="1" t="s">
        <v>477</v>
      </c>
      <c r="G2080" s="1">
        <v>17290000</v>
      </c>
      <c r="H2080" s="1">
        <v>14500000</v>
      </c>
    </row>
    <row r="2081" spans="1:8" ht="13.5" customHeight="1" x14ac:dyDescent="0.3">
      <c r="A2081" s="1" t="s">
        <v>306</v>
      </c>
      <c r="B2081" s="1" t="s">
        <v>3636</v>
      </c>
      <c r="C2081" s="1" t="s">
        <v>5022</v>
      </c>
      <c r="D2081" s="1">
        <v>2026</v>
      </c>
      <c r="E2081" s="1" t="str">
        <f t="shared" si="8"/>
        <v>COROLLACOROLLA CROSS CVT 1.82026</v>
      </c>
      <c r="F2081" s="1" t="s">
        <v>331</v>
      </c>
      <c r="G2081" s="1">
        <v>24990000</v>
      </c>
      <c r="H2081" s="1">
        <v>21400000</v>
      </c>
    </row>
    <row r="2082" spans="1:8" ht="13.5" customHeight="1" x14ac:dyDescent="0.3">
      <c r="A2082" s="1" t="s">
        <v>306</v>
      </c>
      <c r="B2082" s="1" t="s">
        <v>3636</v>
      </c>
      <c r="C2082" s="1" t="s">
        <v>5023</v>
      </c>
      <c r="D2082" s="1">
        <v>2022</v>
      </c>
      <c r="E2082" s="1" t="str">
        <f t="shared" si="8"/>
        <v>COROLLACOROLLA CROSS CVT 2.0 AUT2022</v>
      </c>
      <c r="F2082" s="1" t="s">
        <v>2237</v>
      </c>
      <c r="G2082" s="1">
        <v>17990000</v>
      </c>
      <c r="H2082" s="1">
        <v>15500000</v>
      </c>
    </row>
    <row r="2083" spans="1:8" ht="13.5" customHeight="1" x14ac:dyDescent="0.3">
      <c r="A2083" s="1" t="s">
        <v>306</v>
      </c>
      <c r="B2083" s="1" t="s">
        <v>3636</v>
      </c>
      <c r="C2083" s="1" t="s">
        <v>5024</v>
      </c>
      <c r="D2083" s="1">
        <v>2022</v>
      </c>
      <c r="E2083" s="1" t="str">
        <f t="shared" si="8"/>
        <v>COROLLACOROLLA CROSS CVT HEV 1.8 AUT2022</v>
      </c>
      <c r="G2083" s="1">
        <v>17490000</v>
      </c>
      <c r="H2083" s="1">
        <v>0</v>
      </c>
    </row>
    <row r="2084" spans="1:8" ht="13.5" customHeight="1" x14ac:dyDescent="0.3">
      <c r="A2084" s="1" t="s">
        <v>306</v>
      </c>
      <c r="B2084" s="1" t="s">
        <v>3636</v>
      </c>
      <c r="C2084" s="1" t="s">
        <v>5024</v>
      </c>
      <c r="D2084" s="1">
        <v>2022</v>
      </c>
      <c r="E2084" s="1" t="str">
        <f t="shared" si="8"/>
        <v>COROLLACOROLLA CROSS CVT HEV 1.8 AUT2022</v>
      </c>
      <c r="F2084" s="1" t="s">
        <v>1222</v>
      </c>
      <c r="G2084" s="1">
        <v>15990000</v>
      </c>
      <c r="H2084" s="1">
        <v>14500000</v>
      </c>
    </row>
    <row r="2085" spans="1:8" ht="13.5" customHeight="1" x14ac:dyDescent="0.3">
      <c r="A2085" s="1" t="s">
        <v>306</v>
      </c>
      <c r="B2085" s="1" t="s">
        <v>3636</v>
      </c>
      <c r="C2085" s="1" t="s">
        <v>5024</v>
      </c>
      <c r="D2085" s="1">
        <v>2023</v>
      </c>
      <c r="E2085" s="1" t="str">
        <f t="shared" si="8"/>
        <v>COROLLACOROLLA CROSS CVT HEV 1.8 AUT2023</v>
      </c>
      <c r="F2085" s="1" t="s">
        <v>694</v>
      </c>
      <c r="G2085" s="1">
        <v>19690000</v>
      </c>
      <c r="H2085" s="1">
        <v>17000000</v>
      </c>
    </row>
    <row r="2086" spans="1:8" ht="13.5" customHeight="1" x14ac:dyDescent="0.3">
      <c r="A2086" s="1" t="s">
        <v>306</v>
      </c>
      <c r="B2086" s="1" t="s">
        <v>3636</v>
      </c>
      <c r="C2086" s="1" t="s">
        <v>5024</v>
      </c>
      <c r="D2086" s="1">
        <v>2023</v>
      </c>
      <c r="E2086" s="1" t="str">
        <f t="shared" si="8"/>
        <v>COROLLACOROLLA CROSS CVT HEV 1.8 AUT2023</v>
      </c>
      <c r="F2086" s="1" t="s">
        <v>1289</v>
      </c>
      <c r="G2086" s="1">
        <v>19140000</v>
      </c>
      <c r="H2086" s="1">
        <v>16500000</v>
      </c>
    </row>
    <row r="2087" spans="1:8" ht="13.5" customHeight="1" x14ac:dyDescent="0.3">
      <c r="A2087" s="1" t="s">
        <v>306</v>
      </c>
      <c r="B2087" s="1" t="s">
        <v>3636</v>
      </c>
      <c r="C2087" s="1" t="s">
        <v>5025</v>
      </c>
      <c r="D2087" s="1">
        <v>2022</v>
      </c>
      <c r="E2087" s="1" t="str">
        <f t="shared" si="8"/>
        <v>COROLLANEW COROLLA XLI 1.62022</v>
      </c>
      <c r="F2087" s="1" t="s">
        <v>1238</v>
      </c>
      <c r="G2087" s="1">
        <v>12990000</v>
      </c>
      <c r="H2087" s="1">
        <v>12000000</v>
      </c>
    </row>
    <row r="2088" spans="1:8" ht="13.5" customHeight="1" x14ac:dyDescent="0.3">
      <c r="A2088" s="1" t="s">
        <v>306</v>
      </c>
      <c r="B2088" s="1" t="s">
        <v>5026</v>
      </c>
      <c r="C2088" s="1" t="s">
        <v>5027</v>
      </c>
      <c r="D2088" s="1">
        <v>2022</v>
      </c>
      <c r="E2088" s="1" t="str">
        <f t="shared" si="8"/>
        <v>FORTUNERFORTUNER 2.72022</v>
      </c>
      <c r="F2088" s="1" t="s">
        <v>886</v>
      </c>
      <c r="G2088" s="1">
        <v>23990000</v>
      </c>
      <c r="H2088" s="1">
        <v>21700000</v>
      </c>
    </row>
    <row r="2089" spans="1:8" ht="13.5" customHeight="1" x14ac:dyDescent="0.3">
      <c r="A2089" s="1" t="s">
        <v>306</v>
      </c>
      <c r="B2089" s="1" t="s">
        <v>5026</v>
      </c>
      <c r="C2089" s="1" t="s">
        <v>5028</v>
      </c>
      <c r="D2089" s="1">
        <v>2019</v>
      </c>
      <c r="E2089" s="1" t="str">
        <f t="shared" si="8"/>
        <v>FORTUNERFORTUNER 2.7 AUT2019</v>
      </c>
      <c r="F2089" s="1" t="s">
        <v>646</v>
      </c>
      <c r="G2089" s="1">
        <v>18590000</v>
      </c>
      <c r="H2089" s="1">
        <v>15500000</v>
      </c>
    </row>
    <row r="2090" spans="1:8" ht="13.5" customHeight="1" x14ac:dyDescent="0.3">
      <c r="A2090" s="1" t="s">
        <v>306</v>
      </c>
      <c r="B2090" s="1" t="s">
        <v>5026</v>
      </c>
      <c r="C2090" s="1" t="s">
        <v>5028</v>
      </c>
      <c r="D2090" s="1">
        <v>2019</v>
      </c>
      <c r="E2090" s="1" t="str">
        <f t="shared" si="8"/>
        <v>FORTUNERFORTUNER 2.7 AUT2019</v>
      </c>
      <c r="F2090" s="1" t="s">
        <v>984</v>
      </c>
      <c r="G2090" s="1">
        <v>18412560</v>
      </c>
      <c r="H2090" s="1">
        <v>15800000</v>
      </c>
    </row>
    <row r="2091" spans="1:8" ht="13.5" customHeight="1" x14ac:dyDescent="0.3">
      <c r="A2091" s="1" t="s">
        <v>306</v>
      </c>
      <c r="B2091" s="1" t="s">
        <v>5026</v>
      </c>
      <c r="C2091" s="1" t="s">
        <v>5028</v>
      </c>
      <c r="D2091" s="1">
        <v>2019</v>
      </c>
      <c r="E2091" s="1" t="str">
        <f t="shared" si="8"/>
        <v>FORTUNERFORTUNER 2.7 AUT2019</v>
      </c>
      <c r="F2091" s="1" t="s">
        <v>2097</v>
      </c>
      <c r="G2091" s="1">
        <v>20190000</v>
      </c>
      <c r="H2091" s="1">
        <v>19700000</v>
      </c>
    </row>
    <row r="2092" spans="1:8" ht="13.5" customHeight="1" x14ac:dyDescent="0.3">
      <c r="A2092" s="1" t="s">
        <v>306</v>
      </c>
      <c r="B2092" s="1" t="s">
        <v>5026</v>
      </c>
      <c r="C2092" s="1" t="s">
        <v>5028</v>
      </c>
      <c r="D2092" s="1">
        <v>2021</v>
      </c>
      <c r="E2092" s="1" t="str">
        <f t="shared" si="8"/>
        <v>FORTUNERFORTUNER 2.7 AUT2021</v>
      </c>
      <c r="F2092" s="1" t="s">
        <v>1548</v>
      </c>
      <c r="G2092" s="1">
        <v>21690000</v>
      </c>
      <c r="H2092" s="1">
        <v>19000000</v>
      </c>
    </row>
    <row r="2093" spans="1:8" ht="13.5" customHeight="1" x14ac:dyDescent="0.3">
      <c r="A2093" s="1" t="s">
        <v>306</v>
      </c>
      <c r="B2093" s="1" t="s">
        <v>5026</v>
      </c>
      <c r="C2093" s="1" t="s">
        <v>5029</v>
      </c>
      <c r="D2093" s="1">
        <v>2024</v>
      </c>
      <c r="E2093" s="1" t="str">
        <f t="shared" si="8"/>
        <v>FORTUNERFORTUNER 4X2 2.7 AUT2024</v>
      </c>
      <c r="F2093" s="1" t="s">
        <v>782</v>
      </c>
      <c r="G2093" s="1">
        <v>29390000</v>
      </c>
      <c r="H2093" s="1">
        <v>25000000</v>
      </c>
    </row>
    <row r="2094" spans="1:8" ht="13.5" customHeight="1" x14ac:dyDescent="0.3">
      <c r="A2094" s="1" t="s">
        <v>306</v>
      </c>
      <c r="B2094" s="1" t="s">
        <v>5026</v>
      </c>
      <c r="C2094" s="1" t="s">
        <v>5030</v>
      </c>
      <c r="D2094" s="1">
        <v>2020</v>
      </c>
      <c r="E2094" s="1" t="str">
        <f t="shared" si="8"/>
        <v>FORTUNERFORTUNER 4X4 2.8 AUT2020</v>
      </c>
      <c r="F2094" s="1" t="s">
        <v>1718</v>
      </c>
      <c r="G2094" s="1">
        <v>25000000</v>
      </c>
      <c r="H2094" s="1">
        <v>22000000</v>
      </c>
    </row>
    <row r="2095" spans="1:8" ht="13.5" customHeight="1" x14ac:dyDescent="0.3">
      <c r="A2095" s="1" t="s">
        <v>306</v>
      </c>
      <c r="B2095" s="1" t="s">
        <v>5026</v>
      </c>
      <c r="C2095" s="1" t="s">
        <v>5031</v>
      </c>
      <c r="D2095" s="1">
        <v>2023</v>
      </c>
      <c r="E2095" s="1" t="str">
        <f t="shared" si="8"/>
        <v>FORTUNERFORTUNER 4X4 AUT 2.82023</v>
      </c>
      <c r="F2095" s="1" t="s">
        <v>893</v>
      </c>
      <c r="G2095" s="1">
        <v>35990000</v>
      </c>
      <c r="H2095" s="1">
        <v>33000000</v>
      </c>
    </row>
    <row r="2096" spans="1:8" ht="13.5" customHeight="1" x14ac:dyDescent="0.3">
      <c r="A2096" s="1" t="s">
        <v>306</v>
      </c>
      <c r="B2096" s="1" t="s">
        <v>309</v>
      </c>
      <c r="C2096" s="1" t="s">
        <v>5032</v>
      </c>
      <c r="D2096" s="1">
        <v>2019</v>
      </c>
      <c r="E2096" s="1" t="str">
        <f t="shared" si="8"/>
        <v>HILUXHI LUX 2.42019</v>
      </c>
      <c r="F2096" s="1" t="s">
        <v>1878</v>
      </c>
      <c r="G2096" s="1">
        <v>16188149</v>
      </c>
      <c r="H2096" s="1">
        <v>13000000</v>
      </c>
    </row>
    <row r="2097" spans="1:8" ht="13.5" customHeight="1" x14ac:dyDescent="0.3">
      <c r="A2097" s="1" t="s">
        <v>306</v>
      </c>
      <c r="B2097" s="1" t="s">
        <v>309</v>
      </c>
      <c r="C2097" s="1" t="s">
        <v>5032</v>
      </c>
      <c r="D2097" s="1">
        <v>2022</v>
      </c>
      <c r="E2097" s="1" t="str">
        <f t="shared" si="8"/>
        <v>HILUXHI LUX 2.42022</v>
      </c>
      <c r="F2097" s="1" t="s">
        <v>1050</v>
      </c>
      <c r="G2097" s="1">
        <v>18990000</v>
      </c>
      <c r="H2097" s="1">
        <v>16500000</v>
      </c>
    </row>
    <row r="2098" spans="1:8" ht="13.5" customHeight="1" x14ac:dyDescent="0.3">
      <c r="A2098" s="1" t="s">
        <v>306</v>
      </c>
      <c r="B2098" s="1" t="s">
        <v>309</v>
      </c>
      <c r="C2098" s="1" t="s">
        <v>5033</v>
      </c>
      <c r="D2098" s="1">
        <v>2021</v>
      </c>
      <c r="E2098" s="1" t="str">
        <f t="shared" si="8"/>
        <v>HILUXHI LUX D CAB 2.42021</v>
      </c>
      <c r="F2098" s="1" t="s">
        <v>1667</v>
      </c>
      <c r="G2098" s="1">
        <v>17590000</v>
      </c>
      <c r="H2098" s="1">
        <v>15000000</v>
      </c>
    </row>
    <row r="2099" spans="1:8" ht="13.5" customHeight="1" x14ac:dyDescent="0.3">
      <c r="A2099" s="1" t="s">
        <v>306</v>
      </c>
      <c r="B2099" s="1" t="s">
        <v>309</v>
      </c>
      <c r="C2099" s="1" t="s">
        <v>5034</v>
      </c>
      <c r="D2099" s="1">
        <v>2021</v>
      </c>
      <c r="E2099" s="1" t="str">
        <f t="shared" si="8"/>
        <v>HILUXHI LUX DX 2.42021</v>
      </c>
      <c r="F2099" s="1" t="s">
        <v>677</v>
      </c>
      <c r="G2099" s="1">
        <v>17990000</v>
      </c>
      <c r="H2099" s="1">
        <v>15500000</v>
      </c>
    </row>
    <row r="2100" spans="1:8" ht="13.5" customHeight="1" x14ac:dyDescent="0.3">
      <c r="A2100" s="1" t="s">
        <v>306</v>
      </c>
      <c r="B2100" s="1" t="s">
        <v>309</v>
      </c>
      <c r="C2100" s="1" t="s">
        <v>5034</v>
      </c>
      <c r="D2100" s="1">
        <v>2021</v>
      </c>
      <c r="E2100" s="1" t="str">
        <f t="shared" si="8"/>
        <v>HILUXHI LUX DX 2.42021</v>
      </c>
      <c r="F2100" s="1" t="s">
        <v>746</v>
      </c>
      <c r="G2100" s="1">
        <v>18990000</v>
      </c>
      <c r="H2100" s="1">
        <v>16000000</v>
      </c>
    </row>
    <row r="2101" spans="1:8" ht="13.5" customHeight="1" x14ac:dyDescent="0.3">
      <c r="A2101" s="1" t="s">
        <v>306</v>
      </c>
      <c r="B2101" s="1" t="s">
        <v>309</v>
      </c>
      <c r="C2101" s="1" t="s">
        <v>5035</v>
      </c>
      <c r="D2101" s="1">
        <v>2021</v>
      </c>
      <c r="E2101" s="1" t="str">
        <f t="shared" si="8"/>
        <v>HILUXHILUX 2.72021</v>
      </c>
      <c r="F2101" s="1" t="s">
        <v>771</v>
      </c>
      <c r="G2101" s="1">
        <v>18790000</v>
      </c>
      <c r="H2101" s="1">
        <v>16000000</v>
      </c>
    </row>
    <row r="2102" spans="1:8" ht="13.5" customHeight="1" x14ac:dyDescent="0.3">
      <c r="A2102" s="1" t="s">
        <v>306</v>
      </c>
      <c r="B2102" s="1" t="s">
        <v>309</v>
      </c>
      <c r="C2102" s="1" t="s">
        <v>5036</v>
      </c>
      <c r="D2102" s="1">
        <v>2022</v>
      </c>
      <c r="E2102" s="1" t="str">
        <f t="shared" si="8"/>
        <v>HILUXHILUX PICKUP 4P 4X4 2.42022</v>
      </c>
      <c r="F2102" s="1" t="s">
        <v>1152</v>
      </c>
      <c r="G2102" s="1">
        <v>22590000</v>
      </c>
      <c r="H2102" s="1">
        <v>19850000</v>
      </c>
    </row>
    <row r="2103" spans="1:8" ht="13.5" customHeight="1" x14ac:dyDescent="0.3">
      <c r="A2103" s="1" t="s">
        <v>306</v>
      </c>
      <c r="B2103" s="1" t="s">
        <v>309</v>
      </c>
      <c r="C2103" s="1" t="s">
        <v>5037</v>
      </c>
      <c r="D2103" s="1">
        <v>2021</v>
      </c>
      <c r="E2103" s="1" t="str">
        <f t="shared" si="8"/>
        <v>HILUXHILUX SR 4X4 2.42021</v>
      </c>
      <c r="F2103" s="1" t="s">
        <v>2061</v>
      </c>
      <c r="G2103" s="1">
        <v>20690000</v>
      </c>
      <c r="H2103" s="1">
        <v>17000000</v>
      </c>
    </row>
    <row r="2104" spans="1:8" ht="13.5" customHeight="1" x14ac:dyDescent="0.3">
      <c r="A2104" s="1" t="s">
        <v>306</v>
      </c>
      <c r="B2104" s="1" t="s">
        <v>2596</v>
      </c>
      <c r="C2104" s="1" t="s">
        <v>5038</v>
      </c>
      <c r="D2104" s="1">
        <v>2022</v>
      </c>
      <c r="E2104" s="1" t="str">
        <f t="shared" si="8"/>
        <v>RAIZERAIZE 1.22022</v>
      </c>
      <c r="F2104" s="1" t="s">
        <v>1246</v>
      </c>
      <c r="G2104" s="1">
        <v>10450000</v>
      </c>
      <c r="H2104" s="1">
        <v>8900000</v>
      </c>
    </row>
    <row r="2105" spans="1:8" ht="13.5" customHeight="1" x14ac:dyDescent="0.3">
      <c r="A2105" s="1" t="s">
        <v>306</v>
      </c>
      <c r="B2105" s="1" t="s">
        <v>2596</v>
      </c>
      <c r="C2105" s="1" t="s">
        <v>5038</v>
      </c>
      <c r="D2105" s="1">
        <v>2022</v>
      </c>
      <c r="E2105" s="1" t="str">
        <f t="shared" si="8"/>
        <v>RAIZERAIZE 1.22022</v>
      </c>
      <c r="F2105" s="1" t="s">
        <v>1597</v>
      </c>
      <c r="G2105" s="1">
        <v>11290000</v>
      </c>
      <c r="H2105" s="1">
        <v>9500000</v>
      </c>
    </row>
    <row r="2106" spans="1:8" ht="13.5" customHeight="1" x14ac:dyDescent="0.3">
      <c r="A2106" s="1" t="s">
        <v>306</v>
      </c>
      <c r="B2106" s="1" t="s">
        <v>5039</v>
      </c>
      <c r="C2106" s="1" t="s">
        <v>5040</v>
      </c>
      <c r="D2106" s="1">
        <v>2016</v>
      </c>
      <c r="E2106" s="1" t="str">
        <f t="shared" si="8"/>
        <v>RAVNEW RAV4 CVT 2.02016</v>
      </c>
      <c r="F2106" s="1" t="s">
        <v>1432</v>
      </c>
      <c r="G2106" s="1">
        <v>10990000</v>
      </c>
      <c r="H2106" s="1">
        <v>9000000</v>
      </c>
    </row>
    <row r="2107" spans="1:8" ht="13.5" customHeight="1" x14ac:dyDescent="0.3">
      <c r="A2107" s="1" t="s">
        <v>306</v>
      </c>
      <c r="B2107" s="1" t="s">
        <v>5039</v>
      </c>
      <c r="C2107" s="1" t="s">
        <v>5041</v>
      </c>
      <c r="D2107" s="1">
        <v>2018</v>
      </c>
      <c r="E2107" s="1" t="str">
        <f t="shared" si="8"/>
        <v>RAVRAV 4 2.02018</v>
      </c>
      <c r="F2107" s="1" t="s">
        <v>2118</v>
      </c>
      <c r="G2107" s="1">
        <v>13690000</v>
      </c>
      <c r="H2107" s="1">
        <v>11200000</v>
      </c>
    </row>
    <row r="2108" spans="1:8" ht="13.5" customHeight="1" x14ac:dyDescent="0.3">
      <c r="A2108" s="1" t="s">
        <v>306</v>
      </c>
      <c r="B2108" s="1" t="s">
        <v>5039</v>
      </c>
      <c r="C2108" s="1" t="s">
        <v>5042</v>
      </c>
      <c r="D2108" s="1">
        <v>2017</v>
      </c>
      <c r="E2108" s="1" t="str">
        <f t="shared" si="8"/>
        <v>RAVRAV 4 2.0 AUT2017</v>
      </c>
      <c r="F2108" s="1" t="s">
        <v>1174</v>
      </c>
      <c r="G2108" s="1">
        <v>9927060</v>
      </c>
      <c r="H2108" s="1">
        <v>8100000</v>
      </c>
    </row>
    <row r="2109" spans="1:8" ht="13.5" customHeight="1" x14ac:dyDescent="0.3">
      <c r="A2109" s="1" t="s">
        <v>306</v>
      </c>
      <c r="B2109" s="1" t="s">
        <v>5039</v>
      </c>
      <c r="C2109" s="1" t="s">
        <v>5042</v>
      </c>
      <c r="D2109" s="1">
        <v>2017</v>
      </c>
      <c r="E2109" s="1" t="str">
        <f t="shared" si="8"/>
        <v>RAVRAV 4 2.0 AUT2017</v>
      </c>
      <c r="F2109" s="1" t="s">
        <v>2444</v>
      </c>
      <c r="G2109" s="1">
        <v>12990000</v>
      </c>
      <c r="H2109" s="1">
        <v>13500000</v>
      </c>
    </row>
    <row r="2110" spans="1:8" ht="13.5" customHeight="1" x14ac:dyDescent="0.3">
      <c r="A2110" s="1" t="s">
        <v>306</v>
      </c>
      <c r="B2110" s="1" t="s">
        <v>5039</v>
      </c>
      <c r="C2110" s="1" t="s">
        <v>5042</v>
      </c>
      <c r="D2110" s="1">
        <v>2018</v>
      </c>
      <c r="E2110" s="1" t="str">
        <f t="shared" si="8"/>
        <v>RAVRAV 4 2.0 AUT2018</v>
      </c>
      <c r="F2110" s="1" t="s">
        <v>1310</v>
      </c>
      <c r="G2110" s="1">
        <v>11990000</v>
      </c>
      <c r="H2110" s="1">
        <v>9500000</v>
      </c>
    </row>
    <row r="2111" spans="1:8" ht="13.5" customHeight="1" x14ac:dyDescent="0.3">
      <c r="A2111" s="1" t="s">
        <v>306</v>
      </c>
      <c r="B2111" s="1" t="s">
        <v>5039</v>
      </c>
      <c r="C2111" s="1" t="s">
        <v>5042</v>
      </c>
      <c r="D2111" s="1">
        <v>2018</v>
      </c>
      <c r="E2111" s="1" t="str">
        <f t="shared" si="8"/>
        <v>RAVRAV 4 2.0 AUT2018</v>
      </c>
      <c r="F2111" s="1" t="s">
        <v>1861</v>
      </c>
      <c r="G2111" s="1">
        <v>11990000</v>
      </c>
      <c r="H2111" s="1">
        <v>9500000</v>
      </c>
    </row>
    <row r="2112" spans="1:8" ht="13.5" customHeight="1" x14ac:dyDescent="0.3">
      <c r="A2112" s="1" t="s">
        <v>306</v>
      </c>
      <c r="B2112" s="1" t="s">
        <v>5039</v>
      </c>
      <c r="C2112" s="1" t="s">
        <v>5042</v>
      </c>
      <c r="D2112" s="1">
        <v>2018</v>
      </c>
      <c r="E2112" s="1" t="str">
        <f t="shared" si="8"/>
        <v>RAVRAV 4 2.0 AUT2018</v>
      </c>
      <c r="F2112" s="1" t="s">
        <v>2341</v>
      </c>
      <c r="G2112" s="1">
        <v>12990000</v>
      </c>
      <c r="H2112" s="1">
        <v>11000000</v>
      </c>
    </row>
    <row r="2113" spans="1:8" ht="13.5" customHeight="1" x14ac:dyDescent="0.3">
      <c r="A2113" s="1" t="s">
        <v>306</v>
      </c>
      <c r="B2113" s="1" t="s">
        <v>5039</v>
      </c>
      <c r="C2113" s="1" t="s">
        <v>5042</v>
      </c>
      <c r="D2113" s="1">
        <v>2019</v>
      </c>
      <c r="E2113" s="1" t="str">
        <f t="shared" si="8"/>
        <v>RAVRAV 4 2.0 AUT2019</v>
      </c>
      <c r="F2113" s="1" t="s">
        <v>2435</v>
      </c>
      <c r="G2113" s="1">
        <v>12990000</v>
      </c>
      <c r="H2113" s="1">
        <v>14500000</v>
      </c>
    </row>
    <row r="2114" spans="1:8" ht="13.5" customHeight="1" x14ac:dyDescent="0.3">
      <c r="A2114" s="1" t="s">
        <v>306</v>
      </c>
      <c r="B2114" s="1" t="s">
        <v>5039</v>
      </c>
      <c r="C2114" s="1" t="s">
        <v>5042</v>
      </c>
      <c r="D2114" s="1">
        <v>2021</v>
      </c>
      <c r="E2114" s="1" t="str">
        <f t="shared" si="8"/>
        <v>RAVRAV 4 2.0 AUT2021</v>
      </c>
      <c r="F2114" s="1" t="s">
        <v>661</v>
      </c>
      <c r="G2114" s="1">
        <v>18490000</v>
      </c>
      <c r="H2114" s="1">
        <v>16000000</v>
      </c>
    </row>
    <row r="2115" spans="1:8" ht="13.5" customHeight="1" x14ac:dyDescent="0.3">
      <c r="A2115" s="1" t="s">
        <v>306</v>
      </c>
      <c r="B2115" s="1" t="s">
        <v>5039</v>
      </c>
      <c r="C2115" s="1" t="s">
        <v>5043</v>
      </c>
      <c r="D2115" s="1">
        <v>2022</v>
      </c>
      <c r="E2115" s="1" t="str">
        <f t="shared" si="8"/>
        <v>RAVRAV 4 LE 2.02022</v>
      </c>
      <c r="F2115" s="1" t="s">
        <v>1381</v>
      </c>
      <c r="G2115" s="1">
        <v>17690000</v>
      </c>
      <c r="H2115" s="1">
        <v>15000000</v>
      </c>
    </row>
    <row r="2116" spans="1:8" ht="13.5" customHeight="1" x14ac:dyDescent="0.3">
      <c r="A2116" s="1" t="s">
        <v>306</v>
      </c>
      <c r="B2116" s="1" t="s">
        <v>5039</v>
      </c>
      <c r="C2116" s="1" t="s">
        <v>5043</v>
      </c>
      <c r="D2116" s="1">
        <v>2022</v>
      </c>
      <c r="E2116" s="1" t="str">
        <f t="shared" si="8"/>
        <v>RAVRAV 4 LE 2.02022</v>
      </c>
      <c r="F2116" s="1" t="s">
        <v>1187</v>
      </c>
      <c r="G2116" s="1">
        <v>18990000</v>
      </c>
      <c r="H2116" s="1">
        <v>16000000</v>
      </c>
    </row>
    <row r="2117" spans="1:8" ht="13.5" customHeight="1" x14ac:dyDescent="0.3">
      <c r="A2117" s="1" t="s">
        <v>306</v>
      </c>
      <c r="B2117" s="1" t="s">
        <v>5039</v>
      </c>
      <c r="C2117" s="1" t="s">
        <v>5043</v>
      </c>
      <c r="D2117" s="1">
        <v>2023</v>
      </c>
      <c r="E2117" s="1" t="str">
        <f t="shared" si="8"/>
        <v>RAVRAV 4 LE 2.02023</v>
      </c>
      <c r="F2117" s="1" t="s">
        <v>1113</v>
      </c>
      <c r="G2117" s="1">
        <v>17990000</v>
      </c>
      <c r="H2117" s="1">
        <v>15500000</v>
      </c>
    </row>
    <row r="2118" spans="1:8" ht="13.5" customHeight="1" x14ac:dyDescent="0.3">
      <c r="A2118" s="1" t="s">
        <v>306</v>
      </c>
      <c r="B2118" s="1" t="s">
        <v>5039</v>
      </c>
      <c r="C2118" s="1" t="s">
        <v>5044</v>
      </c>
      <c r="D2118" s="1">
        <v>2021</v>
      </c>
      <c r="E2118" s="1" t="str">
        <f t="shared" si="8"/>
        <v>RAVRAV 4 LE 2.0 AUT2021</v>
      </c>
      <c r="F2118" s="1" t="s">
        <v>1451</v>
      </c>
      <c r="G2118" s="1">
        <v>17348620</v>
      </c>
      <c r="H2118" s="1">
        <v>15000000</v>
      </c>
    </row>
    <row r="2119" spans="1:8" ht="13.5" customHeight="1" x14ac:dyDescent="0.3">
      <c r="A2119" s="1" t="s">
        <v>306</v>
      </c>
      <c r="B2119" s="1" t="s">
        <v>5039</v>
      </c>
      <c r="C2119" s="1" t="s">
        <v>5045</v>
      </c>
      <c r="D2119" s="1">
        <v>2018</v>
      </c>
      <c r="E2119" s="1" t="str">
        <f t="shared" si="8"/>
        <v>RAVRAV4 2.5 AUT2018</v>
      </c>
      <c r="F2119" s="1" t="s">
        <v>2017</v>
      </c>
      <c r="G2119" s="1">
        <v>13490000</v>
      </c>
      <c r="H2119" s="1">
        <v>10200000</v>
      </c>
    </row>
    <row r="2120" spans="1:8" ht="13.5" customHeight="1" x14ac:dyDescent="0.3">
      <c r="A2120" s="1" t="s">
        <v>306</v>
      </c>
      <c r="B2120" s="1" t="s">
        <v>5039</v>
      </c>
      <c r="C2120" s="1" t="s">
        <v>5046</v>
      </c>
      <c r="D2120" s="1">
        <v>2017</v>
      </c>
      <c r="E2120" s="1" t="str">
        <f t="shared" si="8"/>
        <v>RAVRAV4 4X4 2.5 AUT2017</v>
      </c>
      <c r="F2120" s="1" t="s">
        <v>1913</v>
      </c>
      <c r="G2120" s="1">
        <v>12490000</v>
      </c>
      <c r="H2120" s="1">
        <v>10200000</v>
      </c>
    </row>
    <row r="2121" spans="1:8" ht="13.5" customHeight="1" x14ac:dyDescent="0.3">
      <c r="A2121" s="1" t="s">
        <v>306</v>
      </c>
      <c r="B2121" s="1" t="s">
        <v>5039</v>
      </c>
      <c r="C2121" s="1" t="s">
        <v>5046</v>
      </c>
      <c r="D2121" s="1">
        <v>2017</v>
      </c>
      <c r="E2121" s="1" t="str">
        <f t="shared" si="8"/>
        <v>RAVRAV4 4X4 2.5 AUT2017</v>
      </c>
      <c r="F2121" s="1" t="s">
        <v>855</v>
      </c>
      <c r="G2121" s="1">
        <v>12990000</v>
      </c>
      <c r="H2121" s="1">
        <v>10150000</v>
      </c>
    </row>
    <row r="2122" spans="1:8" ht="13.5" customHeight="1" x14ac:dyDescent="0.3">
      <c r="A2122" s="1" t="s">
        <v>306</v>
      </c>
      <c r="B2122" s="1" t="s">
        <v>5039</v>
      </c>
      <c r="C2122" s="1" t="s">
        <v>5047</v>
      </c>
      <c r="D2122" s="1">
        <v>2025</v>
      </c>
      <c r="E2122" s="1" t="str">
        <f t="shared" si="8"/>
        <v>RAVRAV4 HYBRID CVT 2.5 AUT2025</v>
      </c>
      <c r="F2122" s="1" t="s">
        <v>399</v>
      </c>
      <c r="G2122" s="1">
        <v>25990000</v>
      </c>
      <c r="H2122" s="1">
        <v>22000000</v>
      </c>
    </row>
    <row r="2123" spans="1:8" ht="13.5" customHeight="1" x14ac:dyDescent="0.3">
      <c r="A2123" s="1" t="s">
        <v>306</v>
      </c>
      <c r="B2123" s="1" t="s">
        <v>5039</v>
      </c>
      <c r="C2123" s="1" t="s">
        <v>5048</v>
      </c>
      <c r="D2123" s="1">
        <v>2020</v>
      </c>
      <c r="E2123" s="1" t="str">
        <f t="shared" si="8"/>
        <v>RAVRAV4 OTTO 2.0 AUT2020</v>
      </c>
      <c r="F2123" s="1" t="s">
        <v>609</v>
      </c>
      <c r="G2123" s="1">
        <v>16690000</v>
      </c>
      <c r="H2123" s="1">
        <v>13800000</v>
      </c>
    </row>
    <row r="2124" spans="1:8" ht="13.5" customHeight="1" x14ac:dyDescent="0.3">
      <c r="A2124" s="1" t="s">
        <v>306</v>
      </c>
      <c r="B2124" s="1" t="s">
        <v>5039</v>
      </c>
      <c r="C2124" s="1" t="s">
        <v>5048</v>
      </c>
      <c r="D2124" s="1">
        <v>2022</v>
      </c>
      <c r="E2124" s="1" t="str">
        <f t="shared" si="8"/>
        <v>RAVRAV4 OTTO 2.0 AUT2022</v>
      </c>
      <c r="F2124" s="1" t="s">
        <v>1486</v>
      </c>
      <c r="G2124" s="1">
        <v>20490000</v>
      </c>
      <c r="H2124" s="1">
        <v>17500000</v>
      </c>
    </row>
    <row r="2125" spans="1:8" ht="13.5" customHeight="1" x14ac:dyDescent="0.3">
      <c r="A2125" s="1" t="s">
        <v>306</v>
      </c>
      <c r="B2125" s="1" t="s">
        <v>2564</v>
      </c>
      <c r="C2125" s="1" t="s">
        <v>5049</v>
      </c>
      <c r="D2125" s="1">
        <v>2019</v>
      </c>
      <c r="E2125" s="1" t="str">
        <f t="shared" si="8"/>
        <v>RUSHRUSH 1.52019</v>
      </c>
      <c r="F2125" s="1" t="s">
        <v>1653</v>
      </c>
      <c r="G2125" s="1">
        <v>10990000</v>
      </c>
      <c r="H2125" s="1">
        <v>9400000</v>
      </c>
    </row>
    <row r="2126" spans="1:8" ht="13.5" customHeight="1" x14ac:dyDescent="0.3">
      <c r="A2126" s="1" t="s">
        <v>306</v>
      </c>
      <c r="B2126" s="1" t="s">
        <v>2564</v>
      </c>
      <c r="C2126" s="1" t="s">
        <v>5050</v>
      </c>
      <c r="D2126" s="1">
        <v>2022</v>
      </c>
      <c r="E2126" s="1" t="str">
        <f t="shared" si="8"/>
        <v>RUSHRUSH 1.5 MT2022</v>
      </c>
      <c r="F2126" s="1" t="s">
        <v>414</v>
      </c>
      <c r="G2126" s="1">
        <v>13590000</v>
      </c>
      <c r="H2126" s="1">
        <v>11300000</v>
      </c>
    </row>
    <row r="2127" spans="1:8" ht="13.5" customHeight="1" x14ac:dyDescent="0.3">
      <c r="A2127" s="1" t="s">
        <v>306</v>
      </c>
      <c r="B2127" s="1" t="s">
        <v>2564</v>
      </c>
      <c r="C2127" s="1" t="s">
        <v>5051</v>
      </c>
      <c r="D2127" s="1">
        <v>2018</v>
      </c>
      <c r="E2127" s="1" t="str">
        <f t="shared" si="8"/>
        <v>RUSHRUSH 4X4 1.52018</v>
      </c>
      <c r="F2127" s="1" t="s">
        <v>483</v>
      </c>
      <c r="G2127" s="1">
        <v>9290000</v>
      </c>
      <c r="H2127" s="1">
        <v>7300000</v>
      </c>
    </row>
    <row r="2128" spans="1:8" ht="13.5" customHeight="1" x14ac:dyDescent="0.3">
      <c r="A2128" s="1" t="s">
        <v>306</v>
      </c>
      <c r="B2128" s="1" t="s">
        <v>2564</v>
      </c>
      <c r="C2128" s="1" t="s">
        <v>5051</v>
      </c>
      <c r="D2128" s="1">
        <v>2018</v>
      </c>
      <c r="E2128" s="1" t="str">
        <f t="shared" si="8"/>
        <v>RUSHRUSH 4X4 1.52018</v>
      </c>
      <c r="F2128" s="1" t="s">
        <v>1777</v>
      </c>
      <c r="G2128" s="1">
        <v>9890000</v>
      </c>
      <c r="H2128" s="1">
        <v>8000000</v>
      </c>
    </row>
    <row r="2129" spans="1:8" ht="13.5" customHeight="1" x14ac:dyDescent="0.3">
      <c r="A2129" s="1" t="s">
        <v>306</v>
      </c>
      <c r="B2129" s="1" t="s">
        <v>2564</v>
      </c>
      <c r="C2129" s="1" t="s">
        <v>5052</v>
      </c>
      <c r="D2129" s="1">
        <v>2022</v>
      </c>
      <c r="E2129" s="1" t="str">
        <f t="shared" si="8"/>
        <v>RUSHRUSH XLI 1.52022</v>
      </c>
      <c r="F2129" s="1" t="s">
        <v>1123</v>
      </c>
      <c r="G2129" s="1">
        <v>12895520</v>
      </c>
      <c r="H2129" s="1">
        <v>10500000</v>
      </c>
    </row>
    <row r="2130" spans="1:8" ht="13.5" customHeight="1" x14ac:dyDescent="0.3">
      <c r="A2130" s="1" t="s">
        <v>306</v>
      </c>
      <c r="B2130" s="1" t="s">
        <v>2564</v>
      </c>
      <c r="C2130" s="1" t="s">
        <v>5053</v>
      </c>
      <c r="D2130" s="1">
        <v>2022</v>
      </c>
      <c r="E2130" s="1" t="str">
        <f t="shared" si="8"/>
        <v>RUSHRUSH XLI 1.5 AUT2022</v>
      </c>
      <c r="F2130" s="1" t="s">
        <v>1618</v>
      </c>
      <c r="G2130" s="1">
        <v>12990000</v>
      </c>
      <c r="H2130" s="1">
        <v>11000000</v>
      </c>
    </row>
    <row r="2131" spans="1:8" ht="13.5" customHeight="1" x14ac:dyDescent="0.3">
      <c r="A2131" s="1" t="s">
        <v>306</v>
      </c>
      <c r="B2131" s="1" t="s">
        <v>306</v>
      </c>
      <c r="C2131" s="1" t="s">
        <v>5054</v>
      </c>
      <c r="D2131" s="1">
        <v>2019</v>
      </c>
      <c r="E2131" s="1" t="str">
        <f t="shared" si="8"/>
        <v>TOYOTAAYGO HB 1.02019</v>
      </c>
      <c r="F2131" s="1" t="s">
        <v>2312</v>
      </c>
      <c r="G2131" s="1">
        <v>7990000</v>
      </c>
      <c r="H2131" s="1">
        <v>6800000</v>
      </c>
    </row>
    <row r="2132" spans="1:8" ht="13.5" customHeight="1" x14ac:dyDescent="0.3">
      <c r="A2132" s="1" t="s">
        <v>306</v>
      </c>
      <c r="B2132" s="1" t="s">
        <v>5055</v>
      </c>
      <c r="C2132" s="1" t="s">
        <v>5056</v>
      </c>
      <c r="D2132" s="1">
        <v>2023</v>
      </c>
      <c r="E2132" s="1" t="str">
        <f t="shared" si="8"/>
        <v>YARISYARIS 1.52023</v>
      </c>
      <c r="F2132" s="1" t="s">
        <v>1482</v>
      </c>
      <c r="G2132" s="1">
        <v>12490000</v>
      </c>
      <c r="H2132" s="1">
        <v>10500000</v>
      </c>
    </row>
    <row r="2133" spans="1:8" ht="13.5" customHeight="1" x14ac:dyDescent="0.3">
      <c r="A2133" s="1" t="s">
        <v>306</v>
      </c>
      <c r="B2133" s="1" t="s">
        <v>5055</v>
      </c>
      <c r="C2133" s="1" t="s">
        <v>5056</v>
      </c>
      <c r="D2133" s="1">
        <v>2023</v>
      </c>
      <c r="E2133" s="1" t="str">
        <f t="shared" si="8"/>
        <v>YARISYARIS 1.52023</v>
      </c>
      <c r="F2133" s="1" t="s">
        <v>1133</v>
      </c>
      <c r="G2133" s="1">
        <v>12990000</v>
      </c>
      <c r="H2133" s="1">
        <v>12200000</v>
      </c>
    </row>
    <row r="2134" spans="1:8" ht="13.5" customHeight="1" x14ac:dyDescent="0.3">
      <c r="A2134" s="1" t="s">
        <v>306</v>
      </c>
      <c r="B2134" s="1" t="s">
        <v>5055</v>
      </c>
      <c r="C2134" s="1" t="s">
        <v>5057</v>
      </c>
      <c r="D2134" s="1">
        <v>2017</v>
      </c>
      <c r="E2134" s="1" t="str">
        <f t="shared" si="8"/>
        <v>YARISYARIS GLI 1.52017</v>
      </c>
      <c r="F2134" s="1" t="s">
        <v>1015</v>
      </c>
      <c r="G2134" s="1">
        <v>6990000</v>
      </c>
      <c r="H2134" s="1">
        <v>5700000</v>
      </c>
    </row>
    <row r="2135" spans="1:8" ht="13.5" customHeight="1" x14ac:dyDescent="0.3">
      <c r="A2135" s="1" t="s">
        <v>306</v>
      </c>
      <c r="B2135" s="1" t="s">
        <v>5055</v>
      </c>
      <c r="C2135" s="1" t="s">
        <v>5057</v>
      </c>
      <c r="D2135" s="1">
        <v>2018</v>
      </c>
      <c r="E2135" s="1" t="str">
        <f t="shared" si="8"/>
        <v>YARISYARIS GLI 1.52018</v>
      </c>
      <c r="F2135" s="1" t="s">
        <v>1324</v>
      </c>
      <c r="G2135" s="1">
        <v>7990000</v>
      </c>
      <c r="H2135" s="1">
        <v>6500000</v>
      </c>
    </row>
    <row r="2136" spans="1:8" ht="13.5" customHeight="1" x14ac:dyDescent="0.3">
      <c r="A2136" s="1" t="s">
        <v>306</v>
      </c>
      <c r="B2136" s="1" t="s">
        <v>5055</v>
      </c>
      <c r="C2136" s="1" t="s">
        <v>5058</v>
      </c>
      <c r="D2136" s="1">
        <v>2022</v>
      </c>
      <c r="E2136" s="1" t="str">
        <f t="shared" si="8"/>
        <v>YARISYARIS HB OTTO 1.52022</v>
      </c>
      <c r="F2136" s="1" t="s">
        <v>1533</v>
      </c>
      <c r="G2136" s="1">
        <v>11890000</v>
      </c>
      <c r="H2136" s="1">
        <v>10000000</v>
      </c>
    </row>
    <row r="2137" spans="1:8" ht="13.5" customHeight="1" x14ac:dyDescent="0.3">
      <c r="A2137" s="1" t="s">
        <v>306</v>
      </c>
      <c r="B2137" s="1" t="s">
        <v>5055</v>
      </c>
      <c r="C2137" s="1" t="s">
        <v>5059</v>
      </c>
      <c r="D2137" s="1">
        <v>2023</v>
      </c>
      <c r="E2137" s="1" t="str">
        <f t="shared" si="8"/>
        <v>YARISYARIS SD 1.52023</v>
      </c>
      <c r="F2137" s="1" t="s">
        <v>590</v>
      </c>
      <c r="G2137" s="1">
        <v>12590000</v>
      </c>
      <c r="H2137" s="1">
        <v>10800000</v>
      </c>
    </row>
    <row r="2138" spans="1:8" ht="13.5" customHeight="1" x14ac:dyDescent="0.3">
      <c r="A2138" s="1" t="s">
        <v>306</v>
      </c>
      <c r="B2138" s="1" t="s">
        <v>5055</v>
      </c>
      <c r="C2138" s="1" t="s">
        <v>5060</v>
      </c>
      <c r="D2138" s="1">
        <v>2022</v>
      </c>
      <c r="E2138" s="1" t="str">
        <f t="shared" si="8"/>
        <v>YARISYARIS SPORT HB 1.52022</v>
      </c>
      <c r="F2138" s="1" t="s">
        <v>1891</v>
      </c>
      <c r="G2138" s="1">
        <v>12530000</v>
      </c>
      <c r="H2138" s="1">
        <v>10200000</v>
      </c>
    </row>
    <row r="2139" spans="1:8" ht="13.5" customHeight="1" x14ac:dyDescent="0.3">
      <c r="A2139" s="1" t="s">
        <v>5061</v>
      </c>
      <c r="B2139" s="1" t="s">
        <v>5061</v>
      </c>
      <c r="C2139" s="1" t="s">
        <v>5062</v>
      </c>
      <c r="D2139" s="1">
        <v>2020</v>
      </c>
      <c r="E2139" s="1" t="str">
        <f t="shared" si="8"/>
        <v>UAZHUNTER SPORT 4X4 2.72020</v>
      </c>
      <c r="F2139" s="1" t="s">
        <v>2417</v>
      </c>
      <c r="G2139" s="1">
        <v>7990000</v>
      </c>
      <c r="H2139" s="1">
        <v>13000000</v>
      </c>
    </row>
    <row r="2140" spans="1:8" ht="13.5" customHeight="1" x14ac:dyDescent="0.3">
      <c r="A2140" s="1" t="s">
        <v>311</v>
      </c>
      <c r="B2140" s="1" t="s">
        <v>312</v>
      </c>
      <c r="C2140" s="1" t="s">
        <v>5063</v>
      </c>
      <c r="D2140" s="1">
        <v>2016</v>
      </c>
      <c r="E2140" s="1" t="str">
        <f t="shared" si="8"/>
        <v>AMAROKAMAROK COMFORT 2.02016</v>
      </c>
      <c r="F2140" s="1" t="s">
        <v>836</v>
      </c>
      <c r="G2140" s="1">
        <v>9290000</v>
      </c>
      <c r="H2140" s="1">
        <v>8500000</v>
      </c>
    </row>
    <row r="2141" spans="1:8" ht="13.5" customHeight="1" x14ac:dyDescent="0.3">
      <c r="A2141" s="1" t="s">
        <v>311</v>
      </c>
      <c r="B2141" s="1" t="s">
        <v>312</v>
      </c>
      <c r="C2141" s="1" t="s">
        <v>5064</v>
      </c>
      <c r="D2141" s="1">
        <v>2019</v>
      </c>
      <c r="E2141" s="1" t="str">
        <f t="shared" si="8"/>
        <v>AMAROKAMAROK COMFORTLINE 2.02019</v>
      </c>
      <c r="F2141" s="1" t="s">
        <v>1733</v>
      </c>
      <c r="G2141" s="1">
        <v>12790000</v>
      </c>
      <c r="H2141" s="1">
        <v>11500000</v>
      </c>
    </row>
    <row r="2142" spans="1:8" ht="13.5" customHeight="1" x14ac:dyDescent="0.3">
      <c r="A2142" s="1" t="s">
        <v>311</v>
      </c>
      <c r="B2142" s="1" t="s">
        <v>312</v>
      </c>
      <c r="C2142" s="1" t="s">
        <v>313</v>
      </c>
      <c r="D2142" s="1">
        <v>2023</v>
      </c>
      <c r="E2142" s="1" t="str">
        <f t="shared" si="8"/>
        <v>AMAROKAMAROK DCAB TDI DOHC 4X4 2.0 AUT2023</v>
      </c>
      <c r="G2142" s="1">
        <v>33190000</v>
      </c>
      <c r="H2142" s="1">
        <v>0</v>
      </c>
    </row>
    <row r="2143" spans="1:8" ht="13.5" customHeight="1" x14ac:dyDescent="0.3">
      <c r="A2143" s="1" t="s">
        <v>311</v>
      </c>
      <c r="B2143" s="1" t="s">
        <v>312</v>
      </c>
      <c r="C2143" s="1" t="s">
        <v>5065</v>
      </c>
      <c r="D2143" s="1">
        <v>2019</v>
      </c>
      <c r="E2143" s="1" t="str">
        <f t="shared" si="8"/>
        <v>AMAROKAMAROK HIGHLINE 4X4 2.0 AT2019</v>
      </c>
      <c r="F2143" s="1" t="s">
        <v>1672</v>
      </c>
      <c r="G2143" s="1">
        <v>22890000</v>
      </c>
      <c r="H2143" s="1">
        <v>18000000</v>
      </c>
    </row>
    <row r="2144" spans="1:8" ht="13.5" customHeight="1" x14ac:dyDescent="0.3">
      <c r="A2144" s="1" t="s">
        <v>311</v>
      </c>
      <c r="B2144" s="1" t="s">
        <v>5066</v>
      </c>
      <c r="C2144" s="1" t="s">
        <v>5067</v>
      </c>
      <c r="D2144" s="1">
        <v>2015</v>
      </c>
      <c r="E2144" s="1" t="str">
        <f t="shared" si="8"/>
        <v>BEETLEBEETLE DESIGN 1.42015</v>
      </c>
      <c r="F2144" s="1" t="s">
        <v>2393</v>
      </c>
      <c r="G2144" s="1">
        <v>12590000</v>
      </c>
      <c r="H2144" s="1">
        <v>11000000</v>
      </c>
    </row>
    <row r="2145" spans="1:8" ht="13.5" customHeight="1" x14ac:dyDescent="0.3">
      <c r="A2145" s="1" t="s">
        <v>311</v>
      </c>
      <c r="B2145" s="1" t="s">
        <v>5068</v>
      </c>
      <c r="C2145" s="1" t="s">
        <v>5069</v>
      </c>
      <c r="D2145" s="1">
        <v>2020</v>
      </c>
      <c r="E2145" s="1" t="str">
        <f t="shared" si="8"/>
        <v>CROSST CROSS 1.62020</v>
      </c>
      <c r="F2145" s="1" t="s">
        <v>1561</v>
      </c>
      <c r="G2145" s="1">
        <v>11635620</v>
      </c>
      <c r="H2145" s="1">
        <v>10000000</v>
      </c>
    </row>
    <row r="2146" spans="1:8" ht="13.5" customHeight="1" x14ac:dyDescent="0.3">
      <c r="A2146" s="1" t="s">
        <v>311</v>
      </c>
      <c r="B2146" s="1" t="s">
        <v>5068</v>
      </c>
      <c r="C2146" s="1" t="s">
        <v>5069</v>
      </c>
      <c r="D2146" s="1">
        <v>2021</v>
      </c>
      <c r="E2146" s="1" t="str">
        <f t="shared" si="8"/>
        <v>CROSST CROSS 1.62021</v>
      </c>
      <c r="F2146" s="1" t="s">
        <v>712</v>
      </c>
      <c r="G2146" s="1">
        <v>11390000</v>
      </c>
      <c r="H2146" s="1">
        <v>9350000</v>
      </c>
    </row>
    <row r="2147" spans="1:8" ht="13.5" customHeight="1" x14ac:dyDescent="0.3">
      <c r="A2147" s="1" t="s">
        <v>311</v>
      </c>
      <c r="B2147" s="1" t="s">
        <v>5068</v>
      </c>
      <c r="C2147" s="1" t="s">
        <v>5069</v>
      </c>
      <c r="D2147" s="1">
        <v>2022</v>
      </c>
      <c r="E2147" s="1" t="str">
        <f t="shared" si="8"/>
        <v>CROSST CROSS 1.62022</v>
      </c>
      <c r="F2147" s="1" t="s">
        <v>1661</v>
      </c>
      <c r="G2147" s="1">
        <v>10690000</v>
      </c>
      <c r="H2147" s="1">
        <v>9000000</v>
      </c>
    </row>
    <row r="2148" spans="1:8" ht="13.5" customHeight="1" x14ac:dyDescent="0.3">
      <c r="A2148" s="1" t="s">
        <v>311</v>
      </c>
      <c r="B2148" s="1" t="s">
        <v>5068</v>
      </c>
      <c r="C2148" s="1" t="s">
        <v>5070</v>
      </c>
      <c r="D2148" s="1">
        <v>2021</v>
      </c>
      <c r="E2148" s="1" t="str">
        <f t="shared" si="8"/>
        <v>CROSST CROSS 4X2 1.6 AUT2021</v>
      </c>
      <c r="F2148" s="1" t="s">
        <v>1686</v>
      </c>
      <c r="G2148" s="1">
        <v>11636620</v>
      </c>
      <c r="H2148" s="1">
        <v>9700000</v>
      </c>
    </row>
    <row r="2149" spans="1:8" ht="13.5" customHeight="1" x14ac:dyDescent="0.3">
      <c r="A2149" s="1" t="s">
        <v>311</v>
      </c>
      <c r="B2149" s="1" t="s">
        <v>5068</v>
      </c>
      <c r="C2149" s="1" t="s">
        <v>5071</v>
      </c>
      <c r="D2149" s="1">
        <v>2021</v>
      </c>
      <c r="E2149" s="1" t="str">
        <f t="shared" si="8"/>
        <v>CROSST CROSS TRENDLINE 1.62021</v>
      </c>
      <c r="F2149" s="1" t="s">
        <v>1782</v>
      </c>
      <c r="G2149" s="1">
        <v>10990000</v>
      </c>
      <c r="H2149" s="1">
        <v>9000000</v>
      </c>
    </row>
    <row r="2150" spans="1:8" ht="13.5" customHeight="1" x14ac:dyDescent="0.3">
      <c r="A2150" s="1" t="s">
        <v>311</v>
      </c>
      <c r="B2150" s="1" t="s">
        <v>5068</v>
      </c>
      <c r="C2150" s="1" t="s">
        <v>5072</v>
      </c>
      <c r="D2150" s="1">
        <v>2022</v>
      </c>
      <c r="E2150" s="1" t="str">
        <f t="shared" si="8"/>
        <v>CROSST ROSS 1.62022</v>
      </c>
      <c r="F2150" s="1" t="s">
        <v>1897</v>
      </c>
      <c r="G2150" s="1">
        <v>13190000</v>
      </c>
      <c r="H2150" s="1">
        <v>10899159</v>
      </c>
    </row>
    <row r="2151" spans="1:8" ht="13.5" customHeight="1" x14ac:dyDescent="0.3">
      <c r="A2151" s="1" t="s">
        <v>311</v>
      </c>
      <c r="B2151" s="1" t="s">
        <v>3593</v>
      </c>
      <c r="C2151" s="1" t="s">
        <v>5073</v>
      </c>
      <c r="D2151" s="1">
        <v>2021</v>
      </c>
      <c r="E2151" s="1" t="str">
        <f t="shared" si="8"/>
        <v>GOLGOL HB 1.62021</v>
      </c>
      <c r="F2151" s="1" t="s">
        <v>1931</v>
      </c>
      <c r="G2151" s="1">
        <v>8290000</v>
      </c>
      <c r="H2151" s="1">
        <v>6000000</v>
      </c>
    </row>
    <row r="2152" spans="1:8" ht="13.5" customHeight="1" x14ac:dyDescent="0.3">
      <c r="A2152" s="1" t="s">
        <v>311</v>
      </c>
      <c r="B2152" s="1" t="s">
        <v>3593</v>
      </c>
      <c r="C2152" s="1" t="s">
        <v>5073</v>
      </c>
      <c r="D2152" s="1">
        <v>2022</v>
      </c>
      <c r="E2152" s="1" t="str">
        <f t="shared" si="8"/>
        <v>GOLGOL HB 1.62022</v>
      </c>
      <c r="F2152" s="1" t="s">
        <v>792</v>
      </c>
      <c r="G2152" s="1">
        <v>7890000</v>
      </c>
      <c r="H2152" s="1">
        <v>6500000</v>
      </c>
    </row>
    <row r="2153" spans="1:8" ht="13.5" customHeight="1" x14ac:dyDescent="0.3">
      <c r="A2153" s="1" t="s">
        <v>311</v>
      </c>
      <c r="B2153" s="1" t="s">
        <v>3593</v>
      </c>
      <c r="C2153" s="1" t="s">
        <v>5073</v>
      </c>
      <c r="D2153" s="1">
        <v>2022</v>
      </c>
      <c r="E2153" s="1" t="str">
        <f t="shared" si="8"/>
        <v>GOLGOL HB 1.62022</v>
      </c>
      <c r="F2153" s="1" t="s">
        <v>1619</v>
      </c>
      <c r="G2153" s="1">
        <v>8390000</v>
      </c>
      <c r="H2153" s="1">
        <v>6971997</v>
      </c>
    </row>
    <row r="2154" spans="1:8" ht="13.5" customHeight="1" x14ac:dyDescent="0.3">
      <c r="A2154" s="1" t="s">
        <v>311</v>
      </c>
      <c r="B2154" s="1" t="s">
        <v>3593</v>
      </c>
      <c r="C2154" s="1" t="s">
        <v>5073</v>
      </c>
      <c r="D2154" s="1">
        <v>2022</v>
      </c>
      <c r="E2154" s="1" t="str">
        <f t="shared" si="8"/>
        <v>GOLGOL HB 1.62022</v>
      </c>
      <c r="F2154" s="1" t="s">
        <v>1119</v>
      </c>
      <c r="G2154" s="1">
        <v>7790000</v>
      </c>
      <c r="H2154" s="1">
        <v>6300000</v>
      </c>
    </row>
    <row r="2155" spans="1:8" ht="13.5" customHeight="1" x14ac:dyDescent="0.3">
      <c r="A2155" s="1" t="s">
        <v>311</v>
      </c>
      <c r="B2155" s="1" t="s">
        <v>3593</v>
      </c>
      <c r="C2155" s="1" t="s">
        <v>5073</v>
      </c>
      <c r="D2155" s="1">
        <v>2022</v>
      </c>
      <c r="E2155" s="1" t="str">
        <f t="shared" si="8"/>
        <v>GOLGOL HB 1.62022</v>
      </c>
      <c r="F2155" s="1" t="s">
        <v>2065</v>
      </c>
      <c r="G2155" s="1">
        <v>8786090</v>
      </c>
      <c r="H2155" s="1">
        <v>7500000</v>
      </c>
    </row>
    <row r="2156" spans="1:8" ht="13.5" customHeight="1" x14ac:dyDescent="0.3">
      <c r="A2156" s="1" t="s">
        <v>311</v>
      </c>
      <c r="B2156" s="1" t="s">
        <v>3593</v>
      </c>
      <c r="C2156" s="1" t="s">
        <v>5074</v>
      </c>
      <c r="D2156" s="1">
        <v>2019</v>
      </c>
      <c r="E2156" s="1" t="str">
        <f t="shared" si="8"/>
        <v>GOLGOL HIGHLINE 1.62019</v>
      </c>
      <c r="F2156" s="1" t="s">
        <v>1354</v>
      </c>
      <c r="G2156" s="1">
        <v>7203120</v>
      </c>
      <c r="H2156" s="1">
        <v>5800000</v>
      </c>
    </row>
    <row r="2157" spans="1:8" ht="13.5" customHeight="1" x14ac:dyDescent="0.3">
      <c r="A2157" s="1" t="s">
        <v>311</v>
      </c>
      <c r="B2157" s="1" t="s">
        <v>3593</v>
      </c>
      <c r="C2157" s="1" t="s">
        <v>5075</v>
      </c>
      <c r="D2157" s="1">
        <v>2018</v>
      </c>
      <c r="E2157" s="1" t="str">
        <f t="shared" si="8"/>
        <v>GOLGOL TRENDLINE 1.62018</v>
      </c>
      <c r="F2157" s="1" t="s">
        <v>1601</v>
      </c>
      <c r="G2157" s="1">
        <v>5590000</v>
      </c>
      <c r="H2157" s="1">
        <v>4500000</v>
      </c>
    </row>
    <row r="2158" spans="1:8" ht="13.5" customHeight="1" x14ac:dyDescent="0.3">
      <c r="A2158" s="1" t="s">
        <v>311</v>
      </c>
      <c r="B2158" s="1" t="s">
        <v>2979</v>
      </c>
      <c r="C2158" s="1" t="s">
        <v>5076</v>
      </c>
      <c r="D2158" s="1">
        <v>2017</v>
      </c>
      <c r="E2158" s="1" t="str">
        <f t="shared" si="8"/>
        <v>GOLFGOLF HATCHBACK 1.62017</v>
      </c>
      <c r="F2158" s="1" t="s">
        <v>2980</v>
      </c>
      <c r="G2158" s="1">
        <v>10490000</v>
      </c>
      <c r="H2158" s="1">
        <v>10312000</v>
      </c>
    </row>
    <row r="2159" spans="1:8" ht="13.5" customHeight="1" x14ac:dyDescent="0.3">
      <c r="A2159" s="1" t="s">
        <v>311</v>
      </c>
      <c r="B2159" s="1" t="s">
        <v>3865</v>
      </c>
      <c r="C2159" s="1" t="s">
        <v>5077</v>
      </c>
      <c r="D2159" s="1">
        <v>2022</v>
      </c>
      <c r="E2159" s="1" t="str">
        <f t="shared" si="8"/>
        <v>NIVUSNIVUS TSI 1.02022</v>
      </c>
      <c r="F2159" s="1" t="s">
        <v>1111</v>
      </c>
      <c r="G2159" s="1">
        <v>13290000</v>
      </c>
      <c r="H2159" s="1">
        <v>10800000</v>
      </c>
    </row>
    <row r="2160" spans="1:8" ht="13.5" customHeight="1" x14ac:dyDescent="0.3">
      <c r="A2160" s="1" t="s">
        <v>311</v>
      </c>
      <c r="B2160" s="1" t="s">
        <v>3865</v>
      </c>
      <c r="C2160" s="1" t="s">
        <v>5078</v>
      </c>
      <c r="D2160" s="1">
        <v>2021</v>
      </c>
      <c r="E2160" s="1" t="str">
        <f t="shared" si="8"/>
        <v>NIVUSNIVUS TSI 1.0 AUT2021</v>
      </c>
      <c r="F2160" s="1" t="s">
        <v>1696</v>
      </c>
      <c r="G2160" s="1">
        <v>9990000</v>
      </c>
      <c r="H2160" s="1">
        <v>8500000</v>
      </c>
    </row>
    <row r="2161" spans="1:8" ht="13.5" customHeight="1" x14ac:dyDescent="0.3">
      <c r="A2161" s="1" t="s">
        <v>311</v>
      </c>
      <c r="B2161" s="1" t="s">
        <v>3865</v>
      </c>
      <c r="C2161" s="1" t="s">
        <v>5078</v>
      </c>
      <c r="D2161" s="1">
        <v>2022</v>
      </c>
      <c r="E2161" s="1" t="str">
        <f t="shared" si="8"/>
        <v>NIVUSNIVUS TSI 1.0 AUT2022</v>
      </c>
      <c r="F2161" s="1" t="s">
        <v>1155</v>
      </c>
      <c r="G2161" s="1">
        <v>13990000</v>
      </c>
      <c r="H2161" s="1">
        <v>11500000</v>
      </c>
    </row>
    <row r="2162" spans="1:8" ht="13.5" customHeight="1" x14ac:dyDescent="0.3">
      <c r="A2162" s="1" t="s">
        <v>311</v>
      </c>
      <c r="B2162" s="1" t="s">
        <v>3865</v>
      </c>
      <c r="C2162" s="1" t="s">
        <v>5079</v>
      </c>
      <c r="D2162" s="1">
        <v>2021</v>
      </c>
      <c r="E2162" s="1" t="str">
        <f t="shared" si="8"/>
        <v>NIVUSNIVUS TSI HIGHLINE 1.0 AUT2021</v>
      </c>
      <c r="F2162" s="1" t="s">
        <v>1450</v>
      </c>
      <c r="G2162" s="1">
        <v>12290000</v>
      </c>
      <c r="H2162" s="1">
        <v>10500000</v>
      </c>
    </row>
    <row r="2163" spans="1:8" ht="13.5" customHeight="1" x14ac:dyDescent="0.3">
      <c r="A2163" s="1" t="s">
        <v>311</v>
      </c>
      <c r="B2163" s="1" t="s">
        <v>2580</v>
      </c>
      <c r="C2163" s="1" t="s">
        <v>5080</v>
      </c>
      <c r="D2163" s="1">
        <v>2022</v>
      </c>
      <c r="E2163" s="1" t="str">
        <f t="shared" si="8"/>
        <v>POLOPOLO 1.62022</v>
      </c>
      <c r="F2163" s="1" t="s">
        <v>561</v>
      </c>
      <c r="G2163" s="1">
        <v>9990000</v>
      </c>
      <c r="H2163" s="1">
        <v>8550000</v>
      </c>
    </row>
    <row r="2164" spans="1:8" ht="13.5" customHeight="1" x14ac:dyDescent="0.3">
      <c r="A2164" s="1" t="s">
        <v>311</v>
      </c>
      <c r="B2164" s="1" t="s">
        <v>2580</v>
      </c>
      <c r="C2164" s="1" t="s">
        <v>5081</v>
      </c>
      <c r="D2164" s="1">
        <v>2018</v>
      </c>
      <c r="E2164" s="1" t="str">
        <f t="shared" si="8"/>
        <v>POLOPOLO HIGHLINE 1.62018</v>
      </c>
      <c r="F2164" s="1" t="s">
        <v>1107</v>
      </c>
      <c r="G2164" s="1">
        <v>8490000</v>
      </c>
      <c r="H2164" s="1">
        <v>6500000</v>
      </c>
    </row>
    <row r="2165" spans="1:8" ht="13.5" customHeight="1" x14ac:dyDescent="0.3">
      <c r="A2165" s="1" t="s">
        <v>311</v>
      </c>
      <c r="B2165" s="1" t="s">
        <v>315</v>
      </c>
      <c r="C2165" s="1" t="s">
        <v>5082</v>
      </c>
      <c r="D2165" s="1">
        <v>2023</v>
      </c>
      <c r="E2165" s="1" t="str">
        <f t="shared" si="8"/>
        <v>SAVEIROSAVEIRO CD 1.62023</v>
      </c>
      <c r="F2165" s="1" t="s">
        <v>1258</v>
      </c>
      <c r="G2165" s="1">
        <v>12000000</v>
      </c>
      <c r="H2165" s="1">
        <v>10000000</v>
      </c>
    </row>
    <row r="2166" spans="1:8" ht="13.5" customHeight="1" x14ac:dyDescent="0.3">
      <c r="A2166" s="1" t="s">
        <v>311</v>
      </c>
      <c r="B2166" s="1" t="s">
        <v>315</v>
      </c>
      <c r="C2166" s="1" t="s">
        <v>5083</v>
      </c>
      <c r="D2166" s="1">
        <v>2021</v>
      </c>
      <c r="E2166" s="1" t="str">
        <f t="shared" si="8"/>
        <v>SAVEIROSAVEIRO D CAB 1.62021</v>
      </c>
      <c r="F2166" s="1" t="s">
        <v>807</v>
      </c>
      <c r="G2166" s="1">
        <v>9490000</v>
      </c>
      <c r="H2166" s="1">
        <v>7000000</v>
      </c>
    </row>
    <row r="2167" spans="1:8" ht="13.5" customHeight="1" x14ac:dyDescent="0.3">
      <c r="A2167" s="1" t="s">
        <v>311</v>
      </c>
      <c r="B2167" s="1" t="s">
        <v>5084</v>
      </c>
      <c r="C2167" s="1" t="s">
        <v>5085</v>
      </c>
      <c r="D2167" s="1">
        <v>2022</v>
      </c>
      <c r="E2167" s="1" t="str">
        <f t="shared" si="8"/>
        <v>T CROSST CROSS TSI 1.02022</v>
      </c>
      <c r="F2167" s="1" t="s">
        <v>980</v>
      </c>
      <c r="G2167" s="1">
        <v>12964560</v>
      </c>
      <c r="H2167" s="1">
        <v>11000000</v>
      </c>
    </row>
    <row r="2168" spans="1:8" ht="13.5" customHeight="1" x14ac:dyDescent="0.3">
      <c r="A2168" s="1" t="s">
        <v>311</v>
      </c>
      <c r="B2168" s="1" t="s">
        <v>5084</v>
      </c>
      <c r="C2168" s="1" t="s">
        <v>5085</v>
      </c>
      <c r="D2168" s="1">
        <v>2023</v>
      </c>
      <c r="E2168" s="1" t="str">
        <f t="shared" si="8"/>
        <v>T CROSST CROSS TSI 1.02023</v>
      </c>
      <c r="F2168" s="1" t="s">
        <v>698</v>
      </c>
      <c r="G2168" s="1">
        <v>12990000</v>
      </c>
      <c r="H2168" s="1">
        <v>11000000</v>
      </c>
    </row>
    <row r="2169" spans="1:8" ht="13.5" customHeight="1" x14ac:dyDescent="0.3">
      <c r="A2169" s="1" t="s">
        <v>311</v>
      </c>
      <c r="B2169" s="1" t="s">
        <v>3599</v>
      </c>
      <c r="C2169" s="1" t="s">
        <v>5086</v>
      </c>
      <c r="D2169" s="1">
        <v>2022</v>
      </c>
      <c r="E2169" s="1" t="str">
        <f t="shared" si="8"/>
        <v>TAOSTAOS TSI 1.4 AT2022</v>
      </c>
      <c r="F2169" s="1" t="s">
        <v>1281</v>
      </c>
      <c r="G2169" s="1">
        <v>17348620</v>
      </c>
      <c r="H2169" s="1">
        <v>14500000</v>
      </c>
    </row>
    <row r="2170" spans="1:8" ht="13.5" customHeight="1" x14ac:dyDescent="0.3">
      <c r="A2170" s="1" t="s">
        <v>311</v>
      </c>
      <c r="B2170" s="1" t="s">
        <v>3599</v>
      </c>
      <c r="C2170" s="1" t="s">
        <v>5086</v>
      </c>
      <c r="D2170" s="1">
        <v>2023</v>
      </c>
      <c r="E2170" s="1" t="str">
        <f t="shared" si="8"/>
        <v>TAOSTAOS TSI 1.4 AT2023</v>
      </c>
      <c r="F2170" s="1" t="s">
        <v>751</v>
      </c>
      <c r="G2170" s="1">
        <v>18190000</v>
      </c>
      <c r="H2170" s="1">
        <v>15500000</v>
      </c>
    </row>
    <row r="2171" spans="1:8" ht="13.5" customHeight="1" x14ac:dyDescent="0.3">
      <c r="A2171" s="1" t="s">
        <v>311</v>
      </c>
      <c r="B2171" s="1" t="s">
        <v>3599</v>
      </c>
      <c r="C2171" s="1" t="s">
        <v>5086</v>
      </c>
      <c r="D2171" s="1">
        <v>2023</v>
      </c>
      <c r="E2171" s="1" t="str">
        <f t="shared" si="8"/>
        <v>TAOSTAOS TSI 1.4 AT2023</v>
      </c>
      <c r="F2171" s="1" t="s">
        <v>958</v>
      </c>
      <c r="G2171" s="1">
        <v>20690000</v>
      </c>
      <c r="H2171" s="1">
        <v>17500000</v>
      </c>
    </row>
    <row r="2172" spans="1:8" ht="13.5" customHeight="1" x14ac:dyDescent="0.3">
      <c r="A2172" s="1" t="s">
        <v>311</v>
      </c>
      <c r="B2172" s="1" t="s">
        <v>3713</v>
      </c>
      <c r="C2172" s="1" t="s">
        <v>5087</v>
      </c>
      <c r="D2172" s="1">
        <v>2020</v>
      </c>
      <c r="E2172" s="1" t="str">
        <f t="shared" si="8"/>
        <v>TIGUANTIGUAN 1.42020</v>
      </c>
      <c r="F2172" s="1" t="s">
        <v>2344</v>
      </c>
      <c r="G2172" s="1">
        <v>16881460</v>
      </c>
      <c r="H2172" s="1">
        <v>15000000</v>
      </c>
    </row>
    <row r="2173" spans="1:8" ht="13.5" customHeight="1" x14ac:dyDescent="0.3">
      <c r="A2173" s="1" t="s">
        <v>311</v>
      </c>
      <c r="B2173" s="1" t="s">
        <v>3713</v>
      </c>
      <c r="C2173" s="1" t="s">
        <v>5088</v>
      </c>
      <c r="D2173" s="1">
        <v>2020</v>
      </c>
      <c r="E2173" s="1" t="str">
        <f t="shared" si="8"/>
        <v>TIGUANTIGUAN OTTO 1.4 AUT2020</v>
      </c>
      <c r="F2173" s="1" t="s">
        <v>2300</v>
      </c>
      <c r="G2173" s="1">
        <v>17990000</v>
      </c>
      <c r="H2173" s="1">
        <v>15000000</v>
      </c>
    </row>
    <row r="2174" spans="1:8" ht="13.5" customHeight="1" x14ac:dyDescent="0.3">
      <c r="A2174" s="1" t="s">
        <v>311</v>
      </c>
      <c r="B2174" s="1" t="s">
        <v>3713</v>
      </c>
      <c r="C2174" s="1" t="s">
        <v>5089</v>
      </c>
      <c r="D2174" s="1">
        <v>2019</v>
      </c>
      <c r="E2174" s="1" t="str">
        <f t="shared" si="8"/>
        <v>TIGUANTIGUAN TSI 1.4 AUT2019</v>
      </c>
      <c r="F2174" s="1" t="s">
        <v>1329</v>
      </c>
      <c r="G2174" s="1">
        <v>12890000</v>
      </c>
      <c r="H2174" s="1">
        <v>11500000</v>
      </c>
    </row>
    <row r="2175" spans="1:8" ht="13.5" customHeight="1" x14ac:dyDescent="0.3">
      <c r="A2175" s="1" t="s">
        <v>311</v>
      </c>
      <c r="B2175" s="1" t="s">
        <v>3713</v>
      </c>
      <c r="C2175" s="1" t="s">
        <v>5090</v>
      </c>
      <c r="D2175" s="1">
        <v>2023</v>
      </c>
      <c r="E2175" s="1" t="str">
        <f t="shared" si="8"/>
        <v>TIGUANTIGUAN TSI 4X2 1.4 AUT2023</v>
      </c>
      <c r="F2175" s="1" t="s">
        <v>375</v>
      </c>
      <c r="G2175" s="1">
        <v>23000000</v>
      </c>
      <c r="H2175" s="1">
        <v>20000000</v>
      </c>
    </row>
    <row r="2176" spans="1:8" ht="13.5" customHeight="1" x14ac:dyDescent="0.3">
      <c r="A2176" s="1" t="s">
        <v>311</v>
      </c>
      <c r="B2176" s="1" t="s">
        <v>2692</v>
      </c>
      <c r="C2176" s="1" t="s">
        <v>5091</v>
      </c>
      <c r="D2176" s="1">
        <v>2023</v>
      </c>
      <c r="E2176" s="1" t="str">
        <f t="shared" si="8"/>
        <v>VIRTUSVIRTUS TRENDLINE 1.62023</v>
      </c>
      <c r="F2176" s="1" t="s">
        <v>1290</v>
      </c>
      <c r="G2176" s="1">
        <v>10690000</v>
      </c>
      <c r="H2176" s="1">
        <v>9000000</v>
      </c>
    </row>
    <row r="2177" spans="1:8" ht="13.5" customHeight="1" x14ac:dyDescent="0.3">
      <c r="A2177" s="1" t="s">
        <v>311</v>
      </c>
      <c r="B2177" s="1" t="s">
        <v>3438</v>
      </c>
      <c r="C2177" s="1" t="s">
        <v>5092</v>
      </c>
      <c r="D2177" s="1">
        <v>2021</v>
      </c>
      <c r="E2177" s="1" t="str">
        <f t="shared" si="8"/>
        <v>VOYAGEVOYAGE 1.62021</v>
      </c>
      <c r="F2177" s="1" t="s">
        <v>2152</v>
      </c>
      <c r="G2177" s="1">
        <v>8990000</v>
      </c>
      <c r="H2177" s="1">
        <v>7000000</v>
      </c>
    </row>
    <row r="2178" spans="1:8" ht="13.5" customHeight="1" x14ac:dyDescent="0.3">
      <c r="A2178" s="1" t="s">
        <v>311</v>
      </c>
      <c r="B2178" s="1" t="s">
        <v>3438</v>
      </c>
      <c r="C2178" s="1" t="s">
        <v>5093</v>
      </c>
      <c r="D2178" s="1">
        <v>2020</v>
      </c>
      <c r="E2178" s="1" t="str">
        <f t="shared" si="8"/>
        <v>VOYAGEVOYAGE TRENDLINE 1.62020</v>
      </c>
      <c r="F2178" s="1" t="s">
        <v>1208</v>
      </c>
      <c r="G2178" s="1">
        <v>6415120</v>
      </c>
      <c r="H2178" s="1">
        <v>5500000</v>
      </c>
    </row>
    <row r="2179" spans="1:8" ht="13.5" customHeight="1" x14ac:dyDescent="0.3">
      <c r="A2179" s="1" t="s">
        <v>5094</v>
      </c>
      <c r="B2179" s="1" t="s">
        <v>5094</v>
      </c>
      <c r="C2179" s="1" t="s">
        <v>5095</v>
      </c>
      <c r="D2179" s="1">
        <v>2019</v>
      </c>
      <c r="E2179" s="1" t="str">
        <f t="shared" si="8"/>
        <v>VOLVOV40 D2 MOMENTUM 2.02019</v>
      </c>
      <c r="G2179" s="1">
        <v>12990000</v>
      </c>
      <c r="H2179" s="1">
        <v>0</v>
      </c>
    </row>
    <row r="2180" spans="1:8" ht="13.5" customHeight="1" x14ac:dyDescent="0.3">
      <c r="A2180" s="1" t="s">
        <v>5094</v>
      </c>
      <c r="B2180" s="1" t="s">
        <v>5094</v>
      </c>
      <c r="C2180" s="1" t="s">
        <v>5095</v>
      </c>
      <c r="D2180" s="1">
        <v>2019</v>
      </c>
      <c r="E2180" s="1" t="str">
        <f t="shared" si="8"/>
        <v>VOLVOV40 D2 MOMENTUM 2.02019</v>
      </c>
      <c r="F2180" s="1" t="s">
        <v>1511</v>
      </c>
      <c r="G2180" s="1">
        <v>12990000</v>
      </c>
      <c r="H2180" s="1">
        <v>11000000</v>
      </c>
    </row>
    <row r="2181" spans="1:8" ht="13.5" customHeight="1" x14ac:dyDescent="0.3">
      <c r="A2181" s="1" t="s">
        <v>5094</v>
      </c>
      <c r="B2181" s="1" t="s">
        <v>5094</v>
      </c>
      <c r="C2181" s="1" t="s">
        <v>5096</v>
      </c>
      <c r="D2181" s="1">
        <v>2018</v>
      </c>
      <c r="E2181" s="1" t="str">
        <f t="shared" si="8"/>
        <v>VOLVOV60CC T5 4X4 2.0 AUT2018</v>
      </c>
      <c r="F2181" s="1" t="s">
        <v>1703</v>
      </c>
      <c r="G2181" s="1">
        <v>14690000</v>
      </c>
      <c r="H2181" s="1">
        <v>12500000</v>
      </c>
    </row>
    <row r="2182" spans="1:8" ht="13.5" customHeight="1" x14ac:dyDescent="0.3">
      <c r="A2182" s="1" t="s">
        <v>5094</v>
      </c>
      <c r="B2182" s="1" t="s">
        <v>5097</v>
      </c>
      <c r="C2182" s="1" t="s">
        <v>5098</v>
      </c>
      <c r="D2182" s="1">
        <v>2024</v>
      </c>
      <c r="E2182" s="1" t="str">
        <f t="shared" si="8"/>
        <v>XC40XC40 B4 ULTIMATE 2.0 AUT2024</v>
      </c>
      <c r="F2182" s="1" t="s">
        <v>1043</v>
      </c>
      <c r="G2182" s="1">
        <v>33990000</v>
      </c>
      <c r="H2182" s="1">
        <v>29000000</v>
      </c>
    </row>
    <row r="2183" spans="1:8" ht="13.5" customHeight="1" x14ac:dyDescent="0.3">
      <c r="A2183" s="1" t="s">
        <v>317</v>
      </c>
      <c r="B2183" s="1" t="s">
        <v>5099</v>
      </c>
      <c r="C2183" s="1" t="s">
        <v>5100</v>
      </c>
      <c r="D2183" s="1">
        <v>2020</v>
      </c>
      <c r="E2183" s="1" t="str">
        <f t="shared" si="8"/>
        <v>ZXTERRALORD D CAB LUX 2.52020</v>
      </c>
      <c r="F2183" s="1" t="s">
        <v>1388</v>
      </c>
      <c r="G2183" s="1">
        <v>20180000</v>
      </c>
      <c r="H2183" s="1">
        <v>17000000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F8EB-CC20-4F1D-98C1-2F4537551CFE}">
  <dimension ref="A1:F81"/>
  <sheetViews>
    <sheetView workbookViewId="0">
      <selection activeCell="I9" sqref="I9"/>
    </sheetView>
  </sheetViews>
  <sheetFormatPr baseColWidth="10" defaultRowHeight="14.4" x14ac:dyDescent="0.3"/>
  <cols>
    <col min="1" max="1" width="23.77734375" bestFit="1" customWidth="1"/>
    <col min="2" max="2" width="28.109375" bestFit="1" customWidth="1"/>
    <col min="4" max="4" width="12.33203125" bestFit="1" customWidth="1"/>
    <col min="6" max="6" width="24.5546875" bestFit="1" customWidth="1"/>
  </cols>
  <sheetData>
    <row r="1" spans="1:6" x14ac:dyDescent="0.3">
      <c r="A1" s="27" t="s">
        <v>5101</v>
      </c>
      <c r="B1" t="s">
        <v>5142</v>
      </c>
    </row>
    <row r="3" spans="1:6" x14ac:dyDescent="0.3">
      <c r="A3" s="27" t="s">
        <v>0</v>
      </c>
      <c r="B3" s="27" t="s">
        <v>1</v>
      </c>
      <c r="C3" s="27" t="s">
        <v>4</v>
      </c>
      <c r="D3" s="27" t="s">
        <v>5120</v>
      </c>
      <c r="E3" s="27" t="s">
        <v>5</v>
      </c>
      <c r="F3" s="27" t="s">
        <v>3</v>
      </c>
    </row>
    <row r="4" spans="1:6" x14ac:dyDescent="0.3">
      <c r="A4" t="s">
        <v>18</v>
      </c>
      <c r="B4" t="s">
        <v>19</v>
      </c>
      <c r="C4">
        <v>2025</v>
      </c>
      <c r="D4">
        <v>126</v>
      </c>
      <c r="E4" t="s">
        <v>22</v>
      </c>
      <c r="F4" t="s">
        <v>26</v>
      </c>
    </row>
    <row r="5" spans="1:6" x14ac:dyDescent="0.3">
      <c r="A5" t="s">
        <v>18</v>
      </c>
      <c r="B5" t="s">
        <v>24</v>
      </c>
      <c r="C5">
        <v>2024</v>
      </c>
      <c r="D5">
        <v>214</v>
      </c>
      <c r="E5" t="s">
        <v>27</v>
      </c>
      <c r="F5" t="s">
        <v>26</v>
      </c>
    </row>
    <row r="6" spans="1:6" x14ac:dyDescent="0.3">
      <c r="A6" t="s">
        <v>2494</v>
      </c>
      <c r="B6" t="s">
        <v>2494</v>
      </c>
      <c r="C6">
        <v>2022</v>
      </c>
      <c r="D6">
        <v>70</v>
      </c>
      <c r="E6" t="s">
        <v>7704</v>
      </c>
      <c r="F6" t="s">
        <v>26</v>
      </c>
    </row>
    <row r="7" spans="1:6" x14ac:dyDescent="0.3">
      <c r="A7" t="s">
        <v>28</v>
      </c>
      <c r="B7" t="s">
        <v>4019</v>
      </c>
      <c r="C7">
        <v>2019</v>
      </c>
      <c r="D7">
        <v>63</v>
      </c>
      <c r="E7" t="s">
        <v>7838</v>
      </c>
      <c r="F7" t="s">
        <v>40</v>
      </c>
    </row>
    <row r="8" spans="1:6" x14ac:dyDescent="0.3">
      <c r="A8" t="s">
        <v>28</v>
      </c>
      <c r="B8" t="s">
        <v>31</v>
      </c>
      <c r="C8">
        <v>2021</v>
      </c>
      <c r="D8">
        <v>292</v>
      </c>
      <c r="E8" t="s">
        <v>34</v>
      </c>
      <c r="F8" t="s">
        <v>33</v>
      </c>
    </row>
    <row r="9" spans="1:6" x14ac:dyDescent="0.3">
      <c r="A9" t="s">
        <v>28</v>
      </c>
      <c r="B9" t="s">
        <v>35</v>
      </c>
      <c r="C9">
        <v>2026</v>
      </c>
      <c r="D9">
        <v>102</v>
      </c>
      <c r="E9" t="s">
        <v>37</v>
      </c>
      <c r="F9" t="s">
        <v>26</v>
      </c>
    </row>
    <row r="10" spans="1:6" x14ac:dyDescent="0.3">
      <c r="A10" t="s">
        <v>28</v>
      </c>
      <c r="B10" t="s">
        <v>38</v>
      </c>
      <c r="C10">
        <v>2022</v>
      </c>
      <c r="D10">
        <v>187</v>
      </c>
      <c r="E10" t="s">
        <v>41</v>
      </c>
      <c r="F10" t="s">
        <v>40</v>
      </c>
    </row>
    <row r="11" spans="1:6" x14ac:dyDescent="0.3">
      <c r="A11" t="s">
        <v>45</v>
      </c>
      <c r="B11" t="s">
        <v>46</v>
      </c>
      <c r="C11">
        <v>2017</v>
      </c>
      <c r="D11">
        <v>348</v>
      </c>
      <c r="E11" t="s">
        <v>48</v>
      </c>
      <c r="F11" t="s">
        <v>40</v>
      </c>
    </row>
    <row r="12" spans="1:6" x14ac:dyDescent="0.3">
      <c r="A12" t="s">
        <v>45</v>
      </c>
      <c r="B12" t="s">
        <v>49</v>
      </c>
      <c r="C12">
        <v>2023</v>
      </c>
      <c r="D12">
        <v>291</v>
      </c>
      <c r="E12" t="s">
        <v>51</v>
      </c>
      <c r="F12" t="s">
        <v>26</v>
      </c>
    </row>
    <row r="13" spans="1:6" x14ac:dyDescent="0.3">
      <c r="A13" t="s">
        <v>45</v>
      </c>
      <c r="B13" t="s">
        <v>55</v>
      </c>
      <c r="C13">
        <v>2020</v>
      </c>
      <c r="D13">
        <v>131</v>
      </c>
      <c r="E13" t="s">
        <v>56</v>
      </c>
      <c r="F13" t="s">
        <v>26</v>
      </c>
    </row>
    <row r="14" spans="1:6" x14ac:dyDescent="0.3">
      <c r="A14" t="s">
        <v>60</v>
      </c>
      <c r="B14" t="s">
        <v>61</v>
      </c>
      <c r="C14">
        <v>2019</v>
      </c>
      <c r="D14">
        <v>98</v>
      </c>
      <c r="E14" t="s">
        <v>64</v>
      </c>
      <c r="F14" t="s">
        <v>40</v>
      </c>
    </row>
    <row r="15" spans="1:6" x14ac:dyDescent="0.3">
      <c r="A15" t="s">
        <v>60</v>
      </c>
      <c r="B15" t="s">
        <v>65</v>
      </c>
      <c r="C15">
        <v>2020</v>
      </c>
      <c r="D15">
        <v>588</v>
      </c>
      <c r="E15" t="s">
        <v>67</v>
      </c>
      <c r="F15" t="s">
        <v>40</v>
      </c>
    </row>
    <row r="16" spans="1:6" x14ac:dyDescent="0.3">
      <c r="A16" t="s">
        <v>68</v>
      </c>
      <c r="B16" t="s">
        <v>4130</v>
      </c>
      <c r="C16">
        <v>2025</v>
      </c>
      <c r="D16">
        <v>84</v>
      </c>
      <c r="E16" t="s">
        <v>325</v>
      </c>
      <c r="F16" t="s">
        <v>40</v>
      </c>
    </row>
    <row r="17" spans="1:6" x14ac:dyDescent="0.3">
      <c r="A17" t="s">
        <v>68</v>
      </c>
      <c r="B17" t="s">
        <v>79</v>
      </c>
      <c r="C17">
        <v>2025</v>
      </c>
      <c r="D17">
        <v>145</v>
      </c>
      <c r="E17" t="s">
        <v>81</v>
      </c>
      <c r="F17" t="s">
        <v>26</v>
      </c>
    </row>
    <row r="18" spans="1:6" x14ac:dyDescent="0.3">
      <c r="A18" t="s">
        <v>82</v>
      </c>
      <c r="B18" t="s">
        <v>3030</v>
      </c>
      <c r="C18">
        <v>2025</v>
      </c>
      <c r="D18">
        <v>77</v>
      </c>
      <c r="E18" t="s">
        <v>3031</v>
      </c>
      <c r="F18" t="s">
        <v>26</v>
      </c>
    </row>
    <row r="19" spans="1:6" x14ac:dyDescent="0.3">
      <c r="A19" t="s">
        <v>86</v>
      </c>
      <c r="B19" t="s">
        <v>93</v>
      </c>
      <c r="C19">
        <v>2020</v>
      </c>
      <c r="D19">
        <v>1245</v>
      </c>
      <c r="E19" t="s">
        <v>97</v>
      </c>
      <c r="F19" t="s">
        <v>40</v>
      </c>
    </row>
    <row r="20" spans="1:6" x14ac:dyDescent="0.3">
      <c r="A20" t="s">
        <v>86</v>
      </c>
      <c r="B20" t="s">
        <v>93</v>
      </c>
      <c r="C20">
        <v>2024</v>
      </c>
      <c r="D20">
        <v>816</v>
      </c>
      <c r="E20" t="s">
        <v>95</v>
      </c>
      <c r="F20" t="s">
        <v>26</v>
      </c>
    </row>
    <row r="21" spans="1:6" x14ac:dyDescent="0.3">
      <c r="A21" t="s">
        <v>86</v>
      </c>
      <c r="B21" t="s">
        <v>98</v>
      </c>
      <c r="C21">
        <v>2018</v>
      </c>
      <c r="D21">
        <v>72</v>
      </c>
      <c r="E21" t="s">
        <v>3827</v>
      </c>
      <c r="F21" t="s">
        <v>116</v>
      </c>
    </row>
    <row r="22" spans="1:6" x14ac:dyDescent="0.3">
      <c r="A22" t="s">
        <v>86</v>
      </c>
      <c r="B22" t="s">
        <v>98</v>
      </c>
      <c r="C22">
        <v>2023</v>
      </c>
      <c r="D22">
        <v>173</v>
      </c>
      <c r="E22" t="s">
        <v>101</v>
      </c>
      <c r="F22" t="s">
        <v>26</v>
      </c>
    </row>
    <row r="23" spans="1:6" x14ac:dyDescent="0.3">
      <c r="A23" t="s">
        <v>86</v>
      </c>
      <c r="B23" t="s">
        <v>98</v>
      </c>
      <c r="C23">
        <v>2023</v>
      </c>
      <c r="D23">
        <v>194</v>
      </c>
      <c r="E23" t="s">
        <v>100</v>
      </c>
      <c r="F23" t="s">
        <v>26</v>
      </c>
    </row>
    <row r="24" spans="1:6" x14ac:dyDescent="0.3">
      <c r="A24" t="s">
        <v>86</v>
      </c>
      <c r="B24" t="s">
        <v>98</v>
      </c>
      <c r="C24">
        <v>2024</v>
      </c>
      <c r="D24">
        <v>96</v>
      </c>
      <c r="E24" t="s">
        <v>102</v>
      </c>
      <c r="F24" t="s">
        <v>26</v>
      </c>
    </row>
    <row r="25" spans="1:6" x14ac:dyDescent="0.3">
      <c r="A25" t="s">
        <v>86</v>
      </c>
      <c r="B25" t="s">
        <v>106</v>
      </c>
      <c r="C25">
        <v>2020</v>
      </c>
      <c r="D25">
        <v>163</v>
      </c>
      <c r="E25" t="s">
        <v>110</v>
      </c>
      <c r="F25" t="s">
        <v>40</v>
      </c>
    </row>
    <row r="26" spans="1:6" x14ac:dyDescent="0.3">
      <c r="A26" t="s">
        <v>86</v>
      </c>
      <c r="B26" t="s">
        <v>111</v>
      </c>
      <c r="C26">
        <v>2020</v>
      </c>
      <c r="D26">
        <v>284</v>
      </c>
      <c r="E26" t="s">
        <v>117</v>
      </c>
      <c r="F26" t="s">
        <v>116</v>
      </c>
    </row>
    <row r="27" spans="1:6" x14ac:dyDescent="0.3">
      <c r="A27" t="s">
        <v>86</v>
      </c>
      <c r="B27" t="s">
        <v>111</v>
      </c>
      <c r="C27">
        <v>2020</v>
      </c>
      <c r="D27">
        <v>284</v>
      </c>
      <c r="E27" t="s">
        <v>115</v>
      </c>
      <c r="F27" t="s">
        <v>26</v>
      </c>
    </row>
    <row r="28" spans="1:6" x14ac:dyDescent="0.3">
      <c r="A28" t="s">
        <v>86</v>
      </c>
      <c r="B28" t="s">
        <v>122</v>
      </c>
      <c r="C28">
        <v>2023</v>
      </c>
      <c r="D28">
        <v>145</v>
      </c>
      <c r="E28" t="s">
        <v>133</v>
      </c>
      <c r="F28" t="s">
        <v>26</v>
      </c>
    </row>
    <row r="29" spans="1:6" x14ac:dyDescent="0.3">
      <c r="A29" t="s">
        <v>86</v>
      </c>
      <c r="B29" t="s">
        <v>122</v>
      </c>
      <c r="C29">
        <v>2023</v>
      </c>
      <c r="D29">
        <v>168</v>
      </c>
      <c r="E29" t="s">
        <v>126</v>
      </c>
      <c r="F29" t="s">
        <v>26</v>
      </c>
    </row>
    <row r="30" spans="1:6" x14ac:dyDescent="0.3">
      <c r="A30" t="s">
        <v>86</v>
      </c>
      <c r="B30" t="s">
        <v>122</v>
      </c>
      <c r="C30">
        <v>2024</v>
      </c>
      <c r="D30">
        <v>215</v>
      </c>
      <c r="E30" t="s">
        <v>128</v>
      </c>
      <c r="F30" t="s">
        <v>26</v>
      </c>
    </row>
    <row r="31" spans="1:6" x14ac:dyDescent="0.3">
      <c r="A31" t="s">
        <v>86</v>
      </c>
      <c r="B31" t="s">
        <v>122</v>
      </c>
      <c r="C31">
        <v>2024</v>
      </c>
      <c r="D31">
        <v>320</v>
      </c>
      <c r="E31" t="s">
        <v>124</v>
      </c>
      <c r="F31" t="s">
        <v>26</v>
      </c>
    </row>
    <row r="32" spans="1:6" x14ac:dyDescent="0.3">
      <c r="A32" t="s">
        <v>86</v>
      </c>
      <c r="B32" t="s">
        <v>122</v>
      </c>
      <c r="C32">
        <v>2025</v>
      </c>
      <c r="D32">
        <v>234</v>
      </c>
      <c r="E32" t="s">
        <v>131</v>
      </c>
      <c r="F32" t="s">
        <v>26</v>
      </c>
    </row>
    <row r="33" spans="1:6" x14ac:dyDescent="0.3">
      <c r="A33" t="s">
        <v>86</v>
      </c>
      <c r="B33" t="s">
        <v>134</v>
      </c>
      <c r="C33">
        <v>2021</v>
      </c>
      <c r="D33">
        <v>1291</v>
      </c>
      <c r="E33" t="s">
        <v>136</v>
      </c>
      <c r="F33" t="s">
        <v>40</v>
      </c>
    </row>
    <row r="34" spans="1:6" x14ac:dyDescent="0.3">
      <c r="A34" t="s">
        <v>86</v>
      </c>
      <c r="B34" t="s">
        <v>134</v>
      </c>
      <c r="C34">
        <v>2022</v>
      </c>
      <c r="D34">
        <v>468</v>
      </c>
      <c r="E34" t="s">
        <v>137</v>
      </c>
      <c r="F34" t="s">
        <v>40</v>
      </c>
    </row>
    <row r="35" spans="1:6" x14ac:dyDescent="0.3">
      <c r="A35" t="s">
        <v>147</v>
      </c>
      <c r="B35" t="s">
        <v>153</v>
      </c>
      <c r="C35">
        <v>2022</v>
      </c>
      <c r="D35">
        <v>102</v>
      </c>
      <c r="E35" t="s">
        <v>155</v>
      </c>
      <c r="F35" t="s">
        <v>26</v>
      </c>
    </row>
    <row r="36" spans="1:6" x14ac:dyDescent="0.3">
      <c r="A36" t="s">
        <v>156</v>
      </c>
      <c r="B36" t="s">
        <v>156</v>
      </c>
      <c r="C36">
        <v>2024</v>
      </c>
      <c r="D36">
        <v>110</v>
      </c>
      <c r="E36" t="s">
        <v>164</v>
      </c>
      <c r="F36" t="s">
        <v>26</v>
      </c>
    </row>
    <row r="37" spans="1:6" x14ac:dyDescent="0.3">
      <c r="A37" t="s">
        <v>156</v>
      </c>
      <c r="B37" t="s">
        <v>156</v>
      </c>
      <c r="C37">
        <v>2024</v>
      </c>
      <c r="D37">
        <v>215</v>
      </c>
      <c r="E37" t="s">
        <v>160</v>
      </c>
      <c r="F37" t="s">
        <v>26</v>
      </c>
    </row>
    <row r="38" spans="1:6" x14ac:dyDescent="0.3">
      <c r="A38" t="s">
        <v>156</v>
      </c>
      <c r="B38" t="s">
        <v>156</v>
      </c>
      <c r="C38">
        <v>2025</v>
      </c>
      <c r="D38">
        <v>311</v>
      </c>
      <c r="E38" t="s">
        <v>162</v>
      </c>
      <c r="F38" t="s">
        <v>26</v>
      </c>
    </row>
    <row r="39" spans="1:6" x14ac:dyDescent="0.3">
      <c r="A39" t="s">
        <v>156</v>
      </c>
      <c r="B39" t="s">
        <v>165</v>
      </c>
      <c r="C39">
        <v>2022</v>
      </c>
      <c r="D39">
        <v>342</v>
      </c>
      <c r="E39" t="s">
        <v>166</v>
      </c>
      <c r="F39" t="s">
        <v>26</v>
      </c>
    </row>
    <row r="40" spans="1:6" x14ac:dyDescent="0.3">
      <c r="A40" t="s">
        <v>167</v>
      </c>
      <c r="B40" t="s">
        <v>168</v>
      </c>
      <c r="C40">
        <v>2024</v>
      </c>
      <c r="D40">
        <v>86</v>
      </c>
      <c r="E40" t="s">
        <v>169</v>
      </c>
      <c r="F40" t="s">
        <v>26</v>
      </c>
    </row>
    <row r="41" spans="1:6" x14ac:dyDescent="0.3">
      <c r="A41" t="s">
        <v>167</v>
      </c>
      <c r="B41" t="s">
        <v>170</v>
      </c>
      <c r="C41">
        <v>2023</v>
      </c>
      <c r="D41">
        <v>332</v>
      </c>
      <c r="E41" t="s">
        <v>172</v>
      </c>
      <c r="F41" t="s">
        <v>40</v>
      </c>
    </row>
    <row r="42" spans="1:6" x14ac:dyDescent="0.3">
      <c r="A42" t="s">
        <v>173</v>
      </c>
      <c r="B42" t="s">
        <v>4423</v>
      </c>
      <c r="C42">
        <v>2025</v>
      </c>
      <c r="D42">
        <v>104</v>
      </c>
      <c r="E42" t="s">
        <v>175</v>
      </c>
      <c r="F42" t="s">
        <v>26</v>
      </c>
    </row>
    <row r="43" spans="1:6" x14ac:dyDescent="0.3">
      <c r="A43" t="s">
        <v>173</v>
      </c>
      <c r="B43" t="s">
        <v>4423</v>
      </c>
      <c r="C43">
        <v>2025</v>
      </c>
      <c r="D43">
        <v>273</v>
      </c>
      <c r="E43" t="s">
        <v>179</v>
      </c>
      <c r="F43" t="s">
        <v>33</v>
      </c>
    </row>
    <row r="44" spans="1:6" x14ac:dyDescent="0.3">
      <c r="A44" t="s">
        <v>173</v>
      </c>
      <c r="B44" t="s">
        <v>4423</v>
      </c>
      <c r="C44">
        <v>2026</v>
      </c>
      <c r="D44">
        <v>126</v>
      </c>
      <c r="E44" t="s">
        <v>178</v>
      </c>
      <c r="F44" t="s">
        <v>26</v>
      </c>
    </row>
    <row r="45" spans="1:6" x14ac:dyDescent="0.3">
      <c r="A45" t="s">
        <v>186</v>
      </c>
      <c r="B45" t="s">
        <v>190</v>
      </c>
      <c r="C45">
        <v>2024</v>
      </c>
      <c r="D45">
        <v>173</v>
      </c>
      <c r="E45" t="s">
        <v>192</v>
      </c>
      <c r="F45" t="s">
        <v>26</v>
      </c>
    </row>
    <row r="46" spans="1:6" x14ac:dyDescent="0.3">
      <c r="A46" t="s">
        <v>186</v>
      </c>
      <c r="B46" t="s">
        <v>196</v>
      </c>
      <c r="C46">
        <v>2024</v>
      </c>
      <c r="D46">
        <v>200</v>
      </c>
      <c r="E46" t="s">
        <v>198</v>
      </c>
      <c r="F46" t="s">
        <v>26</v>
      </c>
    </row>
    <row r="47" spans="1:6" x14ac:dyDescent="0.3">
      <c r="A47" t="s">
        <v>204</v>
      </c>
      <c r="B47" t="s">
        <v>204</v>
      </c>
      <c r="C47">
        <v>2022</v>
      </c>
      <c r="D47">
        <v>223</v>
      </c>
      <c r="E47" t="s">
        <v>206</v>
      </c>
      <c r="F47" t="s">
        <v>40</v>
      </c>
    </row>
    <row r="48" spans="1:6" x14ac:dyDescent="0.3">
      <c r="A48" t="s">
        <v>207</v>
      </c>
      <c r="B48" t="s">
        <v>208</v>
      </c>
      <c r="C48">
        <v>2025</v>
      </c>
      <c r="D48">
        <v>103</v>
      </c>
      <c r="E48" t="s">
        <v>210</v>
      </c>
      <c r="F48" t="s">
        <v>26</v>
      </c>
    </row>
    <row r="49" spans="1:6" x14ac:dyDescent="0.3">
      <c r="A49" t="s">
        <v>207</v>
      </c>
      <c r="B49" t="s">
        <v>211</v>
      </c>
      <c r="C49">
        <v>2025</v>
      </c>
      <c r="D49">
        <v>311</v>
      </c>
      <c r="E49" t="s">
        <v>213</v>
      </c>
      <c r="F49" t="s">
        <v>26</v>
      </c>
    </row>
    <row r="50" spans="1:6" x14ac:dyDescent="0.3">
      <c r="A50" t="s">
        <v>214</v>
      </c>
      <c r="B50" t="s">
        <v>215</v>
      </c>
      <c r="C50">
        <v>2023</v>
      </c>
      <c r="D50">
        <v>145</v>
      </c>
      <c r="E50" t="s">
        <v>217</v>
      </c>
      <c r="F50" t="s">
        <v>20</v>
      </c>
    </row>
    <row r="51" spans="1:6" x14ac:dyDescent="0.3">
      <c r="A51" t="s">
        <v>220</v>
      </c>
      <c r="B51" t="s">
        <v>2891</v>
      </c>
      <c r="C51">
        <v>2024</v>
      </c>
      <c r="D51">
        <v>80</v>
      </c>
      <c r="E51" t="s">
        <v>5576</v>
      </c>
      <c r="F51" t="s">
        <v>26</v>
      </c>
    </row>
    <row r="52" spans="1:6" x14ac:dyDescent="0.3">
      <c r="A52" t="s">
        <v>220</v>
      </c>
      <c r="B52" t="s">
        <v>223</v>
      </c>
      <c r="C52">
        <v>2023</v>
      </c>
      <c r="D52">
        <v>255</v>
      </c>
      <c r="E52" t="s">
        <v>226</v>
      </c>
      <c r="F52" t="s">
        <v>26</v>
      </c>
    </row>
    <row r="53" spans="1:6" x14ac:dyDescent="0.3">
      <c r="A53" t="s">
        <v>220</v>
      </c>
      <c r="B53" t="s">
        <v>223</v>
      </c>
      <c r="C53">
        <v>2023</v>
      </c>
      <c r="D53">
        <v>437</v>
      </c>
      <c r="E53" t="s">
        <v>227</v>
      </c>
      <c r="F53" t="s">
        <v>26</v>
      </c>
    </row>
    <row r="54" spans="1:6" x14ac:dyDescent="0.3">
      <c r="A54" t="s">
        <v>220</v>
      </c>
      <c r="B54" t="s">
        <v>228</v>
      </c>
      <c r="C54">
        <v>2020</v>
      </c>
      <c r="D54">
        <v>187</v>
      </c>
      <c r="E54" t="s">
        <v>230</v>
      </c>
      <c r="F54" t="s">
        <v>26</v>
      </c>
    </row>
    <row r="55" spans="1:6" x14ac:dyDescent="0.3">
      <c r="A55" t="s">
        <v>220</v>
      </c>
      <c r="B55" t="s">
        <v>4706</v>
      </c>
      <c r="C55">
        <v>2023</v>
      </c>
      <c r="D55">
        <v>72</v>
      </c>
      <c r="E55" t="s">
        <v>3357</v>
      </c>
      <c r="F55" t="s">
        <v>26</v>
      </c>
    </row>
    <row r="56" spans="1:6" x14ac:dyDescent="0.3">
      <c r="A56" t="s">
        <v>220</v>
      </c>
      <c r="B56" t="s">
        <v>231</v>
      </c>
      <c r="C56">
        <v>2021</v>
      </c>
      <c r="D56">
        <v>381</v>
      </c>
      <c r="E56" t="s">
        <v>233</v>
      </c>
      <c r="F56" t="s">
        <v>40</v>
      </c>
    </row>
    <row r="57" spans="1:6" x14ac:dyDescent="0.3">
      <c r="A57" t="s">
        <v>237</v>
      </c>
      <c r="B57" t="s">
        <v>65</v>
      </c>
      <c r="C57">
        <v>2025</v>
      </c>
      <c r="D57">
        <v>524</v>
      </c>
      <c r="E57" t="s">
        <v>239</v>
      </c>
      <c r="F57" t="s">
        <v>40</v>
      </c>
    </row>
    <row r="58" spans="1:6" x14ac:dyDescent="0.3">
      <c r="A58" t="s">
        <v>241</v>
      </c>
      <c r="B58" t="s">
        <v>4791</v>
      </c>
      <c r="C58">
        <v>2018</v>
      </c>
      <c r="D58">
        <v>220</v>
      </c>
      <c r="E58" t="s">
        <v>246</v>
      </c>
      <c r="F58" t="s">
        <v>40</v>
      </c>
    </row>
    <row r="59" spans="1:6" x14ac:dyDescent="0.3">
      <c r="A59" t="s">
        <v>241</v>
      </c>
      <c r="B59" t="s">
        <v>4791</v>
      </c>
      <c r="C59">
        <v>2018</v>
      </c>
      <c r="D59">
        <v>1635</v>
      </c>
      <c r="E59" t="s">
        <v>249</v>
      </c>
      <c r="F59" t="s">
        <v>40</v>
      </c>
    </row>
    <row r="60" spans="1:6" x14ac:dyDescent="0.3">
      <c r="A60" t="s">
        <v>241</v>
      </c>
      <c r="B60" t="s">
        <v>4791</v>
      </c>
      <c r="C60">
        <v>2020</v>
      </c>
      <c r="D60">
        <v>1561</v>
      </c>
      <c r="E60" t="s">
        <v>253</v>
      </c>
      <c r="F60" t="s">
        <v>40</v>
      </c>
    </row>
    <row r="61" spans="1:6" x14ac:dyDescent="0.3">
      <c r="A61" t="s">
        <v>241</v>
      </c>
      <c r="B61" t="s">
        <v>4791</v>
      </c>
      <c r="C61">
        <v>2023</v>
      </c>
      <c r="D61">
        <v>126</v>
      </c>
      <c r="E61" t="s">
        <v>261</v>
      </c>
      <c r="F61" t="s">
        <v>26</v>
      </c>
    </row>
    <row r="62" spans="1:6" x14ac:dyDescent="0.3">
      <c r="A62" t="s">
        <v>241</v>
      </c>
      <c r="B62" t="s">
        <v>4791</v>
      </c>
      <c r="C62">
        <v>2023</v>
      </c>
      <c r="D62">
        <v>254</v>
      </c>
      <c r="E62" t="s">
        <v>259</v>
      </c>
      <c r="F62" t="s">
        <v>26</v>
      </c>
    </row>
    <row r="63" spans="1:6" x14ac:dyDescent="0.3">
      <c r="A63" t="s">
        <v>241</v>
      </c>
      <c r="B63" t="s">
        <v>4791</v>
      </c>
      <c r="C63">
        <v>2023</v>
      </c>
      <c r="D63">
        <v>314</v>
      </c>
      <c r="E63" t="s">
        <v>255</v>
      </c>
      <c r="F63" t="s">
        <v>26</v>
      </c>
    </row>
    <row r="64" spans="1:6" x14ac:dyDescent="0.3">
      <c r="A64" t="s">
        <v>241</v>
      </c>
      <c r="B64" t="s">
        <v>4791</v>
      </c>
      <c r="C64">
        <v>2025</v>
      </c>
      <c r="D64">
        <v>312</v>
      </c>
      <c r="E64" t="s">
        <v>248</v>
      </c>
      <c r="F64" t="s">
        <v>26</v>
      </c>
    </row>
    <row r="65" spans="1:6" x14ac:dyDescent="0.3">
      <c r="A65" t="s">
        <v>241</v>
      </c>
      <c r="B65" t="s">
        <v>4827</v>
      </c>
      <c r="C65">
        <v>2021</v>
      </c>
      <c r="D65">
        <v>133</v>
      </c>
      <c r="E65" t="s">
        <v>263</v>
      </c>
      <c r="F65" t="s">
        <v>26</v>
      </c>
    </row>
    <row r="66" spans="1:6" x14ac:dyDescent="0.3">
      <c r="A66" t="s">
        <v>241</v>
      </c>
      <c r="B66" t="s">
        <v>4827</v>
      </c>
      <c r="C66">
        <v>2023</v>
      </c>
      <c r="D66">
        <v>186</v>
      </c>
      <c r="E66" t="s">
        <v>267</v>
      </c>
      <c r="F66" t="s">
        <v>26</v>
      </c>
    </row>
    <row r="67" spans="1:6" x14ac:dyDescent="0.3">
      <c r="A67" t="s">
        <v>241</v>
      </c>
      <c r="B67" t="s">
        <v>4827</v>
      </c>
      <c r="C67">
        <v>2023</v>
      </c>
      <c r="D67">
        <v>270</v>
      </c>
      <c r="E67" t="s">
        <v>264</v>
      </c>
      <c r="F67" t="s">
        <v>26</v>
      </c>
    </row>
    <row r="68" spans="1:6" x14ac:dyDescent="0.3">
      <c r="A68" t="s">
        <v>241</v>
      </c>
      <c r="B68" t="s">
        <v>4827</v>
      </c>
      <c r="C68">
        <v>2023</v>
      </c>
      <c r="D68">
        <v>377</v>
      </c>
      <c r="E68" t="s">
        <v>268</v>
      </c>
      <c r="F68" t="s">
        <v>26</v>
      </c>
    </row>
    <row r="69" spans="1:6" x14ac:dyDescent="0.3">
      <c r="A69" t="s">
        <v>241</v>
      </c>
      <c r="B69" t="s">
        <v>4827</v>
      </c>
      <c r="C69">
        <v>2025</v>
      </c>
      <c r="D69">
        <v>131</v>
      </c>
      <c r="E69" t="s">
        <v>265</v>
      </c>
      <c r="F69" t="s">
        <v>26</v>
      </c>
    </row>
    <row r="70" spans="1:6" x14ac:dyDescent="0.3">
      <c r="A70" t="s">
        <v>241</v>
      </c>
      <c r="B70" t="s">
        <v>8425</v>
      </c>
      <c r="C70">
        <v>2023</v>
      </c>
      <c r="D70">
        <v>347</v>
      </c>
      <c r="E70" t="s">
        <v>271</v>
      </c>
      <c r="F70" t="s">
        <v>33</v>
      </c>
    </row>
    <row r="71" spans="1:6" x14ac:dyDescent="0.3">
      <c r="A71" t="s">
        <v>241</v>
      </c>
      <c r="B71" t="s">
        <v>8425</v>
      </c>
      <c r="C71">
        <v>2024</v>
      </c>
      <c r="D71">
        <v>104</v>
      </c>
      <c r="E71" t="s">
        <v>275</v>
      </c>
      <c r="F71" t="s">
        <v>26</v>
      </c>
    </row>
    <row r="72" spans="1:6" x14ac:dyDescent="0.3">
      <c r="A72" t="s">
        <v>241</v>
      </c>
      <c r="B72" t="s">
        <v>8425</v>
      </c>
      <c r="C72">
        <v>2024</v>
      </c>
      <c r="D72">
        <v>126</v>
      </c>
      <c r="E72" t="s">
        <v>273</v>
      </c>
      <c r="F72" t="s">
        <v>26</v>
      </c>
    </row>
    <row r="73" spans="1:6" x14ac:dyDescent="0.3">
      <c r="A73" t="s">
        <v>241</v>
      </c>
      <c r="B73" t="s">
        <v>8425</v>
      </c>
      <c r="C73">
        <v>2025</v>
      </c>
      <c r="D73">
        <v>312</v>
      </c>
      <c r="E73" t="s">
        <v>274</v>
      </c>
      <c r="F73" t="s">
        <v>26</v>
      </c>
    </row>
    <row r="74" spans="1:6" x14ac:dyDescent="0.3">
      <c r="A74" t="s">
        <v>278</v>
      </c>
      <c r="B74" t="s">
        <v>279</v>
      </c>
      <c r="C74">
        <v>2022</v>
      </c>
      <c r="D74">
        <v>173</v>
      </c>
      <c r="E74" t="s">
        <v>282</v>
      </c>
      <c r="F74" t="s">
        <v>26</v>
      </c>
    </row>
    <row r="75" spans="1:6" x14ac:dyDescent="0.3">
      <c r="A75" t="s">
        <v>278</v>
      </c>
      <c r="B75" t="s">
        <v>279</v>
      </c>
      <c r="C75">
        <v>2023</v>
      </c>
      <c r="D75">
        <v>230</v>
      </c>
      <c r="E75" t="s">
        <v>280</v>
      </c>
      <c r="F75" t="s">
        <v>26</v>
      </c>
    </row>
    <row r="76" spans="1:6" x14ac:dyDescent="0.3">
      <c r="A76" t="s">
        <v>278</v>
      </c>
      <c r="B76" t="s">
        <v>279</v>
      </c>
      <c r="C76">
        <v>2025</v>
      </c>
      <c r="D76">
        <v>185</v>
      </c>
      <c r="E76" t="s">
        <v>284</v>
      </c>
      <c r="F76" t="s">
        <v>26</v>
      </c>
    </row>
    <row r="77" spans="1:6" x14ac:dyDescent="0.3">
      <c r="A77" t="s">
        <v>288</v>
      </c>
      <c r="B77" t="s">
        <v>288</v>
      </c>
      <c r="C77">
        <v>2019</v>
      </c>
      <c r="D77">
        <v>102</v>
      </c>
      <c r="E77" t="s">
        <v>290</v>
      </c>
      <c r="F77" t="s">
        <v>40</v>
      </c>
    </row>
    <row r="78" spans="1:6" x14ac:dyDescent="0.3">
      <c r="A78" t="s">
        <v>291</v>
      </c>
      <c r="B78" t="s">
        <v>292</v>
      </c>
      <c r="C78">
        <v>2021</v>
      </c>
      <c r="D78">
        <v>391</v>
      </c>
      <c r="E78" t="s">
        <v>294</v>
      </c>
      <c r="F78" t="s">
        <v>40</v>
      </c>
    </row>
    <row r="79" spans="1:6" x14ac:dyDescent="0.3">
      <c r="A79" t="s">
        <v>291</v>
      </c>
      <c r="B79" t="s">
        <v>297</v>
      </c>
      <c r="C79">
        <v>2024</v>
      </c>
      <c r="D79">
        <v>220</v>
      </c>
      <c r="E79" t="s">
        <v>299</v>
      </c>
      <c r="F79" t="s">
        <v>26</v>
      </c>
    </row>
    <row r="80" spans="1:6" x14ac:dyDescent="0.3">
      <c r="A80" t="s">
        <v>2545</v>
      </c>
      <c r="B80" t="s">
        <v>2856</v>
      </c>
      <c r="C80">
        <v>2024</v>
      </c>
      <c r="D80">
        <v>75</v>
      </c>
      <c r="E80" t="s">
        <v>5555</v>
      </c>
      <c r="F80" t="s">
        <v>26</v>
      </c>
    </row>
    <row r="81" spans="1:1" x14ac:dyDescent="0.3">
      <c r="A81" t="s">
        <v>10898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993"/>
  <sheetViews>
    <sheetView workbookViewId="0">
      <pane ySplit="1" topLeftCell="A250" activePane="bottomLeft" state="frozen"/>
      <selection pane="bottomLeft" activeCell="D270" sqref="D270"/>
    </sheetView>
  </sheetViews>
  <sheetFormatPr baseColWidth="10" defaultColWidth="12.6640625" defaultRowHeight="15" customHeight="1" x14ac:dyDescent="0.3"/>
  <cols>
    <col min="1" max="8" width="10.6640625" customWidth="1"/>
    <col min="9" max="9" width="17.88671875" customWidth="1"/>
    <col min="10" max="22" width="10.6640625" customWidth="1"/>
    <col min="23" max="23" width="14.88671875" customWidth="1"/>
    <col min="24" max="25" width="10.6640625" customWidth="1"/>
    <col min="26" max="26" width="27.109375" customWidth="1"/>
    <col min="27" max="40" width="10.6640625" customWidth="1"/>
    <col min="41" max="41" width="21.109375" customWidth="1"/>
    <col min="42" max="43" width="10.6640625" customWidth="1"/>
    <col min="44" max="44" width="13.44140625" customWidth="1"/>
    <col min="45" max="47" width="10.6640625" customWidth="1"/>
  </cols>
  <sheetData>
    <row r="1" spans="1:47" ht="13.5" customHeight="1" x14ac:dyDescent="0.3">
      <c r="A1" t="s">
        <v>5101</v>
      </c>
      <c r="B1" t="s">
        <v>5102</v>
      </c>
      <c r="C1" t="s">
        <v>5103</v>
      </c>
      <c r="D1" t="s">
        <v>5104</v>
      </c>
      <c r="E1" t="s">
        <v>5105</v>
      </c>
      <c r="F1" t="s">
        <v>5106</v>
      </c>
      <c r="G1" t="s">
        <v>5107</v>
      </c>
      <c r="H1" t="s">
        <v>5108</v>
      </c>
      <c r="I1" t="s">
        <v>5109</v>
      </c>
      <c r="J1" t="s">
        <v>5110</v>
      </c>
      <c r="K1" t="s">
        <v>5111</v>
      </c>
      <c r="L1" t="s">
        <v>0</v>
      </c>
      <c r="M1" t="s">
        <v>1</v>
      </c>
      <c r="N1" t="s">
        <v>2</v>
      </c>
      <c r="O1" t="s">
        <v>5112</v>
      </c>
      <c r="P1" t="s">
        <v>4</v>
      </c>
      <c r="Q1" t="s">
        <v>5113</v>
      </c>
      <c r="R1" t="s">
        <v>5114</v>
      </c>
      <c r="S1" t="s">
        <v>5</v>
      </c>
      <c r="T1" t="s">
        <v>5115</v>
      </c>
      <c r="U1" t="s">
        <v>5116</v>
      </c>
      <c r="V1" t="s">
        <v>5117</v>
      </c>
      <c r="W1" t="s">
        <v>5118</v>
      </c>
      <c r="X1" t="s">
        <v>5119</v>
      </c>
      <c r="Y1" t="s">
        <v>5120</v>
      </c>
      <c r="Z1" t="s">
        <v>3</v>
      </c>
      <c r="AA1" t="s">
        <v>5121</v>
      </c>
      <c r="AB1" t="s">
        <v>5122</v>
      </c>
      <c r="AC1" t="s">
        <v>5123</v>
      </c>
      <c r="AD1" t="s">
        <v>5124</v>
      </c>
      <c r="AE1" t="s">
        <v>5125</v>
      </c>
      <c r="AF1" t="s">
        <v>5126</v>
      </c>
      <c r="AG1" t="s">
        <v>5127</v>
      </c>
      <c r="AH1" t="s">
        <v>5128</v>
      </c>
      <c r="AI1" t="s">
        <v>5129</v>
      </c>
      <c r="AJ1" t="s">
        <v>5130</v>
      </c>
      <c r="AK1" t="s">
        <v>5131</v>
      </c>
      <c r="AL1" t="s">
        <v>5132</v>
      </c>
      <c r="AM1" t="s">
        <v>5133</v>
      </c>
      <c r="AN1" t="s">
        <v>5134</v>
      </c>
      <c r="AO1" t="s">
        <v>5135</v>
      </c>
      <c r="AP1" t="s">
        <v>5136</v>
      </c>
      <c r="AQ1" t="s">
        <v>5137</v>
      </c>
      <c r="AR1" t="s">
        <v>5138</v>
      </c>
      <c r="AS1" t="s">
        <v>5139</v>
      </c>
      <c r="AT1" t="s">
        <v>5140</v>
      </c>
      <c r="AU1" t="s">
        <v>5141</v>
      </c>
    </row>
    <row r="2" spans="1:47" ht="13.5" customHeight="1" x14ac:dyDescent="0.3">
      <c r="A2" t="s">
        <v>8420</v>
      </c>
      <c r="B2" t="s">
        <v>5180</v>
      </c>
      <c r="C2">
        <v>0</v>
      </c>
      <c r="D2">
        <v>0</v>
      </c>
      <c r="E2" t="s">
        <v>3948</v>
      </c>
      <c r="F2" t="s">
        <v>3948</v>
      </c>
      <c r="G2" t="s">
        <v>3948</v>
      </c>
      <c r="H2" t="s">
        <v>3948</v>
      </c>
      <c r="I2" t="s">
        <v>8459</v>
      </c>
      <c r="J2" t="s">
        <v>3948</v>
      </c>
      <c r="K2" t="s">
        <v>8460</v>
      </c>
      <c r="L2" t="s">
        <v>241</v>
      </c>
      <c r="M2" t="s">
        <v>8451</v>
      </c>
      <c r="N2" t="s">
        <v>4761</v>
      </c>
      <c r="O2" t="s">
        <v>8461</v>
      </c>
      <c r="P2">
        <v>2025</v>
      </c>
      <c r="Q2">
        <v>1510</v>
      </c>
      <c r="R2" t="s">
        <v>8462</v>
      </c>
      <c r="S2" t="s">
        <v>3630</v>
      </c>
      <c r="T2" t="s">
        <v>5145</v>
      </c>
      <c r="U2" t="s">
        <v>5146</v>
      </c>
      <c r="V2" t="s">
        <v>5147</v>
      </c>
      <c r="W2">
        <v>16990000</v>
      </c>
      <c r="X2" t="s">
        <v>5148</v>
      </c>
      <c r="Y2">
        <v>397</v>
      </c>
      <c r="Z2" t="s">
        <v>8221</v>
      </c>
      <c r="AA2" t="s">
        <v>8160</v>
      </c>
      <c r="AB2" t="s">
        <v>3948</v>
      </c>
      <c r="AC2" t="s">
        <v>8463</v>
      </c>
      <c r="AD2" t="s">
        <v>8460</v>
      </c>
      <c r="AE2" t="s">
        <v>8464</v>
      </c>
      <c r="AF2" t="s">
        <v>8465</v>
      </c>
      <c r="AG2">
        <v>1</v>
      </c>
      <c r="AH2" t="s">
        <v>8465</v>
      </c>
      <c r="AI2" t="s">
        <v>8466</v>
      </c>
      <c r="AJ2" t="s">
        <v>3948</v>
      </c>
      <c r="AK2">
        <v>0</v>
      </c>
      <c r="AL2">
        <v>0</v>
      </c>
      <c r="AM2" t="s">
        <v>3948</v>
      </c>
      <c r="AN2">
        <v>0</v>
      </c>
      <c r="AO2">
        <v>20390000</v>
      </c>
      <c r="AP2">
        <v>0</v>
      </c>
      <c r="AQ2">
        <v>0</v>
      </c>
      <c r="AR2">
        <v>20390000</v>
      </c>
      <c r="AS2">
        <v>16990000</v>
      </c>
      <c r="AT2">
        <v>-3400000</v>
      </c>
      <c r="AU2">
        <v>-2001</v>
      </c>
    </row>
    <row r="3" spans="1:47" ht="13.5" customHeight="1" x14ac:dyDescent="0.3">
      <c r="A3" t="s">
        <v>8420</v>
      </c>
      <c r="B3" t="s">
        <v>8422</v>
      </c>
      <c r="C3">
        <v>0</v>
      </c>
      <c r="D3">
        <v>0</v>
      </c>
      <c r="E3" t="s">
        <v>3948</v>
      </c>
      <c r="F3" t="s">
        <v>3948</v>
      </c>
      <c r="G3" t="s">
        <v>3948</v>
      </c>
      <c r="H3" t="s">
        <v>3948</v>
      </c>
      <c r="I3" t="s">
        <v>8423</v>
      </c>
      <c r="J3" t="s">
        <v>3948</v>
      </c>
      <c r="K3" t="s">
        <v>8424</v>
      </c>
      <c r="L3" t="s">
        <v>241</v>
      </c>
      <c r="M3" t="s">
        <v>8425</v>
      </c>
      <c r="N3" t="s">
        <v>272</v>
      </c>
      <c r="O3" t="s">
        <v>8426</v>
      </c>
      <c r="P3">
        <v>2025</v>
      </c>
      <c r="Q3">
        <v>0</v>
      </c>
      <c r="R3" t="s">
        <v>8427</v>
      </c>
      <c r="S3" t="s">
        <v>629</v>
      </c>
      <c r="T3" t="s">
        <v>5145</v>
      </c>
      <c r="U3" t="s">
        <v>5196</v>
      </c>
      <c r="V3" t="s">
        <v>5147</v>
      </c>
      <c r="W3">
        <v>21990000</v>
      </c>
      <c r="X3" t="s">
        <v>5148</v>
      </c>
      <c r="Y3">
        <v>313</v>
      </c>
      <c r="Z3" t="s">
        <v>40</v>
      </c>
      <c r="AA3" t="s">
        <v>8428</v>
      </c>
      <c r="AB3" t="s">
        <v>3948</v>
      </c>
      <c r="AC3" t="s">
        <v>8429</v>
      </c>
      <c r="AD3" t="s">
        <v>8424</v>
      </c>
      <c r="AE3" t="s">
        <v>8430</v>
      </c>
      <c r="AF3" t="s">
        <v>8431</v>
      </c>
      <c r="AG3">
        <v>1</v>
      </c>
      <c r="AH3" t="s">
        <v>8431</v>
      </c>
      <c r="AI3" t="s">
        <v>8432</v>
      </c>
      <c r="AJ3" t="s">
        <v>3948</v>
      </c>
      <c r="AK3">
        <v>0</v>
      </c>
      <c r="AL3">
        <v>0</v>
      </c>
      <c r="AM3" t="s">
        <v>3948</v>
      </c>
      <c r="AN3">
        <v>0</v>
      </c>
      <c r="AO3">
        <v>29381100</v>
      </c>
      <c r="AP3">
        <v>0</v>
      </c>
      <c r="AQ3">
        <v>0</v>
      </c>
      <c r="AR3">
        <v>29381100</v>
      </c>
      <c r="AS3">
        <v>21990000</v>
      </c>
      <c r="AT3">
        <v>-7391100</v>
      </c>
      <c r="AU3">
        <v>-3361</v>
      </c>
    </row>
    <row r="4" spans="1:47" ht="13.5" customHeight="1" x14ac:dyDescent="0.3">
      <c r="A4" t="s">
        <v>8420</v>
      </c>
      <c r="B4" t="s">
        <v>8422</v>
      </c>
      <c r="C4">
        <v>0</v>
      </c>
      <c r="D4">
        <v>0</v>
      </c>
      <c r="E4" t="s">
        <v>3948</v>
      </c>
      <c r="F4" t="s">
        <v>3948</v>
      </c>
      <c r="G4" t="s">
        <v>3948</v>
      </c>
      <c r="H4" t="s">
        <v>3948</v>
      </c>
      <c r="I4" t="s">
        <v>10144</v>
      </c>
      <c r="J4" t="s">
        <v>3948</v>
      </c>
      <c r="K4" t="s">
        <v>10145</v>
      </c>
      <c r="L4" t="s">
        <v>241</v>
      </c>
      <c r="M4" t="s">
        <v>2487</v>
      </c>
      <c r="N4" t="s">
        <v>10146</v>
      </c>
      <c r="O4" t="s">
        <v>10147</v>
      </c>
      <c r="P4">
        <v>2026</v>
      </c>
      <c r="Q4">
        <v>0</v>
      </c>
      <c r="R4" t="s">
        <v>10148</v>
      </c>
      <c r="S4" t="s">
        <v>11154</v>
      </c>
      <c r="T4" t="s">
        <v>8158</v>
      </c>
      <c r="U4" t="s">
        <v>10149</v>
      </c>
      <c r="V4" t="s">
        <v>5147</v>
      </c>
      <c r="W4">
        <v>37290000</v>
      </c>
      <c r="X4" t="s">
        <v>5148</v>
      </c>
      <c r="Y4">
        <v>110</v>
      </c>
      <c r="Z4" t="s">
        <v>9526</v>
      </c>
      <c r="AA4" t="s">
        <v>8428</v>
      </c>
      <c r="AB4" t="s">
        <v>3948</v>
      </c>
      <c r="AC4" t="s">
        <v>10150</v>
      </c>
      <c r="AD4" t="s">
        <v>10145</v>
      </c>
      <c r="AE4" t="s">
        <v>8421</v>
      </c>
      <c r="AF4" t="s">
        <v>10151</v>
      </c>
      <c r="AG4">
        <v>0</v>
      </c>
      <c r="AH4" t="s">
        <v>3948</v>
      </c>
      <c r="AI4" t="s">
        <v>3948</v>
      </c>
      <c r="AJ4" t="s">
        <v>3948</v>
      </c>
      <c r="AK4">
        <v>0</v>
      </c>
      <c r="AL4">
        <v>0</v>
      </c>
      <c r="AM4" t="s">
        <v>3948</v>
      </c>
      <c r="AN4">
        <v>0</v>
      </c>
      <c r="AO4">
        <v>28515882</v>
      </c>
      <c r="AP4">
        <v>1030553</v>
      </c>
      <c r="AQ4">
        <v>0</v>
      </c>
      <c r="AR4">
        <v>29546435</v>
      </c>
      <c r="AS4">
        <v>31336134</v>
      </c>
      <c r="AT4">
        <v>1789699</v>
      </c>
      <c r="AU4">
        <v>571</v>
      </c>
    </row>
    <row r="5" spans="1:47" ht="13.5" customHeight="1" x14ac:dyDescent="0.3">
      <c r="A5" t="s">
        <v>8420</v>
      </c>
      <c r="B5" t="s">
        <v>8422</v>
      </c>
      <c r="C5">
        <v>0</v>
      </c>
      <c r="D5">
        <v>0</v>
      </c>
      <c r="E5" t="s">
        <v>3948</v>
      </c>
      <c r="F5" t="s">
        <v>3948</v>
      </c>
      <c r="G5" t="s">
        <v>3948</v>
      </c>
      <c r="H5" t="s">
        <v>3948</v>
      </c>
      <c r="I5" t="s">
        <v>11228</v>
      </c>
      <c r="J5" t="s">
        <v>3948</v>
      </c>
      <c r="K5" t="s">
        <v>11229</v>
      </c>
      <c r="L5" t="s">
        <v>241</v>
      </c>
      <c r="M5" t="s">
        <v>11230</v>
      </c>
      <c r="N5" t="s">
        <v>11231</v>
      </c>
      <c r="O5" t="s">
        <v>11232</v>
      </c>
      <c r="P5">
        <v>2026</v>
      </c>
      <c r="Q5">
        <v>0</v>
      </c>
      <c r="R5" t="s">
        <v>11233</v>
      </c>
      <c r="S5" t="s">
        <v>11234</v>
      </c>
      <c r="T5" t="s">
        <v>8158</v>
      </c>
      <c r="U5" t="s">
        <v>5146</v>
      </c>
      <c r="V5" t="s">
        <v>5147</v>
      </c>
      <c r="W5">
        <v>26390000</v>
      </c>
      <c r="X5" t="s">
        <v>5148</v>
      </c>
      <c r="Y5">
        <v>368</v>
      </c>
      <c r="Z5" t="s">
        <v>8159</v>
      </c>
      <c r="AA5" t="s">
        <v>8428</v>
      </c>
      <c r="AB5" t="s">
        <v>3948</v>
      </c>
      <c r="AC5" t="s">
        <v>11235</v>
      </c>
      <c r="AD5" t="s">
        <v>11229</v>
      </c>
      <c r="AE5" t="s">
        <v>8421</v>
      </c>
      <c r="AF5" t="s">
        <v>5516</v>
      </c>
      <c r="AG5">
        <v>912478</v>
      </c>
      <c r="AH5" t="s">
        <v>8355</v>
      </c>
      <c r="AI5" t="s">
        <v>11236</v>
      </c>
      <c r="AJ5" t="s">
        <v>3948</v>
      </c>
      <c r="AK5">
        <v>0</v>
      </c>
      <c r="AL5">
        <v>0</v>
      </c>
      <c r="AM5" t="s">
        <v>3948</v>
      </c>
      <c r="AN5">
        <v>0</v>
      </c>
      <c r="AO5">
        <v>18211764</v>
      </c>
      <c r="AP5">
        <v>826449</v>
      </c>
      <c r="AQ5">
        <v>0</v>
      </c>
      <c r="AR5">
        <v>19038213</v>
      </c>
      <c r="AS5">
        <v>22176471</v>
      </c>
      <c r="AT5">
        <v>3138258</v>
      </c>
      <c r="AU5">
        <v>1415</v>
      </c>
    </row>
    <row r="6" spans="1:47" ht="13.5" customHeight="1" x14ac:dyDescent="0.3">
      <c r="A6" t="s">
        <v>8420</v>
      </c>
      <c r="B6" t="s">
        <v>8422</v>
      </c>
      <c r="C6">
        <v>0</v>
      </c>
      <c r="D6">
        <v>0</v>
      </c>
      <c r="E6" t="s">
        <v>3948</v>
      </c>
      <c r="F6" t="s">
        <v>3948</v>
      </c>
      <c r="G6" t="s">
        <v>3948</v>
      </c>
      <c r="H6" t="s">
        <v>3948</v>
      </c>
      <c r="I6" t="s">
        <v>8467</v>
      </c>
      <c r="J6" t="s">
        <v>3948</v>
      </c>
      <c r="K6" t="s">
        <v>8468</v>
      </c>
      <c r="L6" t="s">
        <v>241</v>
      </c>
      <c r="M6" t="s">
        <v>8469</v>
      </c>
      <c r="N6" t="s">
        <v>8470</v>
      </c>
      <c r="O6" t="s">
        <v>8471</v>
      </c>
      <c r="P6">
        <v>2026</v>
      </c>
      <c r="Q6">
        <v>2700</v>
      </c>
      <c r="R6" t="s">
        <v>8472</v>
      </c>
      <c r="S6" t="s">
        <v>532</v>
      </c>
      <c r="T6" t="s">
        <v>5145</v>
      </c>
      <c r="U6" t="s">
        <v>5425</v>
      </c>
      <c r="V6" t="s">
        <v>5147</v>
      </c>
      <c r="W6">
        <v>31990000</v>
      </c>
      <c r="X6" t="s">
        <v>5148</v>
      </c>
      <c r="Y6">
        <v>286</v>
      </c>
      <c r="Z6" t="s">
        <v>40</v>
      </c>
      <c r="AA6" t="s">
        <v>8428</v>
      </c>
      <c r="AB6" t="s">
        <v>3948</v>
      </c>
      <c r="AC6" t="s">
        <v>8473</v>
      </c>
      <c r="AD6" t="s">
        <v>8468</v>
      </c>
      <c r="AE6" t="s">
        <v>8474</v>
      </c>
      <c r="AF6" t="s">
        <v>8475</v>
      </c>
      <c r="AG6">
        <v>1</v>
      </c>
      <c r="AH6" t="s">
        <v>8475</v>
      </c>
      <c r="AI6" t="s">
        <v>8476</v>
      </c>
      <c r="AJ6" t="s">
        <v>3948</v>
      </c>
      <c r="AK6">
        <v>0</v>
      </c>
      <c r="AL6">
        <v>0</v>
      </c>
      <c r="AM6" t="s">
        <v>3948</v>
      </c>
      <c r="AN6">
        <v>0</v>
      </c>
      <c r="AO6">
        <v>32237100</v>
      </c>
      <c r="AP6">
        <v>0</v>
      </c>
      <c r="AQ6">
        <v>0</v>
      </c>
      <c r="AR6">
        <v>32237100</v>
      </c>
      <c r="AS6">
        <v>31990000</v>
      </c>
      <c r="AT6">
        <v>-247100</v>
      </c>
      <c r="AU6">
        <v>-77</v>
      </c>
    </row>
    <row r="7" spans="1:47" ht="13.5" customHeight="1" x14ac:dyDescent="0.3">
      <c r="A7" t="s">
        <v>8420</v>
      </c>
      <c r="B7" t="s">
        <v>8135</v>
      </c>
      <c r="C7">
        <v>0</v>
      </c>
      <c r="D7">
        <v>0</v>
      </c>
      <c r="E7" t="s">
        <v>3948</v>
      </c>
      <c r="F7" t="s">
        <v>3948</v>
      </c>
      <c r="G7" t="s">
        <v>3948</v>
      </c>
      <c r="H7" t="s">
        <v>3948</v>
      </c>
      <c r="I7" t="s">
        <v>10152</v>
      </c>
      <c r="J7" t="s">
        <v>3948</v>
      </c>
      <c r="K7" t="s">
        <v>10153</v>
      </c>
      <c r="L7" t="s">
        <v>241</v>
      </c>
      <c r="M7" t="s">
        <v>8205</v>
      </c>
      <c r="N7" t="s">
        <v>10154</v>
      </c>
      <c r="O7" t="s">
        <v>10155</v>
      </c>
      <c r="P7">
        <v>2026</v>
      </c>
      <c r="Q7">
        <v>0</v>
      </c>
      <c r="R7" t="s">
        <v>10156</v>
      </c>
      <c r="S7" t="s">
        <v>10157</v>
      </c>
      <c r="T7" t="s">
        <v>8158</v>
      </c>
      <c r="U7" t="s">
        <v>5425</v>
      </c>
      <c r="V7" t="s">
        <v>5147</v>
      </c>
      <c r="W7">
        <v>24264100</v>
      </c>
      <c r="X7" t="s">
        <v>5148</v>
      </c>
      <c r="Y7">
        <v>130</v>
      </c>
      <c r="Z7" t="s">
        <v>9526</v>
      </c>
      <c r="AA7" t="s">
        <v>8135</v>
      </c>
      <c r="AB7" t="s">
        <v>3948</v>
      </c>
      <c r="AC7" t="s">
        <v>10158</v>
      </c>
      <c r="AD7" t="s">
        <v>10153</v>
      </c>
      <c r="AE7" t="s">
        <v>8421</v>
      </c>
      <c r="AF7" t="s">
        <v>10159</v>
      </c>
      <c r="AG7">
        <v>0</v>
      </c>
      <c r="AH7" t="s">
        <v>3948</v>
      </c>
      <c r="AI7" t="s">
        <v>3948</v>
      </c>
      <c r="AJ7" t="s">
        <v>3948</v>
      </c>
      <c r="AK7">
        <v>0</v>
      </c>
      <c r="AL7">
        <v>0</v>
      </c>
      <c r="AM7" t="s">
        <v>3948</v>
      </c>
      <c r="AN7">
        <v>0</v>
      </c>
      <c r="AO7">
        <v>18351000</v>
      </c>
      <c r="AP7">
        <v>0</v>
      </c>
      <c r="AQ7">
        <v>0</v>
      </c>
      <c r="AR7">
        <v>18351000</v>
      </c>
      <c r="AS7">
        <v>20390000</v>
      </c>
      <c r="AT7">
        <v>2039000</v>
      </c>
      <c r="AU7">
        <v>10</v>
      </c>
    </row>
    <row r="8" spans="1:47" ht="13.5" customHeight="1" x14ac:dyDescent="0.3">
      <c r="A8" t="s">
        <v>8420</v>
      </c>
      <c r="B8" t="s">
        <v>5161</v>
      </c>
      <c r="C8">
        <v>0</v>
      </c>
      <c r="D8">
        <v>0</v>
      </c>
      <c r="E8" t="s">
        <v>3948</v>
      </c>
      <c r="F8" t="s">
        <v>3948</v>
      </c>
      <c r="G8" t="s">
        <v>3948</v>
      </c>
      <c r="H8" t="s">
        <v>3948</v>
      </c>
      <c r="I8" t="s">
        <v>8477</v>
      </c>
      <c r="J8" t="s">
        <v>3948</v>
      </c>
      <c r="K8" t="s">
        <v>8478</v>
      </c>
      <c r="L8" t="s">
        <v>241</v>
      </c>
      <c r="M8" t="s">
        <v>8425</v>
      </c>
      <c r="N8" t="s">
        <v>8278</v>
      </c>
      <c r="O8" t="s">
        <v>8177</v>
      </c>
      <c r="P8">
        <v>2024</v>
      </c>
      <c r="Q8">
        <v>27913</v>
      </c>
      <c r="R8" t="s">
        <v>8479</v>
      </c>
      <c r="S8" t="s">
        <v>2978</v>
      </c>
      <c r="T8" t="s">
        <v>8158</v>
      </c>
      <c r="U8" t="s">
        <v>5196</v>
      </c>
      <c r="V8" t="s">
        <v>5147</v>
      </c>
      <c r="W8">
        <v>20990000</v>
      </c>
      <c r="X8" t="s">
        <v>5148</v>
      </c>
      <c r="Y8">
        <v>389</v>
      </c>
      <c r="Z8" t="s">
        <v>8159</v>
      </c>
      <c r="AA8" t="s">
        <v>8228</v>
      </c>
      <c r="AB8" t="s">
        <v>3948</v>
      </c>
      <c r="AC8" t="s">
        <v>8480</v>
      </c>
      <c r="AD8" t="s">
        <v>8478</v>
      </c>
      <c r="AE8" t="s">
        <v>8421</v>
      </c>
      <c r="AF8" t="s">
        <v>8481</v>
      </c>
      <c r="AG8">
        <v>781565</v>
      </c>
      <c r="AH8" t="s">
        <v>8457</v>
      </c>
      <c r="AI8" t="s">
        <v>8482</v>
      </c>
      <c r="AJ8" t="s">
        <v>3948</v>
      </c>
      <c r="AK8">
        <v>0</v>
      </c>
      <c r="AL8">
        <v>0</v>
      </c>
      <c r="AM8" t="s">
        <v>3948</v>
      </c>
      <c r="AN8">
        <v>0</v>
      </c>
      <c r="AO8">
        <v>26670800</v>
      </c>
      <c r="AP8">
        <v>991590</v>
      </c>
      <c r="AQ8">
        <v>0</v>
      </c>
      <c r="AR8">
        <v>27662390</v>
      </c>
      <c r="AS8">
        <v>20990000</v>
      </c>
      <c r="AT8">
        <v>-6672390</v>
      </c>
      <c r="AU8">
        <v>-3179</v>
      </c>
    </row>
    <row r="9" spans="1:47" ht="13.5" customHeight="1" x14ac:dyDescent="0.3">
      <c r="A9" t="s">
        <v>8420</v>
      </c>
      <c r="B9" t="s">
        <v>5180</v>
      </c>
      <c r="C9">
        <v>0</v>
      </c>
      <c r="D9">
        <v>0</v>
      </c>
      <c r="E9" t="s">
        <v>3948</v>
      </c>
      <c r="F9" t="s">
        <v>3948</v>
      </c>
      <c r="G9" t="s">
        <v>3948</v>
      </c>
      <c r="H9" t="s">
        <v>3948</v>
      </c>
      <c r="I9" t="s">
        <v>8441</v>
      </c>
      <c r="J9" t="s">
        <v>3948</v>
      </c>
      <c r="K9" t="s">
        <v>8442</v>
      </c>
      <c r="L9" t="s">
        <v>2549</v>
      </c>
      <c r="M9" t="s">
        <v>2655</v>
      </c>
      <c r="N9" t="s">
        <v>8443</v>
      </c>
      <c r="O9" t="s">
        <v>8444</v>
      </c>
      <c r="P9">
        <v>2026</v>
      </c>
      <c r="Q9">
        <v>2705</v>
      </c>
      <c r="R9" t="s">
        <v>8445</v>
      </c>
      <c r="S9" t="s">
        <v>3715</v>
      </c>
      <c r="T9" t="s">
        <v>8158</v>
      </c>
      <c r="U9" t="s">
        <v>8446</v>
      </c>
      <c r="V9" t="s">
        <v>5147</v>
      </c>
      <c r="W9">
        <v>24890000</v>
      </c>
      <c r="X9" t="s">
        <v>5148</v>
      </c>
      <c r="Y9">
        <v>162</v>
      </c>
      <c r="Z9" t="s">
        <v>8159</v>
      </c>
      <c r="AA9" t="s">
        <v>8160</v>
      </c>
      <c r="AB9" t="s">
        <v>3948</v>
      </c>
      <c r="AC9" t="s">
        <v>8447</v>
      </c>
      <c r="AD9" t="s">
        <v>8442</v>
      </c>
      <c r="AE9" t="s">
        <v>8421</v>
      </c>
      <c r="AF9" t="s">
        <v>5480</v>
      </c>
      <c r="AG9">
        <v>912475</v>
      </c>
      <c r="AH9" t="s">
        <v>8355</v>
      </c>
      <c r="AI9" t="s">
        <v>8448</v>
      </c>
      <c r="AJ9" t="s">
        <v>3948</v>
      </c>
      <c r="AK9">
        <v>0</v>
      </c>
      <c r="AL9">
        <v>0</v>
      </c>
      <c r="AM9" t="s">
        <v>3948</v>
      </c>
      <c r="AN9">
        <v>0</v>
      </c>
      <c r="AO9">
        <v>16665547</v>
      </c>
      <c r="AP9">
        <v>535096</v>
      </c>
      <c r="AQ9">
        <v>0</v>
      </c>
      <c r="AR9">
        <v>17200643</v>
      </c>
      <c r="AS9">
        <v>20915966</v>
      </c>
      <c r="AT9">
        <v>3715323</v>
      </c>
      <c r="AU9">
        <v>1776</v>
      </c>
    </row>
    <row r="10" spans="1:47" ht="13.5" customHeight="1" x14ac:dyDescent="0.3">
      <c r="A10" t="s">
        <v>8420</v>
      </c>
      <c r="B10" t="s">
        <v>5170</v>
      </c>
      <c r="C10">
        <v>0</v>
      </c>
      <c r="D10">
        <v>0</v>
      </c>
      <c r="E10" t="s">
        <v>3948</v>
      </c>
      <c r="F10" t="s">
        <v>3948</v>
      </c>
      <c r="G10" t="s">
        <v>3948</v>
      </c>
      <c r="H10" t="s">
        <v>3948</v>
      </c>
      <c r="I10" t="s">
        <v>8483</v>
      </c>
      <c r="J10" t="s">
        <v>3948</v>
      </c>
      <c r="K10" t="s">
        <v>8484</v>
      </c>
      <c r="L10" t="s">
        <v>241</v>
      </c>
      <c r="M10" t="s">
        <v>8425</v>
      </c>
      <c r="N10" t="s">
        <v>4839</v>
      </c>
      <c r="O10" t="s">
        <v>8435</v>
      </c>
      <c r="P10">
        <v>2022</v>
      </c>
      <c r="Q10">
        <v>0</v>
      </c>
      <c r="R10" t="s">
        <v>8485</v>
      </c>
      <c r="S10" t="s">
        <v>8486</v>
      </c>
      <c r="T10" t="s">
        <v>5145</v>
      </c>
      <c r="U10" t="s">
        <v>5270</v>
      </c>
      <c r="V10" t="s">
        <v>5147</v>
      </c>
      <c r="W10">
        <v>37355481</v>
      </c>
      <c r="X10" t="s">
        <v>5148</v>
      </c>
      <c r="Y10">
        <v>616</v>
      </c>
      <c r="Z10" t="s">
        <v>40</v>
      </c>
      <c r="AA10" t="s">
        <v>5181</v>
      </c>
      <c r="AB10" t="s">
        <v>3948</v>
      </c>
      <c r="AC10" t="s">
        <v>8487</v>
      </c>
      <c r="AD10" t="s">
        <v>8484</v>
      </c>
      <c r="AE10" t="s">
        <v>8488</v>
      </c>
      <c r="AF10" t="s">
        <v>8489</v>
      </c>
      <c r="AG10">
        <v>1</v>
      </c>
      <c r="AH10" t="s">
        <v>8489</v>
      </c>
      <c r="AI10" t="s">
        <v>8490</v>
      </c>
      <c r="AJ10" t="s">
        <v>3948</v>
      </c>
      <c r="AK10">
        <v>0</v>
      </c>
      <c r="AL10">
        <v>0</v>
      </c>
      <c r="AM10" t="s">
        <v>3948</v>
      </c>
      <c r="AN10">
        <v>0</v>
      </c>
      <c r="AO10">
        <v>37355481</v>
      </c>
      <c r="AP10">
        <v>894355</v>
      </c>
      <c r="AQ10">
        <v>0</v>
      </c>
      <c r="AR10">
        <v>38249836</v>
      </c>
      <c r="AS10">
        <v>37355481</v>
      </c>
      <c r="AT10">
        <v>-894355</v>
      </c>
      <c r="AU10">
        <v>-239</v>
      </c>
    </row>
    <row r="11" spans="1:47" ht="13.5" customHeight="1" x14ac:dyDescent="0.3">
      <c r="A11" t="s">
        <v>8420</v>
      </c>
      <c r="B11" t="s">
        <v>5161</v>
      </c>
      <c r="C11">
        <v>0</v>
      </c>
      <c r="D11">
        <v>0</v>
      </c>
      <c r="E11" t="s">
        <v>3948</v>
      </c>
      <c r="F11" t="s">
        <v>3948</v>
      </c>
      <c r="G11" t="s">
        <v>3948</v>
      </c>
      <c r="H11" t="s">
        <v>3948</v>
      </c>
      <c r="I11" t="s">
        <v>8449</v>
      </c>
      <c r="J11" t="s">
        <v>3948</v>
      </c>
      <c r="K11" t="s">
        <v>8450</v>
      </c>
      <c r="L11" t="s">
        <v>241</v>
      </c>
      <c r="M11" t="s">
        <v>8451</v>
      </c>
      <c r="N11" t="s">
        <v>8452</v>
      </c>
      <c r="O11" t="s">
        <v>8453</v>
      </c>
      <c r="P11">
        <v>2024</v>
      </c>
      <c r="Q11">
        <v>45647</v>
      </c>
      <c r="R11" t="s">
        <v>8454</v>
      </c>
      <c r="S11" t="s">
        <v>3059</v>
      </c>
      <c r="T11" t="s">
        <v>8158</v>
      </c>
      <c r="U11" t="s">
        <v>5507</v>
      </c>
      <c r="V11" t="s">
        <v>5147</v>
      </c>
      <c r="W11">
        <v>17590000</v>
      </c>
      <c r="X11" t="s">
        <v>5148</v>
      </c>
      <c r="Y11">
        <v>1051</v>
      </c>
      <c r="Z11" t="s">
        <v>40</v>
      </c>
      <c r="AA11" t="s">
        <v>8228</v>
      </c>
      <c r="AB11" t="s">
        <v>3948</v>
      </c>
      <c r="AC11" t="s">
        <v>8455</v>
      </c>
      <c r="AD11" t="s">
        <v>8450</v>
      </c>
      <c r="AE11" t="s">
        <v>8421</v>
      </c>
      <c r="AF11" t="s">
        <v>8456</v>
      </c>
      <c r="AG11">
        <v>781568</v>
      </c>
      <c r="AH11" t="s">
        <v>8457</v>
      </c>
      <c r="AI11" t="s">
        <v>8458</v>
      </c>
      <c r="AJ11" t="s">
        <v>3948</v>
      </c>
      <c r="AK11">
        <v>0</v>
      </c>
      <c r="AL11">
        <v>0</v>
      </c>
      <c r="AM11" t="s">
        <v>3948</v>
      </c>
      <c r="AN11">
        <v>0</v>
      </c>
      <c r="AO11">
        <v>21175461</v>
      </c>
      <c r="AP11">
        <v>1288456</v>
      </c>
      <c r="AQ11">
        <v>0</v>
      </c>
      <c r="AR11">
        <v>22463917</v>
      </c>
      <c r="AS11">
        <v>17590000</v>
      </c>
      <c r="AT11">
        <v>-4873917</v>
      </c>
      <c r="AU11">
        <v>-2771</v>
      </c>
    </row>
    <row r="12" spans="1:47" ht="13.5" customHeight="1" x14ac:dyDescent="0.3">
      <c r="A12" t="s">
        <v>8420</v>
      </c>
      <c r="B12" t="s">
        <v>8135</v>
      </c>
      <c r="C12">
        <v>0</v>
      </c>
      <c r="D12">
        <v>0</v>
      </c>
      <c r="E12" t="s">
        <v>3948</v>
      </c>
      <c r="F12" t="s">
        <v>3948</v>
      </c>
      <c r="G12" t="s">
        <v>3948</v>
      </c>
      <c r="H12" t="s">
        <v>3948</v>
      </c>
      <c r="I12" t="s">
        <v>11237</v>
      </c>
      <c r="J12" t="s">
        <v>3948</v>
      </c>
      <c r="K12" t="s">
        <v>11238</v>
      </c>
      <c r="L12" t="s">
        <v>2549</v>
      </c>
      <c r="M12" t="s">
        <v>3066</v>
      </c>
      <c r="N12" t="s">
        <v>11239</v>
      </c>
      <c r="O12" t="s">
        <v>11240</v>
      </c>
      <c r="P12">
        <v>2026</v>
      </c>
      <c r="Q12">
        <v>0</v>
      </c>
      <c r="R12" t="s">
        <v>11241</v>
      </c>
      <c r="S12" t="s">
        <v>11242</v>
      </c>
      <c r="T12" t="s">
        <v>8158</v>
      </c>
      <c r="U12" t="s">
        <v>11243</v>
      </c>
      <c r="V12" t="s">
        <v>5147</v>
      </c>
      <c r="W12">
        <v>18690000</v>
      </c>
      <c r="X12" t="s">
        <v>5148</v>
      </c>
      <c r="Y12">
        <v>368</v>
      </c>
      <c r="Z12" t="s">
        <v>8159</v>
      </c>
      <c r="AA12" t="s">
        <v>8135</v>
      </c>
      <c r="AB12" t="s">
        <v>3948</v>
      </c>
      <c r="AC12" t="s">
        <v>11244</v>
      </c>
      <c r="AD12" t="s">
        <v>11238</v>
      </c>
      <c r="AE12" t="s">
        <v>8421</v>
      </c>
      <c r="AF12" t="s">
        <v>5516</v>
      </c>
      <c r="AG12">
        <v>912470</v>
      </c>
      <c r="AH12" t="s">
        <v>8355</v>
      </c>
      <c r="AI12" t="s">
        <v>11245</v>
      </c>
      <c r="AJ12" t="s">
        <v>3948</v>
      </c>
      <c r="AK12">
        <v>0</v>
      </c>
      <c r="AL12">
        <v>0</v>
      </c>
      <c r="AM12" t="s">
        <v>3948</v>
      </c>
      <c r="AN12">
        <v>0</v>
      </c>
      <c r="AO12">
        <v>13236975</v>
      </c>
      <c r="AP12">
        <v>460637</v>
      </c>
      <c r="AQ12">
        <v>0</v>
      </c>
      <c r="AR12">
        <v>13697612</v>
      </c>
      <c r="AS12">
        <v>15705882</v>
      </c>
      <c r="AT12">
        <v>2008270</v>
      </c>
      <c r="AU12">
        <v>1279</v>
      </c>
    </row>
    <row r="13" spans="1:47" ht="13.5" customHeight="1" x14ac:dyDescent="0.3">
      <c r="A13" t="s">
        <v>8420</v>
      </c>
      <c r="B13" t="s">
        <v>5161</v>
      </c>
      <c r="C13">
        <v>0</v>
      </c>
      <c r="D13">
        <v>0</v>
      </c>
      <c r="E13" t="s">
        <v>3948</v>
      </c>
      <c r="F13" t="s">
        <v>3948</v>
      </c>
      <c r="G13" t="s">
        <v>3948</v>
      </c>
      <c r="H13" t="s">
        <v>3948</v>
      </c>
      <c r="I13" t="s">
        <v>11246</v>
      </c>
      <c r="J13" t="s">
        <v>3948</v>
      </c>
      <c r="K13" t="s">
        <v>11247</v>
      </c>
      <c r="L13" t="s">
        <v>241</v>
      </c>
      <c r="M13" t="s">
        <v>2487</v>
      </c>
      <c r="N13" t="s">
        <v>10146</v>
      </c>
      <c r="O13" t="s">
        <v>10147</v>
      </c>
      <c r="P13">
        <v>2026</v>
      </c>
      <c r="Q13">
        <v>0</v>
      </c>
      <c r="R13" t="s">
        <v>11248</v>
      </c>
      <c r="S13" t="s">
        <v>11249</v>
      </c>
      <c r="T13" t="s">
        <v>8158</v>
      </c>
      <c r="U13" t="s">
        <v>5146</v>
      </c>
      <c r="V13" t="s">
        <v>5147</v>
      </c>
      <c r="W13">
        <v>37290000</v>
      </c>
      <c r="X13" t="s">
        <v>5148</v>
      </c>
      <c r="Y13">
        <v>262</v>
      </c>
      <c r="Z13" t="s">
        <v>8098</v>
      </c>
      <c r="AA13" t="s">
        <v>8228</v>
      </c>
      <c r="AB13" t="s">
        <v>3948</v>
      </c>
      <c r="AC13" t="s">
        <v>11250</v>
      </c>
      <c r="AD13" t="s">
        <v>11247</v>
      </c>
      <c r="AE13" t="s">
        <v>8421</v>
      </c>
      <c r="AF13" t="s">
        <v>11251</v>
      </c>
      <c r="AG13">
        <v>0</v>
      </c>
      <c r="AH13" t="s">
        <v>3948</v>
      </c>
      <c r="AI13" t="s">
        <v>3948</v>
      </c>
      <c r="AJ13" t="s">
        <v>3948</v>
      </c>
      <c r="AK13">
        <v>0</v>
      </c>
      <c r="AL13">
        <v>0</v>
      </c>
      <c r="AM13" t="s">
        <v>3948</v>
      </c>
      <c r="AN13">
        <v>0</v>
      </c>
      <c r="AO13">
        <v>28983865</v>
      </c>
      <c r="AP13">
        <v>1338304</v>
      </c>
      <c r="AQ13">
        <v>0</v>
      </c>
      <c r="AR13">
        <v>30322169</v>
      </c>
      <c r="AS13">
        <v>31336134</v>
      </c>
      <c r="AT13">
        <v>1013965</v>
      </c>
      <c r="AU13">
        <v>324</v>
      </c>
    </row>
    <row r="14" spans="1:47" ht="13.5" customHeight="1" x14ac:dyDescent="0.3">
      <c r="A14" t="s">
        <v>8420</v>
      </c>
      <c r="B14" t="s">
        <v>8422</v>
      </c>
      <c r="C14">
        <v>0</v>
      </c>
      <c r="D14">
        <v>0</v>
      </c>
      <c r="E14" t="s">
        <v>3948</v>
      </c>
      <c r="F14" t="s">
        <v>3948</v>
      </c>
      <c r="G14" t="s">
        <v>3948</v>
      </c>
      <c r="H14" t="s">
        <v>3948</v>
      </c>
      <c r="I14" t="s">
        <v>11252</v>
      </c>
      <c r="J14" t="s">
        <v>3948</v>
      </c>
      <c r="K14" t="s">
        <v>11253</v>
      </c>
      <c r="L14" t="s">
        <v>241</v>
      </c>
      <c r="M14" t="s">
        <v>8451</v>
      </c>
      <c r="N14" t="s">
        <v>11254</v>
      </c>
      <c r="O14" t="s">
        <v>11255</v>
      </c>
      <c r="P14">
        <v>2026</v>
      </c>
      <c r="Q14">
        <v>0</v>
      </c>
      <c r="R14" t="s">
        <v>11256</v>
      </c>
      <c r="S14" t="s">
        <v>11257</v>
      </c>
      <c r="T14" t="s">
        <v>8158</v>
      </c>
      <c r="U14" t="s">
        <v>5507</v>
      </c>
      <c r="V14" t="s">
        <v>5147</v>
      </c>
      <c r="W14">
        <v>21090000</v>
      </c>
      <c r="X14" t="s">
        <v>5148</v>
      </c>
      <c r="Y14">
        <v>368</v>
      </c>
      <c r="Z14" t="s">
        <v>8159</v>
      </c>
      <c r="AA14" t="s">
        <v>8428</v>
      </c>
      <c r="AB14" t="s">
        <v>3948</v>
      </c>
      <c r="AC14" t="s">
        <v>11258</v>
      </c>
      <c r="AD14" t="s">
        <v>11253</v>
      </c>
      <c r="AE14" t="s">
        <v>8421</v>
      </c>
      <c r="AF14" t="s">
        <v>5516</v>
      </c>
      <c r="AG14">
        <v>912464</v>
      </c>
      <c r="AH14" t="s">
        <v>8355</v>
      </c>
      <c r="AI14" t="s">
        <v>11259</v>
      </c>
      <c r="AJ14" t="s">
        <v>3948</v>
      </c>
      <c r="AK14">
        <v>0</v>
      </c>
      <c r="AL14">
        <v>0</v>
      </c>
      <c r="AM14" t="s">
        <v>3948</v>
      </c>
      <c r="AN14">
        <v>0</v>
      </c>
      <c r="AO14">
        <v>14312605</v>
      </c>
      <c r="AP14">
        <v>409055</v>
      </c>
      <c r="AQ14">
        <v>0</v>
      </c>
      <c r="AR14">
        <v>14721660</v>
      </c>
      <c r="AS14">
        <v>17722689</v>
      </c>
      <c r="AT14">
        <v>3001029</v>
      </c>
      <c r="AU14">
        <v>1693</v>
      </c>
    </row>
    <row r="15" spans="1:47" ht="13.5" customHeight="1" x14ac:dyDescent="0.3">
      <c r="A15" t="s">
        <v>8420</v>
      </c>
      <c r="B15" t="s">
        <v>5180</v>
      </c>
      <c r="C15">
        <v>0</v>
      </c>
      <c r="D15">
        <v>0</v>
      </c>
      <c r="E15" t="s">
        <v>3948</v>
      </c>
      <c r="F15" t="s">
        <v>3948</v>
      </c>
      <c r="G15" t="s">
        <v>3948</v>
      </c>
      <c r="H15" t="s">
        <v>3948</v>
      </c>
      <c r="I15" t="s">
        <v>8433</v>
      </c>
      <c r="J15" t="s">
        <v>3948</v>
      </c>
      <c r="K15" t="s">
        <v>8434</v>
      </c>
      <c r="L15" t="s">
        <v>241</v>
      </c>
      <c r="M15" t="s">
        <v>8425</v>
      </c>
      <c r="N15" t="s">
        <v>4839</v>
      </c>
      <c r="O15" t="s">
        <v>8435</v>
      </c>
      <c r="P15">
        <v>2022</v>
      </c>
      <c r="Q15">
        <v>1980</v>
      </c>
      <c r="R15" t="s">
        <v>8436</v>
      </c>
      <c r="S15" t="s">
        <v>2503</v>
      </c>
      <c r="T15" t="s">
        <v>5145</v>
      </c>
      <c r="U15" t="s">
        <v>5270</v>
      </c>
      <c r="V15" t="s">
        <v>5147</v>
      </c>
      <c r="W15">
        <v>19490000</v>
      </c>
      <c r="X15" t="s">
        <v>5148</v>
      </c>
      <c r="Y15">
        <v>1166</v>
      </c>
      <c r="Z15" t="s">
        <v>26</v>
      </c>
      <c r="AA15" t="s">
        <v>8160</v>
      </c>
      <c r="AB15" t="s">
        <v>3948</v>
      </c>
      <c r="AC15" t="s">
        <v>8437</v>
      </c>
      <c r="AD15" t="s">
        <v>8434</v>
      </c>
      <c r="AE15" t="s">
        <v>8438</v>
      </c>
      <c r="AF15" t="s">
        <v>8439</v>
      </c>
      <c r="AG15">
        <v>1</v>
      </c>
      <c r="AH15" t="s">
        <v>8439</v>
      </c>
      <c r="AI15" t="s">
        <v>8440</v>
      </c>
      <c r="AJ15" t="s">
        <v>3948</v>
      </c>
      <c r="AK15">
        <v>0</v>
      </c>
      <c r="AL15">
        <v>0</v>
      </c>
      <c r="AM15" t="s">
        <v>3948</v>
      </c>
      <c r="AN15">
        <v>0</v>
      </c>
      <c r="AO15">
        <v>21000000</v>
      </c>
      <c r="AP15">
        <v>13250</v>
      </c>
      <c r="AQ15">
        <v>0</v>
      </c>
      <c r="AR15">
        <v>21013250</v>
      </c>
      <c r="AS15">
        <v>19490000</v>
      </c>
      <c r="AT15">
        <v>-1523250</v>
      </c>
      <c r="AU15">
        <v>-782</v>
      </c>
    </row>
    <row r="16" spans="1:47" ht="13.5" customHeight="1" x14ac:dyDescent="0.3">
      <c r="A16" t="s">
        <v>8149</v>
      </c>
      <c r="B16" t="s">
        <v>8162</v>
      </c>
      <c r="C16">
        <v>0</v>
      </c>
      <c r="D16">
        <v>0</v>
      </c>
      <c r="E16" t="s">
        <v>3948</v>
      </c>
      <c r="F16" t="s">
        <v>3948</v>
      </c>
      <c r="G16" t="s">
        <v>3948</v>
      </c>
      <c r="H16" t="s">
        <v>3948</v>
      </c>
      <c r="I16" t="s">
        <v>8624</v>
      </c>
      <c r="J16" t="s">
        <v>3948</v>
      </c>
      <c r="K16" t="s">
        <v>8163</v>
      </c>
      <c r="L16" t="s">
        <v>86</v>
      </c>
      <c r="M16" t="s">
        <v>122</v>
      </c>
      <c r="N16" t="s">
        <v>123</v>
      </c>
      <c r="O16" t="s">
        <v>8164</v>
      </c>
      <c r="P16">
        <v>2025</v>
      </c>
      <c r="Q16">
        <v>0</v>
      </c>
      <c r="R16" t="s">
        <v>8165</v>
      </c>
      <c r="S16" t="s">
        <v>7995</v>
      </c>
      <c r="T16" t="s">
        <v>8158</v>
      </c>
      <c r="U16" t="s">
        <v>5179</v>
      </c>
      <c r="V16" t="s">
        <v>3948</v>
      </c>
      <c r="W16">
        <v>0</v>
      </c>
      <c r="X16" t="s">
        <v>5148</v>
      </c>
      <c r="Y16">
        <v>341</v>
      </c>
      <c r="Z16" t="s">
        <v>16</v>
      </c>
      <c r="AA16" t="s">
        <v>8166</v>
      </c>
      <c r="AB16" t="s">
        <v>3948</v>
      </c>
      <c r="AC16" t="s">
        <v>8167</v>
      </c>
      <c r="AD16" t="s">
        <v>8163</v>
      </c>
      <c r="AE16" t="s">
        <v>8168</v>
      </c>
      <c r="AF16" t="s">
        <v>8625</v>
      </c>
      <c r="AG16">
        <v>45641330</v>
      </c>
      <c r="AH16" t="s">
        <v>8169</v>
      </c>
      <c r="AI16" t="s">
        <v>8626</v>
      </c>
      <c r="AJ16" t="s">
        <v>3948</v>
      </c>
      <c r="AK16">
        <v>0</v>
      </c>
      <c r="AL16">
        <v>0</v>
      </c>
      <c r="AM16" t="s">
        <v>3948</v>
      </c>
      <c r="AN16">
        <v>0</v>
      </c>
      <c r="AO16">
        <v>39290000</v>
      </c>
      <c r="AP16">
        <v>0</v>
      </c>
      <c r="AQ16">
        <v>0</v>
      </c>
      <c r="AR16">
        <v>39290000</v>
      </c>
      <c r="AS16">
        <v>0</v>
      </c>
      <c r="AT16">
        <v>-39290000</v>
      </c>
      <c r="AU16">
        <v>-3929000000</v>
      </c>
    </row>
    <row r="17" spans="1:47" ht="13.5" customHeight="1" x14ac:dyDescent="0.3">
      <c r="A17" t="s">
        <v>8149</v>
      </c>
      <c r="B17" t="s">
        <v>5180</v>
      </c>
      <c r="C17">
        <v>0</v>
      </c>
      <c r="D17">
        <v>0</v>
      </c>
      <c r="E17" t="s">
        <v>3948</v>
      </c>
      <c r="F17" t="s">
        <v>3948</v>
      </c>
      <c r="G17" t="s">
        <v>3948</v>
      </c>
      <c r="H17" t="s">
        <v>3948</v>
      </c>
      <c r="I17" t="s">
        <v>10160</v>
      </c>
      <c r="J17" t="s">
        <v>3948</v>
      </c>
      <c r="K17" t="s">
        <v>10161</v>
      </c>
      <c r="L17" t="s">
        <v>186</v>
      </c>
      <c r="M17" t="s">
        <v>188</v>
      </c>
      <c r="N17" t="s">
        <v>4488</v>
      </c>
      <c r="O17" t="s">
        <v>9793</v>
      </c>
      <c r="P17">
        <v>2025</v>
      </c>
      <c r="Q17">
        <v>0</v>
      </c>
      <c r="R17" t="s">
        <v>10162</v>
      </c>
      <c r="S17" t="s">
        <v>3906</v>
      </c>
      <c r="T17" t="s">
        <v>5145</v>
      </c>
      <c r="U17" t="s">
        <v>10163</v>
      </c>
      <c r="V17" t="s">
        <v>5147</v>
      </c>
      <c r="W17">
        <v>11490000</v>
      </c>
      <c r="X17" t="s">
        <v>5148</v>
      </c>
      <c r="Y17">
        <v>349</v>
      </c>
      <c r="Z17" t="s">
        <v>40</v>
      </c>
      <c r="AA17" t="s">
        <v>8160</v>
      </c>
      <c r="AB17" t="s">
        <v>3948</v>
      </c>
      <c r="AC17" t="s">
        <v>10164</v>
      </c>
      <c r="AD17" t="s">
        <v>10161</v>
      </c>
      <c r="AE17" t="s">
        <v>10165</v>
      </c>
      <c r="AF17" t="s">
        <v>10166</v>
      </c>
      <c r="AG17">
        <v>1</v>
      </c>
      <c r="AH17" t="s">
        <v>10166</v>
      </c>
      <c r="AI17" t="s">
        <v>10167</v>
      </c>
      <c r="AJ17" t="s">
        <v>3948</v>
      </c>
      <c r="AK17">
        <v>0</v>
      </c>
      <c r="AL17">
        <v>0</v>
      </c>
      <c r="AM17" t="s">
        <v>3948</v>
      </c>
      <c r="AN17">
        <v>12</v>
      </c>
      <c r="AO17">
        <v>12473300</v>
      </c>
      <c r="AP17">
        <v>0</v>
      </c>
      <c r="AQ17">
        <v>0</v>
      </c>
      <c r="AR17">
        <v>12473300</v>
      </c>
      <c r="AS17">
        <v>11490000</v>
      </c>
      <c r="AT17">
        <v>-983300</v>
      </c>
      <c r="AU17">
        <v>-856</v>
      </c>
    </row>
    <row r="18" spans="1:47" ht="13.5" customHeight="1" x14ac:dyDescent="0.3">
      <c r="A18" t="s">
        <v>8149</v>
      </c>
      <c r="B18" t="s">
        <v>5180</v>
      </c>
      <c r="C18">
        <v>0</v>
      </c>
      <c r="D18">
        <v>0</v>
      </c>
      <c r="E18" t="s">
        <v>3948</v>
      </c>
      <c r="F18" t="s">
        <v>3948</v>
      </c>
      <c r="G18" t="s">
        <v>3948</v>
      </c>
      <c r="H18" t="s">
        <v>3948</v>
      </c>
      <c r="I18" t="s">
        <v>8627</v>
      </c>
      <c r="J18" t="s">
        <v>3948</v>
      </c>
      <c r="K18" t="s">
        <v>8175</v>
      </c>
      <c r="L18" t="s">
        <v>241</v>
      </c>
      <c r="M18" t="s">
        <v>269</v>
      </c>
      <c r="N18" t="s">
        <v>8176</v>
      </c>
      <c r="O18" t="s">
        <v>8177</v>
      </c>
      <c r="P18">
        <v>2024</v>
      </c>
      <c r="Q18">
        <v>50982</v>
      </c>
      <c r="R18" t="s">
        <v>8178</v>
      </c>
      <c r="S18" t="s">
        <v>3706</v>
      </c>
      <c r="T18" t="s">
        <v>8158</v>
      </c>
      <c r="U18" t="s">
        <v>8179</v>
      </c>
      <c r="V18" t="s">
        <v>5147</v>
      </c>
      <c r="W18">
        <v>20990000</v>
      </c>
      <c r="X18" t="s">
        <v>5148</v>
      </c>
      <c r="Y18">
        <v>174</v>
      </c>
      <c r="Z18" t="s">
        <v>8159</v>
      </c>
      <c r="AA18" t="s">
        <v>8160</v>
      </c>
      <c r="AB18" t="s">
        <v>3948</v>
      </c>
      <c r="AC18" t="s">
        <v>8180</v>
      </c>
      <c r="AD18" t="s">
        <v>8175</v>
      </c>
      <c r="AE18" t="s">
        <v>8161</v>
      </c>
      <c r="AF18" t="s">
        <v>8628</v>
      </c>
      <c r="AG18">
        <v>55045</v>
      </c>
      <c r="AH18" t="s">
        <v>8618</v>
      </c>
      <c r="AI18" t="s">
        <v>8629</v>
      </c>
      <c r="AJ18" t="s">
        <v>3948</v>
      </c>
      <c r="AK18">
        <v>0</v>
      </c>
      <c r="AL18">
        <v>0</v>
      </c>
      <c r="AM18" t="s">
        <v>3948</v>
      </c>
      <c r="AN18">
        <v>0</v>
      </c>
      <c r="AO18">
        <v>29014497</v>
      </c>
      <c r="AP18">
        <v>3058563</v>
      </c>
      <c r="AQ18">
        <v>0</v>
      </c>
      <c r="AR18">
        <v>32073060</v>
      </c>
      <c r="AS18">
        <v>20990000</v>
      </c>
      <c r="AT18">
        <v>-11083060</v>
      </c>
      <c r="AU18">
        <v>-528</v>
      </c>
    </row>
    <row r="19" spans="1:47" ht="13.5" customHeight="1" x14ac:dyDescent="0.3">
      <c r="A19" t="s">
        <v>8149</v>
      </c>
      <c r="B19" t="s">
        <v>5180</v>
      </c>
      <c r="C19">
        <v>0</v>
      </c>
      <c r="D19">
        <v>0</v>
      </c>
      <c r="E19" t="s">
        <v>3948</v>
      </c>
      <c r="F19" t="s">
        <v>3948</v>
      </c>
      <c r="G19" t="s">
        <v>3948</v>
      </c>
      <c r="H19" t="s">
        <v>3948</v>
      </c>
      <c r="I19" t="s">
        <v>8652</v>
      </c>
      <c r="J19" t="s">
        <v>3948</v>
      </c>
      <c r="K19" t="s">
        <v>8254</v>
      </c>
      <c r="L19" t="s">
        <v>241</v>
      </c>
      <c r="M19" t="s">
        <v>2487</v>
      </c>
      <c r="N19" t="s">
        <v>8200</v>
      </c>
      <c r="O19" t="s">
        <v>8201</v>
      </c>
      <c r="P19">
        <v>2025</v>
      </c>
      <c r="Q19">
        <v>23967</v>
      </c>
      <c r="R19" t="s">
        <v>8255</v>
      </c>
      <c r="S19" t="s">
        <v>3622</v>
      </c>
      <c r="T19" t="s">
        <v>8158</v>
      </c>
      <c r="U19" t="s">
        <v>8179</v>
      </c>
      <c r="V19" t="s">
        <v>5147</v>
      </c>
      <c r="W19">
        <v>24290000</v>
      </c>
      <c r="X19" t="s">
        <v>5148</v>
      </c>
      <c r="Y19">
        <v>162</v>
      </c>
      <c r="Z19" t="s">
        <v>8159</v>
      </c>
      <c r="AA19" t="s">
        <v>8160</v>
      </c>
      <c r="AB19" t="s">
        <v>3948</v>
      </c>
      <c r="AC19" t="s">
        <v>8256</v>
      </c>
      <c r="AD19" t="s">
        <v>8254</v>
      </c>
      <c r="AE19" t="s">
        <v>8161</v>
      </c>
      <c r="AF19" t="s">
        <v>5480</v>
      </c>
      <c r="AG19">
        <v>66117</v>
      </c>
      <c r="AH19" t="s">
        <v>8190</v>
      </c>
      <c r="AI19" t="s">
        <v>8653</v>
      </c>
      <c r="AJ19" t="s">
        <v>3948</v>
      </c>
      <c r="AK19">
        <v>0</v>
      </c>
      <c r="AL19">
        <v>0</v>
      </c>
      <c r="AM19" t="s">
        <v>3948</v>
      </c>
      <c r="AN19">
        <v>0</v>
      </c>
      <c r="AO19">
        <v>25546891</v>
      </c>
      <c r="AP19">
        <v>1916780</v>
      </c>
      <c r="AQ19">
        <v>0</v>
      </c>
      <c r="AR19">
        <v>27463671</v>
      </c>
      <c r="AS19">
        <v>24290000</v>
      </c>
      <c r="AT19">
        <v>-3173671</v>
      </c>
      <c r="AU19">
        <v>-1307</v>
      </c>
    </row>
    <row r="20" spans="1:47" ht="13.5" customHeight="1" x14ac:dyDescent="0.3">
      <c r="A20" t="s">
        <v>8149</v>
      </c>
      <c r="B20" t="s">
        <v>8135</v>
      </c>
      <c r="C20">
        <v>0</v>
      </c>
      <c r="D20">
        <v>0</v>
      </c>
      <c r="E20" t="s">
        <v>3948</v>
      </c>
      <c r="F20" t="s">
        <v>3948</v>
      </c>
      <c r="G20" t="s">
        <v>3948</v>
      </c>
      <c r="H20" t="s">
        <v>3948</v>
      </c>
      <c r="I20" t="s">
        <v>8687</v>
      </c>
      <c r="J20" t="s">
        <v>3948</v>
      </c>
      <c r="K20" t="s">
        <v>8342</v>
      </c>
      <c r="L20" t="s">
        <v>2545</v>
      </c>
      <c r="M20" t="s">
        <v>2546</v>
      </c>
      <c r="N20" t="s">
        <v>8343</v>
      </c>
      <c r="O20" t="s">
        <v>8344</v>
      </c>
      <c r="P20">
        <v>2019</v>
      </c>
      <c r="Q20">
        <v>6400</v>
      </c>
      <c r="R20" t="s">
        <v>8345</v>
      </c>
      <c r="S20" t="s">
        <v>8346</v>
      </c>
      <c r="T20" t="s">
        <v>8158</v>
      </c>
      <c r="U20" t="s">
        <v>8347</v>
      </c>
      <c r="V20" t="s">
        <v>5147</v>
      </c>
      <c r="W20">
        <v>15900000</v>
      </c>
      <c r="X20" t="s">
        <v>5148</v>
      </c>
      <c r="Y20">
        <v>1411</v>
      </c>
      <c r="Z20" t="s">
        <v>63</v>
      </c>
      <c r="AA20" t="s">
        <v>8135</v>
      </c>
      <c r="AB20" t="s">
        <v>3948</v>
      </c>
      <c r="AC20" t="s">
        <v>8348</v>
      </c>
      <c r="AD20" t="s">
        <v>8342</v>
      </c>
      <c r="AE20" t="s">
        <v>8234</v>
      </c>
      <c r="AF20" t="s">
        <v>8688</v>
      </c>
      <c r="AG20">
        <v>347702</v>
      </c>
      <c r="AH20" t="s">
        <v>8689</v>
      </c>
      <c r="AI20" t="s">
        <v>8690</v>
      </c>
      <c r="AJ20" t="s">
        <v>3948</v>
      </c>
      <c r="AK20">
        <v>0</v>
      </c>
      <c r="AL20">
        <v>0</v>
      </c>
      <c r="AM20" t="s">
        <v>3948</v>
      </c>
      <c r="AN20">
        <v>0</v>
      </c>
      <c r="AO20">
        <v>12497480</v>
      </c>
      <c r="AP20">
        <v>3135424</v>
      </c>
      <c r="AQ20">
        <v>0</v>
      </c>
      <c r="AR20">
        <v>15632904</v>
      </c>
      <c r="AS20">
        <v>15900000</v>
      </c>
      <c r="AT20">
        <v>267096</v>
      </c>
      <c r="AU20">
        <v>168</v>
      </c>
    </row>
    <row r="21" spans="1:47" ht="13.5" customHeight="1" x14ac:dyDescent="0.3">
      <c r="A21" t="s">
        <v>8149</v>
      </c>
      <c r="B21" t="s">
        <v>8135</v>
      </c>
      <c r="C21">
        <v>0</v>
      </c>
      <c r="D21">
        <v>0</v>
      </c>
      <c r="E21" t="s">
        <v>3948</v>
      </c>
      <c r="F21" t="s">
        <v>3948</v>
      </c>
      <c r="G21" t="s">
        <v>3948</v>
      </c>
      <c r="H21" t="s">
        <v>3948</v>
      </c>
      <c r="I21" t="s">
        <v>11260</v>
      </c>
      <c r="J21" t="s">
        <v>3948</v>
      </c>
      <c r="K21" t="s">
        <v>11261</v>
      </c>
      <c r="L21" t="s">
        <v>241</v>
      </c>
      <c r="M21" t="s">
        <v>8205</v>
      </c>
      <c r="N21" t="s">
        <v>11262</v>
      </c>
      <c r="O21" t="s">
        <v>11263</v>
      </c>
      <c r="P21">
        <v>2026</v>
      </c>
      <c r="Q21">
        <v>0</v>
      </c>
      <c r="R21" t="s">
        <v>11264</v>
      </c>
      <c r="S21" t="s">
        <v>11265</v>
      </c>
      <c r="T21" t="s">
        <v>8158</v>
      </c>
      <c r="U21" t="s">
        <v>11266</v>
      </c>
      <c r="V21" t="s">
        <v>5147</v>
      </c>
      <c r="W21">
        <v>22717100</v>
      </c>
      <c r="X21" t="s">
        <v>5148</v>
      </c>
      <c r="Y21">
        <v>544</v>
      </c>
      <c r="Z21" t="s">
        <v>8159</v>
      </c>
      <c r="AA21" t="s">
        <v>8135</v>
      </c>
      <c r="AB21" t="s">
        <v>3948</v>
      </c>
      <c r="AC21" t="s">
        <v>11267</v>
      </c>
      <c r="AD21" t="s">
        <v>11261</v>
      </c>
      <c r="AE21" t="s">
        <v>8161</v>
      </c>
      <c r="AF21" t="s">
        <v>8189</v>
      </c>
      <c r="AG21">
        <v>66129</v>
      </c>
      <c r="AH21" t="s">
        <v>8190</v>
      </c>
      <c r="AI21" t="s">
        <v>11268</v>
      </c>
      <c r="AJ21" t="s">
        <v>3948</v>
      </c>
      <c r="AK21">
        <v>0</v>
      </c>
      <c r="AL21">
        <v>0</v>
      </c>
      <c r="AM21" t="s">
        <v>3948</v>
      </c>
      <c r="AN21">
        <v>0</v>
      </c>
      <c r="AO21">
        <v>17413917</v>
      </c>
      <c r="AP21">
        <v>1073628</v>
      </c>
      <c r="AQ21">
        <v>0</v>
      </c>
      <c r="AR21">
        <v>18487545</v>
      </c>
      <c r="AS21">
        <v>19090000</v>
      </c>
      <c r="AT21">
        <v>602455</v>
      </c>
      <c r="AU21">
        <v>316</v>
      </c>
    </row>
    <row r="22" spans="1:47" ht="13.5" customHeight="1" x14ac:dyDescent="0.3">
      <c r="A22" t="s">
        <v>8149</v>
      </c>
      <c r="B22" t="s">
        <v>5170</v>
      </c>
      <c r="C22">
        <v>0</v>
      </c>
      <c r="D22">
        <v>0</v>
      </c>
      <c r="E22" t="s">
        <v>3948</v>
      </c>
      <c r="F22" t="s">
        <v>3948</v>
      </c>
      <c r="G22" t="s">
        <v>3948</v>
      </c>
      <c r="H22" t="s">
        <v>3948</v>
      </c>
      <c r="I22" t="s">
        <v>8621</v>
      </c>
      <c r="J22" t="s">
        <v>3948</v>
      </c>
      <c r="K22" t="s">
        <v>8212</v>
      </c>
      <c r="L22" t="s">
        <v>241</v>
      </c>
      <c r="M22" t="s">
        <v>2485</v>
      </c>
      <c r="N22" t="s">
        <v>8213</v>
      </c>
      <c r="O22" t="s">
        <v>8214</v>
      </c>
      <c r="P22">
        <v>2025</v>
      </c>
      <c r="Q22">
        <v>0</v>
      </c>
      <c r="R22" t="s">
        <v>8215</v>
      </c>
      <c r="S22" t="s">
        <v>8216</v>
      </c>
      <c r="T22" t="s">
        <v>8158</v>
      </c>
      <c r="U22" t="s">
        <v>5146</v>
      </c>
      <c r="V22" t="s">
        <v>5147</v>
      </c>
      <c r="W22">
        <v>16690000</v>
      </c>
      <c r="X22" t="s">
        <v>5148</v>
      </c>
      <c r="Y22">
        <v>144</v>
      </c>
      <c r="Z22" t="s">
        <v>8159</v>
      </c>
      <c r="AA22" t="s">
        <v>5175</v>
      </c>
      <c r="AB22" t="s">
        <v>3948</v>
      </c>
      <c r="AC22" t="s">
        <v>8217</v>
      </c>
      <c r="AD22" t="s">
        <v>8212</v>
      </c>
      <c r="AE22" t="s">
        <v>8161</v>
      </c>
      <c r="AF22" t="s">
        <v>5546</v>
      </c>
      <c r="AG22">
        <v>65154</v>
      </c>
      <c r="AH22" t="s">
        <v>8622</v>
      </c>
      <c r="AI22" t="s">
        <v>8623</v>
      </c>
      <c r="AJ22" t="s">
        <v>3948</v>
      </c>
      <c r="AK22">
        <v>0</v>
      </c>
      <c r="AL22">
        <v>0</v>
      </c>
      <c r="AM22" t="s">
        <v>3948</v>
      </c>
      <c r="AN22">
        <v>0</v>
      </c>
      <c r="AO22">
        <v>12945210</v>
      </c>
      <c r="AP22">
        <v>923669</v>
      </c>
      <c r="AQ22">
        <v>0</v>
      </c>
      <c r="AR22">
        <v>13868879</v>
      </c>
      <c r="AS22">
        <v>14025210</v>
      </c>
      <c r="AT22">
        <v>156331</v>
      </c>
      <c r="AU22">
        <v>111</v>
      </c>
    </row>
    <row r="23" spans="1:47" ht="13.5" customHeight="1" x14ac:dyDescent="0.3">
      <c r="A23" t="s">
        <v>8149</v>
      </c>
      <c r="B23" t="s">
        <v>5161</v>
      </c>
      <c r="C23">
        <v>0</v>
      </c>
      <c r="D23">
        <v>0</v>
      </c>
      <c r="E23" t="s">
        <v>3948</v>
      </c>
      <c r="F23" t="s">
        <v>3948</v>
      </c>
      <c r="G23" t="s">
        <v>3948</v>
      </c>
      <c r="H23" t="s">
        <v>3948</v>
      </c>
      <c r="I23" t="s">
        <v>11269</v>
      </c>
      <c r="J23" t="s">
        <v>3948</v>
      </c>
      <c r="K23" t="s">
        <v>11270</v>
      </c>
      <c r="L23" t="s">
        <v>241</v>
      </c>
      <c r="M23" t="s">
        <v>2487</v>
      </c>
      <c r="N23" t="s">
        <v>8200</v>
      </c>
      <c r="O23" t="s">
        <v>8201</v>
      </c>
      <c r="P23">
        <v>2026</v>
      </c>
      <c r="Q23">
        <v>0</v>
      </c>
      <c r="R23" t="s">
        <v>11271</v>
      </c>
      <c r="S23" t="s">
        <v>11272</v>
      </c>
      <c r="T23" t="s">
        <v>8158</v>
      </c>
      <c r="U23" t="s">
        <v>5507</v>
      </c>
      <c r="V23" t="s">
        <v>5147</v>
      </c>
      <c r="W23">
        <v>32990000</v>
      </c>
      <c r="X23" t="s">
        <v>5148</v>
      </c>
      <c r="Y23">
        <v>544</v>
      </c>
      <c r="Z23" t="s">
        <v>8159</v>
      </c>
      <c r="AA23" t="s">
        <v>8228</v>
      </c>
      <c r="AB23" t="s">
        <v>3948</v>
      </c>
      <c r="AC23" t="s">
        <v>11273</v>
      </c>
      <c r="AD23" t="s">
        <v>11270</v>
      </c>
      <c r="AE23" t="s">
        <v>8161</v>
      </c>
      <c r="AF23" t="s">
        <v>8189</v>
      </c>
      <c r="AG23">
        <v>66110</v>
      </c>
      <c r="AH23" t="s">
        <v>8190</v>
      </c>
      <c r="AI23" t="s">
        <v>11274</v>
      </c>
      <c r="AJ23" t="s">
        <v>3948</v>
      </c>
      <c r="AK23">
        <v>0</v>
      </c>
      <c r="AL23">
        <v>0</v>
      </c>
      <c r="AM23" t="s">
        <v>3948</v>
      </c>
      <c r="AN23">
        <v>0</v>
      </c>
      <c r="AO23">
        <v>25546891</v>
      </c>
      <c r="AP23">
        <v>1916780</v>
      </c>
      <c r="AQ23">
        <v>0</v>
      </c>
      <c r="AR23">
        <v>27463671</v>
      </c>
      <c r="AS23">
        <v>27722689</v>
      </c>
      <c r="AT23">
        <v>259018</v>
      </c>
      <c r="AU23">
        <v>93</v>
      </c>
    </row>
    <row r="24" spans="1:47" ht="13.5" customHeight="1" x14ac:dyDescent="0.3">
      <c r="A24" t="s">
        <v>8149</v>
      </c>
      <c r="B24" t="s">
        <v>5180</v>
      </c>
      <c r="C24">
        <v>0</v>
      </c>
      <c r="D24">
        <v>0</v>
      </c>
      <c r="E24" t="s">
        <v>3948</v>
      </c>
      <c r="F24" t="s">
        <v>3948</v>
      </c>
      <c r="G24" t="s">
        <v>3948</v>
      </c>
      <c r="H24" t="s">
        <v>3948</v>
      </c>
      <c r="I24" t="s">
        <v>8717</v>
      </c>
      <c r="J24" t="s">
        <v>3948</v>
      </c>
      <c r="K24" t="s">
        <v>8289</v>
      </c>
      <c r="L24" t="s">
        <v>86</v>
      </c>
      <c r="M24" t="s">
        <v>122</v>
      </c>
      <c r="N24" t="s">
        <v>4276</v>
      </c>
      <c r="O24" t="s">
        <v>8242</v>
      </c>
      <c r="P24">
        <v>2025</v>
      </c>
      <c r="Q24">
        <v>66000</v>
      </c>
      <c r="R24" t="s">
        <v>8290</v>
      </c>
      <c r="S24" t="s">
        <v>397</v>
      </c>
      <c r="T24" t="s">
        <v>5145</v>
      </c>
      <c r="U24" t="s">
        <v>5254</v>
      </c>
      <c r="V24" t="s">
        <v>5147</v>
      </c>
      <c r="W24">
        <v>32990000</v>
      </c>
      <c r="X24" t="s">
        <v>5148</v>
      </c>
      <c r="Y24">
        <v>199</v>
      </c>
      <c r="Z24" t="s">
        <v>40</v>
      </c>
      <c r="AA24" t="s">
        <v>8160</v>
      </c>
      <c r="AB24" t="s">
        <v>3948</v>
      </c>
      <c r="AC24" t="s">
        <v>8291</v>
      </c>
      <c r="AD24" t="s">
        <v>8289</v>
      </c>
      <c r="AE24" t="s">
        <v>8292</v>
      </c>
      <c r="AF24" t="s">
        <v>5478</v>
      </c>
      <c r="AG24">
        <v>1</v>
      </c>
      <c r="AH24" t="s">
        <v>5478</v>
      </c>
      <c r="AI24" t="s">
        <v>8718</v>
      </c>
      <c r="AJ24" t="s">
        <v>3948</v>
      </c>
      <c r="AK24">
        <v>0</v>
      </c>
      <c r="AL24">
        <v>0</v>
      </c>
      <c r="AM24" t="s">
        <v>3948</v>
      </c>
      <c r="AN24">
        <v>0</v>
      </c>
      <c r="AO24">
        <v>25000000</v>
      </c>
      <c r="AP24">
        <v>0</v>
      </c>
      <c r="AQ24">
        <v>0</v>
      </c>
      <c r="AR24">
        <v>25000000</v>
      </c>
      <c r="AS24">
        <v>32990000</v>
      </c>
      <c r="AT24">
        <v>7990000</v>
      </c>
      <c r="AU24">
        <v>2422</v>
      </c>
    </row>
    <row r="25" spans="1:47" ht="13.5" customHeight="1" x14ac:dyDescent="0.3">
      <c r="A25" t="s">
        <v>8149</v>
      </c>
      <c r="B25" t="s">
        <v>5180</v>
      </c>
      <c r="C25">
        <v>0</v>
      </c>
      <c r="D25">
        <v>0</v>
      </c>
      <c r="E25" t="s">
        <v>3948</v>
      </c>
      <c r="F25" t="s">
        <v>3948</v>
      </c>
      <c r="G25" t="s">
        <v>3948</v>
      </c>
      <c r="H25" t="s">
        <v>3948</v>
      </c>
      <c r="I25" t="s">
        <v>8699</v>
      </c>
      <c r="J25" t="s">
        <v>3948</v>
      </c>
      <c r="K25" t="s">
        <v>8375</v>
      </c>
      <c r="L25" t="s">
        <v>186</v>
      </c>
      <c r="M25" t="s">
        <v>2830</v>
      </c>
      <c r="N25" t="s">
        <v>8376</v>
      </c>
      <c r="O25" t="s">
        <v>8377</v>
      </c>
      <c r="P25">
        <v>2026</v>
      </c>
      <c r="Q25">
        <v>3756</v>
      </c>
      <c r="R25" t="s">
        <v>8378</v>
      </c>
      <c r="S25" t="s">
        <v>3613</v>
      </c>
      <c r="T25" t="s">
        <v>8158</v>
      </c>
      <c r="U25" t="s">
        <v>8379</v>
      </c>
      <c r="V25" t="s">
        <v>5147</v>
      </c>
      <c r="W25">
        <v>19990000</v>
      </c>
      <c r="X25" t="s">
        <v>5148</v>
      </c>
      <c r="Y25">
        <v>180</v>
      </c>
      <c r="Z25" t="s">
        <v>8159</v>
      </c>
      <c r="AA25" t="s">
        <v>8160</v>
      </c>
      <c r="AB25" t="s">
        <v>3948</v>
      </c>
      <c r="AC25" t="s">
        <v>8380</v>
      </c>
      <c r="AD25" t="s">
        <v>8375</v>
      </c>
      <c r="AE25" t="s">
        <v>8234</v>
      </c>
      <c r="AF25" t="s">
        <v>8614</v>
      </c>
      <c r="AG25">
        <v>912269</v>
      </c>
      <c r="AH25" t="s">
        <v>8355</v>
      </c>
      <c r="AI25" t="s">
        <v>8700</v>
      </c>
      <c r="AJ25" t="s">
        <v>3948</v>
      </c>
      <c r="AK25">
        <v>0</v>
      </c>
      <c r="AL25">
        <v>0</v>
      </c>
      <c r="AM25" t="s">
        <v>3948</v>
      </c>
      <c r="AN25">
        <v>0</v>
      </c>
      <c r="AO25">
        <v>14110588</v>
      </c>
      <c r="AP25">
        <v>731651</v>
      </c>
      <c r="AQ25">
        <v>0</v>
      </c>
      <c r="AR25">
        <v>14842239</v>
      </c>
      <c r="AS25">
        <v>16798319</v>
      </c>
      <c r="AT25">
        <v>1956080</v>
      </c>
      <c r="AU25">
        <v>1164</v>
      </c>
    </row>
    <row r="26" spans="1:47" ht="13.5" customHeight="1" x14ac:dyDescent="0.3">
      <c r="A26" t="s">
        <v>8149</v>
      </c>
      <c r="B26" t="s">
        <v>8162</v>
      </c>
      <c r="C26">
        <v>0</v>
      </c>
      <c r="D26">
        <v>0</v>
      </c>
      <c r="E26" t="s">
        <v>3948</v>
      </c>
      <c r="F26" t="s">
        <v>3948</v>
      </c>
      <c r="G26" t="s">
        <v>3948</v>
      </c>
      <c r="H26" t="s">
        <v>3948</v>
      </c>
      <c r="I26" t="s">
        <v>8695</v>
      </c>
      <c r="J26" t="s">
        <v>3948</v>
      </c>
      <c r="K26" t="s">
        <v>8403</v>
      </c>
      <c r="L26" t="s">
        <v>86</v>
      </c>
      <c r="M26" t="s">
        <v>122</v>
      </c>
      <c r="N26" t="s">
        <v>123</v>
      </c>
      <c r="O26" t="s">
        <v>8164</v>
      </c>
      <c r="P26">
        <v>2026</v>
      </c>
      <c r="Q26">
        <v>2366</v>
      </c>
      <c r="R26" t="s">
        <v>8404</v>
      </c>
      <c r="S26" t="s">
        <v>348</v>
      </c>
      <c r="T26" t="s">
        <v>8158</v>
      </c>
      <c r="U26" t="s">
        <v>5369</v>
      </c>
      <c r="V26" t="s">
        <v>5147</v>
      </c>
      <c r="W26">
        <v>42900000</v>
      </c>
      <c r="X26" t="s">
        <v>5148</v>
      </c>
      <c r="Y26">
        <v>147</v>
      </c>
      <c r="Z26" t="s">
        <v>8505</v>
      </c>
      <c r="AA26" t="s">
        <v>8166</v>
      </c>
      <c r="AB26" t="s">
        <v>3948</v>
      </c>
      <c r="AC26" t="s">
        <v>8405</v>
      </c>
      <c r="AD26" t="s">
        <v>8403</v>
      </c>
      <c r="AE26" t="s">
        <v>8406</v>
      </c>
      <c r="AF26" t="s">
        <v>8696</v>
      </c>
      <c r="AG26">
        <v>202</v>
      </c>
      <c r="AH26" t="s">
        <v>8697</v>
      </c>
      <c r="AI26" t="s">
        <v>8698</v>
      </c>
      <c r="AJ26" t="s">
        <v>3948</v>
      </c>
      <c r="AK26">
        <v>0</v>
      </c>
      <c r="AL26">
        <v>0</v>
      </c>
      <c r="AM26" t="s">
        <v>3948</v>
      </c>
      <c r="AN26">
        <v>0</v>
      </c>
      <c r="AO26">
        <v>39737899</v>
      </c>
      <c r="AP26">
        <v>0</v>
      </c>
      <c r="AQ26">
        <v>0</v>
      </c>
      <c r="AR26">
        <v>39737899</v>
      </c>
      <c r="AS26">
        <v>42900000</v>
      </c>
      <c r="AT26">
        <v>3162101</v>
      </c>
      <c r="AU26">
        <v>737</v>
      </c>
    </row>
    <row r="27" spans="1:47" ht="13.5" customHeight="1" x14ac:dyDescent="0.3">
      <c r="A27" t="s">
        <v>8149</v>
      </c>
      <c r="B27" t="s">
        <v>5161</v>
      </c>
      <c r="C27">
        <v>0</v>
      </c>
      <c r="D27">
        <v>0</v>
      </c>
      <c r="E27" t="s">
        <v>3948</v>
      </c>
      <c r="F27" t="s">
        <v>3948</v>
      </c>
      <c r="G27" t="s">
        <v>3948</v>
      </c>
      <c r="H27" t="s">
        <v>3948</v>
      </c>
      <c r="I27" t="s">
        <v>11275</v>
      </c>
      <c r="J27" t="s">
        <v>3948</v>
      </c>
      <c r="K27" t="s">
        <v>11276</v>
      </c>
      <c r="L27" t="s">
        <v>241</v>
      </c>
      <c r="M27" t="s">
        <v>8205</v>
      </c>
      <c r="N27" t="s">
        <v>11262</v>
      </c>
      <c r="O27" t="s">
        <v>11263</v>
      </c>
      <c r="P27">
        <v>2025</v>
      </c>
      <c r="Q27">
        <v>0</v>
      </c>
      <c r="R27" t="s">
        <v>11277</v>
      </c>
      <c r="S27" t="s">
        <v>11278</v>
      </c>
      <c r="T27" t="s">
        <v>8158</v>
      </c>
      <c r="U27" t="s">
        <v>5425</v>
      </c>
      <c r="V27" t="s">
        <v>5147</v>
      </c>
      <c r="W27">
        <v>22717100</v>
      </c>
      <c r="X27" t="s">
        <v>5148</v>
      </c>
      <c r="Y27">
        <v>728</v>
      </c>
      <c r="Z27" t="s">
        <v>8159</v>
      </c>
      <c r="AA27" t="s">
        <v>8228</v>
      </c>
      <c r="AB27" t="s">
        <v>3948</v>
      </c>
      <c r="AC27" t="s">
        <v>11279</v>
      </c>
      <c r="AD27" t="s">
        <v>11276</v>
      </c>
      <c r="AE27" t="s">
        <v>8161</v>
      </c>
      <c r="AF27" t="s">
        <v>11280</v>
      </c>
      <c r="AG27">
        <v>62373</v>
      </c>
      <c r="AH27" t="s">
        <v>8685</v>
      </c>
      <c r="AI27" t="s">
        <v>11281</v>
      </c>
      <c r="AJ27" t="s">
        <v>3948</v>
      </c>
      <c r="AK27">
        <v>0</v>
      </c>
      <c r="AL27">
        <v>0</v>
      </c>
      <c r="AM27" t="s">
        <v>3948</v>
      </c>
      <c r="AN27">
        <v>0</v>
      </c>
      <c r="AO27">
        <v>17322917</v>
      </c>
      <c r="AP27">
        <v>440794</v>
      </c>
      <c r="AQ27">
        <v>0</v>
      </c>
      <c r="AR27">
        <v>17763711</v>
      </c>
      <c r="AS27">
        <v>19090000</v>
      </c>
      <c r="AT27">
        <v>1326289</v>
      </c>
      <c r="AU27">
        <v>695</v>
      </c>
    </row>
    <row r="28" spans="1:47" ht="13.5" customHeight="1" x14ac:dyDescent="0.3">
      <c r="A28" t="s">
        <v>8149</v>
      </c>
      <c r="B28" t="s">
        <v>5180</v>
      </c>
      <c r="C28">
        <v>0</v>
      </c>
      <c r="D28">
        <v>0</v>
      </c>
      <c r="E28" t="s">
        <v>3948</v>
      </c>
      <c r="F28" t="s">
        <v>3948</v>
      </c>
      <c r="G28" t="s">
        <v>3948</v>
      </c>
      <c r="H28" t="s">
        <v>3948</v>
      </c>
      <c r="I28" t="s">
        <v>8673</v>
      </c>
      <c r="J28" t="s">
        <v>3948</v>
      </c>
      <c r="K28" t="s">
        <v>8321</v>
      </c>
      <c r="L28" t="s">
        <v>241</v>
      </c>
      <c r="M28" t="s">
        <v>2487</v>
      </c>
      <c r="N28" t="s">
        <v>8200</v>
      </c>
      <c r="O28" t="s">
        <v>8201</v>
      </c>
      <c r="P28">
        <v>2025</v>
      </c>
      <c r="Q28">
        <v>8160</v>
      </c>
      <c r="R28" t="s">
        <v>8322</v>
      </c>
      <c r="S28" t="s">
        <v>3679</v>
      </c>
      <c r="T28" t="s">
        <v>8158</v>
      </c>
      <c r="U28" t="s">
        <v>5146</v>
      </c>
      <c r="V28" t="s">
        <v>5147</v>
      </c>
      <c r="W28">
        <v>32990000</v>
      </c>
      <c r="X28" t="s">
        <v>5148</v>
      </c>
      <c r="Y28">
        <v>162</v>
      </c>
      <c r="Z28" t="s">
        <v>8159</v>
      </c>
      <c r="AA28" t="s">
        <v>8160</v>
      </c>
      <c r="AB28" t="s">
        <v>3948</v>
      </c>
      <c r="AC28" t="s">
        <v>8323</v>
      </c>
      <c r="AD28" t="s">
        <v>8321</v>
      </c>
      <c r="AE28" t="s">
        <v>8161</v>
      </c>
      <c r="AF28" t="s">
        <v>5480</v>
      </c>
      <c r="AG28">
        <v>66111</v>
      </c>
      <c r="AH28" t="s">
        <v>8190</v>
      </c>
      <c r="AI28" t="s">
        <v>8674</v>
      </c>
      <c r="AJ28" t="s">
        <v>3948</v>
      </c>
      <c r="AK28">
        <v>0</v>
      </c>
      <c r="AL28">
        <v>0</v>
      </c>
      <c r="AM28" t="s">
        <v>3948</v>
      </c>
      <c r="AN28">
        <v>0</v>
      </c>
      <c r="AO28">
        <v>25546891</v>
      </c>
      <c r="AP28">
        <v>2425655</v>
      </c>
      <c r="AQ28">
        <v>0</v>
      </c>
      <c r="AR28">
        <v>27972546</v>
      </c>
      <c r="AS28">
        <v>27722689</v>
      </c>
      <c r="AT28">
        <v>-249857</v>
      </c>
      <c r="AU28">
        <v>-9</v>
      </c>
    </row>
    <row r="29" spans="1:47" ht="13.5" customHeight="1" x14ac:dyDescent="0.3">
      <c r="A29" t="s">
        <v>8149</v>
      </c>
      <c r="B29" t="s">
        <v>5170</v>
      </c>
      <c r="C29">
        <v>0</v>
      </c>
      <c r="D29">
        <v>0</v>
      </c>
      <c r="E29" t="s">
        <v>3948</v>
      </c>
      <c r="F29" t="s">
        <v>3948</v>
      </c>
      <c r="G29" t="s">
        <v>3948</v>
      </c>
      <c r="H29" t="s">
        <v>3948</v>
      </c>
      <c r="I29" t="s">
        <v>8707</v>
      </c>
      <c r="J29" t="s">
        <v>3948</v>
      </c>
      <c r="K29" t="s">
        <v>8381</v>
      </c>
      <c r="L29" t="s">
        <v>241</v>
      </c>
      <c r="M29" t="s">
        <v>2487</v>
      </c>
      <c r="N29" t="s">
        <v>8382</v>
      </c>
      <c r="O29" t="s">
        <v>8383</v>
      </c>
      <c r="P29">
        <v>2025</v>
      </c>
      <c r="Q29">
        <v>3150</v>
      </c>
      <c r="R29" t="s">
        <v>8384</v>
      </c>
      <c r="S29" t="s">
        <v>2619</v>
      </c>
      <c r="T29" t="s">
        <v>8158</v>
      </c>
      <c r="U29" t="s">
        <v>5157</v>
      </c>
      <c r="V29" t="s">
        <v>5147</v>
      </c>
      <c r="W29">
        <v>16590000</v>
      </c>
      <c r="X29" t="s">
        <v>5148</v>
      </c>
      <c r="Y29">
        <v>587</v>
      </c>
      <c r="Z29" t="s">
        <v>8159</v>
      </c>
      <c r="AA29" t="s">
        <v>5175</v>
      </c>
      <c r="AB29" t="s">
        <v>3948</v>
      </c>
      <c r="AC29" t="s">
        <v>8385</v>
      </c>
      <c r="AD29" t="s">
        <v>8381</v>
      </c>
      <c r="AE29" t="s">
        <v>8161</v>
      </c>
      <c r="AF29" t="s">
        <v>8708</v>
      </c>
      <c r="AG29">
        <v>62377</v>
      </c>
      <c r="AH29" t="s">
        <v>8685</v>
      </c>
      <c r="AI29" t="s">
        <v>8709</v>
      </c>
      <c r="AJ29" t="s">
        <v>3948</v>
      </c>
      <c r="AK29">
        <v>0</v>
      </c>
      <c r="AL29">
        <v>0</v>
      </c>
      <c r="AM29" t="s">
        <v>3948</v>
      </c>
      <c r="AN29">
        <v>0</v>
      </c>
      <c r="AO29">
        <v>19610840</v>
      </c>
      <c r="AP29">
        <v>977921</v>
      </c>
      <c r="AQ29">
        <v>0</v>
      </c>
      <c r="AR29">
        <v>20588761</v>
      </c>
      <c r="AS29">
        <v>16590000</v>
      </c>
      <c r="AT29">
        <v>-3998761</v>
      </c>
      <c r="AU29">
        <v>-241</v>
      </c>
    </row>
    <row r="30" spans="1:47" ht="13.5" customHeight="1" x14ac:dyDescent="0.3">
      <c r="A30" t="s">
        <v>8149</v>
      </c>
      <c r="B30" t="s">
        <v>8356</v>
      </c>
      <c r="C30">
        <v>0</v>
      </c>
      <c r="D30">
        <v>0</v>
      </c>
      <c r="E30" t="s">
        <v>3948</v>
      </c>
      <c r="F30" t="s">
        <v>3948</v>
      </c>
      <c r="G30" t="s">
        <v>3948</v>
      </c>
      <c r="H30" t="s">
        <v>3948</v>
      </c>
      <c r="I30" t="s">
        <v>8665</v>
      </c>
      <c r="J30" t="s">
        <v>3948</v>
      </c>
      <c r="K30" t="s">
        <v>8357</v>
      </c>
      <c r="L30" t="s">
        <v>8358</v>
      </c>
      <c r="M30" t="s">
        <v>8359</v>
      </c>
      <c r="N30" t="s">
        <v>8360</v>
      </c>
      <c r="O30" t="s">
        <v>8361</v>
      </c>
      <c r="P30">
        <v>2025</v>
      </c>
      <c r="Q30">
        <v>0</v>
      </c>
      <c r="R30" t="s">
        <v>8362</v>
      </c>
      <c r="S30" t="s">
        <v>739</v>
      </c>
      <c r="T30" t="s">
        <v>5145</v>
      </c>
      <c r="U30" t="s">
        <v>5179</v>
      </c>
      <c r="V30" t="s">
        <v>5147</v>
      </c>
      <c r="W30">
        <v>26953052</v>
      </c>
      <c r="X30" t="s">
        <v>5148</v>
      </c>
      <c r="Y30">
        <v>393</v>
      </c>
      <c r="Z30" t="s">
        <v>40</v>
      </c>
      <c r="AA30" t="s">
        <v>8363</v>
      </c>
      <c r="AB30" t="s">
        <v>3948</v>
      </c>
      <c r="AC30" t="s">
        <v>8364</v>
      </c>
      <c r="AD30" t="s">
        <v>8357</v>
      </c>
      <c r="AE30" t="s">
        <v>8365</v>
      </c>
      <c r="AF30" t="s">
        <v>8366</v>
      </c>
      <c r="AG30">
        <v>1</v>
      </c>
      <c r="AH30" t="s">
        <v>8366</v>
      </c>
      <c r="AI30" t="s">
        <v>8666</v>
      </c>
      <c r="AJ30" t="s">
        <v>3948</v>
      </c>
      <c r="AK30">
        <v>0</v>
      </c>
      <c r="AL30">
        <v>0</v>
      </c>
      <c r="AM30" t="s">
        <v>3948</v>
      </c>
      <c r="AN30">
        <v>0</v>
      </c>
      <c r="AO30">
        <v>26953052</v>
      </c>
      <c r="AP30">
        <v>0</v>
      </c>
      <c r="AQ30">
        <v>0</v>
      </c>
      <c r="AR30">
        <v>26953052</v>
      </c>
      <c r="AS30">
        <v>26953052</v>
      </c>
      <c r="AT30">
        <v>0</v>
      </c>
      <c r="AU30">
        <v>0</v>
      </c>
    </row>
    <row r="31" spans="1:47" ht="13.5" customHeight="1" x14ac:dyDescent="0.3">
      <c r="A31" t="s">
        <v>8149</v>
      </c>
      <c r="B31" t="s">
        <v>5180</v>
      </c>
      <c r="C31">
        <v>0</v>
      </c>
      <c r="D31">
        <v>0</v>
      </c>
      <c r="E31" t="s">
        <v>3948</v>
      </c>
      <c r="F31" t="s">
        <v>3948</v>
      </c>
      <c r="G31" t="s">
        <v>3948</v>
      </c>
      <c r="H31" t="s">
        <v>3948</v>
      </c>
      <c r="I31" t="s">
        <v>11282</v>
      </c>
      <c r="J31" t="s">
        <v>3948</v>
      </c>
      <c r="K31" t="s">
        <v>11283</v>
      </c>
      <c r="L31" t="s">
        <v>14</v>
      </c>
      <c r="M31" t="s">
        <v>10292</v>
      </c>
      <c r="N31" t="s">
        <v>11284</v>
      </c>
      <c r="O31" t="s">
        <v>11285</v>
      </c>
      <c r="P31">
        <v>2026</v>
      </c>
      <c r="Q31">
        <v>900</v>
      </c>
      <c r="R31" t="s">
        <v>11286</v>
      </c>
      <c r="S31" t="s">
        <v>10293</v>
      </c>
      <c r="T31" t="s">
        <v>8158</v>
      </c>
      <c r="U31" t="s">
        <v>11287</v>
      </c>
      <c r="V31" t="s">
        <v>5147</v>
      </c>
      <c r="W31">
        <v>22490000</v>
      </c>
      <c r="X31" t="s">
        <v>5148</v>
      </c>
      <c r="Y31">
        <v>228</v>
      </c>
      <c r="Z31" t="s">
        <v>16</v>
      </c>
      <c r="AA31" t="s">
        <v>8160</v>
      </c>
      <c r="AB31" t="s">
        <v>3948</v>
      </c>
      <c r="AC31" t="s">
        <v>11288</v>
      </c>
      <c r="AD31" t="s">
        <v>11283</v>
      </c>
      <c r="AE31" t="s">
        <v>8089</v>
      </c>
      <c r="AF31" t="s">
        <v>8682</v>
      </c>
      <c r="AG31">
        <v>240019</v>
      </c>
      <c r="AH31" t="s">
        <v>8682</v>
      </c>
      <c r="AI31" t="s">
        <v>11289</v>
      </c>
      <c r="AJ31" t="s">
        <v>3948</v>
      </c>
      <c r="AK31">
        <v>0</v>
      </c>
      <c r="AL31">
        <v>0</v>
      </c>
      <c r="AM31" t="s">
        <v>3948</v>
      </c>
      <c r="AN31">
        <v>0</v>
      </c>
      <c r="AO31">
        <v>19320168</v>
      </c>
      <c r="AP31">
        <v>1021094</v>
      </c>
      <c r="AQ31">
        <v>0</v>
      </c>
      <c r="AR31">
        <v>20341262</v>
      </c>
      <c r="AS31">
        <v>22490000</v>
      </c>
      <c r="AT31">
        <v>2148738</v>
      </c>
      <c r="AU31">
        <v>955</v>
      </c>
    </row>
    <row r="32" spans="1:47" ht="13.5" customHeight="1" x14ac:dyDescent="0.3">
      <c r="A32" t="s">
        <v>8149</v>
      </c>
      <c r="B32" t="s">
        <v>11290</v>
      </c>
      <c r="C32">
        <v>0</v>
      </c>
      <c r="D32">
        <v>0</v>
      </c>
      <c r="E32" t="s">
        <v>3948</v>
      </c>
      <c r="F32" t="s">
        <v>3948</v>
      </c>
      <c r="G32" t="s">
        <v>3948</v>
      </c>
      <c r="H32" t="s">
        <v>3948</v>
      </c>
      <c r="I32" t="s">
        <v>11291</v>
      </c>
      <c r="J32" t="s">
        <v>3948</v>
      </c>
      <c r="K32" t="s">
        <v>11292</v>
      </c>
      <c r="L32" t="s">
        <v>167</v>
      </c>
      <c r="M32" t="s">
        <v>170</v>
      </c>
      <c r="N32" t="s">
        <v>11293</v>
      </c>
      <c r="O32" t="s">
        <v>11294</v>
      </c>
      <c r="P32">
        <v>2026</v>
      </c>
      <c r="Q32">
        <v>4750</v>
      </c>
      <c r="R32" t="s">
        <v>11295</v>
      </c>
      <c r="S32" t="s">
        <v>9674</v>
      </c>
      <c r="T32" t="s">
        <v>8158</v>
      </c>
      <c r="U32" t="s">
        <v>5296</v>
      </c>
      <c r="V32" t="s">
        <v>5147</v>
      </c>
      <c r="W32">
        <v>21051100</v>
      </c>
      <c r="X32" t="s">
        <v>5148</v>
      </c>
      <c r="Y32">
        <v>323</v>
      </c>
      <c r="Z32" t="s">
        <v>16</v>
      </c>
      <c r="AA32" t="s">
        <v>11296</v>
      </c>
      <c r="AB32" t="s">
        <v>3948</v>
      </c>
      <c r="AC32" t="s">
        <v>11297</v>
      </c>
      <c r="AD32" t="s">
        <v>11292</v>
      </c>
      <c r="AE32" t="s">
        <v>8089</v>
      </c>
      <c r="AF32" t="s">
        <v>11298</v>
      </c>
      <c r="AG32">
        <v>235452</v>
      </c>
      <c r="AH32" t="s">
        <v>11298</v>
      </c>
      <c r="AI32" t="s">
        <v>11299</v>
      </c>
      <c r="AJ32" t="s">
        <v>3948</v>
      </c>
      <c r="AK32">
        <v>0</v>
      </c>
      <c r="AL32">
        <v>0</v>
      </c>
      <c r="AM32" t="s">
        <v>3948</v>
      </c>
      <c r="AN32">
        <v>0</v>
      </c>
      <c r="AO32">
        <v>16316817</v>
      </c>
      <c r="AP32">
        <v>188715</v>
      </c>
      <c r="AQ32">
        <v>0</v>
      </c>
      <c r="AR32">
        <v>16505532</v>
      </c>
      <c r="AS32">
        <v>17690000</v>
      </c>
      <c r="AT32">
        <v>1184468</v>
      </c>
      <c r="AU32">
        <v>67</v>
      </c>
    </row>
    <row r="33" spans="1:47" ht="13.5" customHeight="1" x14ac:dyDescent="0.3">
      <c r="A33" t="s">
        <v>8149</v>
      </c>
      <c r="B33" t="s">
        <v>5161</v>
      </c>
      <c r="C33">
        <v>0</v>
      </c>
      <c r="D33">
        <v>0</v>
      </c>
      <c r="E33" t="s">
        <v>3948</v>
      </c>
      <c r="F33" t="s">
        <v>3948</v>
      </c>
      <c r="G33" t="s">
        <v>3948</v>
      </c>
      <c r="H33" t="s">
        <v>3948</v>
      </c>
      <c r="I33" t="s">
        <v>8607</v>
      </c>
      <c r="J33" t="s">
        <v>3948</v>
      </c>
      <c r="K33" t="s">
        <v>8224</v>
      </c>
      <c r="L33" t="s">
        <v>241</v>
      </c>
      <c r="M33" t="s">
        <v>2484</v>
      </c>
      <c r="N33" t="s">
        <v>8225</v>
      </c>
      <c r="O33" t="s">
        <v>8226</v>
      </c>
      <c r="P33">
        <v>2024</v>
      </c>
      <c r="Q33">
        <v>22197</v>
      </c>
      <c r="R33" t="s">
        <v>8227</v>
      </c>
      <c r="S33" t="s">
        <v>2698</v>
      </c>
      <c r="T33" t="s">
        <v>8158</v>
      </c>
      <c r="U33" t="s">
        <v>5507</v>
      </c>
      <c r="V33" t="s">
        <v>5147</v>
      </c>
      <c r="W33">
        <v>14490000</v>
      </c>
      <c r="X33" t="s">
        <v>5148</v>
      </c>
      <c r="Y33">
        <v>543</v>
      </c>
      <c r="Z33" t="s">
        <v>8159</v>
      </c>
      <c r="AA33" t="s">
        <v>8228</v>
      </c>
      <c r="AB33" t="s">
        <v>3948</v>
      </c>
      <c r="AC33" t="s">
        <v>8229</v>
      </c>
      <c r="AD33" t="s">
        <v>8224</v>
      </c>
      <c r="AE33" t="s">
        <v>8161</v>
      </c>
      <c r="AF33" t="s">
        <v>8608</v>
      </c>
      <c r="AG33">
        <v>55178</v>
      </c>
      <c r="AH33" t="s">
        <v>8609</v>
      </c>
      <c r="AI33" t="s">
        <v>8610</v>
      </c>
      <c r="AJ33" t="s">
        <v>3948</v>
      </c>
      <c r="AK33">
        <v>0</v>
      </c>
      <c r="AL33">
        <v>0</v>
      </c>
      <c r="AM33" t="s">
        <v>3948</v>
      </c>
      <c r="AN33">
        <v>0</v>
      </c>
      <c r="AO33">
        <v>18519784</v>
      </c>
      <c r="AP33">
        <v>2080236</v>
      </c>
      <c r="AQ33">
        <v>0</v>
      </c>
      <c r="AR33">
        <v>20600020</v>
      </c>
      <c r="AS33">
        <v>14490000</v>
      </c>
      <c r="AT33">
        <v>-6110020</v>
      </c>
      <c r="AU33">
        <v>-4217</v>
      </c>
    </row>
    <row r="34" spans="1:47" ht="13.5" customHeight="1" x14ac:dyDescent="0.3">
      <c r="A34" t="s">
        <v>8149</v>
      </c>
      <c r="B34" t="s">
        <v>8135</v>
      </c>
      <c r="C34">
        <v>0</v>
      </c>
      <c r="D34">
        <v>0</v>
      </c>
      <c r="E34" t="s">
        <v>3948</v>
      </c>
      <c r="F34" t="s">
        <v>3948</v>
      </c>
      <c r="G34" t="s">
        <v>3948</v>
      </c>
      <c r="H34" t="s">
        <v>3948</v>
      </c>
      <c r="I34" t="s">
        <v>9772</v>
      </c>
      <c r="J34" t="s">
        <v>3948</v>
      </c>
      <c r="K34" t="s">
        <v>9773</v>
      </c>
      <c r="L34" t="s">
        <v>2549</v>
      </c>
      <c r="M34" t="s">
        <v>2655</v>
      </c>
      <c r="N34" t="s">
        <v>9774</v>
      </c>
      <c r="O34" t="s">
        <v>9775</v>
      </c>
      <c r="P34">
        <v>2026</v>
      </c>
      <c r="Q34">
        <v>0</v>
      </c>
      <c r="R34" t="s">
        <v>9776</v>
      </c>
      <c r="S34" t="s">
        <v>9777</v>
      </c>
      <c r="T34" t="s">
        <v>8158</v>
      </c>
      <c r="U34" t="s">
        <v>5146</v>
      </c>
      <c r="V34" t="s">
        <v>5147</v>
      </c>
      <c r="W34">
        <v>22890000</v>
      </c>
      <c r="X34" t="s">
        <v>5148</v>
      </c>
      <c r="Y34">
        <v>543</v>
      </c>
      <c r="Z34" t="s">
        <v>9526</v>
      </c>
      <c r="AA34" t="s">
        <v>8135</v>
      </c>
      <c r="AB34" t="s">
        <v>3948</v>
      </c>
      <c r="AC34" t="s">
        <v>9778</v>
      </c>
      <c r="AD34" t="s">
        <v>9773</v>
      </c>
      <c r="AE34" t="s">
        <v>8161</v>
      </c>
      <c r="AF34" t="s">
        <v>8608</v>
      </c>
      <c r="AG34">
        <v>66147</v>
      </c>
      <c r="AH34" t="s">
        <v>8605</v>
      </c>
      <c r="AI34" t="s">
        <v>9779</v>
      </c>
      <c r="AJ34" t="s">
        <v>3948</v>
      </c>
      <c r="AK34">
        <v>0</v>
      </c>
      <c r="AL34">
        <v>0</v>
      </c>
      <c r="AM34" t="s">
        <v>3948</v>
      </c>
      <c r="AN34">
        <v>0</v>
      </c>
      <c r="AO34">
        <v>17738487</v>
      </c>
      <c r="AP34">
        <v>1366271</v>
      </c>
      <c r="AQ34">
        <v>0</v>
      </c>
      <c r="AR34">
        <v>19104758</v>
      </c>
      <c r="AS34">
        <v>19235294</v>
      </c>
      <c r="AT34">
        <v>130536</v>
      </c>
      <c r="AU34">
        <v>68</v>
      </c>
    </row>
    <row r="35" spans="1:47" ht="13.5" customHeight="1" x14ac:dyDescent="0.3">
      <c r="A35" t="s">
        <v>8149</v>
      </c>
      <c r="B35" t="s">
        <v>5180</v>
      </c>
      <c r="C35">
        <v>0</v>
      </c>
      <c r="D35">
        <v>0</v>
      </c>
      <c r="E35" t="s">
        <v>3948</v>
      </c>
      <c r="F35" t="s">
        <v>3948</v>
      </c>
      <c r="G35" t="s">
        <v>3948</v>
      </c>
      <c r="H35" t="s">
        <v>3948</v>
      </c>
      <c r="I35" t="s">
        <v>8684</v>
      </c>
      <c r="J35" t="s">
        <v>3948</v>
      </c>
      <c r="K35" t="s">
        <v>8407</v>
      </c>
      <c r="L35" t="s">
        <v>241</v>
      </c>
      <c r="M35" t="s">
        <v>2484</v>
      </c>
      <c r="N35" t="s">
        <v>8408</v>
      </c>
      <c r="O35" t="s">
        <v>8409</v>
      </c>
      <c r="P35">
        <v>2024</v>
      </c>
      <c r="Q35">
        <v>2139</v>
      </c>
      <c r="R35" t="s">
        <v>8410</v>
      </c>
      <c r="S35" t="s">
        <v>2622</v>
      </c>
      <c r="T35" t="s">
        <v>8158</v>
      </c>
      <c r="U35" t="s">
        <v>5157</v>
      </c>
      <c r="V35" t="s">
        <v>5147</v>
      </c>
      <c r="W35">
        <v>20590000</v>
      </c>
      <c r="X35" t="s">
        <v>5148</v>
      </c>
      <c r="Y35">
        <v>698</v>
      </c>
      <c r="Z35" t="s">
        <v>8159</v>
      </c>
      <c r="AA35" t="s">
        <v>8160</v>
      </c>
      <c r="AB35" t="s">
        <v>3948</v>
      </c>
      <c r="AC35" t="s">
        <v>8411</v>
      </c>
      <c r="AD35" t="s">
        <v>8407</v>
      </c>
      <c r="AE35" t="s">
        <v>8161</v>
      </c>
      <c r="AF35" t="s">
        <v>8685</v>
      </c>
      <c r="AG35">
        <v>55052</v>
      </c>
      <c r="AH35" t="s">
        <v>8618</v>
      </c>
      <c r="AI35" t="s">
        <v>8686</v>
      </c>
      <c r="AJ35" t="s">
        <v>3948</v>
      </c>
      <c r="AK35">
        <v>0</v>
      </c>
      <c r="AL35">
        <v>0</v>
      </c>
      <c r="AM35" t="s">
        <v>3948</v>
      </c>
      <c r="AN35">
        <v>0</v>
      </c>
      <c r="AO35">
        <v>30531382</v>
      </c>
      <c r="AP35">
        <v>1126665</v>
      </c>
      <c r="AQ35">
        <v>0</v>
      </c>
      <c r="AR35">
        <v>31658047</v>
      </c>
      <c r="AS35">
        <v>20590000</v>
      </c>
      <c r="AT35">
        <v>-11068047</v>
      </c>
      <c r="AU35">
        <v>-5375</v>
      </c>
    </row>
    <row r="36" spans="1:47" ht="13.5" customHeight="1" x14ac:dyDescent="0.3">
      <c r="A36" t="s">
        <v>8149</v>
      </c>
      <c r="B36" t="s">
        <v>5170</v>
      </c>
      <c r="C36">
        <v>0</v>
      </c>
      <c r="D36">
        <v>0</v>
      </c>
      <c r="E36" t="s">
        <v>3948</v>
      </c>
      <c r="F36" t="s">
        <v>3948</v>
      </c>
      <c r="G36" t="s">
        <v>3948</v>
      </c>
      <c r="H36" t="s">
        <v>3948</v>
      </c>
      <c r="I36" t="s">
        <v>8661</v>
      </c>
      <c r="J36" t="s">
        <v>3948</v>
      </c>
      <c r="K36" t="s">
        <v>8391</v>
      </c>
      <c r="L36" t="s">
        <v>86</v>
      </c>
      <c r="M36" t="s">
        <v>111</v>
      </c>
      <c r="N36" t="s">
        <v>8392</v>
      </c>
      <c r="O36" t="s">
        <v>8393</v>
      </c>
      <c r="P36">
        <v>2025</v>
      </c>
      <c r="Q36">
        <v>0</v>
      </c>
      <c r="R36" t="s">
        <v>8394</v>
      </c>
      <c r="S36" t="s">
        <v>1021</v>
      </c>
      <c r="T36" t="s">
        <v>5145</v>
      </c>
      <c r="U36" t="s">
        <v>8395</v>
      </c>
      <c r="V36" t="s">
        <v>5147</v>
      </c>
      <c r="W36">
        <v>61000000</v>
      </c>
      <c r="X36" t="s">
        <v>5148</v>
      </c>
      <c r="Y36">
        <v>476</v>
      </c>
      <c r="Z36" t="s">
        <v>40</v>
      </c>
      <c r="AA36" t="s">
        <v>5175</v>
      </c>
      <c r="AB36" t="s">
        <v>3948</v>
      </c>
      <c r="AC36" t="s">
        <v>8396</v>
      </c>
      <c r="AD36" t="s">
        <v>8391</v>
      </c>
      <c r="AE36" t="s">
        <v>8397</v>
      </c>
      <c r="AF36" t="s">
        <v>8662</v>
      </c>
      <c r="AG36">
        <v>241</v>
      </c>
      <c r="AH36" t="s">
        <v>8663</v>
      </c>
      <c r="AI36" t="s">
        <v>8664</v>
      </c>
      <c r="AJ36" t="s">
        <v>3948</v>
      </c>
      <c r="AK36">
        <v>0</v>
      </c>
      <c r="AL36">
        <v>0</v>
      </c>
      <c r="AM36" t="s">
        <v>3948</v>
      </c>
      <c r="AN36">
        <v>0</v>
      </c>
      <c r="AO36">
        <v>48090000</v>
      </c>
      <c r="AP36">
        <v>0</v>
      </c>
      <c r="AQ36">
        <v>0</v>
      </c>
      <c r="AR36">
        <v>48090000</v>
      </c>
      <c r="AS36">
        <v>61000000</v>
      </c>
      <c r="AT36">
        <v>12910000</v>
      </c>
      <c r="AU36">
        <v>2116</v>
      </c>
    </row>
    <row r="37" spans="1:47" ht="13.5" customHeight="1" x14ac:dyDescent="0.3">
      <c r="A37" t="s">
        <v>8149</v>
      </c>
      <c r="B37" t="s">
        <v>5180</v>
      </c>
      <c r="C37">
        <v>0</v>
      </c>
      <c r="D37">
        <v>0</v>
      </c>
      <c r="E37" t="s">
        <v>3948</v>
      </c>
      <c r="F37" t="s">
        <v>3948</v>
      </c>
      <c r="G37" t="s">
        <v>3948</v>
      </c>
      <c r="H37" t="s">
        <v>3948</v>
      </c>
      <c r="I37" t="s">
        <v>8649</v>
      </c>
      <c r="J37" t="s">
        <v>3948</v>
      </c>
      <c r="K37" t="s">
        <v>8328</v>
      </c>
      <c r="L37" t="s">
        <v>241</v>
      </c>
      <c r="M37" t="s">
        <v>2485</v>
      </c>
      <c r="N37" t="s">
        <v>8210</v>
      </c>
      <c r="O37" t="s">
        <v>8211</v>
      </c>
      <c r="P37">
        <v>2024</v>
      </c>
      <c r="Q37">
        <v>0</v>
      </c>
      <c r="R37" t="s">
        <v>8329</v>
      </c>
      <c r="S37" t="s">
        <v>3035</v>
      </c>
      <c r="T37" t="s">
        <v>8158</v>
      </c>
      <c r="U37" t="s">
        <v>5146</v>
      </c>
      <c r="V37" t="s">
        <v>5147</v>
      </c>
      <c r="W37">
        <v>13890000</v>
      </c>
      <c r="X37" t="s">
        <v>5148</v>
      </c>
      <c r="Y37">
        <v>223</v>
      </c>
      <c r="Z37" t="s">
        <v>8159</v>
      </c>
      <c r="AA37" t="s">
        <v>8160</v>
      </c>
      <c r="AB37" t="s">
        <v>3948</v>
      </c>
      <c r="AC37" t="s">
        <v>8330</v>
      </c>
      <c r="AD37" t="s">
        <v>8328</v>
      </c>
      <c r="AE37" t="s">
        <v>8161</v>
      </c>
      <c r="AF37" t="s">
        <v>5581</v>
      </c>
      <c r="AG37">
        <v>58195</v>
      </c>
      <c r="AH37" t="s">
        <v>8650</v>
      </c>
      <c r="AI37" t="s">
        <v>8651</v>
      </c>
      <c r="AJ37" t="s">
        <v>3948</v>
      </c>
      <c r="AK37">
        <v>0</v>
      </c>
      <c r="AL37">
        <v>0</v>
      </c>
      <c r="AM37" t="s">
        <v>3948</v>
      </c>
      <c r="AN37">
        <v>0</v>
      </c>
      <c r="AO37">
        <v>16746050</v>
      </c>
      <c r="AP37">
        <v>1501605</v>
      </c>
      <c r="AQ37">
        <v>0</v>
      </c>
      <c r="AR37">
        <v>18247655</v>
      </c>
      <c r="AS37">
        <v>13890000</v>
      </c>
      <c r="AT37">
        <v>-4357655</v>
      </c>
      <c r="AU37">
        <v>-3137</v>
      </c>
    </row>
    <row r="38" spans="1:47" ht="13.5" customHeight="1" x14ac:dyDescent="0.3">
      <c r="A38" t="s">
        <v>8149</v>
      </c>
      <c r="B38" t="s">
        <v>8079</v>
      </c>
      <c r="C38">
        <v>0</v>
      </c>
      <c r="D38">
        <v>0</v>
      </c>
      <c r="E38" t="s">
        <v>3948</v>
      </c>
      <c r="F38" t="s">
        <v>3948</v>
      </c>
      <c r="G38" t="s">
        <v>3948</v>
      </c>
      <c r="H38" t="s">
        <v>3948</v>
      </c>
      <c r="I38" t="s">
        <v>8643</v>
      </c>
      <c r="J38" t="s">
        <v>3948</v>
      </c>
      <c r="K38" t="s">
        <v>8263</v>
      </c>
      <c r="L38" t="s">
        <v>86</v>
      </c>
      <c r="M38" t="s">
        <v>3840</v>
      </c>
      <c r="N38" t="s">
        <v>8264</v>
      </c>
      <c r="O38" t="s">
        <v>8265</v>
      </c>
      <c r="P38">
        <v>2026</v>
      </c>
      <c r="Q38">
        <v>5964</v>
      </c>
      <c r="R38" t="s">
        <v>8266</v>
      </c>
      <c r="S38" t="s">
        <v>357</v>
      </c>
      <c r="T38" t="s">
        <v>5145</v>
      </c>
      <c r="U38" t="s">
        <v>8267</v>
      </c>
      <c r="V38" t="s">
        <v>5147</v>
      </c>
      <c r="W38">
        <v>29990000</v>
      </c>
      <c r="X38" t="s">
        <v>5148</v>
      </c>
      <c r="Y38">
        <v>155</v>
      </c>
      <c r="Z38" t="s">
        <v>40</v>
      </c>
      <c r="AA38" t="s">
        <v>8154</v>
      </c>
      <c r="AB38" t="s">
        <v>3948</v>
      </c>
      <c r="AC38" t="s">
        <v>8268</v>
      </c>
      <c r="AD38" t="s">
        <v>8263</v>
      </c>
      <c r="AE38" t="s">
        <v>8269</v>
      </c>
      <c r="AF38" t="s">
        <v>8644</v>
      </c>
      <c r="AG38">
        <v>1</v>
      </c>
      <c r="AH38" t="s">
        <v>8644</v>
      </c>
      <c r="AI38" t="s">
        <v>8645</v>
      </c>
      <c r="AJ38" t="s">
        <v>3948</v>
      </c>
      <c r="AK38">
        <v>0</v>
      </c>
      <c r="AL38">
        <v>0</v>
      </c>
      <c r="AM38" t="s">
        <v>3948</v>
      </c>
      <c r="AN38">
        <v>0</v>
      </c>
      <c r="AO38">
        <v>33921345</v>
      </c>
      <c r="AP38">
        <v>0</v>
      </c>
      <c r="AQ38">
        <v>0</v>
      </c>
      <c r="AR38">
        <v>33921345</v>
      </c>
      <c r="AS38">
        <v>29990000</v>
      </c>
      <c r="AT38">
        <v>-3931345</v>
      </c>
      <c r="AU38">
        <v>-1311</v>
      </c>
    </row>
    <row r="39" spans="1:47" ht="13.5" customHeight="1" x14ac:dyDescent="0.3">
      <c r="A39" t="s">
        <v>8149</v>
      </c>
      <c r="B39" t="s">
        <v>5180</v>
      </c>
      <c r="C39">
        <v>0</v>
      </c>
      <c r="D39">
        <v>0</v>
      </c>
      <c r="E39" t="s">
        <v>3948</v>
      </c>
      <c r="F39" t="s">
        <v>3948</v>
      </c>
      <c r="G39" t="s">
        <v>3948</v>
      </c>
      <c r="H39" t="s">
        <v>3948</v>
      </c>
      <c r="I39" t="s">
        <v>8675</v>
      </c>
      <c r="J39" t="s">
        <v>3948</v>
      </c>
      <c r="K39" t="s">
        <v>8335</v>
      </c>
      <c r="L39" t="s">
        <v>86</v>
      </c>
      <c r="M39" t="s">
        <v>106</v>
      </c>
      <c r="N39" t="s">
        <v>4215</v>
      </c>
      <c r="O39" t="s">
        <v>8336</v>
      </c>
      <c r="P39">
        <v>2024</v>
      </c>
      <c r="Q39">
        <v>0</v>
      </c>
      <c r="R39" t="s">
        <v>8337</v>
      </c>
      <c r="S39" t="s">
        <v>8338</v>
      </c>
      <c r="T39" t="s">
        <v>5145</v>
      </c>
      <c r="U39" t="s">
        <v>8339</v>
      </c>
      <c r="V39" t="s">
        <v>5147</v>
      </c>
      <c r="W39">
        <v>49771695</v>
      </c>
      <c r="X39" t="s">
        <v>5148</v>
      </c>
      <c r="Y39">
        <v>217</v>
      </c>
      <c r="Z39" t="s">
        <v>8221</v>
      </c>
      <c r="AA39" t="s">
        <v>8160</v>
      </c>
      <c r="AB39" t="s">
        <v>3948</v>
      </c>
      <c r="AC39" t="s">
        <v>8340</v>
      </c>
      <c r="AD39" t="s">
        <v>8335</v>
      </c>
      <c r="AE39" t="s">
        <v>8341</v>
      </c>
      <c r="AF39" t="s">
        <v>8676</v>
      </c>
      <c r="AG39">
        <v>100226</v>
      </c>
      <c r="AH39" t="s">
        <v>8676</v>
      </c>
      <c r="AI39" t="s">
        <v>8677</v>
      </c>
      <c r="AJ39" t="s">
        <v>3948</v>
      </c>
      <c r="AK39">
        <v>0</v>
      </c>
      <c r="AL39">
        <v>0</v>
      </c>
      <c r="AM39" t="s">
        <v>3948</v>
      </c>
      <c r="AN39">
        <v>0</v>
      </c>
      <c r="AO39">
        <v>49771695</v>
      </c>
      <c r="AP39">
        <v>0</v>
      </c>
      <c r="AQ39">
        <v>0</v>
      </c>
      <c r="AR39">
        <v>49771695</v>
      </c>
      <c r="AS39">
        <v>49771695</v>
      </c>
      <c r="AT39">
        <v>0</v>
      </c>
      <c r="AU39">
        <v>0</v>
      </c>
    </row>
    <row r="40" spans="1:47" ht="13.5" customHeight="1" x14ac:dyDescent="0.3">
      <c r="A40" t="s">
        <v>8149</v>
      </c>
      <c r="B40" t="s">
        <v>8135</v>
      </c>
      <c r="C40">
        <v>0</v>
      </c>
      <c r="D40">
        <v>0</v>
      </c>
      <c r="E40" t="s">
        <v>3948</v>
      </c>
      <c r="F40" t="s">
        <v>3948</v>
      </c>
      <c r="G40" t="s">
        <v>3948</v>
      </c>
      <c r="H40" t="s">
        <v>3948</v>
      </c>
      <c r="I40" t="s">
        <v>11300</v>
      </c>
      <c r="J40" t="s">
        <v>3948</v>
      </c>
      <c r="K40" t="s">
        <v>11301</v>
      </c>
      <c r="L40" t="s">
        <v>241</v>
      </c>
      <c r="M40" t="s">
        <v>2484</v>
      </c>
      <c r="N40" t="s">
        <v>11302</v>
      </c>
      <c r="O40" t="s">
        <v>11303</v>
      </c>
      <c r="P40">
        <v>2026</v>
      </c>
      <c r="Q40">
        <v>0</v>
      </c>
      <c r="R40" t="s">
        <v>11304</v>
      </c>
      <c r="S40" t="s">
        <v>3631</v>
      </c>
      <c r="T40" t="s">
        <v>8158</v>
      </c>
      <c r="U40" t="s">
        <v>5507</v>
      </c>
      <c r="V40" t="s">
        <v>5147</v>
      </c>
      <c r="W40">
        <v>40090000</v>
      </c>
      <c r="X40" t="s">
        <v>5148</v>
      </c>
      <c r="Y40">
        <v>544</v>
      </c>
      <c r="Z40" t="s">
        <v>8159</v>
      </c>
      <c r="AA40" t="s">
        <v>8135</v>
      </c>
      <c r="AB40" t="s">
        <v>3948</v>
      </c>
      <c r="AC40" t="s">
        <v>11305</v>
      </c>
      <c r="AD40" t="s">
        <v>11301</v>
      </c>
      <c r="AE40" t="s">
        <v>8161</v>
      </c>
      <c r="AF40" t="s">
        <v>8189</v>
      </c>
      <c r="AG40">
        <v>66119</v>
      </c>
      <c r="AH40" t="s">
        <v>8190</v>
      </c>
      <c r="AI40" t="s">
        <v>11306</v>
      </c>
      <c r="AJ40" t="s">
        <v>3948</v>
      </c>
      <c r="AK40">
        <v>0</v>
      </c>
      <c r="AL40">
        <v>0</v>
      </c>
      <c r="AM40" t="s">
        <v>3948</v>
      </c>
      <c r="AN40">
        <v>0</v>
      </c>
      <c r="AO40">
        <v>31709748</v>
      </c>
      <c r="AP40">
        <v>704597</v>
      </c>
      <c r="AQ40">
        <v>0</v>
      </c>
      <c r="AR40">
        <v>32414345</v>
      </c>
      <c r="AS40">
        <v>33689076</v>
      </c>
      <c r="AT40">
        <v>1274731</v>
      </c>
      <c r="AU40">
        <v>378</v>
      </c>
    </row>
    <row r="41" spans="1:47" ht="13.5" customHeight="1" x14ac:dyDescent="0.3">
      <c r="A41" t="s">
        <v>8149</v>
      </c>
      <c r="B41" t="s">
        <v>5180</v>
      </c>
      <c r="C41">
        <v>0</v>
      </c>
      <c r="D41">
        <v>0</v>
      </c>
      <c r="E41" t="s">
        <v>3948</v>
      </c>
      <c r="F41" t="s">
        <v>3948</v>
      </c>
      <c r="G41" t="s">
        <v>3948</v>
      </c>
      <c r="H41" t="s">
        <v>3948</v>
      </c>
      <c r="I41" t="s">
        <v>8604</v>
      </c>
      <c r="J41" t="s">
        <v>3948</v>
      </c>
      <c r="K41" t="s">
        <v>8386</v>
      </c>
      <c r="L41" t="s">
        <v>2549</v>
      </c>
      <c r="M41" t="s">
        <v>3066</v>
      </c>
      <c r="N41" t="s">
        <v>8387</v>
      </c>
      <c r="O41" t="s">
        <v>8388</v>
      </c>
      <c r="P41">
        <v>2026</v>
      </c>
      <c r="Q41">
        <v>3623</v>
      </c>
      <c r="R41" t="s">
        <v>8389</v>
      </c>
      <c r="S41" t="s">
        <v>3739</v>
      </c>
      <c r="T41" t="s">
        <v>8158</v>
      </c>
      <c r="U41" t="s">
        <v>5196</v>
      </c>
      <c r="V41" t="s">
        <v>5147</v>
      </c>
      <c r="W41">
        <v>13990000</v>
      </c>
      <c r="X41" t="s">
        <v>5148</v>
      </c>
      <c r="Y41">
        <v>306</v>
      </c>
      <c r="Z41" t="s">
        <v>8159</v>
      </c>
      <c r="AA41" t="s">
        <v>8160</v>
      </c>
      <c r="AB41" t="s">
        <v>3948</v>
      </c>
      <c r="AC41" t="s">
        <v>8390</v>
      </c>
      <c r="AD41" t="s">
        <v>8386</v>
      </c>
      <c r="AE41" t="s">
        <v>8161</v>
      </c>
      <c r="AF41" t="s">
        <v>5618</v>
      </c>
      <c r="AG41">
        <v>66145</v>
      </c>
      <c r="AH41" t="s">
        <v>8605</v>
      </c>
      <c r="AI41" t="s">
        <v>8606</v>
      </c>
      <c r="AJ41" t="s">
        <v>3948</v>
      </c>
      <c r="AK41">
        <v>0</v>
      </c>
      <c r="AL41">
        <v>0</v>
      </c>
      <c r="AM41" t="s">
        <v>3948</v>
      </c>
      <c r="AN41">
        <v>0</v>
      </c>
      <c r="AO41">
        <v>12713277</v>
      </c>
      <c r="AP41">
        <v>905340</v>
      </c>
      <c r="AQ41">
        <v>0</v>
      </c>
      <c r="AR41">
        <v>13618617</v>
      </c>
      <c r="AS41">
        <v>13990000</v>
      </c>
      <c r="AT41">
        <v>371383</v>
      </c>
      <c r="AU41">
        <v>265</v>
      </c>
    </row>
    <row r="42" spans="1:47" ht="13.5" customHeight="1" x14ac:dyDescent="0.3">
      <c r="A42" t="s">
        <v>8149</v>
      </c>
      <c r="B42" t="s">
        <v>5180</v>
      </c>
      <c r="C42">
        <v>0</v>
      </c>
      <c r="D42">
        <v>0</v>
      </c>
      <c r="E42" t="s">
        <v>3948</v>
      </c>
      <c r="F42" t="s">
        <v>3948</v>
      </c>
      <c r="G42" t="s">
        <v>3948</v>
      </c>
      <c r="H42" t="s">
        <v>3948</v>
      </c>
      <c r="I42" t="s">
        <v>8721</v>
      </c>
      <c r="J42" t="s">
        <v>3948</v>
      </c>
      <c r="K42" t="s">
        <v>8170</v>
      </c>
      <c r="L42" t="s">
        <v>241</v>
      </c>
      <c r="M42" t="s">
        <v>2487</v>
      </c>
      <c r="N42" t="s">
        <v>8171</v>
      </c>
      <c r="O42" t="s">
        <v>8172</v>
      </c>
      <c r="P42">
        <v>2025</v>
      </c>
      <c r="Q42">
        <v>7735</v>
      </c>
      <c r="R42" t="s">
        <v>8173</v>
      </c>
      <c r="S42" t="s">
        <v>2617</v>
      </c>
      <c r="T42" t="s">
        <v>8158</v>
      </c>
      <c r="U42" t="s">
        <v>5157</v>
      </c>
      <c r="V42" t="s">
        <v>5147</v>
      </c>
      <c r="W42">
        <v>30590000</v>
      </c>
      <c r="X42" t="s">
        <v>5148</v>
      </c>
      <c r="Y42">
        <v>533</v>
      </c>
      <c r="Z42" t="s">
        <v>8159</v>
      </c>
      <c r="AA42" t="s">
        <v>8160</v>
      </c>
      <c r="AB42" t="s">
        <v>3948</v>
      </c>
      <c r="AC42" t="s">
        <v>8174</v>
      </c>
      <c r="AD42" t="s">
        <v>8170</v>
      </c>
      <c r="AE42" t="s">
        <v>8161</v>
      </c>
      <c r="AF42" t="s">
        <v>8722</v>
      </c>
      <c r="AG42">
        <v>62327</v>
      </c>
      <c r="AH42" t="s">
        <v>8620</v>
      </c>
      <c r="AI42" t="s">
        <v>8723</v>
      </c>
      <c r="AJ42" t="s">
        <v>3948</v>
      </c>
      <c r="AK42">
        <v>0</v>
      </c>
      <c r="AL42">
        <v>0</v>
      </c>
      <c r="AM42" t="s">
        <v>3948</v>
      </c>
      <c r="AN42">
        <v>0</v>
      </c>
      <c r="AO42">
        <v>38661008</v>
      </c>
      <c r="AP42">
        <v>876679</v>
      </c>
      <c r="AQ42">
        <v>0</v>
      </c>
      <c r="AR42">
        <v>39537687</v>
      </c>
      <c r="AS42">
        <v>30590000</v>
      </c>
      <c r="AT42">
        <v>-8947687</v>
      </c>
      <c r="AU42">
        <v>-2925</v>
      </c>
    </row>
    <row r="43" spans="1:47" ht="13.5" customHeight="1" x14ac:dyDescent="0.3">
      <c r="A43" t="s">
        <v>8149</v>
      </c>
      <c r="B43" t="s">
        <v>8079</v>
      </c>
      <c r="C43">
        <v>0</v>
      </c>
      <c r="D43">
        <v>0</v>
      </c>
      <c r="E43" t="s">
        <v>3948</v>
      </c>
      <c r="F43" t="s">
        <v>3948</v>
      </c>
      <c r="G43" t="s">
        <v>3948</v>
      </c>
      <c r="H43" t="s">
        <v>3948</v>
      </c>
      <c r="I43" t="s">
        <v>8080</v>
      </c>
      <c r="J43" t="s">
        <v>3948</v>
      </c>
      <c r="K43" t="s">
        <v>8230</v>
      </c>
      <c r="L43" t="s">
        <v>186</v>
      </c>
      <c r="M43" t="s">
        <v>187</v>
      </c>
      <c r="N43" t="s">
        <v>8140</v>
      </c>
      <c r="O43" t="s">
        <v>8141</v>
      </c>
      <c r="P43">
        <v>2016</v>
      </c>
      <c r="Q43">
        <v>0</v>
      </c>
      <c r="R43" t="s">
        <v>8231</v>
      </c>
      <c r="S43" t="s">
        <v>8232</v>
      </c>
      <c r="T43" t="s">
        <v>8158</v>
      </c>
      <c r="U43" t="s">
        <v>5195</v>
      </c>
      <c r="V43" t="s">
        <v>8085</v>
      </c>
      <c r="W43">
        <v>15590000</v>
      </c>
      <c r="X43" t="s">
        <v>5148</v>
      </c>
      <c r="Y43">
        <v>3911</v>
      </c>
      <c r="Z43" t="s">
        <v>8086</v>
      </c>
      <c r="AA43" t="s">
        <v>8154</v>
      </c>
      <c r="AB43" t="s">
        <v>3948</v>
      </c>
      <c r="AC43" t="s">
        <v>8233</v>
      </c>
      <c r="AD43" t="s">
        <v>8230</v>
      </c>
      <c r="AE43" t="s">
        <v>8234</v>
      </c>
      <c r="AF43" t="s">
        <v>8657</v>
      </c>
      <c r="AG43">
        <v>81310</v>
      </c>
      <c r="AH43" t="s">
        <v>8657</v>
      </c>
      <c r="AI43" t="s">
        <v>8657</v>
      </c>
      <c r="AJ43" t="s">
        <v>8657</v>
      </c>
      <c r="AK43">
        <v>0</v>
      </c>
      <c r="AL43">
        <v>0</v>
      </c>
      <c r="AM43" t="s">
        <v>3948</v>
      </c>
      <c r="AN43">
        <v>0</v>
      </c>
      <c r="AO43">
        <v>13050001</v>
      </c>
      <c r="AP43">
        <v>2576087</v>
      </c>
      <c r="AQ43">
        <v>0</v>
      </c>
      <c r="AR43">
        <v>15626088</v>
      </c>
      <c r="AS43">
        <v>13100840</v>
      </c>
      <c r="AT43">
        <v>-2525248</v>
      </c>
      <c r="AU43">
        <v>-1928</v>
      </c>
    </row>
    <row r="44" spans="1:47" ht="13.5" customHeight="1" x14ac:dyDescent="0.3">
      <c r="A44" t="s">
        <v>8149</v>
      </c>
      <c r="B44" t="s">
        <v>5180</v>
      </c>
      <c r="C44">
        <v>0</v>
      </c>
      <c r="D44">
        <v>0</v>
      </c>
      <c r="E44" t="s">
        <v>3948</v>
      </c>
      <c r="F44" t="s">
        <v>3948</v>
      </c>
      <c r="G44" t="s">
        <v>3948</v>
      </c>
      <c r="H44" t="s">
        <v>3948</v>
      </c>
      <c r="I44" t="s">
        <v>8654</v>
      </c>
      <c r="J44" t="s">
        <v>3948</v>
      </c>
      <c r="K44" t="s">
        <v>8218</v>
      </c>
      <c r="L44" t="s">
        <v>86</v>
      </c>
      <c r="M44" t="s">
        <v>122</v>
      </c>
      <c r="N44" t="s">
        <v>4275</v>
      </c>
      <c r="O44" t="s">
        <v>5477</v>
      </c>
      <c r="P44">
        <v>2025</v>
      </c>
      <c r="Q44">
        <v>28620</v>
      </c>
      <c r="R44" t="s">
        <v>8219</v>
      </c>
      <c r="S44" t="s">
        <v>402</v>
      </c>
      <c r="T44" t="s">
        <v>5145</v>
      </c>
      <c r="U44" t="s">
        <v>8220</v>
      </c>
      <c r="V44" t="s">
        <v>3948</v>
      </c>
      <c r="W44">
        <v>32990000</v>
      </c>
      <c r="X44" t="s">
        <v>5148</v>
      </c>
      <c r="Y44">
        <v>201</v>
      </c>
      <c r="Z44" t="s">
        <v>8221</v>
      </c>
      <c r="AA44" t="s">
        <v>8160</v>
      </c>
      <c r="AB44" t="s">
        <v>3948</v>
      </c>
      <c r="AC44" t="s">
        <v>8222</v>
      </c>
      <c r="AD44" t="s">
        <v>8218</v>
      </c>
      <c r="AE44" t="s">
        <v>8223</v>
      </c>
      <c r="AF44" t="s">
        <v>8655</v>
      </c>
      <c r="AG44">
        <v>1</v>
      </c>
      <c r="AH44" t="s">
        <v>8655</v>
      </c>
      <c r="AI44" t="s">
        <v>8656</v>
      </c>
      <c r="AJ44" t="s">
        <v>3948</v>
      </c>
      <c r="AK44">
        <v>0</v>
      </c>
      <c r="AL44">
        <v>0</v>
      </c>
      <c r="AM44" t="s">
        <v>3948</v>
      </c>
      <c r="AN44">
        <v>0</v>
      </c>
      <c r="AO44">
        <v>37000000</v>
      </c>
      <c r="AP44">
        <v>0</v>
      </c>
      <c r="AQ44">
        <v>0</v>
      </c>
      <c r="AR44">
        <v>37000000</v>
      </c>
      <c r="AS44">
        <v>32990000</v>
      </c>
      <c r="AT44">
        <v>-4010000</v>
      </c>
      <c r="AU44">
        <v>-1216</v>
      </c>
    </row>
    <row r="45" spans="1:47" ht="13.5" customHeight="1" x14ac:dyDescent="0.3">
      <c r="A45" t="s">
        <v>8149</v>
      </c>
      <c r="B45" t="s">
        <v>9531</v>
      </c>
      <c r="C45">
        <v>0</v>
      </c>
      <c r="D45">
        <v>0</v>
      </c>
      <c r="E45" t="s">
        <v>3948</v>
      </c>
      <c r="F45" t="s">
        <v>3948</v>
      </c>
      <c r="G45" t="s">
        <v>3948</v>
      </c>
      <c r="H45" t="s">
        <v>3948</v>
      </c>
      <c r="I45" t="s">
        <v>8678</v>
      </c>
      <c r="J45" t="s">
        <v>3948</v>
      </c>
      <c r="K45" t="s">
        <v>8331</v>
      </c>
      <c r="L45" t="s">
        <v>86</v>
      </c>
      <c r="M45" t="s">
        <v>122</v>
      </c>
      <c r="N45" t="s">
        <v>130</v>
      </c>
      <c r="O45" t="s">
        <v>5340</v>
      </c>
      <c r="P45">
        <v>2024</v>
      </c>
      <c r="Q45">
        <v>37000</v>
      </c>
      <c r="R45" t="s">
        <v>8332</v>
      </c>
      <c r="S45" t="s">
        <v>569</v>
      </c>
      <c r="T45" t="s">
        <v>5145</v>
      </c>
      <c r="U45" t="s">
        <v>5446</v>
      </c>
      <c r="V45" t="s">
        <v>5147</v>
      </c>
      <c r="W45">
        <v>24990000</v>
      </c>
      <c r="X45" t="s">
        <v>5148</v>
      </c>
      <c r="Y45">
        <v>298</v>
      </c>
      <c r="Z45" t="s">
        <v>8221</v>
      </c>
      <c r="AA45" t="s">
        <v>9537</v>
      </c>
      <c r="AB45" t="s">
        <v>3948</v>
      </c>
      <c r="AC45" t="s">
        <v>8333</v>
      </c>
      <c r="AD45" t="s">
        <v>8331</v>
      </c>
      <c r="AE45" t="s">
        <v>8334</v>
      </c>
      <c r="AF45" t="s">
        <v>8679</v>
      </c>
      <c r="AG45">
        <v>119</v>
      </c>
      <c r="AH45" t="s">
        <v>8679</v>
      </c>
      <c r="AI45" t="s">
        <v>8680</v>
      </c>
      <c r="AJ45" t="s">
        <v>3948</v>
      </c>
      <c r="AK45">
        <v>0</v>
      </c>
      <c r="AL45">
        <v>0</v>
      </c>
      <c r="AM45" t="s">
        <v>3948</v>
      </c>
      <c r="AN45">
        <v>0</v>
      </c>
      <c r="AO45">
        <v>23490000</v>
      </c>
      <c r="AP45">
        <v>0</v>
      </c>
      <c r="AQ45">
        <v>0</v>
      </c>
      <c r="AR45">
        <v>23490000</v>
      </c>
      <c r="AS45">
        <v>24990000</v>
      </c>
      <c r="AT45">
        <v>1500000</v>
      </c>
      <c r="AU45">
        <v>6</v>
      </c>
    </row>
    <row r="46" spans="1:47" ht="13.5" customHeight="1" x14ac:dyDescent="0.3">
      <c r="A46" t="s">
        <v>8149</v>
      </c>
      <c r="B46" t="s">
        <v>8356</v>
      </c>
      <c r="C46">
        <v>0</v>
      </c>
      <c r="D46">
        <v>0</v>
      </c>
      <c r="E46" t="s">
        <v>3948</v>
      </c>
      <c r="F46" t="s">
        <v>3948</v>
      </c>
      <c r="G46" t="s">
        <v>3948</v>
      </c>
      <c r="H46" t="s">
        <v>3948</v>
      </c>
      <c r="I46" t="s">
        <v>11155</v>
      </c>
      <c r="J46" t="s">
        <v>3948</v>
      </c>
      <c r="K46" t="s">
        <v>11156</v>
      </c>
      <c r="L46" t="s">
        <v>214</v>
      </c>
      <c r="M46" t="s">
        <v>11157</v>
      </c>
      <c r="N46" t="s">
        <v>11158</v>
      </c>
      <c r="O46" t="s">
        <v>11159</v>
      </c>
      <c r="P46">
        <v>2024</v>
      </c>
      <c r="Q46">
        <v>0</v>
      </c>
      <c r="R46" t="s">
        <v>11160</v>
      </c>
      <c r="S46" t="s">
        <v>11161</v>
      </c>
      <c r="T46" t="s">
        <v>8158</v>
      </c>
      <c r="U46" t="s">
        <v>5373</v>
      </c>
      <c r="V46" t="s">
        <v>5147</v>
      </c>
      <c r="W46">
        <v>38068100</v>
      </c>
      <c r="X46" t="s">
        <v>5148</v>
      </c>
      <c r="Y46">
        <v>809</v>
      </c>
      <c r="Z46" t="s">
        <v>9526</v>
      </c>
      <c r="AA46" t="s">
        <v>8363</v>
      </c>
      <c r="AB46" t="s">
        <v>3948</v>
      </c>
      <c r="AC46" t="s">
        <v>11162</v>
      </c>
      <c r="AD46" t="s">
        <v>11156</v>
      </c>
      <c r="AE46" t="s">
        <v>8493</v>
      </c>
      <c r="AF46" t="s">
        <v>11163</v>
      </c>
      <c r="AG46">
        <v>309007</v>
      </c>
      <c r="AH46" t="s">
        <v>11164</v>
      </c>
      <c r="AI46" t="s">
        <v>11165</v>
      </c>
      <c r="AJ46" t="s">
        <v>3948</v>
      </c>
      <c r="AK46">
        <v>0</v>
      </c>
      <c r="AL46">
        <v>0</v>
      </c>
      <c r="AM46" t="s">
        <v>3948</v>
      </c>
      <c r="AN46">
        <v>0</v>
      </c>
      <c r="AO46">
        <v>28820700</v>
      </c>
      <c r="AP46">
        <v>922481</v>
      </c>
      <c r="AQ46">
        <v>0</v>
      </c>
      <c r="AR46">
        <v>29743181</v>
      </c>
      <c r="AS46">
        <v>31990000</v>
      </c>
      <c r="AT46">
        <v>2246819</v>
      </c>
      <c r="AU46">
        <v>702</v>
      </c>
    </row>
    <row r="47" spans="1:47" ht="13.5" customHeight="1" x14ac:dyDescent="0.3">
      <c r="A47" t="s">
        <v>8149</v>
      </c>
      <c r="B47" t="s">
        <v>8270</v>
      </c>
      <c r="C47">
        <v>0</v>
      </c>
      <c r="D47">
        <v>0</v>
      </c>
      <c r="E47" t="s">
        <v>3948</v>
      </c>
      <c r="F47" t="s">
        <v>3948</v>
      </c>
      <c r="G47" t="s">
        <v>3948</v>
      </c>
      <c r="H47" t="s">
        <v>3948</v>
      </c>
      <c r="I47" t="s">
        <v>8646</v>
      </c>
      <c r="J47" t="s">
        <v>3948</v>
      </c>
      <c r="K47" t="s">
        <v>8271</v>
      </c>
      <c r="L47" t="s">
        <v>241</v>
      </c>
      <c r="M47" t="s">
        <v>3164</v>
      </c>
      <c r="N47" t="s">
        <v>8272</v>
      </c>
      <c r="O47" t="s">
        <v>8273</v>
      </c>
      <c r="P47">
        <v>2022</v>
      </c>
      <c r="Q47">
        <v>0</v>
      </c>
      <c r="R47" t="s">
        <v>8274</v>
      </c>
      <c r="S47" t="s">
        <v>8275</v>
      </c>
      <c r="T47" t="s">
        <v>8158</v>
      </c>
      <c r="U47" t="s">
        <v>5425</v>
      </c>
      <c r="V47" t="s">
        <v>5147</v>
      </c>
      <c r="W47">
        <v>0</v>
      </c>
      <c r="X47" t="s">
        <v>5148</v>
      </c>
      <c r="Y47">
        <v>1538</v>
      </c>
      <c r="Z47" t="s">
        <v>8086</v>
      </c>
      <c r="AA47" t="s">
        <v>8276</v>
      </c>
      <c r="AB47" t="s">
        <v>3948</v>
      </c>
      <c r="AC47" t="s">
        <v>8277</v>
      </c>
      <c r="AD47" t="s">
        <v>8271</v>
      </c>
      <c r="AE47" t="s">
        <v>8161</v>
      </c>
      <c r="AF47" t="s">
        <v>8647</v>
      </c>
      <c r="AG47">
        <v>0</v>
      </c>
      <c r="AH47" t="s">
        <v>8648</v>
      </c>
      <c r="AI47" t="s">
        <v>8648</v>
      </c>
      <c r="AJ47" t="s">
        <v>3948</v>
      </c>
      <c r="AK47">
        <v>0</v>
      </c>
      <c r="AL47">
        <v>0</v>
      </c>
      <c r="AM47" t="s">
        <v>3948</v>
      </c>
      <c r="AN47">
        <v>0</v>
      </c>
      <c r="AO47">
        <v>0</v>
      </c>
      <c r="AP47">
        <v>3479924</v>
      </c>
      <c r="AQ47">
        <v>0</v>
      </c>
      <c r="AR47">
        <v>3479924</v>
      </c>
      <c r="AS47">
        <v>0</v>
      </c>
      <c r="AT47">
        <v>-3479924</v>
      </c>
      <c r="AU47">
        <v>-347992400</v>
      </c>
    </row>
    <row r="48" spans="1:47" ht="13.5" customHeight="1" x14ac:dyDescent="0.3">
      <c r="A48" t="s">
        <v>8149</v>
      </c>
      <c r="B48" t="s">
        <v>8135</v>
      </c>
      <c r="C48">
        <v>0</v>
      </c>
      <c r="D48">
        <v>0</v>
      </c>
      <c r="E48" t="s">
        <v>3948</v>
      </c>
      <c r="F48" t="s">
        <v>3948</v>
      </c>
      <c r="G48" t="s">
        <v>3948</v>
      </c>
      <c r="H48" t="s">
        <v>3948</v>
      </c>
      <c r="I48" t="s">
        <v>11166</v>
      </c>
      <c r="J48" t="s">
        <v>3948</v>
      </c>
      <c r="K48" t="s">
        <v>11167</v>
      </c>
      <c r="L48" t="s">
        <v>237</v>
      </c>
      <c r="M48" t="s">
        <v>65</v>
      </c>
      <c r="N48" t="s">
        <v>11168</v>
      </c>
      <c r="O48" t="s">
        <v>11169</v>
      </c>
      <c r="P48">
        <v>2026</v>
      </c>
      <c r="Q48">
        <v>0</v>
      </c>
      <c r="R48" t="s">
        <v>11170</v>
      </c>
      <c r="S48" t="s">
        <v>10872</v>
      </c>
      <c r="T48" t="s">
        <v>8158</v>
      </c>
      <c r="U48" t="s">
        <v>11062</v>
      </c>
      <c r="V48" t="s">
        <v>5147</v>
      </c>
      <c r="W48">
        <v>21490000</v>
      </c>
      <c r="X48" t="s">
        <v>5148</v>
      </c>
      <c r="Y48">
        <v>41</v>
      </c>
      <c r="Z48" t="s">
        <v>9526</v>
      </c>
      <c r="AA48" t="s">
        <v>8135</v>
      </c>
      <c r="AB48" t="s">
        <v>3948</v>
      </c>
      <c r="AC48" t="s">
        <v>11171</v>
      </c>
      <c r="AD48" t="s">
        <v>11167</v>
      </c>
      <c r="AE48" t="s">
        <v>8089</v>
      </c>
      <c r="AF48" t="s">
        <v>11172</v>
      </c>
      <c r="AG48">
        <v>245236</v>
      </c>
      <c r="AH48" t="s">
        <v>11173</v>
      </c>
      <c r="AI48" t="s">
        <v>11174</v>
      </c>
      <c r="AJ48" t="s">
        <v>3948</v>
      </c>
      <c r="AK48">
        <v>0</v>
      </c>
      <c r="AL48">
        <v>0</v>
      </c>
      <c r="AM48" t="s">
        <v>3948</v>
      </c>
      <c r="AN48">
        <v>0</v>
      </c>
      <c r="AO48">
        <v>16698151</v>
      </c>
      <c r="AP48">
        <v>0</v>
      </c>
      <c r="AQ48">
        <v>0</v>
      </c>
      <c r="AR48">
        <v>16698151</v>
      </c>
      <c r="AS48">
        <v>18058824</v>
      </c>
      <c r="AT48">
        <v>1360673</v>
      </c>
      <c r="AU48">
        <v>753</v>
      </c>
    </row>
    <row r="49" spans="1:47" ht="13.5" customHeight="1" x14ac:dyDescent="0.3">
      <c r="A49" t="s">
        <v>8149</v>
      </c>
      <c r="B49" t="s">
        <v>8135</v>
      </c>
      <c r="C49">
        <v>0</v>
      </c>
      <c r="D49">
        <v>0</v>
      </c>
      <c r="E49" t="s">
        <v>3948</v>
      </c>
      <c r="F49" t="s">
        <v>3948</v>
      </c>
      <c r="G49" t="s">
        <v>3948</v>
      </c>
      <c r="H49" t="s">
        <v>3948</v>
      </c>
      <c r="I49" t="s">
        <v>11307</v>
      </c>
      <c r="J49" t="s">
        <v>3948</v>
      </c>
      <c r="K49" t="s">
        <v>11308</v>
      </c>
      <c r="L49" t="s">
        <v>241</v>
      </c>
      <c r="M49" t="s">
        <v>2478</v>
      </c>
      <c r="N49" t="s">
        <v>11309</v>
      </c>
      <c r="O49" t="s">
        <v>11310</v>
      </c>
      <c r="P49">
        <v>2026</v>
      </c>
      <c r="Q49">
        <v>0</v>
      </c>
      <c r="R49" t="s">
        <v>11311</v>
      </c>
      <c r="S49" t="s">
        <v>11312</v>
      </c>
      <c r="T49" t="s">
        <v>8158</v>
      </c>
      <c r="U49" t="s">
        <v>5146</v>
      </c>
      <c r="V49" t="s">
        <v>5147</v>
      </c>
      <c r="W49">
        <v>27690000</v>
      </c>
      <c r="X49" t="s">
        <v>5148</v>
      </c>
      <c r="Y49">
        <v>357</v>
      </c>
      <c r="Z49" t="s">
        <v>8159</v>
      </c>
      <c r="AA49" t="s">
        <v>8135</v>
      </c>
      <c r="AB49" t="s">
        <v>3948</v>
      </c>
      <c r="AC49" t="s">
        <v>11313</v>
      </c>
      <c r="AD49" t="s">
        <v>11308</v>
      </c>
      <c r="AE49" t="s">
        <v>8161</v>
      </c>
      <c r="AF49" t="s">
        <v>11314</v>
      </c>
      <c r="AG49">
        <v>69782</v>
      </c>
      <c r="AH49" t="s">
        <v>5565</v>
      </c>
      <c r="AI49" t="s">
        <v>11315</v>
      </c>
      <c r="AJ49" t="s">
        <v>3948</v>
      </c>
      <c r="AK49">
        <v>0</v>
      </c>
      <c r="AL49">
        <v>0</v>
      </c>
      <c r="AM49" t="s">
        <v>3948</v>
      </c>
      <c r="AN49">
        <v>0</v>
      </c>
      <c r="AO49">
        <v>21449412</v>
      </c>
      <c r="AP49">
        <v>1072084</v>
      </c>
      <c r="AQ49">
        <v>0</v>
      </c>
      <c r="AR49">
        <v>22521496</v>
      </c>
      <c r="AS49">
        <v>23268908</v>
      </c>
      <c r="AT49">
        <v>747412</v>
      </c>
      <c r="AU49">
        <v>321</v>
      </c>
    </row>
    <row r="50" spans="1:47" ht="13.5" customHeight="1" x14ac:dyDescent="0.3">
      <c r="A50" t="s">
        <v>8149</v>
      </c>
      <c r="B50" t="s">
        <v>8135</v>
      </c>
      <c r="C50">
        <v>0</v>
      </c>
      <c r="D50">
        <v>0</v>
      </c>
      <c r="E50" t="s">
        <v>3948</v>
      </c>
      <c r="F50" t="s">
        <v>3948</v>
      </c>
      <c r="G50" t="s">
        <v>3948</v>
      </c>
      <c r="H50" t="s">
        <v>3948</v>
      </c>
      <c r="I50" t="s">
        <v>11316</v>
      </c>
      <c r="J50" t="s">
        <v>3948</v>
      </c>
      <c r="K50" t="s">
        <v>11317</v>
      </c>
      <c r="L50" t="s">
        <v>241</v>
      </c>
      <c r="M50" t="s">
        <v>2487</v>
      </c>
      <c r="N50" t="s">
        <v>11318</v>
      </c>
      <c r="O50" t="s">
        <v>11319</v>
      </c>
      <c r="P50">
        <v>2026</v>
      </c>
      <c r="Q50">
        <v>0</v>
      </c>
      <c r="R50" t="s">
        <v>11320</v>
      </c>
      <c r="S50" t="s">
        <v>3746</v>
      </c>
      <c r="T50" t="s">
        <v>8158</v>
      </c>
      <c r="U50" t="s">
        <v>11321</v>
      </c>
      <c r="V50" t="s">
        <v>5147</v>
      </c>
      <c r="W50">
        <v>31990000</v>
      </c>
      <c r="X50" t="s">
        <v>5148</v>
      </c>
      <c r="Y50">
        <v>544</v>
      </c>
      <c r="Z50" t="s">
        <v>8159</v>
      </c>
      <c r="AA50" t="s">
        <v>8135</v>
      </c>
      <c r="AB50" t="s">
        <v>3948</v>
      </c>
      <c r="AC50" t="s">
        <v>11322</v>
      </c>
      <c r="AD50" t="s">
        <v>11317</v>
      </c>
      <c r="AE50" t="s">
        <v>8161</v>
      </c>
      <c r="AF50" t="s">
        <v>8189</v>
      </c>
      <c r="AG50">
        <v>66115</v>
      </c>
      <c r="AH50" t="s">
        <v>8190</v>
      </c>
      <c r="AI50" t="s">
        <v>11323</v>
      </c>
      <c r="AJ50" t="s">
        <v>3948</v>
      </c>
      <c r="AK50">
        <v>0</v>
      </c>
      <c r="AL50">
        <v>0</v>
      </c>
      <c r="AM50" t="s">
        <v>3948</v>
      </c>
      <c r="AN50">
        <v>0</v>
      </c>
      <c r="AO50">
        <v>24773782</v>
      </c>
      <c r="AP50">
        <v>1877401</v>
      </c>
      <c r="AQ50">
        <v>0</v>
      </c>
      <c r="AR50">
        <v>26651183</v>
      </c>
      <c r="AS50">
        <v>26882353</v>
      </c>
      <c r="AT50">
        <v>231170</v>
      </c>
      <c r="AU50">
        <v>86</v>
      </c>
    </row>
    <row r="51" spans="1:47" ht="13.5" customHeight="1" x14ac:dyDescent="0.3">
      <c r="A51" t="s">
        <v>8149</v>
      </c>
      <c r="B51" t="s">
        <v>8079</v>
      </c>
      <c r="C51">
        <v>0</v>
      </c>
      <c r="D51">
        <v>0</v>
      </c>
      <c r="E51" t="s">
        <v>3948</v>
      </c>
      <c r="F51" t="s">
        <v>3948</v>
      </c>
      <c r="G51" t="s">
        <v>3948</v>
      </c>
      <c r="H51" t="s">
        <v>3948</v>
      </c>
      <c r="I51" t="s">
        <v>8670</v>
      </c>
      <c r="J51" t="s">
        <v>3948</v>
      </c>
      <c r="K51" t="s">
        <v>8150</v>
      </c>
      <c r="L51" t="s">
        <v>2498</v>
      </c>
      <c r="M51" t="s">
        <v>2499</v>
      </c>
      <c r="N51" t="s">
        <v>4513</v>
      </c>
      <c r="O51" t="s">
        <v>8151</v>
      </c>
      <c r="P51">
        <v>2024</v>
      </c>
      <c r="Q51">
        <v>0</v>
      </c>
      <c r="R51" t="s">
        <v>8152</v>
      </c>
      <c r="S51" t="s">
        <v>8151</v>
      </c>
      <c r="T51" t="s">
        <v>5145</v>
      </c>
      <c r="U51" t="s">
        <v>8153</v>
      </c>
      <c r="V51" t="s">
        <v>5147</v>
      </c>
      <c r="W51">
        <v>11082000</v>
      </c>
      <c r="X51" t="s">
        <v>5148</v>
      </c>
      <c r="Y51">
        <v>203</v>
      </c>
      <c r="Z51" t="s">
        <v>40</v>
      </c>
      <c r="AA51" t="s">
        <v>8154</v>
      </c>
      <c r="AB51" t="s">
        <v>3948</v>
      </c>
      <c r="AC51" t="s">
        <v>8155</v>
      </c>
      <c r="AD51" t="s">
        <v>8150</v>
      </c>
      <c r="AE51" t="s">
        <v>8156</v>
      </c>
      <c r="AF51" t="s">
        <v>8671</v>
      </c>
      <c r="AG51">
        <v>1</v>
      </c>
      <c r="AH51" t="s">
        <v>8671</v>
      </c>
      <c r="AI51" t="s">
        <v>8672</v>
      </c>
      <c r="AJ51" t="s">
        <v>3948</v>
      </c>
      <c r="AK51">
        <v>0</v>
      </c>
      <c r="AL51">
        <v>0</v>
      </c>
      <c r="AM51" t="s">
        <v>3948</v>
      </c>
      <c r="AN51">
        <v>0</v>
      </c>
      <c r="AO51">
        <v>11082000</v>
      </c>
      <c r="AP51">
        <v>0</v>
      </c>
      <c r="AQ51">
        <v>0</v>
      </c>
      <c r="AR51">
        <v>11082000</v>
      </c>
      <c r="AS51">
        <v>11082000</v>
      </c>
      <c r="AT51">
        <v>0</v>
      </c>
      <c r="AU51">
        <v>0</v>
      </c>
    </row>
    <row r="52" spans="1:47" ht="13.5" customHeight="1" x14ac:dyDescent="0.3">
      <c r="A52" t="s">
        <v>8149</v>
      </c>
      <c r="B52" t="s">
        <v>5180</v>
      </c>
      <c r="C52">
        <v>0</v>
      </c>
      <c r="D52">
        <v>0</v>
      </c>
      <c r="E52" t="s">
        <v>3948</v>
      </c>
      <c r="F52" t="s">
        <v>3948</v>
      </c>
      <c r="G52" t="s">
        <v>3948</v>
      </c>
      <c r="H52" t="s">
        <v>3948</v>
      </c>
      <c r="I52" t="s">
        <v>8704</v>
      </c>
      <c r="J52" t="s">
        <v>3948</v>
      </c>
      <c r="K52" t="s">
        <v>8398</v>
      </c>
      <c r="L52" t="s">
        <v>2549</v>
      </c>
      <c r="M52" t="s">
        <v>7601</v>
      </c>
      <c r="N52" t="s">
        <v>8399</v>
      </c>
      <c r="O52" t="s">
        <v>8400</v>
      </c>
      <c r="P52">
        <v>2025</v>
      </c>
      <c r="Q52">
        <v>40200</v>
      </c>
      <c r="R52" t="s">
        <v>8401</v>
      </c>
      <c r="S52" t="s">
        <v>3659</v>
      </c>
      <c r="T52" t="s">
        <v>8158</v>
      </c>
      <c r="U52" t="s">
        <v>5425</v>
      </c>
      <c r="V52" t="s">
        <v>5147</v>
      </c>
      <c r="W52">
        <v>16290000</v>
      </c>
      <c r="X52" t="s">
        <v>5148</v>
      </c>
      <c r="Y52">
        <v>174</v>
      </c>
      <c r="Z52" t="s">
        <v>8159</v>
      </c>
      <c r="AA52" t="s">
        <v>8160</v>
      </c>
      <c r="AB52" t="s">
        <v>3948</v>
      </c>
      <c r="AC52" t="s">
        <v>8402</v>
      </c>
      <c r="AD52" t="s">
        <v>8398</v>
      </c>
      <c r="AE52" t="s">
        <v>8161</v>
      </c>
      <c r="AF52" t="s">
        <v>8628</v>
      </c>
      <c r="AG52">
        <v>65756</v>
      </c>
      <c r="AH52" t="s">
        <v>8705</v>
      </c>
      <c r="AI52" t="s">
        <v>8706</v>
      </c>
      <c r="AJ52" t="s">
        <v>3948</v>
      </c>
      <c r="AK52">
        <v>0</v>
      </c>
      <c r="AL52">
        <v>0</v>
      </c>
      <c r="AM52" t="s">
        <v>3948</v>
      </c>
      <c r="AN52">
        <v>0</v>
      </c>
      <c r="AO52">
        <v>17140917</v>
      </c>
      <c r="AP52">
        <v>641547</v>
      </c>
      <c r="AQ52">
        <v>0</v>
      </c>
      <c r="AR52">
        <v>17782464</v>
      </c>
      <c r="AS52">
        <v>16290000</v>
      </c>
      <c r="AT52">
        <v>-1492464</v>
      </c>
      <c r="AU52">
        <v>-916</v>
      </c>
    </row>
    <row r="53" spans="1:47" ht="13.5" customHeight="1" x14ac:dyDescent="0.3">
      <c r="A53" t="s">
        <v>8149</v>
      </c>
      <c r="B53" t="s">
        <v>11290</v>
      </c>
      <c r="C53">
        <v>0</v>
      </c>
      <c r="D53">
        <v>0</v>
      </c>
      <c r="E53" t="s">
        <v>3948</v>
      </c>
      <c r="F53" t="s">
        <v>3948</v>
      </c>
      <c r="G53" t="s">
        <v>3948</v>
      </c>
      <c r="H53" t="s">
        <v>3948</v>
      </c>
      <c r="I53" t="s">
        <v>11324</v>
      </c>
      <c r="J53" t="s">
        <v>3948</v>
      </c>
      <c r="K53" t="s">
        <v>11325</v>
      </c>
      <c r="L53" t="s">
        <v>167</v>
      </c>
      <c r="M53" t="s">
        <v>4409</v>
      </c>
      <c r="N53" t="s">
        <v>11326</v>
      </c>
      <c r="O53" t="s">
        <v>11327</v>
      </c>
      <c r="P53">
        <v>2026</v>
      </c>
      <c r="Q53">
        <v>6800</v>
      </c>
      <c r="R53" t="s">
        <v>11328</v>
      </c>
      <c r="S53" t="s">
        <v>11329</v>
      </c>
      <c r="T53" t="s">
        <v>8158</v>
      </c>
      <c r="U53" t="s">
        <v>5296</v>
      </c>
      <c r="V53" t="s">
        <v>5147</v>
      </c>
      <c r="W53">
        <v>17690000</v>
      </c>
      <c r="X53" t="s">
        <v>5148</v>
      </c>
      <c r="Y53">
        <v>326</v>
      </c>
      <c r="Z53" t="s">
        <v>16</v>
      </c>
      <c r="AA53" t="s">
        <v>11296</v>
      </c>
      <c r="AB53" t="s">
        <v>3948</v>
      </c>
      <c r="AC53" t="s">
        <v>11330</v>
      </c>
      <c r="AD53" t="s">
        <v>11325</v>
      </c>
      <c r="AE53" t="s">
        <v>8089</v>
      </c>
      <c r="AF53" t="s">
        <v>11331</v>
      </c>
      <c r="AG53">
        <v>235401</v>
      </c>
      <c r="AH53" t="s">
        <v>11331</v>
      </c>
      <c r="AI53" t="s">
        <v>11332</v>
      </c>
      <c r="AJ53" t="s">
        <v>3948</v>
      </c>
      <c r="AK53">
        <v>0</v>
      </c>
      <c r="AL53">
        <v>0</v>
      </c>
      <c r="AM53" t="s">
        <v>3948</v>
      </c>
      <c r="AN53">
        <v>0</v>
      </c>
      <c r="AO53">
        <v>13802352</v>
      </c>
      <c r="AP53">
        <v>610282</v>
      </c>
      <c r="AQ53">
        <v>0</v>
      </c>
      <c r="AR53">
        <v>14412634</v>
      </c>
      <c r="AS53">
        <v>14865546</v>
      </c>
      <c r="AT53">
        <v>452912</v>
      </c>
      <c r="AU53">
        <v>305</v>
      </c>
    </row>
    <row r="54" spans="1:47" ht="13.5" customHeight="1" x14ac:dyDescent="0.3">
      <c r="A54" t="s">
        <v>8149</v>
      </c>
      <c r="B54" t="s">
        <v>5180</v>
      </c>
      <c r="C54">
        <v>0</v>
      </c>
      <c r="D54">
        <v>0</v>
      </c>
      <c r="E54" t="s">
        <v>3948</v>
      </c>
      <c r="F54" t="s">
        <v>3948</v>
      </c>
      <c r="G54" t="s">
        <v>3948</v>
      </c>
      <c r="H54" t="s">
        <v>3948</v>
      </c>
      <c r="I54" t="s">
        <v>8613</v>
      </c>
      <c r="J54" t="s">
        <v>3948</v>
      </c>
      <c r="K54" t="s">
        <v>8349</v>
      </c>
      <c r="L54" t="s">
        <v>186</v>
      </c>
      <c r="M54" t="s">
        <v>196</v>
      </c>
      <c r="N54" t="s">
        <v>8350</v>
      </c>
      <c r="O54" t="s">
        <v>8351</v>
      </c>
      <c r="P54">
        <v>2026</v>
      </c>
      <c r="Q54">
        <v>3478</v>
      </c>
      <c r="R54" t="s">
        <v>8352</v>
      </c>
      <c r="S54" t="s">
        <v>3624</v>
      </c>
      <c r="T54" t="s">
        <v>8158</v>
      </c>
      <c r="U54" t="s">
        <v>8353</v>
      </c>
      <c r="V54" t="s">
        <v>5147</v>
      </c>
      <c r="W54">
        <v>46990000</v>
      </c>
      <c r="X54" t="s">
        <v>5148</v>
      </c>
      <c r="Y54">
        <v>180</v>
      </c>
      <c r="Z54" t="s">
        <v>8159</v>
      </c>
      <c r="AA54" t="s">
        <v>8160</v>
      </c>
      <c r="AB54" t="s">
        <v>3948</v>
      </c>
      <c r="AC54" t="s">
        <v>8354</v>
      </c>
      <c r="AD54" t="s">
        <v>8349</v>
      </c>
      <c r="AE54" t="s">
        <v>8234</v>
      </c>
      <c r="AF54" t="s">
        <v>8614</v>
      </c>
      <c r="AG54">
        <v>912265</v>
      </c>
      <c r="AH54" t="s">
        <v>8355</v>
      </c>
      <c r="AI54" t="s">
        <v>8615</v>
      </c>
      <c r="AJ54" t="s">
        <v>3948</v>
      </c>
      <c r="AK54">
        <v>0</v>
      </c>
      <c r="AL54">
        <v>0</v>
      </c>
      <c r="AM54" t="s">
        <v>3948</v>
      </c>
      <c r="AN54">
        <v>0</v>
      </c>
      <c r="AO54">
        <v>33169412</v>
      </c>
      <c r="AP54">
        <v>2080269</v>
      </c>
      <c r="AQ54">
        <v>0</v>
      </c>
      <c r="AR54">
        <v>35249681</v>
      </c>
      <c r="AS54">
        <v>39487395</v>
      </c>
      <c r="AT54">
        <v>4237714</v>
      </c>
      <c r="AU54">
        <v>1073</v>
      </c>
    </row>
    <row r="55" spans="1:47" ht="13.5" customHeight="1" x14ac:dyDescent="0.3">
      <c r="A55" t="s">
        <v>8149</v>
      </c>
      <c r="B55" t="s">
        <v>8293</v>
      </c>
      <c r="C55">
        <v>0</v>
      </c>
      <c r="D55">
        <v>0</v>
      </c>
      <c r="E55" t="s">
        <v>3948</v>
      </c>
      <c r="F55" t="s">
        <v>3948</v>
      </c>
      <c r="G55" t="s">
        <v>3948</v>
      </c>
      <c r="H55" t="s">
        <v>3948</v>
      </c>
      <c r="I55" t="s">
        <v>8667</v>
      </c>
      <c r="J55" t="s">
        <v>3948</v>
      </c>
      <c r="K55" t="s">
        <v>8304</v>
      </c>
      <c r="L55" t="s">
        <v>68</v>
      </c>
      <c r="M55" t="s">
        <v>2568</v>
      </c>
      <c r="N55" t="s">
        <v>8305</v>
      </c>
      <c r="O55" t="s">
        <v>8306</v>
      </c>
      <c r="P55">
        <v>2023</v>
      </c>
      <c r="Q55">
        <v>0</v>
      </c>
      <c r="R55" t="s">
        <v>8307</v>
      </c>
      <c r="S55" t="s">
        <v>8308</v>
      </c>
      <c r="T55" t="s">
        <v>8158</v>
      </c>
      <c r="U55" t="s">
        <v>5179</v>
      </c>
      <c r="V55" t="s">
        <v>5147</v>
      </c>
      <c r="W55">
        <v>11055100</v>
      </c>
      <c r="X55" t="s">
        <v>5148</v>
      </c>
      <c r="Y55">
        <v>1365</v>
      </c>
      <c r="Z55" t="s">
        <v>8086</v>
      </c>
      <c r="AA55" t="s">
        <v>8301</v>
      </c>
      <c r="AB55" t="s">
        <v>3948</v>
      </c>
      <c r="AC55" t="s">
        <v>8309</v>
      </c>
      <c r="AD55" t="s">
        <v>8304</v>
      </c>
      <c r="AE55" t="s">
        <v>8089</v>
      </c>
      <c r="AF55" t="s">
        <v>8668</v>
      </c>
      <c r="AG55">
        <v>0</v>
      </c>
      <c r="AH55" t="s">
        <v>8669</v>
      </c>
      <c r="AI55" t="s">
        <v>8669</v>
      </c>
      <c r="AJ55" t="s">
        <v>3948</v>
      </c>
      <c r="AK55">
        <v>0</v>
      </c>
      <c r="AL55">
        <v>0</v>
      </c>
      <c r="AM55" t="s">
        <v>3948</v>
      </c>
      <c r="AN55">
        <v>0</v>
      </c>
      <c r="AO55">
        <v>0</v>
      </c>
      <c r="AP55">
        <v>1443780</v>
      </c>
      <c r="AQ55">
        <v>0</v>
      </c>
      <c r="AR55">
        <v>1443780</v>
      </c>
      <c r="AS55">
        <v>9290000</v>
      </c>
      <c r="AT55">
        <v>7846220</v>
      </c>
      <c r="AU55">
        <v>8446</v>
      </c>
    </row>
    <row r="56" spans="1:47" ht="13.5" customHeight="1" x14ac:dyDescent="0.3">
      <c r="A56" t="s">
        <v>8149</v>
      </c>
      <c r="B56" t="s">
        <v>8279</v>
      </c>
      <c r="C56">
        <v>0</v>
      </c>
      <c r="D56">
        <v>0</v>
      </c>
      <c r="E56" t="s">
        <v>3948</v>
      </c>
      <c r="F56" t="s">
        <v>3948</v>
      </c>
      <c r="G56" t="s">
        <v>3948</v>
      </c>
      <c r="H56" t="s">
        <v>3948</v>
      </c>
      <c r="I56" t="s">
        <v>8633</v>
      </c>
      <c r="J56" t="s">
        <v>3948</v>
      </c>
      <c r="K56" t="s">
        <v>8280</v>
      </c>
      <c r="L56" t="s">
        <v>214</v>
      </c>
      <c r="M56" t="s">
        <v>3787</v>
      </c>
      <c r="N56" t="s">
        <v>8281</v>
      </c>
      <c r="O56" t="s">
        <v>8282</v>
      </c>
      <c r="P56">
        <v>2020</v>
      </c>
      <c r="Q56">
        <v>0</v>
      </c>
      <c r="R56" t="s">
        <v>8283</v>
      </c>
      <c r="S56" t="s">
        <v>8284</v>
      </c>
      <c r="T56" t="s">
        <v>5145</v>
      </c>
      <c r="U56" t="s">
        <v>5179</v>
      </c>
      <c r="V56" t="s">
        <v>5147</v>
      </c>
      <c r="W56">
        <v>12990000</v>
      </c>
      <c r="X56" t="s">
        <v>5148</v>
      </c>
      <c r="Y56">
        <v>2393</v>
      </c>
      <c r="Z56" t="s">
        <v>8285</v>
      </c>
      <c r="AA56" t="s">
        <v>8286</v>
      </c>
      <c r="AB56" t="s">
        <v>3948</v>
      </c>
      <c r="AC56" t="s">
        <v>8287</v>
      </c>
      <c r="AD56" t="s">
        <v>8280</v>
      </c>
      <c r="AE56" t="s">
        <v>8288</v>
      </c>
      <c r="AF56" t="s">
        <v>8634</v>
      </c>
      <c r="AG56">
        <v>1</v>
      </c>
      <c r="AH56" t="s">
        <v>8634</v>
      </c>
      <c r="AI56" t="s">
        <v>8635</v>
      </c>
      <c r="AJ56" t="s">
        <v>3948</v>
      </c>
      <c r="AK56">
        <v>0</v>
      </c>
      <c r="AL56">
        <v>0</v>
      </c>
      <c r="AM56" t="s">
        <v>3948</v>
      </c>
      <c r="AN56">
        <v>0</v>
      </c>
      <c r="AO56">
        <v>12990000</v>
      </c>
      <c r="AP56">
        <v>0</v>
      </c>
      <c r="AQ56">
        <v>0</v>
      </c>
      <c r="AR56">
        <v>12990000</v>
      </c>
      <c r="AS56">
        <v>12990000</v>
      </c>
      <c r="AT56">
        <v>0</v>
      </c>
      <c r="AU56">
        <v>0</v>
      </c>
    </row>
    <row r="57" spans="1:47" ht="13.5" customHeight="1" x14ac:dyDescent="0.3">
      <c r="A57" t="s">
        <v>8149</v>
      </c>
      <c r="B57" t="s">
        <v>5161</v>
      </c>
      <c r="C57">
        <v>0</v>
      </c>
      <c r="D57">
        <v>0</v>
      </c>
      <c r="E57" t="s">
        <v>3948</v>
      </c>
      <c r="F57" t="s">
        <v>3948</v>
      </c>
      <c r="G57" t="s">
        <v>3948</v>
      </c>
      <c r="H57" t="s">
        <v>3948</v>
      </c>
      <c r="I57" t="s">
        <v>11333</v>
      </c>
      <c r="J57" t="s">
        <v>3948</v>
      </c>
      <c r="K57" t="s">
        <v>11334</v>
      </c>
      <c r="L57" t="s">
        <v>241</v>
      </c>
      <c r="M57" t="s">
        <v>2485</v>
      </c>
      <c r="N57" t="s">
        <v>11335</v>
      </c>
      <c r="O57" t="s">
        <v>11336</v>
      </c>
      <c r="P57">
        <v>2026</v>
      </c>
      <c r="Q57">
        <v>0</v>
      </c>
      <c r="R57" t="s">
        <v>11337</v>
      </c>
      <c r="S57" t="s">
        <v>11338</v>
      </c>
      <c r="T57" t="s">
        <v>8158</v>
      </c>
      <c r="U57" t="s">
        <v>11339</v>
      </c>
      <c r="V57" t="s">
        <v>5147</v>
      </c>
      <c r="W57">
        <v>18790000</v>
      </c>
      <c r="X57" t="s">
        <v>5148</v>
      </c>
      <c r="Y57">
        <v>544</v>
      </c>
      <c r="Z57" t="s">
        <v>8159</v>
      </c>
      <c r="AA57" t="s">
        <v>8228</v>
      </c>
      <c r="AB57" t="s">
        <v>3948</v>
      </c>
      <c r="AC57" t="s">
        <v>11340</v>
      </c>
      <c r="AD57" t="s">
        <v>11334</v>
      </c>
      <c r="AE57" t="s">
        <v>8161</v>
      </c>
      <c r="AF57" t="s">
        <v>8189</v>
      </c>
      <c r="AG57">
        <v>66126</v>
      </c>
      <c r="AH57" t="s">
        <v>8190</v>
      </c>
      <c r="AI57" t="s">
        <v>11341</v>
      </c>
      <c r="AJ57" t="s">
        <v>3948</v>
      </c>
      <c r="AK57">
        <v>0</v>
      </c>
      <c r="AL57">
        <v>0</v>
      </c>
      <c r="AM57" t="s">
        <v>3948</v>
      </c>
      <c r="AN57">
        <v>0</v>
      </c>
      <c r="AO57">
        <v>14568739</v>
      </c>
      <c r="AP57">
        <v>970884</v>
      </c>
      <c r="AQ57">
        <v>0</v>
      </c>
      <c r="AR57">
        <v>15539623</v>
      </c>
      <c r="AS57">
        <v>15789916</v>
      </c>
      <c r="AT57">
        <v>250293</v>
      </c>
      <c r="AU57">
        <v>159</v>
      </c>
    </row>
    <row r="58" spans="1:47" ht="13.5" customHeight="1" x14ac:dyDescent="0.3">
      <c r="A58" t="s">
        <v>8149</v>
      </c>
      <c r="B58" t="s">
        <v>8135</v>
      </c>
      <c r="C58">
        <v>0</v>
      </c>
      <c r="D58">
        <v>0</v>
      </c>
      <c r="E58" t="s">
        <v>3948</v>
      </c>
      <c r="F58" t="s">
        <v>3948</v>
      </c>
      <c r="G58" t="s">
        <v>3948</v>
      </c>
      <c r="H58" t="s">
        <v>3948</v>
      </c>
      <c r="I58" t="s">
        <v>11342</v>
      </c>
      <c r="J58" t="s">
        <v>3948</v>
      </c>
      <c r="K58" t="s">
        <v>11343</v>
      </c>
      <c r="L58" t="s">
        <v>2549</v>
      </c>
      <c r="M58" t="s">
        <v>4744</v>
      </c>
      <c r="N58" t="s">
        <v>11344</v>
      </c>
      <c r="O58" t="s">
        <v>11345</v>
      </c>
      <c r="P58">
        <v>2026</v>
      </c>
      <c r="Q58">
        <v>0</v>
      </c>
      <c r="R58" t="s">
        <v>11346</v>
      </c>
      <c r="S58" t="s">
        <v>11347</v>
      </c>
      <c r="T58" t="s">
        <v>8158</v>
      </c>
      <c r="U58" t="s">
        <v>5192</v>
      </c>
      <c r="V58" t="s">
        <v>5147</v>
      </c>
      <c r="W58">
        <v>24590000</v>
      </c>
      <c r="X58" t="s">
        <v>5148</v>
      </c>
      <c r="Y58">
        <v>322</v>
      </c>
      <c r="Z58" t="s">
        <v>8098</v>
      </c>
      <c r="AA58" t="s">
        <v>8135</v>
      </c>
      <c r="AB58" t="s">
        <v>3948</v>
      </c>
      <c r="AC58" t="s">
        <v>11348</v>
      </c>
      <c r="AD58" t="s">
        <v>11343</v>
      </c>
      <c r="AE58" t="s">
        <v>8161</v>
      </c>
      <c r="AF58" t="s">
        <v>11349</v>
      </c>
      <c r="AG58">
        <v>70441</v>
      </c>
      <c r="AH58" t="s">
        <v>8702</v>
      </c>
      <c r="AI58" t="s">
        <v>11350</v>
      </c>
      <c r="AJ58" t="s">
        <v>3948</v>
      </c>
      <c r="AK58">
        <v>0</v>
      </c>
      <c r="AL58">
        <v>0</v>
      </c>
      <c r="AM58" t="s">
        <v>3948</v>
      </c>
      <c r="AN58">
        <v>0</v>
      </c>
      <c r="AO58">
        <v>16573109</v>
      </c>
      <c r="AP58">
        <v>322129</v>
      </c>
      <c r="AQ58">
        <v>0</v>
      </c>
      <c r="AR58">
        <v>16895238</v>
      </c>
      <c r="AS58">
        <v>20663866</v>
      </c>
      <c r="AT58">
        <v>3768628</v>
      </c>
      <c r="AU58">
        <v>1824</v>
      </c>
    </row>
    <row r="59" spans="1:47" ht="13.5" customHeight="1" x14ac:dyDescent="0.3">
      <c r="A59" t="s">
        <v>8149</v>
      </c>
      <c r="B59" t="s">
        <v>5170</v>
      </c>
      <c r="C59">
        <v>0</v>
      </c>
      <c r="D59">
        <v>0</v>
      </c>
      <c r="E59" t="s">
        <v>3948</v>
      </c>
      <c r="F59" t="s">
        <v>3948</v>
      </c>
      <c r="G59" t="s">
        <v>3948</v>
      </c>
      <c r="H59" t="s">
        <v>3948</v>
      </c>
      <c r="I59" t="s">
        <v>8616</v>
      </c>
      <c r="J59" t="s">
        <v>3948</v>
      </c>
      <c r="K59" t="s">
        <v>8204</v>
      </c>
      <c r="L59" t="s">
        <v>241</v>
      </c>
      <c r="M59" t="s">
        <v>8205</v>
      </c>
      <c r="N59" t="s">
        <v>8206</v>
      </c>
      <c r="O59" t="s">
        <v>8207</v>
      </c>
      <c r="P59">
        <v>2024</v>
      </c>
      <c r="Q59">
        <v>37</v>
      </c>
      <c r="R59" t="s">
        <v>8208</v>
      </c>
      <c r="S59" t="s">
        <v>3183</v>
      </c>
      <c r="T59" t="s">
        <v>8158</v>
      </c>
      <c r="U59" t="s">
        <v>5425</v>
      </c>
      <c r="V59" t="s">
        <v>5147</v>
      </c>
      <c r="W59">
        <v>17690000</v>
      </c>
      <c r="X59" t="s">
        <v>5148</v>
      </c>
      <c r="Y59">
        <v>575</v>
      </c>
      <c r="Z59" t="s">
        <v>26</v>
      </c>
      <c r="AA59" t="s">
        <v>5175</v>
      </c>
      <c r="AB59" t="s">
        <v>3948</v>
      </c>
      <c r="AC59" t="s">
        <v>8209</v>
      </c>
      <c r="AD59" t="s">
        <v>8204</v>
      </c>
      <c r="AE59" t="s">
        <v>8161</v>
      </c>
      <c r="AF59" t="s">
        <v>8617</v>
      </c>
      <c r="AG59">
        <v>55056</v>
      </c>
      <c r="AH59" t="s">
        <v>8618</v>
      </c>
      <c r="AI59" t="s">
        <v>8619</v>
      </c>
      <c r="AJ59" t="s">
        <v>3948</v>
      </c>
      <c r="AK59">
        <v>0</v>
      </c>
      <c r="AL59">
        <v>0</v>
      </c>
      <c r="AM59" t="s">
        <v>3948</v>
      </c>
      <c r="AN59">
        <v>0</v>
      </c>
      <c r="AO59">
        <v>16134417</v>
      </c>
      <c r="AP59">
        <v>1936043</v>
      </c>
      <c r="AQ59">
        <v>0</v>
      </c>
      <c r="AR59">
        <v>18070460</v>
      </c>
      <c r="AS59">
        <v>17690000</v>
      </c>
      <c r="AT59">
        <v>-380460</v>
      </c>
      <c r="AU59">
        <v>-215</v>
      </c>
    </row>
    <row r="60" spans="1:47" ht="13.5" customHeight="1" x14ac:dyDescent="0.3">
      <c r="A60" t="s">
        <v>8149</v>
      </c>
      <c r="B60" t="s">
        <v>5180</v>
      </c>
      <c r="C60">
        <v>0</v>
      </c>
      <c r="D60">
        <v>0</v>
      </c>
      <c r="E60" t="s">
        <v>3948</v>
      </c>
      <c r="F60" t="s">
        <v>3948</v>
      </c>
      <c r="G60" t="s">
        <v>3948</v>
      </c>
      <c r="H60" t="s">
        <v>3948</v>
      </c>
      <c r="I60" t="s">
        <v>8715</v>
      </c>
      <c r="J60" t="s">
        <v>3948</v>
      </c>
      <c r="K60" t="s">
        <v>8183</v>
      </c>
      <c r="L60" t="s">
        <v>241</v>
      </c>
      <c r="M60" t="s">
        <v>2484</v>
      </c>
      <c r="N60" t="s">
        <v>8184</v>
      </c>
      <c r="O60" t="s">
        <v>8185</v>
      </c>
      <c r="P60">
        <v>2026</v>
      </c>
      <c r="Q60">
        <v>0</v>
      </c>
      <c r="R60" t="s">
        <v>8186</v>
      </c>
      <c r="S60" t="s">
        <v>8187</v>
      </c>
      <c r="T60" t="s">
        <v>8158</v>
      </c>
      <c r="U60" t="s">
        <v>5507</v>
      </c>
      <c r="V60" t="s">
        <v>5147</v>
      </c>
      <c r="W60">
        <v>18990000</v>
      </c>
      <c r="X60" t="s">
        <v>5148</v>
      </c>
      <c r="Y60">
        <v>544</v>
      </c>
      <c r="Z60" t="s">
        <v>8098</v>
      </c>
      <c r="AA60" t="s">
        <v>8160</v>
      </c>
      <c r="AB60" t="s">
        <v>3948</v>
      </c>
      <c r="AC60" t="s">
        <v>8188</v>
      </c>
      <c r="AD60" t="s">
        <v>8183</v>
      </c>
      <c r="AE60" t="s">
        <v>8161</v>
      </c>
      <c r="AF60" t="s">
        <v>8189</v>
      </c>
      <c r="AG60">
        <v>66130</v>
      </c>
      <c r="AH60" t="s">
        <v>8190</v>
      </c>
      <c r="AI60" t="s">
        <v>8716</v>
      </c>
      <c r="AJ60" t="s">
        <v>3948</v>
      </c>
      <c r="AK60">
        <v>0</v>
      </c>
      <c r="AL60">
        <v>0</v>
      </c>
      <c r="AM60" t="s">
        <v>3948</v>
      </c>
      <c r="AN60">
        <v>0</v>
      </c>
      <c r="AO60">
        <v>21062857</v>
      </c>
      <c r="AP60">
        <v>1471645</v>
      </c>
      <c r="AQ60">
        <v>0</v>
      </c>
      <c r="AR60">
        <v>22534502</v>
      </c>
      <c r="AS60">
        <v>18990000</v>
      </c>
      <c r="AT60">
        <v>-3544502</v>
      </c>
      <c r="AU60">
        <v>-1867</v>
      </c>
    </row>
    <row r="61" spans="1:47" ht="13.5" customHeight="1" x14ac:dyDescent="0.3">
      <c r="A61" t="s">
        <v>8149</v>
      </c>
      <c r="B61" t="s">
        <v>5180</v>
      </c>
      <c r="C61">
        <v>0</v>
      </c>
      <c r="D61">
        <v>0</v>
      </c>
      <c r="E61" t="s">
        <v>3948</v>
      </c>
      <c r="F61" t="s">
        <v>3948</v>
      </c>
      <c r="G61" t="s">
        <v>3948</v>
      </c>
      <c r="H61" t="s">
        <v>3948</v>
      </c>
      <c r="I61" t="s">
        <v>8711</v>
      </c>
      <c r="J61" t="s">
        <v>3948</v>
      </c>
      <c r="K61" t="s">
        <v>8310</v>
      </c>
      <c r="L61" t="s">
        <v>241</v>
      </c>
      <c r="M61" t="s">
        <v>2487</v>
      </c>
      <c r="N61" t="s">
        <v>8311</v>
      </c>
      <c r="O61" t="s">
        <v>8312</v>
      </c>
      <c r="P61">
        <v>2023</v>
      </c>
      <c r="Q61">
        <v>3324</v>
      </c>
      <c r="R61" t="s">
        <v>8313</v>
      </c>
      <c r="S61" t="s">
        <v>2589</v>
      </c>
      <c r="T61" t="s">
        <v>8158</v>
      </c>
      <c r="U61" t="s">
        <v>8235</v>
      </c>
      <c r="V61" t="s">
        <v>5147</v>
      </c>
      <c r="W61">
        <v>14990000</v>
      </c>
      <c r="X61" t="s">
        <v>5148</v>
      </c>
      <c r="Y61">
        <v>1140</v>
      </c>
      <c r="Z61" t="s">
        <v>8159</v>
      </c>
      <c r="AA61" t="s">
        <v>8160</v>
      </c>
      <c r="AB61" t="s">
        <v>3948</v>
      </c>
      <c r="AC61" t="s">
        <v>8314</v>
      </c>
      <c r="AD61" t="s">
        <v>8310</v>
      </c>
      <c r="AE61" t="s">
        <v>8161</v>
      </c>
      <c r="AF61" t="s">
        <v>8712</v>
      </c>
      <c r="AG61">
        <v>51194</v>
      </c>
      <c r="AH61" t="s">
        <v>8713</v>
      </c>
      <c r="AI61" t="s">
        <v>8714</v>
      </c>
      <c r="AJ61" t="s">
        <v>3948</v>
      </c>
      <c r="AK61">
        <v>0</v>
      </c>
      <c r="AL61">
        <v>0</v>
      </c>
      <c r="AM61" t="s">
        <v>3948</v>
      </c>
      <c r="AN61">
        <v>0</v>
      </c>
      <c r="AO61">
        <v>18761887</v>
      </c>
      <c r="AP61">
        <v>2068289</v>
      </c>
      <c r="AQ61">
        <v>0</v>
      </c>
      <c r="AR61">
        <v>20830176</v>
      </c>
      <c r="AS61">
        <v>14990000</v>
      </c>
      <c r="AT61">
        <v>-5840176</v>
      </c>
      <c r="AU61">
        <v>-3896</v>
      </c>
    </row>
    <row r="62" spans="1:47" ht="13.5" customHeight="1" x14ac:dyDescent="0.3">
      <c r="A62" t="s">
        <v>8149</v>
      </c>
      <c r="B62" t="s">
        <v>5180</v>
      </c>
      <c r="C62">
        <v>0</v>
      </c>
      <c r="D62">
        <v>0</v>
      </c>
      <c r="E62" t="s">
        <v>3948</v>
      </c>
      <c r="F62" t="s">
        <v>3948</v>
      </c>
      <c r="G62" t="s">
        <v>3948</v>
      </c>
      <c r="H62" t="s">
        <v>3948</v>
      </c>
      <c r="I62" t="s">
        <v>8640</v>
      </c>
      <c r="J62" t="s">
        <v>3948</v>
      </c>
      <c r="K62" t="s">
        <v>8236</v>
      </c>
      <c r="L62" t="s">
        <v>86</v>
      </c>
      <c r="M62" t="s">
        <v>106</v>
      </c>
      <c r="N62" t="s">
        <v>8181</v>
      </c>
      <c r="O62" t="s">
        <v>8182</v>
      </c>
      <c r="P62">
        <v>2025</v>
      </c>
      <c r="Q62">
        <v>13051</v>
      </c>
      <c r="R62" t="s">
        <v>8237</v>
      </c>
      <c r="S62" t="s">
        <v>666</v>
      </c>
      <c r="T62" t="s">
        <v>5145</v>
      </c>
      <c r="U62" t="s">
        <v>5318</v>
      </c>
      <c r="V62" t="s">
        <v>5147</v>
      </c>
      <c r="W62">
        <v>38990000</v>
      </c>
      <c r="X62" t="s">
        <v>5148</v>
      </c>
      <c r="Y62">
        <v>300</v>
      </c>
      <c r="Z62" t="s">
        <v>26</v>
      </c>
      <c r="AA62" t="s">
        <v>8160</v>
      </c>
      <c r="AB62" t="s">
        <v>3948</v>
      </c>
      <c r="AC62" t="s">
        <v>8238</v>
      </c>
      <c r="AD62" t="s">
        <v>8239</v>
      </c>
      <c r="AE62" t="s">
        <v>8240</v>
      </c>
      <c r="AF62" t="s">
        <v>8641</v>
      </c>
      <c r="AG62">
        <v>1</v>
      </c>
      <c r="AH62" t="s">
        <v>8641</v>
      </c>
      <c r="AI62" t="s">
        <v>8642</v>
      </c>
      <c r="AJ62" t="s">
        <v>3948</v>
      </c>
      <c r="AK62">
        <v>0</v>
      </c>
      <c r="AL62">
        <v>0</v>
      </c>
      <c r="AM62" t="s">
        <v>3948</v>
      </c>
      <c r="AN62">
        <v>0</v>
      </c>
      <c r="AO62">
        <v>43000000</v>
      </c>
      <c r="AP62">
        <v>0</v>
      </c>
      <c r="AQ62">
        <v>0</v>
      </c>
      <c r="AR62">
        <v>43000000</v>
      </c>
      <c r="AS62">
        <v>38990000</v>
      </c>
      <c r="AT62">
        <v>-4010000</v>
      </c>
      <c r="AU62">
        <v>-1028</v>
      </c>
    </row>
    <row r="63" spans="1:47" ht="13.5" customHeight="1" x14ac:dyDescent="0.3">
      <c r="A63" t="s">
        <v>8149</v>
      </c>
      <c r="B63" t="s">
        <v>5180</v>
      </c>
      <c r="C63">
        <v>0</v>
      </c>
      <c r="D63">
        <v>0</v>
      </c>
      <c r="E63" t="s">
        <v>3948</v>
      </c>
      <c r="F63" t="s">
        <v>3948</v>
      </c>
      <c r="G63" t="s">
        <v>3948</v>
      </c>
      <c r="H63" t="s">
        <v>3948</v>
      </c>
      <c r="I63" t="s">
        <v>11351</v>
      </c>
      <c r="J63" t="s">
        <v>3948</v>
      </c>
      <c r="K63" t="s">
        <v>11352</v>
      </c>
      <c r="L63" t="s">
        <v>14</v>
      </c>
      <c r="M63" t="s">
        <v>10289</v>
      </c>
      <c r="N63" t="s">
        <v>11353</v>
      </c>
      <c r="O63" t="s">
        <v>11354</v>
      </c>
      <c r="P63">
        <v>2026</v>
      </c>
      <c r="Q63">
        <v>5200</v>
      </c>
      <c r="R63" t="s">
        <v>11355</v>
      </c>
      <c r="S63" t="s">
        <v>10290</v>
      </c>
      <c r="T63" t="s">
        <v>8158</v>
      </c>
      <c r="U63" t="s">
        <v>8197</v>
      </c>
      <c r="V63" t="s">
        <v>5147</v>
      </c>
      <c r="W63">
        <v>44800000</v>
      </c>
      <c r="X63" t="s">
        <v>5148</v>
      </c>
      <c r="Y63">
        <v>228</v>
      </c>
      <c r="Z63" t="s">
        <v>16</v>
      </c>
      <c r="AA63" t="s">
        <v>8160</v>
      </c>
      <c r="AB63" t="s">
        <v>3948</v>
      </c>
      <c r="AC63" t="s">
        <v>11356</v>
      </c>
      <c r="AD63" t="s">
        <v>11352</v>
      </c>
      <c r="AE63" t="s">
        <v>8089</v>
      </c>
      <c r="AF63" t="s">
        <v>8682</v>
      </c>
      <c r="AG63">
        <v>240018</v>
      </c>
      <c r="AH63" t="s">
        <v>8682</v>
      </c>
      <c r="AI63" t="s">
        <v>11357</v>
      </c>
      <c r="AJ63" t="s">
        <v>3948</v>
      </c>
      <c r="AK63">
        <v>0</v>
      </c>
      <c r="AL63">
        <v>0</v>
      </c>
      <c r="AM63" t="s">
        <v>3948</v>
      </c>
      <c r="AN63">
        <v>0</v>
      </c>
      <c r="AO63">
        <v>37849580</v>
      </c>
      <c r="AP63">
        <v>1921706</v>
      </c>
      <c r="AQ63">
        <v>0</v>
      </c>
      <c r="AR63">
        <v>39771286</v>
      </c>
      <c r="AS63">
        <v>44800000</v>
      </c>
      <c r="AT63">
        <v>5028714</v>
      </c>
      <c r="AU63">
        <v>1122</v>
      </c>
    </row>
    <row r="64" spans="1:47" ht="13.5" customHeight="1" x14ac:dyDescent="0.3">
      <c r="A64" t="s">
        <v>8149</v>
      </c>
      <c r="B64" t="s">
        <v>8293</v>
      </c>
      <c r="C64">
        <v>0</v>
      </c>
      <c r="D64">
        <v>0</v>
      </c>
      <c r="E64" t="s">
        <v>3948</v>
      </c>
      <c r="F64" t="s">
        <v>3948</v>
      </c>
      <c r="G64" t="s">
        <v>3948</v>
      </c>
      <c r="H64" t="s">
        <v>3948</v>
      </c>
      <c r="I64" t="s">
        <v>8630</v>
      </c>
      <c r="J64" t="s">
        <v>3948</v>
      </c>
      <c r="K64" t="s">
        <v>8294</v>
      </c>
      <c r="L64" t="s">
        <v>86</v>
      </c>
      <c r="M64" t="s">
        <v>8295</v>
      </c>
      <c r="N64" t="s">
        <v>8296</v>
      </c>
      <c r="O64" t="s">
        <v>8297</v>
      </c>
      <c r="P64">
        <v>2025</v>
      </c>
      <c r="Q64">
        <v>0</v>
      </c>
      <c r="R64" t="s">
        <v>8298</v>
      </c>
      <c r="S64" t="s">
        <v>8299</v>
      </c>
      <c r="T64" t="s">
        <v>5145</v>
      </c>
      <c r="U64" t="s">
        <v>8300</v>
      </c>
      <c r="V64" t="s">
        <v>5147</v>
      </c>
      <c r="W64">
        <v>58536100</v>
      </c>
      <c r="X64" t="s">
        <v>5148</v>
      </c>
      <c r="Y64">
        <v>119</v>
      </c>
      <c r="Z64" t="s">
        <v>40</v>
      </c>
      <c r="AA64" t="s">
        <v>8301</v>
      </c>
      <c r="AB64" t="s">
        <v>3948</v>
      </c>
      <c r="AC64" t="s">
        <v>8302</v>
      </c>
      <c r="AD64" t="s">
        <v>8294</v>
      </c>
      <c r="AE64" t="s">
        <v>8303</v>
      </c>
      <c r="AF64" t="s">
        <v>8631</v>
      </c>
      <c r="AG64">
        <v>1</v>
      </c>
      <c r="AH64" t="s">
        <v>8631</v>
      </c>
      <c r="AI64" t="s">
        <v>8632</v>
      </c>
      <c r="AJ64" t="s">
        <v>3948</v>
      </c>
      <c r="AK64">
        <v>0</v>
      </c>
      <c r="AL64">
        <v>0</v>
      </c>
      <c r="AM64" t="s">
        <v>3948</v>
      </c>
      <c r="AN64">
        <v>0</v>
      </c>
      <c r="AO64">
        <v>58536100</v>
      </c>
      <c r="AP64">
        <v>0</v>
      </c>
      <c r="AQ64">
        <v>0</v>
      </c>
      <c r="AR64">
        <v>58536100</v>
      </c>
      <c r="AS64">
        <v>58536100</v>
      </c>
      <c r="AT64">
        <v>0</v>
      </c>
      <c r="AU64">
        <v>0</v>
      </c>
    </row>
    <row r="65" spans="1:47" ht="13.5" customHeight="1" x14ac:dyDescent="0.3">
      <c r="A65" t="s">
        <v>8149</v>
      </c>
      <c r="B65" t="s">
        <v>5170</v>
      </c>
      <c r="C65">
        <v>0</v>
      </c>
      <c r="D65">
        <v>0</v>
      </c>
      <c r="E65" t="s">
        <v>3948</v>
      </c>
      <c r="F65" t="s">
        <v>3948</v>
      </c>
      <c r="G65" t="s">
        <v>3948</v>
      </c>
      <c r="H65" t="s">
        <v>3948</v>
      </c>
      <c r="I65" t="s">
        <v>8638</v>
      </c>
      <c r="J65" t="s">
        <v>3948</v>
      </c>
      <c r="K65" t="s">
        <v>8199</v>
      </c>
      <c r="L65" t="s">
        <v>241</v>
      </c>
      <c r="M65" t="s">
        <v>2487</v>
      </c>
      <c r="N65" t="s">
        <v>8200</v>
      </c>
      <c r="O65" t="s">
        <v>8201</v>
      </c>
      <c r="P65">
        <v>2025</v>
      </c>
      <c r="Q65">
        <v>0</v>
      </c>
      <c r="R65" t="s">
        <v>8202</v>
      </c>
      <c r="S65" t="s">
        <v>3050</v>
      </c>
      <c r="T65" t="s">
        <v>8158</v>
      </c>
      <c r="U65" t="s">
        <v>5146</v>
      </c>
      <c r="V65" t="s">
        <v>5147</v>
      </c>
      <c r="W65">
        <v>26990000</v>
      </c>
      <c r="X65" t="s">
        <v>5148</v>
      </c>
      <c r="Y65">
        <v>223</v>
      </c>
      <c r="Z65" t="s">
        <v>8159</v>
      </c>
      <c r="AA65" t="s">
        <v>5175</v>
      </c>
      <c r="AB65" t="s">
        <v>3948</v>
      </c>
      <c r="AC65" t="s">
        <v>8203</v>
      </c>
      <c r="AD65" t="s">
        <v>8199</v>
      </c>
      <c r="AE65" t="s">
        <v>8161</v>
      </c>
      <c r="AF65" t="s">
        <v>5581</v>
      </c>
      <c r="AG65">
        <v>65151</v>
      </c>
      <c r="AH65" t="s">
        <v>8622</v>
      </c>
      <c r="AI65" t="s">
        <v>8639</v>
      </c>
      <c r="AJ65" t="s">
        <v>3948</v>
      </c>
      <c r="AK65">
        <v>0</v>
      </c>
      <c r="AL65">
        <v>0</v>
      </c>
      <c r="AM65" t="s">
        <v>3948</v>
      </c>
      <c r="AN65">
        <v>0</v>
      </c>
      <c r="AO65">
        <v>25392269</v>
      </c>
      <c r="AP65">
        <v>1639523</v>
      </c>
      <c r="AQ65">
        <v>0</v>
      </c>
      <c r="AR65">
        <v>27031792</v>
      </c>
      <c r="AS65">
        <v>26990000</v>
      </c>
      <c r="AT65">
        <v>-41792</v>
      </c>
      <c r="AU65">
        <v>-15</v>
      </c>
    </row>
    <row r="66" spans="1:47" ht="13.5" customHeight="1" x14ac:dyDescent="0.3">
      <c r="A66" t="s">
        <v>8149</v>
      </c>
      <c r="B66" t="s">
        <v>8135</v>
      </c>
      <c r="C66">
        <v>0</v>
      </c>
      <c r="D66">
        <v>0</v>
      </c>
      <c r="E66" t="s">
        <v>3948</v>
      </c>
      <c r="F66" t="s">
        <v>3948</v>
      </c>
      <c r="G66" t="s">
        <v>3948</v>
      </c>
      <c r="H66" t="s">
        <v>3948</v>
      </c>
      <c r="I66" t="s">
        <v>11358</v>
      </c>
      <c r="J66" t="s">
        <v>3948</v>
      </c>
      <c r="K66" t="s">
        <v>11359</v>
      </c>
      <c r="L66" t="s">
        <v>241</v>
      </c>
      <c r="M66" t="s">
        <v>2487</v>
      </c>
      <c r="N66" t="s">
        <v>8200</v>
      </c>
      <c r="O66" t="s">
        <v>8201</v>
      </c>
      <c r="P66">
        <v>2026</v>
      </c>
      <c r="Q66">
        <v>0</v>
      </c>
      <c r="R66" t="s">
        <v>11360</v>
      </c>
      <c r="S66" t="s">
        <v>11361</v>
      </c>
      <c r="T66" t="s">
        <v>8158</v>
      </c>
      <c r="U66" t="s">
        <v>5507</v>
      </c>
      <c r="V66" t="s">
        <v>5147</v>
      </c>
      <c r="W66">
        <v>32990000</v>
      </c>
      <c r="X66" t="s">
        <v>5148</v>
      </c>
      <c r="Y66">
        <v>592</v>
      </c>
      <c r="Z66" t="s">
        <v>8159</v>
      </c>
      <c r="AA66" t="s">
        <v>8135</v>
      </c>
      <c r="AB66" t="s">
        <v>3948</v>
      </c>
      <c r="AC66" t="s">
        <v>11362</v>
      </c>
      <c r="AD66" t="s">
        <v>11359</v>
      </c>
      <c r="AE66" t="s">
        <v>8161</v>
      </c>
      <c r="AF66" t="s">
        <v>11363</v>
      </c>
      <c r="AG66">
        <v>65150</v>
      </c>
      <c r="AH66" t="s">
        <v>8622</v>
      </c>
      <c r="AI66" t="s">
        <v>11364</v>
      </c>
      <c r="AJ66" t="s">
        <v>3948</v>
      </c>
      <c r="AK66">
        <v>0</v>
      </c>
      <c r="AL66">
        <v>0</v>
      </c>
      <c r="AM66" t="s">
        <v>3948</v>
      </c>
      <c r="AN66">
        <v>0</v>
      </c>
      <c r="AO66">
        <v>25392269</v>
      </c>
      <c r="AP66">
        <v>1645533</v>
      </c>
      <c r="AQ66">
        <v>0</v>
      </c>
      <c r="AR66">
        <v>27037802</v>
      </c>
      <c r="AS66">
        <v>27722689</v>
      </c>
      <c r="AT66">
        <v>684887</v>
      </c>
      <c r="AU66">
        <v>247</v>
      </c>
    </row>
    <row r="67" spans="1:47" ht="13.5" customHeight="1" x14ac:dyDescent="0.3">
      <c r="A67" t="s">
        <v>8149</v>
      </c>
      <c r="B67" t="s">
        <v>5180</v>
      </c>
      <c r="C67">
        <v>0</v>
      </c>
      <c r="D67">
        <v>0</v>
      </c>
      <c r="E67" t="s">
        <v>3948</v>
      </c>
      <c r="F67" t="s">
        <v>3948</v>
      </c>
      <c r="G67" t="s">
        <v>3948</v>
      </c>
      <c r="H67" t="s">
        <v>3948</v>
      </c>
      <c r="I67" t="s">
        <v>8701</v>
      </c>
      <c r="J67" t="s">
        <v>3948</v>
      </c>
      <c r="K67" t="s">
        <v>8416</v>
      </c>
      <c r="L67" t="s">
        <v>241</v>
      </c>
      <c r="M67" t="s">
        <v>2484</v>
      </c>
      <c r="N67" t="s">
        <v>8157</v>
      </c>
      <c r="O67" t="s">
        <v>8417</v>
      </c>
      <c r="P67">
        <v>2025</v>
      </c>
      <c r="Q67">
        <v>0</v>
      </c>
      <c r="R67" t="s">
        <v>8418</v>
      </c>
      <c r="S67" t="s">
        <v>2999</v>
      </c>
      <c r="T67" t="s">
        <v>8158</v>
      </c>
      <c r="U67" t="s">
        <v>5507</v>
      </c>
      <c r="V67" t="s">
        <v>5147</v>
      </c>
      <c r="W67">
        <v>17890000</v>
      </c>
      <c r="X67" t="s">
        <v>5148</v>
      </c>
      <c r="Y67">
        <v>292</v>
      </c>
      <c r="Z67" t="s">
        <v>8159</v>
      </c>
      <c r="AA67" t="s">
        <v>8160</v>
      </c>
      <c r="AB67" t="s">
        <v>3948</v>
      </c>
      <c r="AC67" t="s">
        <v>8419</v>
      </c>
      <c r="AD67" t="s">
        <v>8416</v>
      </c>
      <c r="AE67" t="s">
        <v>8161</v>
      </c>
      <c r="AF67" t="s">
        <v>8702</v>
      </c>
      <c r="AG67">
        <v>65148</v>
      </c>
      <c r="AH67" t="s">
        <v>8622</v>
      </c>
      <c r="AI67" t="s">
        <v>8703</v>
      </c>
      <c r="AJ67" t="s">
        <v>3948</v>
      </c>
      <c r="AK67">
        <v>0</v>
      </c>
      <c r="AL67">
        <v>0</v>
      </c>
      <c r="AM67" t="s">
        <v>3948</v>
      </c>
      <c r="AN67">
        <v>0</v>
      </c>
      <c r="AO67">
        <v>19593950</v>
      </c>
      <c r="AP67">
        <v>1241319</v>
      </c>
      <c r="AQ67">
        <v>0</v>
      </c>
      <c r="AR67">
        <v>20835269</v>
      </c>
      <c r="AS67">
        <v>17890000</v>
      </c>
      <c r="AT67">
        <v>-2945269</v>
      </c>
      <c r="AU67">
        <v>-1646</v>
      </c>
    </row>
    <row r="68" spans="1:47" ht="13.5" customHeight="1" x14ac:dyDescent="0.3">
      <c r="A68" t="s">
        <v>8149</v>
      </c>
      <c r="B68" t="s">
        <v>5161</v>
      </c>
      <c r="C68">
        <v>0</v>
      </c>
      <c r="D68">
        <v>0</v>
      </c>
      <c r="E68" t="s">
        <v>3948</v>
      </c>
      <c r="F68" t="s">
        <v>3948</v>
      </c>
      <c r="G68" t="s">
        <v>3948</v>
      </c>
      <c r="H68" t="s">
        <v>3948</v>
      </c>
      <c r="I68" t="s">
        <v>11365</v>
      </c>
      <c r="J68" t="s">
        <v>3948</v>
      </c>
      <c r="K68" t="s">
        <v>11366</v>
      </c>
      <c r="L68" t="s">
        <v>241</v>
      </c>
      <c r="M68" t="s">
        <v>2501</v>
      </c>
      <c r="N68" t="s">
        <v>11367</v>
      </c>
      <c r="O68" t="s">
        <v>11368</v>
      </c>
      <c r="P68">
        <v>2026</v>
      </c>
      <c r="Q68">
        <v>0</v>
      </c>
      <c r="R68" t="s">
        <v>11369</v>
      </c>
      <c r="S68" t="s">
        <v>11370</v>
      </c>
      <c r="T68" t="s">
        <v>8158</v>
      </c>
      <c r="U68" t="s">
        <v>5507</v>
      </c>
      <c r="V68" t="s">
        <v>5147</v>
      </c>
      <c r="W68">
        <v>39690000</v>
      </c>
      <c r="X68" t="s">
        <v>5148</v>
      </c>
      <c r="Y68">
        <v>503</v>
      </c>
      <c r="Z68" t="s">
        <v>8159</v>
      </c>
      <c r="AA68" t="s">
        <v>8228</v>
      </c>
      <c r="AB68" t="s">
        <v>3948</v>
      </c>
      <c r="AC68" t="s">
        <v>11371</v>
      </c>
      <c r="AD68" t="s">
        <v>11366</v>
      </c>
      <c r="AE68" t="s">
        <v>8161</v>
      </c>
      <c r="AF68" t="s">
        <v>11372</v>
      </c>
      <c r="AG68">
        <v>67014</v>
      </c>
      <c r="AH68" t="s">
        <v>5666</v>
      </c>
      <c r="AI68" t="s">
        <v>11373</v>
      </c>
      <c r="AJ68" t="s">
        <v>3948</v>
      </c>
      <c r="AK68">
        <v>0</v>
      </c>
      <c r="AL68">
        <v>0</v>
      </c>
      <c r="AM68" t="s">
        <v>3948</v>
      </c>
      <c r="AN68">
        <v>0</v>
      </c>
      <c r="AO68">
        <v>26724370</v>
      </c>
      <c r="AP68">
        <v>1167961</v>
      </c>
      <c r="AQ68">
        <v>0</v>
      </c>
      <c r="AR68">
        <v>27892331</v>
      </c>
      <c r="AS68">
        <v>33352941</v>
      </c>
      <c r="AT68">
        <v>5460610</v>
      </c>
      <c r="AU68">
        <v>1637</v>
      </c>
    </row>
    <row r="69" spans="1:47" ht="13.5" customHeight="1" x14ac:dyDescent="0.3">
      <c r="A69" t="s">
        <v>8149</v>
      </c>
      <c r="B69" t="s">
        <v>8293</v>
      </c>
      <c r="C69">
        <v>0</v>
      </c>
      <c r="D69">
        <v>0</v>
      </c>
      <c r="E69" t="s">
        <v>3948</v>
      </c>
      <c r="F69" t="s">
        <v>3948</v>
      </c>
      <c r="G69" t="s">
        <v>3948</v>
      </c>
      <c r="H69" t="s">
        <v>3948</v>
      </c>
      <c r="I69" t="s">
        <v>8710</v>
      </c>
      <c r="J69" t="s">
        <v>3948</v>
      </c>
      <c r="K69" t="s">
        <v>8315</v>
      </c>
      <c r="L69" t="s">
        <v>68</v>
      </c>
      <c r="M69" t="s">
        <v>4142</v>
      </c>
      <c r="N69" t="s">
        <v>8316</v>
      </c>
      <c r="O69" t="s">
        <v>8317</v>
      </c>
      <c r="P69">
        <v>2019</v>
      </c>
      <c r="Q69">
        <v>0</v>
      </c>
      <c r="R69" t="s">
        <v>8318</v>
      </c>
      <c r="S69" t="s">
        <v>8319</v>
      </c>
      <c r="T69" t="s">
        <v>8158</v>
      </c>
      <c r="U69" t="s">
        <v>5179</v>
      </c>
      <c r="V69" t="s">
        <v>5147</v>
      </c>
      <c r="W69">
        <v>8556100</v>
      </c>
      <c r="X69" t="s">
        <v>5148</v>
      </c>
      <c r="Y69">
        <v>2643</v>
      </c>
      <c r="Z69" t="s">
        <v>8086</v>
      </c>
      <c r="AA69" t="s">
        <v>8301</v>
      </c>
      <c r="AB69" t="s">
        <v>3948</v>
      </c>
      <c r="AC69" t="s">
        <v>8320</v>
      </c>
      <c r="AD69" t="s">
        <v>8315</v>
      </c>
      <c r="AE69" t="s">
        <v>8234</v>
      </c>
      <c r="AF69" t="s">
        <v>8612</v>
      </c>
      <c r="AG69">
        <v>0</v>
      </c>
      <c r="AH69" t="s">
        <v>3948</v>
      </c>
      <c r="AI69" t="s">
        <v>3948</v>
      </c>
      <c r="AJ69" t="s">
        <v>3948</v>
      </c>
      <c r="AK69">
        <v>0</v>
      </c>
      <c r="AL69">
        <v>0</v>
      </c>
      <c r="AM69" t="s">
        <v>3948</v>
      </c>
      <c r="AN69">
        <v>0</v>
      </c>
      <c r="AO69">
        <v>0</v>
      </c>
      <c r="AP69">
        <v>2315480</v>
      </c>
      <c r="AQ69">
        <v>0</v>
      </c>
      <c r="AR69">
        <v>2315480</v>
      </c>
      <c r="AS69">
        <v>7190000</v>
      </c>
      <c r="AT69">
        <v>4874520</v>
      </c>
      <c r="AU69">
        <v>678</v>
      </c>
    </row>
    <row r="70" spans="1:47" ht="13.5" customHeight="1" x14ac:dyDescent="0.3">
      <c r="A70" t="s">
        <v>8149</v>
      </c>
      <c r="B70" t="s">
        <v>5161</v>
      </c>
      <c r="C70">
        <v>0</v>
      </c>
      <c r="D70">
        <v>0</v>
      </c>
      <c r="E70" t="s">
        <v>3948</v>
      </c>
      <c r="F70" t="s">
        <v>3948</v>
      </c>
      <c r="G70" t="s">
        <v>3948</v>
      </c>
      <c r="H70" t="s">
        <v>3948</v>
      </c>
      <c r="I70" t="s">
        <v>11374</v>
      </c>
      <c r="J70" t="s">
        <v>3948</v>
      </c>
      <c r="K70" t="s">
        <v>11375</v>
      </c>
      <c r="L70" t="s">
        <v>241</v>
      </c>
      <c r="M70" t="s">
        <v>2484</v>
      </c>
      <c r="N70" t="s">
        <v>11376</v>
      </c>
      <c r="O70" t="s">
        <v>11377</v>
      </c>
      <c r="P70">
        <v>2026</v>
      </c>
      <c r="Q70">
        <v>0</v>
      </c>
      <c r="R70" t="s">
        <v>11378</v>
      </c>
      <c r="S70" t="s">
        <v>11379</v>
      </c>
      <c r="T70" t="s">
        <v>8158</v>
      </c>
      <c r="U70" t="s">
        <v>5507</v>
      </c>
      <c r="V70" t="s">
        <v>5147</v>
      </c>
      <c r="W70">
        <v>23090000</v>
      </c>
      <c r="X70" t="s">
        <v>5148</v>
      </c>
      <c r="Y70">
        <v>544</v>
      </c>
      <c r="Z70" t="s">
        <v>8159</v>
      </c>
      <c r="AA70" t="s">
        <v>8228</v>
      </c>
      <c r="AB70" t="s">
        <v>3948</v>
      </c>
      <c r="AC70" t="s">
        <v>11380</v>
      </c>
      <c r="AD70" t="s">
        <v>11375</v>
      </c>
      <c r="AE70" t="s">
        <v>8161</v>
      </c>
      <c r="AF70" t="s">
        <v>8189</v>
      </c>
      <c r="AG70">
        <v>66112</v>
      </c>
      <c r="AH70" t="s">
        <v>8190</v>
      </c>
      <c r="AI70" t="s">
        <v>11381</v>
      </c>
      <c r="AJ70" t="s">
        <v>3948</v>
      </c>
      <c r="AK70">
        <v>0</v>
      </c>
      <c r="AL70">
        <v>0</v>
      </c>
      <c r="AM70" t="s">
        <v>3948</v>
      </c>
      <c r="AN70">
        <v>0</v>
      </c>
      <c r="AO70">
        <v>17893109</v>
      </c>
      <c r="AP70">
        <v>1109845</v>
      </c>
      <c r="AQ70">
        <v>0</v>
      </c>
      <c r="AR70">
        <v>19002954</v>
      </c>
      <c r="AS70">
        <v>19403361</v>
      </c>
      <c r="AT70">
        <v>400407</v>
      </c>
      <c r="AU70">
        <v>206</v>
      </c>
    </row>
    <row r="71" spans="1:47" ht="13.5" customHeight="1" x14ac:dyDescent="0.3">
      <c r="A71" t="s">
        <v>8149</v>
      </c>
      <c r="B71" t="s">
        <v>8279</v>
      </c>
      <c r="C71">
        <v>0</v>
      </c>
      <c r="D71">
        <v>0</v>
      </c>
      <c r="E71" t="s">
        <v>3948</v>
      </c>
      <c r="F71" t="s">
        <v>3948</v>
      </c>
      <c r="G71" t="s">
        <v>3948</v>
      </c>
      <c r="H71" t="s">
        <v>3948</v>
      </c>
      <c r="I71" t="s">
        <v>8611</v>
      </c>
      <c r="J71" t="s">
        <v>3948</v>
      </c>
      <c r="K71" t="s">
        <v>8412</v>
      </c>
      <c r="L71" t="s">
        <v>68</v>
      </c>
      <c r="M71" t="s">
        <v>4142</v>
      </c>
      <c r="N71" t="s">
        <v>8316</v>
      </c>
      <c r="O71" t="s">
        <v>8317</v>
      </c>
      <c r="P71">
        <v>2019</v>
      </c>
      <c r="Q71">
        <v>0</v>
      </c>
      <c r="R71" t="s">
        <v>8413</v>
      </c>
      <c r="S71" t="s">
        <v>8414</v>
      </c>
      <c r="T71" t="s">
        <v>8158</v>
      </c>
      <c r="U71" t="s">
        <v>5179</v>
      </c>
      <c r="V71" t="s">
        <v>5147</v>
      </c>
      <c r="W71">
        <v>8556100</v>
      </c>
      <c r="X71" t="s">
        <v>5148</v>
      </c>
      <c r="Y71">
        <v>2643</v>
      </c>
      <c r="Z71" t="s">
        <v>8086</v>
      </c>
      <c r="AA71" t="s">
        <v>8286</v>
      </c>
      <c r="AB71" t="s">
        <v>3948</v>
      </c>
      <c r="AC71" t="s">
        <v>8415</v>
      </c>
      <c r="AD71" t="s">
        <v>8412</v>
      </c>
      <c r="AE71" t="s">
        <v>8234</v>
      </c>
      <c r="AF71" t="s">
        <v>8612</v>
      </c>
      <c r="AG71">
        <v>0</v>
      </c>
      <c r="AH71" t="s">
        <v>3948</v>
      </c>
      <c r="AI71" t="s">
        <v>3948</v>
      </c>
      <c r="AJ71" t="s">
        <v>3948</v>
      </c>
      <c r="AK71">
        <v>0</v>
      </c>
      <c r="AL71">
        <v>0</v>
      </c>
      <c r="AM71" t="s">
        <v>3948</v>
      </c>
      <c r="AN71">
        <v>0</v>
      </c>
      <c r="AO71">
        <v>0</v>
      </c>
      <c r="AP71">
        <v>2502458</v>
      </c>
      <c r="AQ71">
        <v>0</v>
      </c>
      <c r="AR71">
        <v>2502458</v>
      </c>
      <c r="AS71">
        <v>7190000</v>
      </c>
      <c r="AT71">
        <v>4687542</v>
      </c>
      <c r="AU71">
        <v>652</v>
      </c>
    </row>
    <row r="72" spans="1:47" ht="13.5" customHeight="1" x14ac:dyDescent="0.3">
      <c r="A72" t="s">
        <v>8149</v>
      </c>
      <c r="B72" t="s">
        <v>8293</v>
      </c>
      <c r="C72">
        <v>0</v>
      </c>
      <c r="D72">
        <v>0</v>
      </c>
      <c r="E72" t="s">
        <v>3948</v>
      </c>
      <c r="F72" t="s">
        <v>3948</v>
      </c>
      <c r="G72" t="s">
        <v>3948</v>
      </c>
      <c r="H72" t="s">
        <v>3948</v>
      </c>
      <c r="I72" t="s">
        <v>9879</v>
      </c>
      <c r="J72" t="s">
        <v>3948</v>
      </c>
      <c r="K72" t="s">
        <v>9880</v>
      </c>
      <c r="L72" t="s">
        <v>86</v>
      </c>
      <c r="M72" t="s">
        <v>122</v>
      </c>
      <c r="N72" t="s">
        <v>9881</v>
      </c>
      <c r="O72" t="s">
        <v>9882</v>
      </c>
      <c r="P72">
        <v>2026</v>
      </c>
      <c r="Q72">
        <v>0</v>
      </c>
      <c r="R72" t="s">
        <v>9883</v>
      </c>
      <c r="S72" t="s">
        <v>9689</v>
      </c>
      <c r="T72" t="s">
        <v>8158</v>
      </c>
      <c r="U72" t="s">
        <v>5179</v>
      </c>
      <c r="V72" t="s">
        <v>5147</v>
      </c>
      <c r="W72">
        <v>39638900</v>
      </c>
      <c r="X72" t="s">
        <v>5148</v>
      </c>
      <c r="Y72">
        <v>67</v>
      </c>
      <c r="Z72" t="s">
        <v>8505</v>
      </c>
      <c r="AA72" t="s">
        <v>8301</v>
      </c>
      <c r="AB72" t="s">
        <v>3948</v>
      </c>
      <c r="AC72" t="s">
        <v>9884</v>
      </c>
      <c r="AD72" t="s">
        <v>9880</v>
      </c>
      <c r="AE72" t="s">
        <v>9885</v>
      </c>
      <c r="AF72" t="s">
        <v>9886</v>
      </c>
      <c r="AG72">
        <v>34</v>
      </c>
      <c r="AH72" t="s">
        <v>9886</v>
      </c>
      <c r="AI72" t="s">
        <v>9887</v>
      </c>
      <c r="AJ72" t="s">
        <v>3948</v>
      </c>
      <c r="AK72">
        <v>0</v>
      </c>
      <c r="AL72">
        <v>0</v>
      </c>
      <c r="AM72" t="s">
        <v>3948</v>
      </c>
      <c r="AN72">
        <v>0</v>
      </c>
      <c r="AO72">
        <v>27190000</v>
      </c>
      <c r="AP72">
        <v>0</v>
      </c>
      <c r="AQ72">
        <v>0</v>
      </c>
      <c r="AR72">
        <v>27190000</v>
      </c>
      <c r="AS72">
        <v>33310000</v>
      </c>
      <c r="AT72">
        <v>6120000</v>
      </c>
      <c r="AU72">
        <v>1837</v>
      </c>
    </row>
    <row r="73" spans="1:47" ht="13.5" customHeight="1" x14ac:dyDescent="0.3">
      <c r="A73" t="s">
        <v>8149</v>
      </c>
      <c r="B73" t="s">
        <v>8293</v>
      </c>
      <c r="C73">
        <v>0</v>
      </c>
      <c r="D73">
        <v>0</v>
      </c>
      <c r="E73" t="s">
        <v>3948</v>
      </c>
      <c r="F73" t="s">
        <v>3948</v>
      </c>
      <c r="G73" t="s">
        <v>3948</v>
      </c>
      <c r="H73" t="s">
        <v>3948</v>
      </c>
      <c r="I73" t="s">
        <v>10012</v>
      </c>
      <c r="J73" t="s">
        <v>3948</v>
      </c>
      <c r="K73" t="s">
        <v>10013</v>
      </c>
      <c r="L73" t="s">
        <v>186</v>
      </c>
      <c r="M73" t="s">
        <v>4481</v>
      </c>
      <c r="N73" t="s">
        <v>10014</v>
      </c>
      <c r="O73" t="s">
        <v>10015</v>
      </c>
      <c r="P73">
        <v>2025</v>
      </c>
      <c r="Q73">
        <v>0</v>
      </c>
      <c r="R73" t="s">
        <v>10016</v>
      </c>
      <c r="S73" t="s">
        <v>7500</v>
      </c>
      <c r="T73" t="s">
        <v>5145</v>
      </c>
      <c r="U73" t="s">
        <v>5195</v>
      </c>
      <c r="V73" t="s">
        <v>5147</v>
      </c>
      <c r="W73">
        <v>22490000</v>
      </c>
      <c r="X73" t="s">
        <v>5148</v>
      </c>
      <c r="Y73">
        <v>64</v>
      </c>
      <c r="Z73" t="s">
        <v>8505</v>
      </c>
      <c r="AA73" t="s">
        <v>8301</v>
      </c>
      <c r="AB73" t="s">
        <v>3948</v>
      </c>
      <c r="AC73" t="s">
        <v>10017</v>
      </c>
      <c r="AD73" t="s">
        <v>10013</v>
      </c>
      <c r="AE73" t="s">
        <v>8149</v>
      </c>
      <c r="AF73" t="s">
        <v>10018</v>
      </c>
      <c r="AG73">
        <v>0</v>
      </c>
      <c r="AH73" t="s">
        <v>3948</v>
      </c>
      <c r="AI73" t="s">
        <v>3948</v>
      </c>
      <c r="AJ73" t="s">
        <v>3948</v>
      </c>
      <c r="AK73">
        <v>0</v>
      </c>
      <c r="AL73">
        <v>0</v>
      </c>
      <c r="AM73" t="s">
        <v>3948</v>
      </c>
      <c r="AN73">
        <v>0</v>
      </c>
      <c r="AO73">
        <v>20614000</v>
      </c>
      <c r="AP73">
        <v>0</v>
      </c>
      <c r="AQ73">
        <v>0</v>
      </c>
      <c r="AR73">
        <v>20614000</v>
      </c>
      <c r="AS73">
        <v>18899160</v>
      </c>
      <c r="AT73">
        <v>-1714840</v>
      </c>
      <c r="AU73">
        <v>-907</v>
      </c>
    </row>
    <row r="74" spans="1:47" ht="13.5" customHeight="1" x14ac:dyDescent="0.3">
      <c r="A74" t="s">
        <v>8149</v>
      </c>
      <c r="B74" t="s">
        <v>8135</v>
      </c>
      <c r="C74">
        <v>0</v>
      </c>
      <c r="D74">
        <v>0</v>
      </c>
      <c r="E74" t="s">
        <v>3948</v>
      </c>
      <c r="F74" t="s">
        <v>3948</v>
      </c>
      <c r="G74" t="s">
        <v>3948</v>
      </c>
      <c r="H74" t="s">
        <v>3948</v>
      </c>
      <c r="I74" t="s">
        <v>11382</v>
      </c>
      <c r="J74" t="s">
        <v>3948</v>
      </c>
      <c r="K74" t="s">
        <v>11383</v>
      </c>
      <c r="L74" t="s">
        <v>241</v>
      </c>
      <c r="M74" t="s">
        <v>2487</v>
      </c>
      <c r="N74" t="s">
        <v>8200</v>
      </c>
      <c r="O74" t="s">
        <v>8201</v>
      </c>
      <c r="P74">
        <v>2026</v>
      </c>
      <c r="Q74">
        <v>0</v>
      </c>
      <c r="R74" t="s">
        <v>11384</v>
      </c>
      <c r="S74" t="s">
        <v>11385</v>
      </c>
      <c r="T74" t="s">
        <v>8158</v>
      </c>
      <c r="U74" t="s">
        <v>5146</v>
      </c>
      <c r="V74" t="s">
        <v>5147</v>
      </c>
      <c r="W74">
        <v>32990000</v>
      </c>
      <c r="X74" t="s">
        <v>5148</v>
      </c>
      <c r="Y74">
        <v>592</v>
      </c>
      <c r="Z74" t="s">
        <v>8159</v>
      </c>
      <c r="AA74" t="s">
        <v>8135</v>
      </c>
      <c r="AB74" t="s">
        <v>3948</v>
      </c>
      <c r="AC74" t="s">
        <v>11386</v>
      </c>
      <c r="AD74" t="s">
        <v>11383</v>
      </c>
      <c r="AE74" t="s">
        <v>8161</v>
      </c>
      <c r="AF74" t="s">
        <v>11363</v>
      </c>
      <c r="AG74">
        <v>65156</v>
      </c>
      <c r="AH74" t="s">
        <v>8622</v>
      </c>
      <c r="AI74" t="s">
        <v>11387</v>
      </c>
      <c r="AJ74" t="s">
        <v>3948</v>
      </c>
      <c r="AK74">
        <v>0</v>
      </c>
      <c r="AL74">
        <v>0</v>
      </c>
      <c r="AM74" t="s">
        <v>3948</v>
      </c>
      <c r="AN74">
        <v>0</v>
      </c>
      <c r="AO74">
        <v>25392269</v>
      </c>
      <c r="AP74">
        <v>1615238</v>
      </c>
      <c r="AQ74">
        <v>0</v>
      </c>
      <c r="AR74">
        <v>27007507</v>
      </c>
      <c r="AS74">
        <v>27722689</v>
      </c>
      <c r="AT74">
        <v>715182</v>
      </c>
      <c r="AU74">
        <v>258</v>
      </c>
    </row>
    <row r="75" spans="1:47" ht="13.5" customHeight="1" x14ac:dyDescent="0.3">
      <c r="A75" t="s">
        <v>8149</v>
      </c>
      <c r="B75" t="s">
        <v>9531</v>
      </c>
      <c r="C75">
        <v>0</v>
      </c>
      <c r="D75">
        <v>0</v>
      </c>
      <c r="E75" t="s">
        <v>3948</v>
      </c>
      <c r="F75" t="s">
        <v>3948</v>
      </c>
      <c r="G75" t="s">
        <v>3948</v>
      </c>
      <c r="H75" t="s">
        <v>3948</v>
      </c>
      <c r="I75" t="s">
        <v>9532</v>
      </c>
      <c r="J75" t="s">
        <v>3948</v>
      </c>
      <c r="K75" t="s">
        <v>9533</v>
      </c>
      <c r="L75" t="s">
        <v>86</v>
      </c>
      <c r="M75" t="s">
        <v>122</v>
      </c>
      <c r="N75" t="s">
        <v>9534</v>
      </c>
      <c r="O75" t="s">
        <v>9535</v>
      </c>
      <c r="P75">
        <v>2024</v>
      </c>
      <c r="Q75">
        <v>33641</v>
      </c>
      <c r="R75" t="s">
        <v>9536</v>
      </c>
      <c r="S75" t="s">
        <v>332</v>
      </c>
      <c r="T75" t="s">
        <v>8158</v>
      </c>
      <c r="U75" t="s">
        <v>5446</v>
      </c>
      <c r="V75" t="s">
        <v>5147</v>
      </c>
      <c r="W75">
        <v>24990000</v>
      </c>
      <c r="X75" t="s">
        <v>5148</v>
      </c>
      <c r="Y75">
        <v>77</v>
      </c>
      <c r="Z75" t="s">
        <v>8221</v>
      </c>
      <c r="AA75" t="s">
        <v>9537</v>
      </c>
      <c r="AB75" t="s">
        <v>3948</v>
      </c>
      <c r="AC75" t="s">
        <v>9538</v>
      </c>
      <c r="AD75" t="s">
        <v>9533</v>
      </c>
      <c r="AE75" t="s">
        <v>8334</v>
      </c>
      <c r="AF75" t="s">
        <v>5514</v>
      </c>
      <c r="AG75">
        <v>129</v>
      </c>
      <c r="AH75" t="s">
        <v>5522</v>
      </c>
      <c r="AI75" t="s">
        <v>9539</v>
      </c>
      <c r="AJ75" t="s">
        <v>3948</v>
      </c>
      <c r="AK75">
        <v>0</v>
      </c>
      <c r="AL75">
        <v>0</v>
      </c>
      <c r="AM75" t="s">
        <v>3948</v>
      </c>
      <c r="AN75">
        <v>0</v>
      </c>
      <c r="AO75">
        <v>23490000</v>
      </c>
      <c r="AP75">
        <v>0</v>
      </c>
      <c r="AQ75">
        <v>0</v>
      </c>
      <c r="AR75">
        <v>23490000</v>
      </c>
      <c r="AS75">
        <v>24990000</v>
      </c>
      <c r="AT75">
        <v>1500000</v>
      </c>
      <c r="AU75">
        <v>6</v>
      </c>
    </row>
    <row r="76" spans="1:47" ht="13.5" customHeight="1" x14ac:dyDescent="0.3">
      <c r="A76" t="s">
        <v>8149</v>
      </c>
      <c r="B76" t="s">
        <v>5180</v>
      </c>
      <c r="C76">
        <v>0</v>
      </c>
      <c r="D76">
        <v>0</v>
      </c>
      <c r="E76" t="s">
        <v>3948</v>
      </c>
      <c r="F76" t="s">
        <v>3948</v>
      </c>
      <c r="G76" t="s">
        <v>3948</v>
      </c>
      <c r="H76" t="s">
        <v>3948</v>
      </c>
      <c r="I76" t="s">
        <v>11388</v>
      </c>
      <c r="J76" t="s">
        <v>3948</v>
      </c>
      <c r="K76" t="s">
        <v>11389</v>
      </c>
      <c r="L76" t="s">
        <v>241</v>
      </c>
      <c r="M76" t="s">
        <v>2484</v>
      </c>
      <c r="N76" t="s">
        <v>8157</v>
      </c>
      <c r="O76" t="s">
        <v>11390</v>
      </c>
      <c r="P76">
        <v>2024</v>
      </c>
      <c r="Q76">
        <v>23200</v>
      </c>
      <c r="R76" t="s">
        <v>11391</v>
      </c>
      <c r="S76" t="s">
        <v>2681</v>
      </c>
      <c r="T76" t="s">
        <v>8158</v>
      </c>
      <c r="U76" t="s">
        <v>8179</v>
      </c>
      <c r="V76" t="s">
        <v>5147</v>
      </c>
      <c r="W76">
        <v>25390000</v>
      </c>
      <c r="X76" t="s">
        <v>5148</v>
      </c>
      <c r="Y76">
        <v>929</v>
      </c>
      <c r="Z76" t="s">
        <v>9526</v>
      </c>
      <c r="AA76" t="s">
        <v>8160</v>
      </c>
      <c r="AB76" t="s">
        <v>3948</v>
      </c>
      <c r="AC76" t="s">
        <v>11392</v>
      </c>
      <c r="AD76" t="s">
        <v>11389</v>
      </c>
      <c r="AE76" t="s">
        <v>8161</v>
      </c>
      <c r="AF76" t="s">
        <v>11393</v>
      </c>
      <c r="AG76">
        <v>58197</v>
      </c>
      <c r="AH76" t="s">
        <v>8650</v>
      </c>
      <c r="AI76" t="s">
        <v>11394</v>
      </c>
      <c r="AJ76" t="s">
        <v>3948</v>
      </c>
      <c r="AK76">
        <v>0</v>
      </c>
      <c r="AL76">
        <v>0</v>
      </c>
      <c r="AM76" t="s">
        <v>3948</v>
      </c>
      <c r="AN76">
        <v>0</v>
      </c>
      <c r="AO76">
        <v>19683866</v>
      </c>
      <c r="AP76">
        <v>1805871</v>
      </c>
      <c r="AQ76">
        <v>0</v>
      </c>
      <c r="AR76">
        <v>21489737</v>
      </c>
      <c r="AS76">
        <v>21336134</v>
      </c>
      <c r="AT76">
        <v>-153603</v>
      </c>
      <c r="AU76">
        <v>-72</v>
      </c>
    </row>
    <row r="77" spans="1:47" ht="13.5" customHeight="1" x14ac:dyDescent="0.3">
      <c r="A77" t="s">
        <v>8149</v>
      </c>
      <c r="B77" t="s">
        <v>8293</v>
      </c>
      <c r="C77">
        <v>0</v>
      </c>
      <c r="D77">
        <v>0</v>
      </c>
      <c r="E77" t="s">
        <v>3948</v>
      </c>
      <c r="F77" t="s">
        <v>3948</v>
      </c>
      <c r="G77" t="s">
        <v>3948</v>
      </c>
      <c r="H77" t="s">
        <v>3948</v>
      </c>
      <c r="I77" t="s">
        <v>9519</v>
      </c>
      <c r="J77" t="s">
        <v>3948</v>
      </c>
      <c r="K77" t="s">
        <v>9520</v>
      </c>
      <c r="L77" t="s">
        <v>86</v>
      </c>
      <c r="M77" t="s">
        <v>134</v>
      </c>
      <c r="N77" t="s">
        <v>9521</v>
      </c>
      <c r="O77" t="s">
        <v>9522</v>
      </c>
      <c r="P77">
        <v>2026</v>
      </c>
      <c r="Q77">
        <v>0</v>
      </c>
      <c r="R77" t="s">
        <v>9523</v>
      </c>
      <c r="S77" t="s">
        <v>9524</v>
      </c>
      <c r="T77" t="s">
        <v>8158</v>
      </c>
      <c r="U77" t="s">
        <v>9525</v>
      </c>
      <c r="V77" t="s">
        <v>5147</v>
      </c>
      <c r="W77">
        <v>32590000</v>
      </c>
      <c r="X77" t="s">
        <v>5148</v>
      </c>
      <c r="Y77">
        <v>271</v>
      </c>
      <c r="Z77" t="s">
        <v>9526</v>
      </c>
      <c r="AA77" t="s">
        <v>8301</v>
      </c>
      <c r="AB77" t="s">
        <v>3948</v>
      </c>
      <c r="AC77" t="s">
        <v>9527</v>
      </c>
      <c r="AD77" t="s">
        <v>9520</v>
      </c>
      <c r="AE77" t="s">
        <v>8234</v>
      </c>
      <c r="AF77" t="s">
        <v>9528</v>
      </c>
      <c r="AG77">
        <v>938997</v>
      </c>
      <c r="AH77" t="s">
        <v>9529</v>
      </c>
      <c r="AI77" t="s">
        <v>9530</v>
      </c>
      <c r="AJ77" t="s">
        <v>3948</v>
      </c>
      <c r="AK77">
        <v>0</v>
      </c>
      <c r="AL77">
        <v>0</v>
      </c>
      <c r="AM77" t="s">
        <v>3948</v>
      </c>
      <c r="AN77">
        <v>0</v>
      </c>
      <c r="AO77">
        <v>24100168</v>
      </c>
      <c r="AP77">
        <v>703323</v>
      </c>
      <c r="AQ77">
        <v>0</v>
      </c>
      <c r="AR77">
        <v>24803491</v>
      </c>
      <c r="AS77">
        <v>27386555</v>
      </c>
      <c r="AT77">
        <v>2583064</v>
      </c>
      <c r="AU77">
        <v>943</v>
      </c>
    </row>
    <row r="78" spans="1:47" ht="13.5" customHeight="1" x14ac:dyDescent="0.3">
      <c r="A78" t="s">
        <v>8149</v>
      </c>
      <c r="B78" t="s">
        <v>8162</v>
      </c>
      <c r="C78">
        <v>0</v>
      </c>
      <c r="D78">
        <v>0</v>
      </c>
      <c r="E78" t="s">
        <v>3948</v>
      </c>
      <c r="F78" t="s">
        <v>3948</v>
      </c>
      <c r="G78" t="s">
        <v>3948</v>
      </c>
      <c r="H78" t="s">
        <v>3948</v>
      </c>
      <c r="I78" t="s">
        <v>8719</v>
      </c>
      <c r="J78" t="s">
        <v>3948</v>
      </c>
      <c r="K78" t="s">
        <v>8241</v>
      </c>
      <c r="L78" t="s">
        <v>86</v>
      </c>
      <c r="M78" t="s">
        <v>122</v>
      </c>
      <c r="N78" t="s">
        <v>4276</v>
      </c>
      <c r="O78" t="s">
        <v>8242</v>
      </c>
      <c r="P78">
        <v>2024</v>
      </c>
      <c r="Q78">
        <v>0</v>
      </c>
      <c r="R78" t="s">
        <v>8243</v>
      </c>
      <c r="S78" t="s">
        <v>533</v>
      </c>
      <c r="T78" t="s">
        <v>5145</v>
      </c>
      <c r="U78" t="s">
        <v>8220</v>
      </c>
      <c r="V78" t="s">
        <v>5147</v>
      </c>
      <c r="W78">
        <v>39151000</v>
      </c>
      <c r="X78" t="s">
        <v>5148</v>
      </c>
      <c r="Y78">
        <v>348</v>
      </c>
      <c r="Z78" t="s">
        <v>40</v>
      </c>
      <c r="AA78" t="s">
        <v>8166</v>
      </c>
      <c r="AB78" t="s">
        <v>3948</v>
      </c>
      <c r="AC78" t="s">
        <v>8244</v>
      </c>
      <c r="AD78" t="s">
        <v>8241</v>
      </c>
      <c r="AE78" t="s">
        <v>8245</v>
      </c>
      <c r="AF78" t="s">
        <v>5598</v>
      </c>
      <c r="AG78">
        <v>977</v>
      </c>
      <c r="AH78" t="s">
        <v>8169</v>
      </c>
      <c r="AI78" t="s">
        <v>8720</v>
      </c>
      <c r="AJ78" t="s">
        <v>3948</v>
      </c>
      <c r="AK78">
        <v>0</v>
      </c>
      <c r="AL78">
        <v>0</v>
      </c>
      <c r="AM78" t="s">
        <v>3948</v>
      </c>
      <c r="AN78">
        <v>0</v>
      </c>
      <c r="AO78">
        <v>32900000</v>
      </c>
      <c r="AP78">
        <v>0</v>
      </c>
      <c r="AQ78">
        <v>0</v>
      </c>
      <c r="AR78">
        <v>32900000</v>
      </c>
      <c r="AS78">
        <v>39151000</v>
      </c>
      <c r="AT78">
        <v>6251000</v>
      </c>
      <c r="AU78">
        <v>1597</v>
      </c>
    </row>
    <row r="79" spans="1:47" ht="13.5" customHeight="1" x14ac:dyDescent="0.3">
      <c r="A79" t="s">
        <v>8149</v>
      </c>
      <c r="B79" t="s">
        <v>5170</v>
      </c>
      <c r="C79">
        <v>0</v>
      </c>
      <c r="D79">
        <v>0</v>
      </c>
      <c r="E79" t="s">
        <v>3948</v>
      </c>
      <c r="F79" t="s">
        <v>3948</v>
      </c>
      <c r="G79" t="s">
        <v>3948</v>
      </c>
      <c r="H79" t="s">
        <v>3948</v>
      </c>
      <c r="I79" t="s">
        <v>9506</v>
      </c>
      <c r="J79" t="s">
        <v>3948</v>
      </c>
      <c r="K79" t="s">
        <v>9507</v>
      </c>
      <c r="L79" t="s">
        <v>241</v>
      </c>
      <c r="M79" t="s">
        <v>2487</v>
      </c>
      <c r="N79" t="s">
        <v>9508</v>
      </c>
      <c r="O79" t="s">
        <v>9509</v>
      </c>
      <c r="P79">
        <v>2025</v>
      </c>
      <c r="Q79">
        <v>9609</v>
      </c>
      <c r="R79" t="s">
        <v>9510</v>
      </c>
      <c r="S79" t="s">
        <v>2615</v>
      </c>
      <c r="T79" t="s">
        <v>8158</v>
      </c>
      <c r="U79" t="s">
        <v>5157</v>
      </c>
      <c r="V79" t="s">
        <v>5147</v>
      </c>
      <c r="W79">
        <v>25990000</v>
      </c>
      <c r="X79" t="s">
        <v>5148</v>
      </c>
      <c r="Y79">
        <v>538</v>
      </c>
      <c r="Z79" t="s">
        <v>8159</v>
      </c>
      <c r="AA79" t="s">
        <v>5175</v>
      </c>
      <c r="AB79" t="s">
        <v>3948</v>
      </c>
      <c r="AC79" t="s">
        <v>9511</v>
      </c>
      <c r="AD79" t="s">
        <v>9507</v>
      </c>
      <c r="AE79" t="s">
        <v>8161</v>
      </c>
      <c r="AF79" t="s">
        <v>9512</v>
      </c>
      <c r="AG79">
        <v>62332</v>
      </c>
      <c r="AH79" t="s">
        <v>8620</v>
      </c>
      <c r="AI79" t="s">
        <v>9513</v>
      </c>
      <c r="AJ79" t="s">
        <v>3948</v>
      </c>
      <c r="AK79">
        <v>0</v>
      </c>
      <c r="AL79">
        <v>0</v>
      </c>
      <c r="AM79" t="s">
        <v>3948</v>
      </c>
      <c r="AN79">
        <v>0</v>
      </c>
      <c r="AO79">
        <v>25856134</v>
      </c>
      <c r="AP79">
        <v>1237071</v>
      </c>
      <c r="AQ79">
        <v>0</v>
      </c>
      <c r="AR79">
        <v>27093205</v>
      </c>
      <c r="AS79">
        <v>25990000</v>
      </c>
      <c r="AT79">
        <v>-1103205</v>
      </c>
      <c r="AU79">
        <v>-424</v>
      </c>
    </row>
    <row r="80" spans="1:47" ht="13.5" customHeight="1" x14ac:dyDescent="0.3">
      <c r="A80" t="s">
        <v>8149</v>
      </c>
      <c r="B80" t="s">
        <v>5180</v>
      </c>
      <c r="C80">
        <v>0</v>
      </c>
      <c r="D80">
        <v>0</v>
      </c>
      <c r="E80" t="s">
        <v>3948</v>
      </c>
      <c r="F80" t="s">
        <v>3948</v>
      </c>
      <c r="G80" t="s">
        <v>3948</v>
      </c>
      <c r="H80" t="s">
        <v>3948</v>
      </c>
      <c r="I80" t="s">
        <v>8681</v>
      </c>
      <c r="J80" t="s">
        <v>3948</v>
      </c>
      <c r="K80" t="s">
        <v>8191</v>
      </c>
      <c r="L80" t="s">
        <v>14</v>
      </c>
      <c r="M80" t="s">
        <v>8192</v>
      </c>
      <c r="N80" t="s">
        <v>8193</v>
      </c>
      <c r="O80" t="s">
        <v>8194</v>
      </c>
      <c r="P80">
        <v>2026</v>
      </c>
      <c r="Q80">
        <v>2500</v>
      </c>
      <c r="R80" t="s">
        <v>8195</v>
      </c>
      <c r="S80" t="s">
        <v>8196</v>
      </c>
      <c r="T80" t="s">
        <v>8158</v>
      </c>
      <c r="U80" t="s">
        <v>8197</v>
      </c>
      <c r="V80" t="s">
        <v>5147</v>
      </c>
      <c r="W80">
        <v>24900000</v>
      </c>
      <c r="X80" t="s">
        <v>5148</v>
      </c>
      <c r="Y80">
        <v>228</v>
      </c>
      <c r="Z80" t="s">
        <v>16</v>
      </c>
      <c r="AA80" t="s">
        <v>8160</v>
      </c>
      <c r="AB80" t="s">
        <v>3948</v>
      </c>
      <c r="AC80" t="s">
        <v>8198</v>
      </c>
      <c r="AD80" t="s">
        <v>8191</v>
      </c>
      <c r="AE80" t="s">
        <v>8089</v>
      </c>
      <c r="AF80" t="s">
        <v>8682</v>
      </c>
      <c r="AG80">
        <v>240020</v>
      </c>
      <c r="AH80" t="s">
        <v>8682</v>
      </c>
      <c r="AI80" t="s">
        <v>8683</v>
      </c>
      <c r="AJ80" t="s">
        <v>3948</v>
      </c>
      <c r="AK80">
        <v>0</v>
      </c>
      <c r="AL80">
        <v>0</v>
      </c>
      <c r="AM80" t="s">
        <v>3948</v>
      </c>
      <c r="AN80">
        <v>0</v>
      </c>
      <c r="AO80">
        <v>21210924</v>
      </c>
      <c r="AP80">
        <v>976055</v>
      </c>
      <c r="AQ80">
        <v>0</v>
      </c>
      <c r="AR80">
        <v>22186979</v>
      </c>
      <c r="AS80">
        <v>24900000</v>
      </c>
      <c r="AT80">
        <v>2713021</v>
      </c>
      <c r="AU80">
        <v>109</v>
      </c>
    </row>
    <row r="81" spans="1:47" ht="13.5" customHeight="1" x14ac:dyDescent="0.3">
      <c r="A81" t="s">
        <v>8149</v>
      </c>
      <c r="B81" t="s">
        <v>8293</v>
      </c>
      <c r="C81">
        <v>0</v>
      </c>
      <c r="D81">
        <v>0</v>
      </c>
      <c r="E81" t="s">
        <v>3948</v>
      </c>
      <c r="F81" t="s">
        <v>3948</v>
      </c>
      <c r="G81" t="s">
        <v>3948</v>
      </c>
      <c r="H81" t="s">
        <v>3948</v>
      </c>
      <c r="I81" t="s">
        <v>8691</v>
      </c>
      <c r="J81" t="s">
        <v>3948</v>
      </c>
      <c r="K81" t="s">
        <v>8367</v>
      </c>
      <c r="L81" t="s">
        <v>186</v>
      </c>
      <c r="M81" t="s">
        <v>4528</v>
      </c>
      <c r="N81" t="s">
        <v>8368</v>
      </c>
      <c r="O81" t="s">
        <v>8369</v>
      </c>
      <c r="P81">
        <v>2009</v>
      </c>
      <c r="Q81">
        <v>0</v>
      </c>
      <c r="R81" t="s">
        <v>8370</v>
      </c>
      <c r="S81" t="s">
        <v>8371</v>
      </c>
      <c r="T81" t="s">
        <v>5145</v>
      </c>
      <c r="U81" t="s">
        <v>8372</v>
      </c>
      <c r="V81" t="s">
        <v>5147</v>
      </c>
      <c r="W81">
        <v>8990000</v>
      </c>
      <c r="X81" t="s">
        <v>5148</v>
      </c>
      <c r="Y81">
        <v>3490</v>
      </c>
      <c r="Z81" t="s">
        <v>63</v>
      </c>
      <c r="AA81" t="s">
        <v>8301</v>
      </c>
      <c r="AB81" t="s">
        <v>3948</v>
      </c>
      <c r="AC81" t="s">
        <v>8373</v>
      </c>
      <c r="AD81" t="s">
        <v>8367</v>
      </c>
      <c r="AE81" t="s">
        <v>8374</v>
      </c>
      <c r="AF81" t="s">
        <v>8692</v>
      </c>
      <c r="AG81">
        <v>142281</v>
      </c>
      <c r="AH81" t="s">
        <v>8693</v>
      </c>
      <c r="AI81" t="s">
        <v>8694</v>
      </c>
      <c r="AJ81" t="s">
        <v>3948</v>
      </c>
      <c r="AK81">
        <v>0</v>
      </c>
      <c r="AL81">
        <v>0</v>
      </c>
      <c r="AM81" t="s">
        <v>3948</v>
      </c>
      <c r="AN81">
        <v>0</v>
      </c>
      <c r="AO81">
        <v>7295200</v>
      </c>
      <c r="AP81">
        <v>0</v>
      </c>
      <c r="AQ81">
        <v>0</v>
      </c>
      <c r="AR81">
        <v>7295200</v>
      </c>
      <c r="AS81">
        <v>8990000</v>
      </c>
      <c r="AT81">
        <v>1694800</v>
      </c>
      <c r="AU81">
        <v>1885</v>
      </c>
    </row>
    <row r="82" spans="1:47" ht="13.5" customHeight="1" x14ac:dyDescent="0.3">
      <c r="A82" t="s">
        <v>8149</v>
      </c>
      <c r="B82" t="s">
        <v>5161</v>
      </c>
      <c r="C82">
        <v>0</v>
      </c>
      <c r="D82">
        <v>0</v>
      </c>
      <c r="E82" t="s">
        <v>3948</v>
      </c>
      <c r="F82" t="s">
        <v>3948</v>
      </c>
      <c r="G82" t="s">
        <v>3948</v>
      </c>
      <c r="H82" t="s">
        <v>3948</v>
      </c>
      <c r="I82" t="s">
        <v>11395</v>
      </c>
      <c r="J82" t="s">
        <v>3948</v>
      </c>
      <c r="K82" t="s">
        <v>11396</v>
      </c>
      <c r="L82" t="s">
        <v>241</v>
      </c>
      <c r="M82" t="s">
        <v>2484</v>
      </c>
      <c r="N82" t="s">
        <v>8184</v>
      </c>
      <c r="O82" t="s">
        <v>8185</v>
      </c>
      <c r="P82">
        <v>2026</v>
      </c>
      <c r="Q82">
        <v>0</v>
      </c>
      <c r="R82" t="s">
        <v>11397</v>
      </c>
      <c r="S82" t="s">
        <v>3738</v>
      </c>
      <c r="T82" t="s">
        <v>8158</v>
      </c>
      <c r="U82" t="s">
        <v>5507</v>
      </c>
      <c r="V82" t="s">
        <v>5147</v>
      </c>
      <c r="W82">
        <v>27190000</v>
      </c>
      <c r="X82" t="s">
        <v>5148</v>
      </c>
      <c r="Y82">
        <v>592</v>
      </c>
      <c r="Z82" t="s">
        <v>8159</v>
      </c>
      <c r="AA82" t="s">
        <v>8228</v>
      </c>
      <c r="AB82" t="s">
        <v>3948</v>
      </c>
      <c r="AC82" t="s">
        <v>11398</v>
      </c>
      <c r="AD82" t="s">
        <v>11396</v>
      </c>
      <c r="AE82" t="s">
        <v>8161</v>
      </c>
      <c r="AF82" t="s">
        <v>11363</v>
      </c>
      <c r="AG82">
        <v>65157</v>
      </c>
      <c r="AH82" t="s">
        <v>8622</v>
      </c>
      <c r="AI82" t="s">
        <v>11399</v>
      </c>
      <c r="AJ82" t="s">
        <v>3948</v>
      </c>
      <c r="AK82">
        <v>0</v>
      </c>
      <c r="AL82">
        <v>0</v>
      </c>
      <c r="AM82" t="s">
        <v>3948</v>
      </c>
      <c r="AN82">
        <v>0</v>
      </c>
      <c r="AO82">
        <v>21062857</v>
      </c>
      <c r="AP82">
        <v>876709</v>
      </c>
      <c r="AQ82">
        <v>0</v>
      </c>
      <c r="AR82">
        <v>21939566</v>
      </c>
      <c r="AS82">
        <v>22848739</v>
      </c>
      <c r="AT82">
        <v>909173</v>
      </c>
      <c r="AU82">
        <v>398</v>
      </c>
    </row>
    <row r="83" spans="1:47" ht="13.5" customHeight="1" x14ac:dyDescent="0.3">
      <c r="A83" t="s">
        <v>8149</v>
      </c>
      <c r="B83" t="s">
        <v>8162</v>
      </c>
      <c r="C83">
        <v>0</v>
      </c>
      <c r="D83">
        <v>0</v>
      </c>
      <c r="E83" t="s">
        <v>3948</v>
      </c>
      <c r="F83" t="s">
        <v>3948</v>
      </c>
      <c r="G83" t="s">
        <v>3948</v>
      </c>
      <c r="H83" t="s">
        <v>3948</v>
      </c>
      <c r="I83" t="s">
        <v>8658</v>
      </c>
      <c r="J83" t="s">
        <v>3948</v>
      </c>
      <c r="K83" t="s">
        <v>8257</v>
      </c>
      <c r="L83" t="s">
        <v>68</v>
      </c>
      <c r="M83" t="s">
        <v>4142</v>
      </c>
      <c r="N83" t="s">
        <v>8258</v>
      </c>
      <c r="O83" t="s">
        <v>8259</v>
      </c>
      <c r="P83">
        <v>2019</v>
      </c>
      <c r="Q83">
        <v>0</v>
      </c>
      <c r="R83" t="s">
        <v>8260</v>
      </c>
      <c r="S83" t="s">
        <v>8261</v>
      </c>
      <c r="T83" t="s">
        <v>8158</v>
      </c>
      <c r="U83" t="s">
        <v>5179</v>
      </c>
      <c r="V83" t="s">
        <v>5147</v>
      </c>
      <c r="W83">
        <v>6890100</v>
      </c>
      <c r="X83" t="s">
        <v>5148</v>
      </c>
      <c r="Y83">
        <v>2749</v>
      </c>
      <c r="Z83" t="s">
        <v>8086</v>
      </c>
      <c r="AA83" t="s">
        <v>8166</v>
      </c>
      <c r="AB83" t="s">
        <v>3948</v>
      </c>
      <c r="AC83" t="s">
        <v>8262</v>
      </c>
      <c r="AD83" t="s">
        <v>8257</v>
      </c>
      <c r="AE83" t="s">
        <v>5142</v>
      </c>
      <c r="AF83" t="s">
        <v>8659</v>
      </c>
      <c r="AG83">
        <v>0</v>
      </c>
      <c r="AH83" t="s">
        <v>8660</v>
      </c>
      <c r="AI83" t="s">
        <v>8660</v>
      </c>
      <c r="AJ83" t="s">
        <v>3948</v>
      </c>
      <c r="AK83">
        <v>0</v>
      </c>
      <c r="AL83">
        <v>0</v>
      </c>
      <c r="AM83" t="s">
        <v>3948</v>
      </c>
      <c r="AN83">
        <v>0</v>
      </c>
      <c r="AO83">
        <v>0</v>
      </c>
      <c r="AP83">
        <v>2624366</v>
      </c>
      <c r="AQ83">
        <v>0</v>
      </c>
      <c r="AR83">
        <v>2624366</v>
      </c>
      <c r="AS83">
        <v>5790000</v>
      </c>
      <c r="AT83">
        <v>3165634</v>
      </c>
      <c r="AU83">
        <v>5467</v>
      </c>
    </row>
    <row r="84" spans="1:47" ht="13.5" customHeight="1" x14ac:dyDescent="0.3">
      <c r="A84" t="s">
        <v>8149</v>
      </c>
      <c r="B84" t="s">
        <v>8246</v>
      </c>
      <c r="C84">
        <v>0</v>
      </c>
      <c r="D84">
        <v>0</v>
      </c>
      <c r="E84" t="s">
        <v>3948</v>
      </c>
      <c r="F84" t="s">
        <v>3948</v>
      </c>
      <c r="G84" t="s">
        <v>3948</v>
      </c>
      <c r="H84" t="s">
        <v>3948</v>
      </c>
      <c r="I84" t="s">
        <v>8636</v>
      </c>
      <c r="J84" t="s">
        <v>3948</v>
      </c>
      <c r="K84" t="s">
        <v>8247</v>
      </c>
      <c r="L84" t="s">
        <v>214</v>
      </c>
      <c r="M84" t="s">
        <v>4638</v>
      </c>
      <c r="N84" t="s">
        <v>8248</v>
      </c>
      <c r="O84" t="s">
        <v>8248</v>
      </c>
      <c r="P84">
        <v>2008</v>
      </c>
      <c r="Q84">
        <v>0</v>
      </c>
      <c r="R84" t="s">
        <v>8249</v>
      </c>
      <c r="S84" t="s">
        <v>8250</v>
      </c>
      <c r="T84" t="s">
        <v>8158</v>
      </c>
      <c r="U84" t="s">
        <v>5373</v>
      </c>
      <c r="V84" t="s">
        <v>5147</v>
      </c>
      <c r="W84">
        <v>0</v>
      </c>
      <c r="X84" t="s">
        <v>5148</v>
      </c>
      <c r="Y84">
        <v>3487</v>
      </c>
      <c r="Z84" t="s">
        <v>8098</v>
      </c>
      <c r="AA84" t="s">
        <v>8251</v>
      </c>
      <c r="AB84" t="s">
        <v>3948</v>
      </c>
      <c r="AC84" t="s">
        <v>8252</v>
      </c>
      <c r="AD84" t="s">
        <v>8247</v>
      </c>
      <c r="AE84" t="s">
        <v>8253</v>
      </c>
      <c r="AF84" t="s">
        <v>8637</v>
      </c>
      <c r="AG84">
        <v>0</v>
      </c>
      <c r="AH84" t="s">
        <v>3948</v>
      </c>
      <c r="AI84" t="s">
        <v>3948</v>
      </c>
      <c r="AJ84" t="s">
        <v>3948</v>
      </c>
      <c r="AK84">
        <v>0</v>
      </c>
      <c r="AL84">
        <v>0</v>
      </c>
      <c r="AM84" t="s">
        <v>3948</v>
      </c>
      <c r="AN84">
        <v>0</v>
      </c>
      <c r="AO84">
        <v>0</v>
      </c>
      <c r="AP84">
        <v>1558253</v>
      </c>
      <c r="AQ84">
        <v>0</v>
      </c>
      <c r="AR84">
        <v>1558253</v>
      </c>
      <c r="AS84">
        <v>0</v>
      </c>
      <c r="AT84">
        <v>-1558253</v>
      </c>
      <c r="AU84">
        <v>-155825300</v>
      </c>
    </row>
    <row r="85" spans="1:47" ht="13.5" customHeight="1" x14ac:dyDescent="0.3">
      <c r="A85" t="s">
        <v>8149</v>
      </c>
      <c r="B85" t="s">
        <v>8293</v>
      </c>
      <c r="C85">
        <v>0</v>
      </c>
      <c r="D85">
        <v>0</v>
      </c>
      <c r="E85" t="s">
        <v>3948</v>
      </c>
      <c r="F85" t="s">
        <v>3948</v>
      </c>
      <c r="G85" t="s">
        <v>3948</v>
      </c>
      <c r="H85" t="s">
        <v>3948</v>
      </c>
      <c r="I85" t="s">
        <v>8724</v>
      </c>
      <c r="J85" t="s">
        <v>3948</v>
      </c>
      <c r="K85" t="s">
        <v>8324</v>
      </c>
      <c r="L85" t="s">
        <v>68</v>
      </c>
      <c r="M85" t="s">
        <v>4142</v>
      </c>
      <c r="N85" t="s">
        <v>8316</v>
      </c>
      <c r="O85" t="s">
        <v>8317</v>
      </c>
      <c r="P85">
        <v>2019</v>
      </c>
      <c r="Q85">
        <v>0</v>
      </c>
      <c r="R85" t="s">
        <v>8325</v>
      </c>
      <c r="S85" t="s">
        <v>8326</v>
      </c>
      <c r="T85" t="s">
        <v>8158</v>
      </c>
      <c r="U85" t="s">
        <v>5179</v>
      </c>
      <c r="V85" t="s">
        <v>5147</v>
      </c>
      <c r="W85">
        <v>8556100</v>
      </c>
      <c r="X85" t="s">
        <v>5148</v>
      </c>
      <c r="Y85">
        <v>2643</v>
      </c>
      <c r="Z85" t="s">
        <v>8086</v>
      </c>
      <c r="AA85" t="s">
        <v>8301</v>
      </c>
      <c r="AB85" t="s">
        <v>3948</v>
      </c>
      <c r="AC85" t="s">
        <v>8327</v>
      </c>
      <c r="AD85" t="s">
        <v>8324</v>
      </c>
      <c r="AE85" t="s">
        <v>8234</v>
      </c>
      <c r="AF85" t="s">
        <v>8612</v>
      </c>
      <c r="AG85">
        <v>0</v>
      </c>
      <c r="AH85" t="s">
        <v>8725</v>
      </c>
      <c r="AI85" t="s">
        <v>8725</v>
      </c>
      <c r="AJ85" t="s">
        <v>3948</v>
      </c>
      <c r="AK85">
        <v>0</v>
      </c>
      <c r="AL85">
        <v>0</v>
      </c>
      <c r="AM85" t="s">
        <v>3948</v>
      </c>
      <c r="AN85">
        <v>0</v>
      </c>
      <c r="AO85">
        <v>0</v>
      </c>
      <c r="AP85">
        <v>2454691</v>
      </c>
      <c r="AQ85">
        <v>0</v>
      </c>
      <c r="AR85">
        <v>2454691</v>
      </c>
      <c r="AS85">
        <v>7190000</v>
      </c>
      <c r="AT85">
        <v>4735309</v>
      </c>
      <c r="AU85">
        <v>6586</v>
      </c>
    </row>
    <row r="86" spans="1:47" ht="13.5" customHeight="1" x14ac:dyDescent="0.3">
      <c r="A86" t="s">
        <v>5142</v>
      </c>
      <c r="B86" t="s">
        <v>5143</v>
      </c>
      <c r="C86">
        <v>0</v>
      </c>
      <c r="D86">
        <v>0</v>
      </c>
      <c r="E86" t="s">
        <v>3948</v>
      </c>
      <c r="F86" t="s">
        <v>3948</v>
      </c>
      <c r="G86" t="s">
        <v>3948</v>
      </c>
      <c r="H86" t="s">
        <v>3948</v>
      </c>
      <c r="I86" t="s">
        <v>5605</v>
      </c>
      <c r="J86" t="s">
        <v>3948</v>
      </c>
      <c r="K86" t="s">
        <v>5258</v>
      </c>
      <c r="L86" t="s">
        <v>241</v>
      </c>
      <c r="M86" t="s">
        <v>4791</v>
      </c>
      <c r="N86" t="s">
        <v>258</v>
      </c>
      <c r="O86" t="s">
        <v>5259</v>
      </c>
      <c r="P86">
        <v>2023</v>
      </c>
      <c r="Q86">
        <v>63000</v>
      </c>
      <c r="R86" t="s">
        <v>5260</v>
      </c>
      <c r="S86" t="s">
        <v>261</v>
      </c>
      <c r="T86" t="s">
        <v>5145</v>
      </c>
      <c r="U86" t="s">
        <v>5157</v>
      </c>
      <c r="V86" t="s">
        <v>5147</v>
      </c>
      <c r="W86">
        <v>15490000</v>
      </c>
      <c r="X86" t="s">
        <v>5148</v>
      </c>
      <c r="Y86">
        <v>162</v>
      </c>
      <c r="Z86" t="s">
        <v>26</v>
      </c>
      <c r="AA86" t="s">
        <v>5149</v>
      </c>
      <c r="AB86" t="s">
        <v>5150</v>
      </c>
      <c r="AC86" t="s">
        <v>5261</v>
      </c>
      <c r="AD86" t="s">
        <v>5258</v>
      </c>
      <c r="AE86" t="s">
        <v>5262</v>
      </c>
      <c r="AF86" t="s">
        <v>5480</v>
      </c>
      <c r="AG86">
        <v>1</v>
      </c>
      <c r="AH86" t="s">
        <v>5480</v>
      </c>
      <c r="AI86" t="s">
        <v>5606</v>
      </c>
      <c r="AJ86" t="s">
        <v>5518</v>
      </c>
      <c r="AK86">
        <v>1</v>
      </c>
      <c r="AL86">
        <v>0</v>
      </c>
      <c r="AM86" t="s">
        <v>3948</v>
      </c>
      <c r="AN86">
        <v>0</v>
      </c>
      <c r="AO86">
        <v>14000000</v>
      </c>
      <c r="AP86">
        <v>339240</v>
      </c>
      <c r="AQ86">
        <v>0</v>
      </c>
      <c r="AR86">
        <v>14339240</v>
      </c>
      <c r="AS86">
        <v>15490000</v>
      </c>
      <c r="AT86">
        <v>1150760</v>
      </c>
      <c r="AU86">
        <v>743</v>
      </c>
    </row>
    <row r="87" spans="1:47" ht="13.5" customHeight="1" x14ac:dyDescent="0.3">
      <c r="A87" t="s">
        <v>5142</v>
      </c>
      <c r="B87" t="s">
        <v>5143</v>
      </c>
      <c r="C87">
        <v>0</v>
      </c>
      <c r="D87">
        <v>0</v>
      </c>
      <c r="E87" t="s">
        <v>3948</v>
      </c>
      <c r="F87" t="s">
        <v>3948</v>
      </c>
      <c r="G87" t="s">
        <v>3948</v>
      </c>
      <c r="H87" t="s">
        <v>3948</v>
      </c>
      <c r="I87" t="s">
        <v>5638</v>
      </c>
      <c r="J87" t="s">
        <v>3948</v>
      </c>
      <c r="K87" t="s">
        <v>5315</v>
      </c>
      <c r="L87" t="s">
        <v>86</v>
      </c>
      <c r="M87" t="s">
        <v>93</v>
      </c>
      <c r="N87" t="s">
        <v>94</v>
      </c>
      <c r="O87" t="s">
        <v>5316</v>
      </c>
      <c r="P87">
        <v>2024</v>
      </c>
      <c r="Q87">
        <v>5000</v>
      </c>
      <c r="R87" t="s">
        <v>5317</v>
      </c>
      <c r="S87" t="s">
        <v>95</v>
      </c>
      <c r="T87" t="s">
        <v>5145</v>
      </c>
      <c r="U87" t="s">
        <v>5318</v>
      </c>
      <c r="V87" t="s">
        <v>5147</v>
      </c>
      <c r="W87">
        <v>27990000</v>
      </c>
      <c r="X87" t="s">
        <v>5148</v>
      </c>
      <c r="Y87">
        <v>852</v>
      </c>
      <c r="Z87" t="s">
        <v>26</v>
      </c>
      <c r="AA87" t="s">
        <v>5149</v>
      </c>
      <c r="AB87" t="s">
        <v>5319</v>
      </c>
      <c r="AC87" t="s">
        <v>5320</v>
      </c>
      <c r="AD87" t="s">
        <v>5315</v>
      </c>
      <c r="AE87" t="s">
        <v>5321</v>
      </c>
      <c r="AF87" t="s">
        <v>5639</v>
      </c>
      <c r="AG87">
        <v>1</v>
      </c>
      <c r="AH87" t="s">
        <v>5640</v>
      </c>
      <c r="AI87" t="s">
        <v>5640</v>
      </c>
      <c r="AJ87" t="s">
        <v>3948</v>
      </c>
      <c r="AK87">
        <v>0</v>
      </c>
      <c r="AL87">
        <v>0</v>
      </c>
      <c r="AM87" t="s">
        <v>3948</v>
      </c>
      <c r="AN87">
        <v>0</v>
      </c>
      <c r="AO87">
        <v>33990000</v>
      </c>
      <c r="AP87">
        <v>709880</v>
      </c>
      <c r="AQ87">
        <v>0</v>
      </c>
      <c r="AR87">
        <v>34699880</v>
      </c>
      <c r="AS87">
        <v>27990000</v>
      </c>
      <c r="AT87">
        <v>-6709880</v>
      </c>
      <c r="AU87">
        <v>-2397</v>
      </c>
    </row>
    <row r="88" spans="1:47" ht="13.5" customHeight="1" x14ac:dyDescent="0.3">
      <c r="A88" t="s">
        <v>5142</v>
      </c>
      <c r="B88" t="s">
        <v>5143</v>
      </c>
      <c r="C88">
        <v>0</v>
      </c>
      <c r="D88">
        <v>0</v>
      </c>
      <c r="E88" t="s">
        <v>3948</v>
      </c>
      <c r="F88" t="s">
        <v>3948</v>
      </c>
      <c r="G88" t="s">
        <v>3948</v>
      </c>
      <c r="H88" t="s">
        <v>3948</v>
      </c>
      <c r="I88" t="s">
        <v>11400</v>
      </c>
      <c r="J88" t="s">
        <v>3948</v>
      </c>
      <c r="K88" t="s">
        <v>11401</v>
      </c>
      <c r="L88" t="s">
        <v>60</v>
      </c>
      <c r="M88" t="s">
        <v>61</v>
      </c>
      <c r="N88" t="s">
        <v>4109</v>
      </c>
      <c r="O88" t="s">
        <v>9790</v>
      </c>
      <c r="P88">
        <v>2024</v>
      </c>
      <c r="Q88">
        <v>38242</v>
      </c>
      <c r="R88" t="s">
        <v>11402</v>
      </c>
      <c r="S88" t="s">
        <v>742</v>
      </c>
      <c r="T88" t="s">
        <v>5145</v>
      </c>
      <c r="U88" t="s">
        <v>11403</v>
      </c>
      <c r="V88" t="s">
        <v>5147</v>
      </c>
      <c r="W88">
        <v>7990000</v>
      </c>
      <c r="X88" t="s">
        <v>5148</v>
      </c>
      <c r="Y88">
        <v>14</v>
      </c>
      <c r="Z88" t="s">
        <v>16</v>
      </c>
      <c r="AA88" t="s">
        <v>5149</v>
      </c>
      <c r="AB88" t="s">
        <v>3948</v>
      </c>
      <c r="AC88" t="s">
        <v>11404</v>
      </c>
      <c r="AD88" t="s">
        <v>11405</v>
      </c>
      <c r="AE88" t="s">
        <v>11406</v>
      </c>
      <c r="AF88" t="s">
        <v>11407</v>
      </c>
      <c r="AG88">
        <v>1</v>
      </c>
      <c r="AH88" t="s">
        <v>11407</v>
      </c>
      <c r="AI88" t="s">
        <v>11408</v>
      </c>
      <c r="AJ88" t="s">
        <v>3948</v>
      </c>
      <c r="AK88">
        <v>3</v>
      </c>
      <c r="AL88">
        <v>0</v>
      </c>
      <c r="AM88" t="s">
        <v>3948</v>
      </c>
      <c r="AN88">
        <v>0</v>
      </c>
      <c r="AO88">
        <v>6600000</v>
      </c>
      <c r="AP88">
        <v>228240</v>
      </c>
      <c r="AQ88">
        <v>0</v>
      </c>
      <c r="AR88">
        <v>6828240</v>
      </c>
      <c r="AS88">
        <v>7990000</v>
      </c>
      <c r="AT88">
        <v>1161760</v>
      </c>
      <c r="AU88">
        <v>1454</v>
      </c>
    </row>
    <row r="89" spans="1:47" ht="13.5" customHeight="1" x14ac:dyDescent="0.3">
      <c r="A89" t="s">
        <v>5142</v>
      </c>
      <c r="B89" t="s">
        <v>5143</v>
      </c>
      <c r="C89">
        <v>0</v>
      </c>
      <c r="D89">
        <v>0</v>
      </c>
      <c r="E89" t="s">
        <v>3948</v>
      </c>
      <c r="F89" t="s">
        <v>3948</v>
      </c>
      <c r="G89" t="s">
        <v>3948</v>
      </c>
      <c r="H89" t="s">
        <v>3948</v>
      </c>
      <c r="I89" t="s">
        <v>11409</v>
      </c>
      <c r="J89" t="s">
        <v>3948</v>
      </c>
      <c r="K89" t="s">
        <v>11410</v>
      </c>
      <c r="L89" t="s">
        <v>237</v>
      </c>
      <c r="M89" t="s">
        <v>65</v>
      </c>
      <c r="N89" t="s">
        <v>238</v>
      </c>
      <c r="O89" t="s">
        <v>5229</v>
      </c>
      <c r="P89">
        <v>2024</v>
      </c>
      <c r="Q89">
        <v>29645</v>
      </c>
      <c r="R89" t="s">
        <v>11411</v>
      </c>
      <c r="S89" t="s">
        <v>11412</v>
      </c>
      <c r="T89" t="s">
        <v>5145</v>
      </c>
      <c r="U89" t="s">
        <v>11413</v>
      </c>
      <c r="V89" t="s">
        <v>5147</v>
      </c>
      <c r="W89">
        <v>12390000</v>
      </c>
      <c r="X89" t="s">
        <v>5148</v>
      </c>
      <c r="Y89">
        <v>14</v>
      </c>
      <c r="Z89" t="s">
        <v>26</v>
      </c>
      <c r="AA89" t="s">
        <v>5149</v>
      </c>
      <c r="AB89" t="s">
        <v>3948</v>
      </c>
      <c r="AC89" t="s">
        <v>11414</v>
      </c>
      <c r="AD89" t="s">
        <v>11410</v>
      </c>
      <c r="AE89" t="s">
        <v>11415</v>
      </c>
      <c r="AF89" t="s">
        <v>11407</v>
      </c>
      <c r="AG89">
        <v>1</v>
      </c>
      <c r="AH89" t="s">
        <v>11407</v>
      </c>
      <c r="AI89" t="s">
        <v>11416</v>
      </c>
      <c r="AJ89" t="s">
        <v>3948</v>
      </c>
      <c r="AK89">
        <v>1</v>
      </c>
      <c r="AL89">
        <v>0</v>
      </c>
      <c r="AM89" t="s">
        <v>3948</v>
      </c>
      <c r="AN89">
        <v>0</v>
      </c>
      <c r="AO89">
        <v>11000000</v>
      </c>
      <c r="AP89">
        <v>294240</v>
      </c>
      <c r="AQ89">
        <v>0</v>
      </c>
      <c r="AR89">
        <v>11294240</v>
      </c>
      <c r="AS89">
        <v>12390000</v>
      </c>
      <c r="AT89">
        <v>1095760</v>
      </c>
      <c r="AU89">
        <v>884</v>
      </c>
    </row>
    <row r="90" spans="1:47" ht="13.5" customHeight="1" x14ac:dyDescent="0.3">
      <c r="A90" t="s">
        <v>5142</v>
      </c>
      <c r="B90" t="s">
        <v>5188</v>
      </c>
      <c r="C90">
        <v>0</v>
      </c>
      <c r="D90">
        <v>0</v>
      </c>
      <c r="E90" t="s">
        <v>3948</v>
      </c>
      <c r="F90" t="s">
        <v>3948</v>
      </c>
      <c r="G90" t="s">
        <v>3948</v>
      </c>
      <c r="H90" t="s">
        <v>3948</v>
      </c>
      <c r="I90" t="s">
        <v>5648</v>
      </c>
      <c r="J90" t="s">
        <v>3948</v>
      </c>
      <c r="K90" t="s">
        <v>5443</v>
      </c>
      <c r="L90" t="s">
        <v>28</v>
      </c>
      <c r="M90" t="s">
        <v>35</v>
      </c>
      <c r="N90" t="s">
        <v>36</v>
      </c>
      <c r="O90" t="s">
        <v>5444</v>
      </c>
      <c r="P90">
        <v>2026</v>
      </c>
      <c r="Q90">
        <v>22255</v>
      </c>
      <c r="R90" t="s">
        <v>5445</v>
      </c>
      <c r="S90" t="s">
        <v>37</v>
      </c>
      <c r="T90" t="s">
        <v>5145</v>
      </c>
      <c r="U90" t="s">
        <v>5446</v>
      </c>
      <c r="V90" t="s">
        <v>5147</v>
      </c>
      <c r="W90">
        <v>11690000</v>
      </c>
      <c r="X90" t="s">
        <v>5148</v>
      </c>
      <c r="Y90">
        <v>138</v>
      </c>
      <c r="Z90" t="s">
        <v>26</v>
      </c>
      <c r="AA90" t="s">
        <v>5181</v>
      </c>
      <c r="AB90" t="s">
        <v>3948</v>
      </c>
      <c r="AC90" t="s">
        <v>5447</v>
      </c>
      <c r="AD90" t="s">
        <v>5443</v>
      </c>
      <c r="AE90" t="s">
        <v>5227</v>
      </c>
      <c r="AF90" t="s">
        <v>5476</v>
      </c>
      <c r="AG90">
        <v>1</v>
      </c>
      <c r="AH90" t="s">
        <v>5476</v>
      </c>
      <c r="AI90" t="s">
        <v>5649</v>
      </c>
      <c r="AJ90" t="s">
        <v>3948</v>
      </c>
      <c r="AK90">
        <v>1</v>
      </c>
      <c r="AL90">
        <v>0</v>
      </c>
      <c r="AM90" t="s">
        <v>3948</v>
      </c>
      <c r="AN90">
        <v>0</v>
      </c>
      <c r="AO90">
        <v>10000000</v>
      </c>
      <c r="AP90">
        <v>279240</v>
      </c>
      <c r="AQ90">
        <v>0</v>
      </c>
      <c r="AR90">
        <v>10279240</v>
      </c>
      <c r="AS90">
        <v>11690000</v>
      </c>
      <c r="AT90">
        <v>1410760</v>
      </c>
      <c r="AU90">
        <v>1207</v>
      </c>
    </row>
    <row r="91" spans="1:47" ht="13.5" customHeight="1" x14ac:dyDescent="0.3">
      <c r="A91" t="s">
        <v>5142</v>
      </c>
      <c r="B91" t="s">
        <v>5161</v>
      </c>
      <c r="C91">
        <v>0</v>
      </c>
      <c r="D91">
        <v>0</v>
      </c>
      <c r="E91" t="s">
        <v>3948</v>
      </c>
      <c r="F91" t="s">
        <v>3948</v>
      </c>
      <c r="G91" t="s">
        <v>3948</v>
      </c>
      <c r="H91" t="s">
        <v>3948</v>
      </c>
      <c r="I91" t="s">
        <v>10899</v>
      </c>
      <c r="J91" t="s">
        <v>3948</v>
      </c>
      <c r="K91" t="s">
        <v>10900</v>
      </c>
      <c r="L91" t="s">
        <v>241</v>
      </c>
      <c r="M91" t="s">
        <v>4756</v>
      </c>
      <c r="N91" t="s">
        <v>243</v>
      </c>
      <c r="O91" t="s">
        <v>8594</v>
      </c>
      <c r="P91">
        <v>2021</v>
      </c>
      <c r="Q91">
        <v>20803</v>
      </c>
      <c r="R91" t="s">
        <v>10901</v>
      </c>
      <c r="S91" t="s">
        <v>10894</v>
      </c>
      <c r="T91" t="s">
        <v>5145</v>
      </c>
      <c r="U91" t="s">
        <v>10902</v>
      </c>
      <c r="V91" t="s">
        <v>5147</v>
      </c>
      <c r="W91">
        <v>11290000</v>
      </c>
      <c r="X91" t="s">
        <v>5148</v>
      </c>
      <c r="Y91">
        <v>25</v>
      </c>
      <c r="Z91" t="s">
        <v>16</v>
      </c>
      <c r="AA91" t="s">
        <v>5166</v>
      </c>
      <c r="AB91" t="s">
        <v>3948</v>
      </c>
      <c r="AC91" t="s">
        <v>10903</v>
      </c>
      <c r="AD91" t="s">
        <v>10900</v>
      </c>
      <c r="AE91" t="s">
        <v>10904</v>
      </c>
      <c r="AF91" t="s">
        <v>10905</v>
      </c>
      <c r="AG91">
        <v>1</v>
      </c>
      <c r="AH91" t="s">
        <v>10905</v>
      </c>
      <c r="AI91" t="s">
        <v>10906</v>
      </c>
      <c r="AJ91" t="s">
        <v>3948</v>
      </c>
      <c r="AK91">
        <v>1</v>
      </c>
      <c r="AL91">
        <v>0</v>
      </c>
      <c r="AM91" t="s">
        <v>3948</v>
      </c>
      <c r="AN91">
        <v>0</v>
      </c>
      <c r="AO91">
        <v>9300000</v>
      </c>
      <c r="AP91">
        <v>268740</v>
      </c>
      <c r="AQ91">
        <v>0</v>
      </c>
      <c r="AR91">
        <v>9568740</v>
      </c>
      <c r="AS91">
        <v>11290000</v>
      </c>
      <c r="AT91">
        <v>1721260</v>
      </c>
      <c r="AU91">
        <v>1525</v>
      </c>
    </row>
    <row r="92" spans="1:47" ht="13.5" customHeight="1" x14ac:dyDescent="0.3">
      <c r="A92" t="s">
        <v>5142</v>
      </c>
      <c r="B92" t="s">
        <v>5170</v>
      </c>
      <c r="C92">
        <v>0</v>
      </c>
      <c r="D92">
        <v>0</v>
      </c>
      <c r="E92" t="s">
        <v>3948</v>
      </c>
      <c r="F92" t="s">
        <v>3948</v>
      </c>
      <c r="G92" t="s">
        <v>3948</v>
      </c>
      <c r="H92" t="s">
        <v>3948</v>
      </c>
      <c r="I92" t="s">
        <v>10215</v>
      </c>
      <c r="J92" t="s">
        <v>3948</v>
      </c>
      <c r="K92" t="s">
        <v>10216</v>
      </c>
      <c r="L92" t="s">
        <v>207</v>
      </c>
      <c r="M92" t="s">
        <v>4587</v>
      </c>
      <c r="N92" t="s">
        <v>4589</v>
      </c>
      <c r="O92" t="s">
        <v>10217</v>
      </c>
      <c r="P92">
        <v>2022</v>
      </c>
      <c r="Q92">
        <v>80925</v>
      </c>
      <c r="R92" t="s">
        <v>10218</v>
      </c>
      <c r="S92" t="s">
        <v>8837</v>
      </c>
      <c r="T92" t="s">
        <v>5145</v>
      </c>
      <c r="U92" t="s">
        <v>10219</v>
      </c>
      <c r="V92" t="s">
        <v>5147</v>
      </c>
      <c r="W92">
        <v>16990000</v>
      </c>
      <c r="X92" t="s">
        <v>5148</v>
      </c>
      <c r="Y92">
        <v>74</v>
      </c>
      <c r="Z92" t="s">
        <v>26</v>
      </c>
      <c r="AA92" t="s">
        <v>5175</v>
      </c>
      <c r="AB92" t="s">
        <v>5150</v>
      </c>
      <c r="AC92" t="s">
        <v>10220</v>
      </c>
      <c r="AD92" t="s">
        <v>10221</v>
      </c>
      <c r="AE92" t="s">
        <v>10222</v>
      </c>
      <c r="AF92" t="s">
        <v>9780</v>
      </c>
      <c r="AG92">
        <v>1</v>
      </c>
      <c r="AH92" t="s">
        <v>10223</v>
      </c>
      <c r="AI92" t="s">
        <v>10223</v>
      </c>
      <c r="AJ92" t="s">
        <v>3948</v>
      </c>
      <c r="AK92">
        <v>1</v>
      </c>
      <c r="AL92">
        <v>0</v>
      </c>
      <c r="AM92" t="s">
        <v>3948</v>
      </c>
      <c r="AN92">
        <v>0</v>
      </c>
      <c r="AO92">
        <v>14000000</v>
      </c>
      <c r="AP92">
        <v>339240</v>
      </c>
      <c r="AQ92">
        <v>0</v>
      </c>
      <c r="AR92">
        <v>14339240</v>
      </c>
      <c r="AS92">
        <v>16990000</v>
      </c>
      <c r="AT92">
        <v>2650760</v>
      </c>
      <c r="AU92">
        <v>156</v>
      </c>
    </row>
    <row r="93" spans="1:47" ht="13.5" customHeight="1" x14ac:dyDescent="0.3">
      <c r="A93" t="s">
        <v>5142</v>
      </c>
      <c r="B93" t="s">
        <v>5170</v>
      </c>
      <c r="C93">
        <v>0</v>
      </c>
      <c r="D93">
        <v>0</v>
      </c>
      <c r="E93" t="s">
        <v>3948</v>
      </c>
      <c r="F93" t="s">
        <v>3948</v>
      </c>
      <c r="G93" t="s">
        <v>3948</v>
      </c>
      <c r="H93" t="s">
        <v>3948</v>
      </c>
      <c r="I93" t="s">
        <v>5617</v>
      </c>
      <c r="J93" t="s">
        <v>3948</v>
      </c>
      <c r="K93" t="s">
        <v>5300</v>
      </c>
      <c r="L93" t="s">
        <v>241</v>
      </c>
      <c r="M93" t="s">
        <v>4827</v>
      </c>
      <c r="N93" t="s">
        <v>262</v>
      </c>
      <c r="O93" t="s">
        <v>5155</v>
      </c>
      <c r="P93">
        <v>2023</v>
      </c>
      <c r="Q93">
        <v>66999</v>
      </c>
      <c r="R93" t="s">
        <v>5301</v>
      </c>
      <c r="S93" t="s">
        <v>264</v>
      </c>
      <c r="T93" t="s">
        <v>5145</v>
      </c>
      <c r="U93" t="s">
        <v>5157</v>
      </c>
      <c r="V93" t="s">
        <v>5147</v>
      </c>
      <c r="W93">
        <v>20990000</v>
      </c>
      <c r="X93" t="s">
        <v>5148</v>
      </c>
      <c r="Y93">
        <v>306</v>
      </c>
      <c r="Z93" t="s">
        <v>26</v>
      </c>
      <c r="AA93" t="s">
        <v>5175</v>
      </c>
      <c r="AB93" t="s">
        <v>5150</v>
      </c>
      <c r="AC93" t="s">
        <v>5302</v>
      </c>
      <c r="AD93" t="s">
        <v>5300</v>
      </c>
      <c r="AE93" t="s">
        <v>5303</v>
      </c>
      <c r="AF93" t="s">
        <v>5618</v>
      </c>
      <c r="AG93">
        <v>1</v>
      </c>
      <c r="AH93" t="s">
        <v>7837</v>
      </c>
      <c r="AI93" t="s">
        <v>7837</v>
      </c>
      <c r="AJ93" t="s">
        <v>5518</v>
      </c>
      <c r="AK93">
        <v>1</v>
      </c>
      <c r="AL93">
        <v>0</v>
      </c>
      <c r="AM93" t="s">
        <v>3948</v>
      </c>
      <c r="AN93">
        <v>0</v>
      </c>
      <c r="AO93">
        <v>19800000</v>
      </c>
      <c r="AP93">
        <v>423030</v>
      </c>
      <c r="AQ93">
        <v>0</v>
      </c>
      <c r="AR93">
        <v>20223030</v>
      </c>
      <c r="AS93">
        <v>20990000</v>
      </c>
      <c r="AT93">
        <v>766970</v>
      </c>
      <c r="AU93">
        <v>365</v>
      </c>
    </row>
    <row r="94" spans="1:47" ht="13.5" customHeight="1" x14ac:dyDescent="0.3">
      <c r="A94" t="s">
        <v>5142</v>
      </c>
      <c r="B94" t="s">
        <v>5143</v>
      </c>
      <c r="C94">
        <v>0</v>
      </c>
      <c r="D94">
        <v>0</v>
      </c>
      <c r="E94" t="s">
        <v>3948</v>
      </c>
      <c r="F94" t="s">
        <v>3948</v>
      </c>
      <c r="G94" t="s">
        <v>3948</v>
      </c>
      <c r="H94" t="s">
        <v>3948</v>
      </c>
      <c r="I94" t="s">
        <v>11417</v>
      </c>
      <c r="J94" t="s">
        <v>3948</v>
      </c>
      <c r="K94" t="s">
        <v>11418</v>
      </c>
      <c r="L94" t="s">
        <v>237</v>
      </c>
      <c r="M94" t="s">
        <v>65</v>
      </c>
      <c r="N94" t="s">
        <v>238</v>
      </c>
      <c r="O94" t="s">
        <v>5229</v>
      </c>
      <c r="P94">
        <v>2025</v>
      </c>
      <c r="Q94">
        <v>1600</v>
      </c>
      <c r="R94" t="s">
        <v>11419</v>
      </c>
      <c r="S94" t="s">
        <v>11420</v>
      </c>
      <c r="T94" t="s">
        <v>5145</v>
      </c>
      <c r="U94" t="s">
        <v>11421</v>
      </c>
      <c r="V94" t="s">
        <v>5147</v>
      </c>
      <c r="W94">
        <v>11390000</v>
      </c>
      <c r="X94" t="s">
        <v>5148</v>
      </c>
      <c r="Y94">
        <v>14</v>
      </c>
      <c r="Z94" t="s">
        <v>20</v>
      </c>
      <c r="AA94" t="s">
        <v>5149</v>
      </c>
      <c r="AB94" t="s">
        <v>3948</v>
      </c>
      <c r="AC94" t="s">
        <v>11422</v>
      </c>
      <c r="AD94" t="s">
        <v>11418</v>
      </c>
      <c r="AE94" t="s">
        <v>11423</v>
      </c>
      <c r="AF94" t="s">
        <v>11407</v>
      </c>
      <c r="AG94">
        <v>1</v>
      </c>
      <c r="AH94" t="s">
        <v>11407</v>
      </c>
      <c r="AI94" t="s">
        <v>11424</v>
      </c>
      <c r="AJ94" t="s">
        <v>3948</v>
      </c>
      <c r="AK94">
        <v>1</v>
      </c>
      <c r="AL94">
        <v>0</v>
      </c>
      <c r="AM94" t="s">
        <v>3948</v>
      </c>
      <c r="AN94">
        <v>0</v>
      </c>
      <c r="AO94">
        <v>9800000</v>
      </c>
      <c r="AP94">
        <v>276240</v>
      </c>
      <c r="AQ94">
        <v>0</v>
      </c>
      <c r="AR94">
        <v>10076240</v>
      </c>
      <c r="AS94">
        <v>11390000</v>
      </c>
      <c r="AT94">
        <v>1313760</v>
      </c>
      <c r="AU94">
        <v>1153</v>
      </c>
    </row>
    <row r="95" spans="1:47" ht="13.5" customHeight="1" x14ac:dyDescent="0.3">
      <c r="A95" t="s">
        <v>5142</v>
      </c>
      <c r="B95" t="s">
        <v>5161</v>
      </c>
      <c r="C95">
        <v>0</v>
      </c>
      <c r="D95">
        <v>0</v>
      </c>
      <c r="E95" t="s">
        <v>3948</v>
      </c>
      <c r="F95" t="s">
        <v>3948</v>
      </c>
      <c r="G95" t="s">
        <v>3948</v>
      </c>
      <c r="H95" t="s">
        <v>3948</v>
      </c>
      <c r="I95" t="s">
        <v>11425</v>
      </c>
      <c r="J95" t="s">
        <v>3948</v>
      </c>
      <c r="K95" t="s">
        <v>11426</v>
      </c>
      <c r="L95" t="s">
        <v>28</v>
      </c>
      <c r="M95" t="s">
        <v>35</v>
      </c>
      <c r="N95" t="s">
        <v>8528</v>
      </c>
      <c r="O95" t="s">
        <v>8529</v>
      </c>
      <c r="P95">
        <v>2025</v>
      </c>
      <c r="Q95">
        <v>15440</v>
      </c>
      <c r="R95" t="s">
        <v>11427</v>
      </c>
      <c r="S95" t="s">
        <v>11428</v>
      </c>
      <c r="T95" t="s">
        <v>5145</v>
      </c>
      <c r="U95" t="s">
        <v>11429</v>
      </c>
      <c r="V95" t="s">
        <v>5147</v>
      </c>
      <c r="W95">
        <v>10490000</v>
      </c>
      <c r="X95" t="s">
        <v>5148</v>
      </c>
      <c r="Y95">
        <v>14</v>
      </c>
      <c r="Z95" t="s">
        <v>16</v>
      </c>
      <c r="AA95" t="s">
        <v>5166</v>
      </c>
      <c r="AB95" t="s">
        <v>3948</v>
      </c>
      <c r="AC95" t="s">
        <v>11430</v>
      </c>
      <c r="AD95" t="s">
        <v>11426</v>
      </c>
      <c r="AE95" t="s">
        <v>11431</v>
      </c>
      <c r="AF95" t="s">
        <v>11407</v>
      </c>
      <c r="AG95">
        <v>1</v>
      </c>
      <c r="AH95" t="s">
        <v>11407</v>
      </c>
      <c r="AI95" t="s">
        <v>11432</v>
      </c>
      <c r="AJ95" t="s">
        <v>3948</v>
      </c>
      <c r="AK95">
        <v>1</v>
      </c>
      <c r="AL95">
        <v>0</v>
      </c>
      <c r="AM95" t="s">
        <v>3948</v>
      </c>
      <c r="AN95">
        <v>0</v>
      </c>
      <c r="AO95">
        <v>8400000</v>
      </c>
      <c r="AP95">
        <v>255240</v>
      </c>
      <c r="AQ95">
        <v>0</v>
      </c>
      <c r="AR95">
        <v>8655240</v>
      </c>
      <c r="AS95">
        <v>10490000</v>
      </c>
      <c r="AT95">
        <v>1834760</v>
      </c>
      <c r="AU95">
        <v>1749</v>
      </c>
    </row>
    <row r="96" spans="1:47" ht="13.5" customHeight="1" x14ac:dyDescent="0.3">
      <c r="A96" t="s">
        <v>5142</v>
      </c>
      <c r="B96" t="s">
        <v>5143</v>
      </c>
      <c r="C96">
        <v>0</v>
      </c>
      <c r="D96">
        <v>0</v>
      </c>
      <c r="E96" t="s">
        <v>3948</v>
      </c>
      <c r="F96" t="s">
        <v>3948</v>
      </c>
      <c r="G96" t="s">
        <v>3948</v>
      </c>
      <c r="H96" t="s">
        <v>3948</v>
      </c>
      <c r="I96" t="s">
        <v>10246</v>
      </c>
      <c r="J96" t="s">
        <v>3948</v>
      </c>
      <c r="K96" t="s">
        <v>10247</v>
      </c>
      <c r="L96" t="s">
        <v>241</v>
      </c>
      <c r="M96" t="s">
        <v>4827</v>
      </c>
      <c r="N96" t="s">
        <v>266</v>
      </c>
      <c r="O96" t="s">
        <v>5243</v>
      </c>
      <c r="P96">
        <v>2022</v>
      </c>
      <c r="Q96">
        <v>44332</v>
      </c>
      <c r="R96" t="s">
        <v>10248</v>
      </c>
      <c r="S96" t="s">
        <v>619</v>
      </c>
      <c r="T96" t="s">
        <v>5145</v>
      </c>
      <c r="U96" t="s">
        <v>5157</v>
      </c>
      <c r="V96" t="s">
        <v>5147</v>
      </c>
      <c r="W96">
        <v>18990000</v>
      </c>
      <c r="X96" t="s">
        <v>5148</v>
      </c>
      <c r="Y96">
        <v>46</v>
      </c>
      <c r="Z96" t="s">
        <v>16</v>
      </c>
      <c r="AA96" t="s">
        <v>5149</v>
      </c>
      <c r="AB96" t="s">
        <v>10078</v>
      </c>
      <c r="AC96" t="s">
        <v>10249</v>
      </c>
      <c r="AD96" t="s">
        <v>10247</v>
      </c>
      <c r="AE96" t="s">
        <v>10250</v>
      </c>
      <c r="AF96" t="s">
        <v>5633</v>
      </c>
      <c r="AG96">
        <v>1</v>
      </c>
      <c r="AH96" t="s">
        <v>5633</v>
      </c>
      <c r="AI96" t="s">
        <v>10251</v>
      </c>
      <c r="AJ96" t="s">
        <v>3948</v>
      </c>
      <c r="AK96">
        <v>3</v>
      </c>
      <c r="AL96">
        <v>0</v>
      </c>
      <c r="AM96" t="s">
        <v>3948</v>
      </c>
      <c r="AN96">
        <v>0</v>
      </c>
      <c r="AO96">
        <v>15900000</v>
      </c>
      <c r="AP96">
        <v>367740</v>
      </c>
      <c r="AQ96">
        <v>0</v>
      </c>
      <c r="AR96">
        <v>16267740</v>
      </c>
      <c r="AS96">
        <v>18990000</v>
      </c>
      <c r="AT96">
        <v>2722260</v>
      </c>
      <c r="AU96">
        <v>1434</v>
      </c>
    </row>
    <row r="97" spans="1:47" ht="13.5" customHeight="1" x14ac:dyDescent="0.3">
      <c r="A97" t="s">
        <v>5142</v>
      </c>
      <c r="B97" t="s">
        <v>5161</v>
      </c>
      <c r="C97">
        <v>0</v>
      </c>
      <c r="D97">
        <v>0</v>
      </c>
      <c r="E97" t="s">
        <v>3948</v>
      </c>
      <c r="F97" t="s">
        <v>3948</v>
      </c>
      <c r="G97" t="s">
        <v>3948</v>
      </c>
      <c r="H97" t="s">
        <v>3948</v>
      </c>
      <c r="I97" t="s">
        <v>5580</v>
      </c>
      <c r="J97" t="s">
        <v>3948</v>
      </c>
      <c r="K97" t="s">
        <v>5221</v>
      </c>
      <c r="L97" t="s">
        <v>220</v>
      </c>
      <c r="M97" t="s">
        <v>228</v>
      </c>
      <c r="N97" t="s">
        <v>229</v>
      </c>
      <c r="O97" t="s">
        <v>5222</v>
      </c>
      <c r="P97">
        <v>2020</v>
      </c>
      <c r="Q97">
        <v>96000</v>
      </c>
      <c r="R97" t="s">
        <v>5223</v>
      </c>
      <c r="S97" t="s">
        <v>230</v>
      </c>
      <c r="T97" t="s">
        <v>5145</v>
      </c>
      <c r="U97" t="s">
        <v>5197</v>
      </c>
      <c r="V97" t="s">
        <v>5147</v>
      </c>
      <c r="W97">
        <v>9490000</v>
      </c>
      <c r="X97" t="s">
        <v>5148</v>
      </c>
      <c r="Y97">
        <v>223</v>
      </c>
      <c r="Z97" t="s">
        <v>26</v>
      </c>
      <c r="AA97" t="s">
        <v>5166</v>
      </c>
      <c r="AB97" t="s">
        <v>5224</v>
      </c>
      <c r="AC97" t="s">
        <v>5225</v>
      </c>
      <c r="AD97" t="s">
        <v>5221</v>
      </c>
      <c r="AE97" t="s">
        <v>5226</v>
      </c>
      <c r="AF97" t="s">
        <v>5581</v>
      </c>
      <c r="AG97">
        <v>1</v>
      </c>
      <c r="AH97" t="s">
        <v>9888</v>
      </c>
      <c r="AI97" t="s">
        <v>9888</v>
      </c>
      <c r="AJ97" t="s">
        <v>5502</v>
      </c>
      <c r="AK97">
        <v>4</v>
      </c>
      <c r="AL97">
        <v>0</v>
      </c>
      <c r="AM97" t="s">
        <v>3948</v>
      </c>
      <c r="AN97">
        <v>0</v>
      </c>
      <c r="AO97">
        <v>8500000</v>
      </c>
      <c r="AP97">
        <v>253530</v>
      </c>
      <c r="AQ97">
        <v>0</v>
      </c>
      <c r="AR97">
        <v>8753530</v>
      </c>
      <c r="AS97">
        <v>9490000</v>
      </c>
      <c r="AT97">
        <v>736470</v>
      </c>
      <c r="AU97">
        <v>776</v>
      </c>
    </row>
    <row r="98" spans="1:47" ht="13.5" customHeight="1" x14ac:dyDescent="0.3">
      <c r="A98" t="s">
        <v>5142</v>
      </c>
      <c r="B98" t="s">
        <v>5143</v>
      </c>
      <c r="C98">
        <v>0</v>
      </c>
      <c r="D98">
        <v>0</v>
      </c>
      <c r="E98" t="s">
        <v>3948</v>
      </c>
      <c r="F98" t="s">
        <v>3948</v>
      </c>
      <c r="G98" t="s">
        <v>3948</v>
      </c>
      <c r="H98" t="s">
        <v>3948</v>
      </c>
      <c r="I98" t="s">
        <v>9559</v>
      </c>
      <c r="J98" t="s">
        <v>3948</v>
      </c>
      <c r="K98" t="s">
        <v>9560</v>
      </c>
      <c r="L98" t="s">
        <v>86</v>
      </c>
      <c r="M98" t="s">
        <v>3840</v>
      </c>
      <c r="N98" t="s">
        <v>9561</v>
      </c>
      <c r="O98" t="s">
        <v>9562</v>
      </c>
      <c r="P98">
        <v>2025</v>
      </c>
      <c r="Q98">
        <v>31490</v>
      </c>
      <c r="R98" t="s">
        <v>9563</v>
      </c>
      <c r="S98" t="s">
        <v>8789</v>
      </c>
      <c r="T98" t="s">
        <v>5145</v>
      </c>
      <c r="U98" t="s">
        <v>5247</v>
      </c>
      <c r="V98" t="s">
        <v>5147</v>
      </c>
      <c r="W98">
        <v>25990000</v>
      </c>
      <c r="X98" t="s">
        <v>5148</v>
      </c>
      <c r="Y98">
        <v>80</v>
      </c>
      <c r="Z98" t="s">
        <v>26</v>
      </c>
      <c r="AA98" t="s">
        <v>5149</v>
      </c>
      <c r="AB98" t="s">
        <v>9564</v>
      </c>
      <c r="AC98" t="s">
        <v>9565</v>
      </c>
      <c r="AD98" t="s">
        <v>9560</v>
      </c>
      <c r="AE98" t="s">
        <v>9566</v>
      </c>
      <c r="AF98" t="s">
        <v>9550</v>
      </c>
      <c r="AG98">
        <v>1</v>
      </c>
      <c r="AH98" t="s">
        <v>9550</v>
      </c>
      <c r="AI98" t="s">
        <v>9567</v>
      </c>
      <c r="AJ98" t="s">
        <v>3948</v>
      </c>
      <c r="AK98">
        <v>1</v>
      </c>
      <c r="AL98">
        <v>0</v>
      </c>
      <c r="AM98" t="s">
        <v>3948</v>
      </c>
      <c r="AN98">
        <v>0</v>
      </c>
      <c r="AO98">
        <v>22500000</v>
      </c>
      <c r="AP98">
        <v>466740</v>
      </c>
      <c r="AQ98">
        <v>0</v>
      </c>
      <c r="AR98">
        <v>22966740</v>
      </c>
      <c r="AS98">
        <v>25990000</v>
      </c>
      <c r="AT98">
        <v>3023260</v>
      </c>
      <c r="AU98">
        <v>1163</v>
      </c>
    </row>
    <row r="99" spans="1:47" ht="13.5" customHeight="1" x14ac:dyDescent="0.3">
      <c r="A99" t="s">
        <v>5142</v>
      </c>
      <c r="B99" t="s">
        <v>5143</v>
      </c>
      <c r="C99">
        <v>0</v>
      </c>
      <c r="D99">
        <v>0</v>
      </c>
      <c r="E99" t="s">
        <v>3948</v>
      </c>
      <c r="F99" t="s">
        <v>3948</v>
      </c>
      <c r="G99" t="s">
        <v>3948</v>
      </c>
      <c r="H99" t="s">
        <v>3948</v>
      </c>
      <c r="I99" t="s">
        <v>11433</v>
      </c>
      <c r="J99" t="s">
        <v>3948</v>
      </c>
      <c r="K99" t="s">
        <v>11434</v>
      </c>
      <c r="L99" t="s">
        <v>60</v>
      </c>
      <c r="M99" t="s">
        <v>61</v>
      </c>
      <c r="N99" t="s">
        <v>11435</v>
      </c>
      <c r="O99" t="s">
        <v>11436</v>
      </c>
      <c r="P99">
        <v>2021</v>
      </c>
      <c r="Q99">
        <v>57477</v>
      </c>
      <c r="R99" t="s">
        <v>11437</v>
      </c>
      <c r="S99" t="s">
        <v>11438</v>
      </c>
      <c r="T99" t="s">
        <v>5145</v>
      </c>
      <c r="U99" t="s">
        <v>10138</v>
      </c>
      <c r="V99" t="s">
        <v>5147</v>
      </c>
      <c r="W99">
        <v>9590000</v>
      </c>
      <c r="X99" t="s">
        <v>5148</v>
      </c>
      <c r="Y99">
        <v>14</v>
      </c>
      <c r="Z99" t="s">
        <v>16</v>
      </c>
      <c r="AA99" t="s">
        <v>5149</v>
      </c>
      <c r="AB99" t="s">
        <v>11439</v>
      </c>
      <c r="AC99" t="s">
        <v>11440</v>
      </c>
      <c r="AD99" t="s">
        <v>11441</v>
      </c>
      <c r="AE99" t="s">
        <v>11442</v>
      </c>
      <c r="AF99" t="s">
        <v>11407</v>
      </c>
      <c r="AG99">
        <v>1</v>
      </c>
      <c r="AH99" t="s">
        <v>11407</v>
      </c>
      <c r="AI99" t="s">
        <v>11443</v>
      </c>
      <c r="AJ99" t="s">
        <v>3948</v>
      </c>
      <c r="AK99">
        <v>1</v>
      </c>
      <c r="AL99">
        <v>0</v>
      </c>
      <c r="AM99" t="s">
        <v>3948</v>
      </c>
      <c r="AN99">
        <v>0</v>
      </c>
      <c r="AO99">
        <v>7600000</v>
      </c>
      <c r="AP99">
        <v>243240</v>
      </c>
      <c r="AQ99">
        <v>0</v>
      </c>
      <c r="AR99">
        <v>7843240</v>
      </c>
      <c r="AS99">
        <v>9590000</v>
      </c>
      <c r="AT99">
        <v>1746760</v>
      </c>
      <c r="AU99">
        <v>1821</v>
      </c>
    </row>
    <row r="100" spans="1:47" ht="13.5" customHeight="1" x14ac:dyDescent="0.3">
      <c r="A100" t="s">
        <v>5142</v>
      </c>
      <c r="B100" t="s">
        <v>5143</v>
      </c>
      <c r="C100">
        <v>0</v>
      </c>
      <c r="D100">
        <v>0</v>
      </c>
      <c r="E100" t="s">
        <v>3948</v>
      </c>
      <c r="F100" t="s">
        <v>3948</v>
      </c>
      <c r="G100" t="s">
        <v>3948</v>
      </c>
      <c r="H100" t="s">
        <v>3948</v>
      </c>
      <c r="I100" t="s">
        <v>11444</v>
      </c>
      <c r="J100" t="s">
        <v>3948</v>
      </c>
      <c r="K100" t="s">
        <v>11445</v>
      </c>
      <c r="L100" t="s">
        <v>186</v>
      </c>
      <c r="M100" t="s">
        <v>4472</v>
      </c>
      <c r="N100" t="s">
        <v>11446</v>
      </c>
      <c r="O100" t="s">
        <v>11447</v>
      </c>
      <c r="P100">
        <v>2023</v>
      </c>
      <c r="Q100">
        <v>57917</v>
      </c>
      <c r="R100" t="s">
        <v>11448</v>
      </c>
      <c r="S100" t="s">
        <v>11207</v>
      </c>
      <c r="T100" t="s">
        <v>5145</v>
      </c>
      <c r="U100" t="s">
        <v>8379</v>
      </c>
      <c r="V100" t="s">
        <v>5147</v>
      </c>
      <c r="W100">
        <v>23490000</v>
      </c>
      <c r="X100" t="s">
        <v>5148</v>
      </c>
      <c r="Y100">
        <v>14</v>
      </c>
      <c r="Z100" t="s">
        <v>116</v>
      </c>
      <c r="AA100" t="s">
        <v>5149</v>
      </c>
      <c r="AB100" t="s">
        <v>11449</v>
      </c>
      <c r="AC100" t="s">
        <v>11450</v>
      </c>
      <c r="AD100" t="s">
        <v>11445</v>
      </c>
      <c r="AE100" t="s">
        <v>11451</v>
      </c>
      <c r="AF100" t="s">
        <v>11407</v>
      </c>
      <c r="AG100">
        <v>1</v>
      </c>
      <c r="AH100" t="s">
        <v>11407</v>
      </c>
      <c r="AI100" t="s">
        <v>11452</v>
      </c>
      <c r="AJ100" t="s">
        <v>3948</v>
      </c>
      <c r="AK100">
        <v>1</v>
      </c>
      <c r="AL100">
        <v>0</v>
      </c>
      <c r="AM100" t="s">
        <v>3948</v>
      </c>
      <c r="AN100">
        <v>0</v>
      </c>
      <c r="AO100">
        <v>19000000</v>
      </c>
      <c r="AP100">
        <v>414240</v>
      </c>
      <c r="AQ100">
        <v>0</v>
      </c>
      <c r="AR100">
        <v>19414240</v>
      </c>
      <c r="AS100">
        <v>23490000</v>
      </c>
      <c r="AT100">
        <v>4075760</v>
      </c>
      <c r="AU100">
        <v>1735</v>
      </c>
    </row>
    <row r="101" spans="1:47" ht="13.5" customHeight="1" x14ac:dyDescent="0.3">
      <c r="A101" t="s">
        <v>5142</v>
      </c>
      <c r="B101" t="s">
        <v>5143</v>
      </c>
      <c r="C101">
        <v>0</v>
      </c>
      <c r="D101">
        <v>0</v>
      </c>
      <c r="E101" t="s">
        <v>3948</v>
      </c>
      <c r="F101" t="s">
        <v>3948</v>
      </c>
      <c r="G101" t="s">
        <v>3948</v>
      </c>
      <c r="H101" t="s">
        <v>3948</v>
      </c>
      <c r="I101" t="s">
        <v>5524</v>
      </c>
      <c r="J101" t="s">
        <v>3948</v>
      </c>
      <c r="K101" t="s">
        <v>5322</v>
      </c>
      <c r="L101" t="s">
        <v>86</v>
      </c>
      <c r="M101" t="s">
        <v>98</v>
      </c>
      <c r="N101" t="s">
        <v>99</v>
      </c>
      <c r="O101" t="s">
        <v>5271</v>
      </c>
      <c r="P101">
        <v>2023</v>
      </c>
      <c r="Q101">
        <v>80000</v>
      </c>
      <c r="R101" t="s">
        <v>5323</v>
      </c>
      <c r="S101" t="s">
        <v>101</v>
      </c>
      <c r="T101" t="s">
        <v>5145</v>
      </c>
      <c r="U101" t="s">
        <v>5296</v>
      </c>
      <c r="V101" t="s">
        <v>5147</v>
      </c>
      <c r="W101">
        <v>16990000</v>
      </c>
      <c r="X101" t="s">
        <v>5148</v>
      </c>
      <c r="Y101">
        <v>209</v>
      </c>
      <c r="Z101" t="s">
        <v>26</v>
      </c>
      <c r="AA101" t="s">
        <v>5149</v>
      </c>
      <c r="AB101" t="s">
        <v>5324</v>
      </c>
      <c r="AC101" t="s">
        <v>5325</v>
      </c>
      <c r="AD101" t="s">
        <v>5322</v>
      </c>
      <c r="AE101" t="s">
        <v>5326</v>
      </c>
      <c r="AF101" t="s">
        <v>5523</v>
      </c>
      <c r="AG101">
        <v>1</v>
      </c>
      <c r="AH101" t="s">
        <v>5523</v>
      </c>
      <c r="AI101" t="s">
        <v>5525</v>
      </c>
      <c r="AJ101" t="s">
        <v>3948</v>
      </c>
      <c r="AK101">
        <v>0</v>
      </c>
      <c r="AL101">
        <v>0</v>
      </c>
      <c r="AM101" t="s">
        <v>3948</v>
      </c>
      <c r="AN101">
        <v>0</v>
      </c>
      <c r="AO101">
        <v>15400000</v>
      </c>
      <c r="AP101">
        <v>357030</v>
      </c>
      <c r="AQ101">
        <v>0</v>
      </c>
      <c r="AR101">
        <v>15757030</v>
      </c>
      <c r="AS101">
        <v>16990000</v>
      </c>
      <c r="AT101">
        <v>1232970</v>
      </c>
      <c r="AU101">
        <v>726</v>
      </c>
    </row>
    <row r="102" spans="1:47" ht="13.5" customHeight="1" x14ac:dyDescent="0.3">
      <c r="A102" t="s">
        <v>5142</v>
      </c>
      <c r="B102" t="s">
        <v>5143</v>
      </c>
      <c r="C102">
        <v>0</v>
      </c>
      <c r="D102">
        <v>0</v>
      </c>
      <c r="E102" t="s">
        <v>3948</v>
      </c>
      <c r="F102" t="s">
        <v>3948</v>
      </c>
      <c r="G102" t="s">
        <v>3948</v>
      </c>
      <c r="H102" t="s">
        <v>3948</v>
      </c>
      <c r="I102" t="s">
        <v>8736</v>
      </c>
      <c r="J102" t="s">
        <v>3948</v>
      </c>
      <c r="K102" t="s">
        <v>8737</v>
      </c>
      <c r="L102" t="s">
        <v>86</v>
      </c>
      <c r="M102" t="s">
        <v>106</v>
      </c>
      <c r="N102" t="s">
        <v>8181</v>
      </c>
      <c r="O102" t="s">
        <v>8182</v>
      </c>
      <c r="P102">
        <v>2025</v>
      </c>
      <c r="Q102">
        <v>43000</v>
      </c>
      <c r="R102" t="s">
        <v>8738</v>
      </c>
      <c r="S102" t="s">
        <v>8599</v>
      </c>
      <c r="T102" t="s">
        <v>5145</v>
      </c>
      <c r="U102" t="s">
        <v>8739</v>
      </c>
      <c r="V102" t="s">
        <v>5147</v>
      </c>
      <c r="W102">
        <v>36990000</v>
      </c>
      <c r="X102" t="s">
        <v>5148</v>
      </c>
      <c r="Y102">
        <v>85</v>
      </c>
      <c r="Z102" t="s">
        <v>26</v>
      </c>
      <c r="AA102" t="s">
        <v>5149</v>
      </c>
      <c r="AB102" t="s">
        <v>5150</v>
      </c>
      <c r="AC102" t="s">
        <v>8740</v>
      </c>
      <c r="AD102" t="s">
        <v>8737</v>
      </c>
      <c r="AE102" t="s">
        <v>8741</v>
      </c>
      <c r="AF102" t="s">
        <v>8726</v>
      </c>
      <c r="AG102">
        <v>1</v>
      </c>
      <c r="AH102" t="s">
        <v>8726</v>
      </c>
      <c r="AI102" t="s">
        <v>8742</v>
      </c>
      <c r="AJ102" t="s">
        <v>3948</v>
      </c>
      <c r="AK102">
        <v>1</v>
      </c>
      <c r="AL102">
        <v>0</v>
      </c>
      <c r="AM102" t="s">
        <v>3948</v>
      </c>
      <c r="AN102">
        <v>0</v>
      </c>
      <c r="AO102">
        <v>30000000</v>
      </c>
      <c r="AP102">
        <v>579240</v>
      </c>
      <c r="AQ102">
        <v>0</v>
      </c>
      <c r="AR102">
        <v>30579240</v>
      </c>
      <c r="AS102">
        <v>36990000</v>
      </c>
      <c r="AT102">
        <v>6410760</v>
      </c>
      <c r="AU102">
        <v>1733</v>
      </c>
    </row>
    <row r="103" spans="1:47" ht="13.5" customHeight="1" x14ac:dyDescent="0.3">
      <c r="A103" t="s">
        <v>5142</v>
      </c>
      <c r="B103" t="s">
        <v>5180</v>
      </c>
      <c r="C103">
        <v>0</v>
      </c>
      <c r="D103">
        <v>0</v>
      </c>
      <c r="E103" t="s">
        <v>3948</v>
      </c>
      <c r="F103" t="s">
        <v>3948</v>
      </c>
      <c r="G103" t="s">
        <v>3948</v>
      </c>
      <c r="H103" t="s">
        <v>3948</v>
      </c>
      <c r="I103" t="s">
        <v>5595</v>
      </c>
      <c r="J103" t="s">
        <v>3948</v>
      </c>
      <c r="K103" t="s">
        <v>5392</v>
      </c>
      <c r="L103" t="s">
        <v>86</v>
      </c>
      <c r="M103" t="s">
        <v>106</v>
      </c>
      <c r="N103" t="s">
        <v>109</v>
      </c>
      <c r="O103" t="s">
        <v>5393</v>
      </c>
      <c r="P103">
        <v>2020</v>
      </c>
      <c r="Q103">
        <v>84600</v>
      </c>
      <c r="R103" t="s">
        <v>5394</v>
      </c>
      <c r="S103" t="s">
        <v>110</v>
      </c>
      <c r="T103" t="s">
        <v>5145</v>
      </c>
      <c r="U103" t="s">
        <v>5395</v>
      </c>
      <c r="V103" t="s">
        <v>5147</v>
      </c>
      <c r="W103">
        <v>22990000</v>
      </c>
      <c r="X103" t="s">
        <v>5148</v>
      </c>
      <c r="Y103">
        <v>199</v>
      </c>
      <c r="Z103" t="s">
        <v>40</v>
      </c>
      <c r="AA103" t="s">
        <v>5181</v>
      </c>
      <c r="AB103" t="s">
        <v>3948</v>
      </c>
      <c r="AC103" t="s">
        <v>5396</v>
      </c>
      <c r="AD103" t="s">
        <v>5392</v>
      </c>
      <c r="AE103" t="s">
        <v>5397</v>
      </c>
      <c r="AF103" t="s">
        <v>5478</v>
      </c>
      <c r="AG103">
        <v>1</v>
      </c>
      <c r="AH103" t="s">
        <v>5478</v>
      </c>
      <c r="AI103" t="s">
        <v>5596</v>
      </c>
      <c r="AJ103" t="s">
        <v>3948</v>
      </c>
      <c r="AK103">
        <v>0</v>
      </c>
      <c r="AL103">
        <v>0</v>
      </c>
      <c r="AM103" t="s">
        <v>3948</v>
      </c>
      <c r="AN103">
        <v>0</v>
      </c>
      <c r="AO103">
        <v>17000000</v>
      </c>
      <c r="AP103">
        <v>381030</v>
      </c>
      <c r="AQ103">
        <v>0</v>
      </c>
      <c r="AR103">
        <v>17381030</v>
      </c>
      <c r="AS103">
        <v>22990000</v>
      </c>
      <c r="AT103">
        <v>5608970</v>
      </c>
      <c r="AU103">
        <v>244</v>
      </c>
    </row>
    <row r="104" spans="1:47" ht="13.5" customHeight="1" x14ac:dyDescent="0.3">
      <c r="A104" t="s">
        <v>5142</v>
      </c>
      <c r="B104" t="s">
        <v>5161</v>
      </c>
      <c r="C104">
        <v>0</v>
      </c>
      <c r="D104">
        <v>0</v>
      </c>
      <c r="E104" t="s">
        <v>3948</v>
      </c>
      <c r="F104" t="s">
        <v>3948</v>
      </c>
      <c r="G104" t="s">
        <v>3948</v>
      </c>
      <c r="H104" t="s">
        <v>3948</v>
      </c>
      <c r="I104" t="s">
        <v>5551</v>
      </c>
      <c r="J104" t="s">
        <v>3948</v>
      </c>
      <c r="K104" t="s">
        <v>5552</v>
      </c>
      <c r="L104" t="s">
        <v>2545</v>
      </c>
      <c r="M104" t="s">
        <v>2856</v>
      </c>
      <c r="N104" t="s">
        <v>4930</v>
      </c>
      <c r="O104" t="s">
        <v>5553</v>
      </c>
      <c r="P104">
        <v>2024</v>
      </c>
      <c r="Q104">
        <v>76000</v>
      </c>
      <c r="R104" t="s">
        <v>5554</v>
      </c>
      <c r="S104" t="s">
        <v>5555</v>
      </c>
      <c r="T104" t="s">
        <v>5145</v>
      </c>
      <c r="U104" t="s">
        <v>5556</v>
      </c>
      <c r="V104" t="s">
        <v>5147</v>
      </c>
      <c r="W104">
        <v>20490000</v>
      </c>
      <c r="X104" t="s">
        <v>5148</v>
      </c>
      <c r="Y104">
        <v>111</v>
      </c>
      <c r="Z104" t="s">
        <v>26</v>
      </c>
      <c r="AA104" t="s">
        <v>5166</v>
      </c>
      <c r="AB104" t="s">
        <v>5176</v>
      </c>
      <c r="AC104" t="s">
        <v>5557</v>
      </c>
      <c r="AD104" t="s">
        <v>5552</v>
      </c>
      <c r="AE104" t="s">
        <v>5558</v>
      </c>
      <c r="AF104" t="s">
        <v>5527</v>
      </c>
      <c r="AG104">
        <v>1</v>
      </c>
      <c r="AH104" t="s">
        <v>5527</v>
      </c>
      <c r="AI104" t="s">
        <v>5559</v>
      </c>
      <c r="AJ104" t="s">
        <v>3948</v>
      </c>
      <c r="AK104">
        <v>1</v>
      </c>
      <c r="AL104">
        <v>0</v>
      </c>
      <c r="AM104" t="s">
        <v>3948</v>
      </c>
      <c r="AN104">
        <v>0</v>
      </c>
      <c r="AO104">
        <v>19000000</v>
      </c>
      <c r="AP104">
        <v>414240</v>
      </c>
      <c r="AQ104">
        <v>0</v>
      </c>
      <c r="AR104">
        <v>19414240</v>
      </c>
      <c r="AS104">
        <v>20490000</v>
      </c>
      <c r="AT104">
        <v>1075760</v>
      </c>
      <c r="AU104">
        <v>525</v>
      </c>
    </row>
    <row r="105" spans="1:47" ht="13.5" customHeight="1" x14ac:dyDescent="0.3">
      <c r="A105" t="s">
        <v>5142</v>
      </c>
      <c r="B105" t="s">
        <v>5170</v>
      </c>
      <c r="C105">
        <v>0</v>
      </c>
      <c r="D105">
        <v>0</v>
      </c>
      <c r="E105" t="s">
        <v>3948</v>
      </c>
      <c r="F105" t="s">
        <v>3948</v>
      </c>
      <c r="G105" t="s">
        <v>3948</v>
      </c>
      <c r="H105" t="s">
        <v>3948</v>
      </c>
      <c r="I105" t="s">
        <v>5600</v>
      </c>
      <c r="J105" t="s">
        <v>3948</v>
      </c>
      <c r="K105" t="s">
        <v>5388</v>
      </c>
      <c r="L105" t="s">
        <v>86</v>
      </c>
      <c r="M105" t="s">
        <v>98</v>
      </c>
      <c r="N105" t="s">
        <v>99</v>
      </c>
      <c r="O105" t="s">
        <v>5271</v>
      </c>
      <c r="P105">
        <v>2023</v>
      </c>
      <c r="Q105">
        <v>45000</v>
      </c>
      <c r="R105" t="s">
        <v>5389</v>
      </c>
      <c r="S105" t="s">
        <v>100</v>
      </c>
      <c r="T105" t="s">
        <v>5145</v>
      </c>
      <c r="U105" t="s">
        <v>5318</v>
      </c>
      <c r="V105" t="s">
        <v>5147</v>
      </c>
      <c r="W105">
        <v>18990000</v>
      </c>
      <c r="X105" t="s">
        <v>5148</v>
      </c>
      <c r="Y105">
        <v>230</v>
      </c>
      <c r="Z105" t="s">
        <v>26</v>
      </c>
      <c r="AA105" t="s">
        <v>5175</v>
      </c>
      <c r="AB105" t="s">
        <v>5185</v>
      </c>
      <c r="AC105" t="s">
        <v>5390</v>
      </c>
      <c r="AD105" t="s">
        <v>5388</v>
      </c>
      <c r="AE105" t="s">
        <v>5391</v>
      </c>
      <c r="AF105" t="s">
        <v>5601</v>
      </c>
      <c r="AG105">
        <v>1</v>
      </c>
      <c r="AH105" t="s">
        <v>5601</v>
      </c>
      <c r="AI105" t="s">
        <v>5602</v>
      </c>
      <c r="AJ105" t="s">
        <v>3948</v>
      </c>
      <c r="AK105">
        <v>1</v>
      </c>
      <c r="AL105">
        <v>0</v>
      </c>
      <c r="AM105" t="s">
        <v>3948</v>
      </c>
      <c r="AN105">
        <v>0</v>
      </c>
      <c r="AO105">
        <v>17500000</v>
      </c>
      <c r="AP105">
        <v>388530</v>
      </c>
      <c r="AQ105">
        <v>0</v>
      </c>
      <c r="AR105">
        <v>17888530</v>
      </c>
      <c r="AS105">
        <v>18990000</v>
      </c>
      <c r="AT105">
        <v>1101470</v>
      </c>
      <c r="AU105">
        <v>58</v>
      </c>
    </row>
    <row r="106" spans="1:47" ht="13.5" customHeight="1" x14ac:dyDescent="0.3">
      <c r="A106" t="s">
        <v>5142</v>
      </c>
      <c r="B106" t="s">
        <v>5143</v>
      </c>
      <c r="C106">
        <v>0</v>
      </c>
      <c r="D106">
        <v>0</v>
      </c>
      <c r="E106" t="s">
        <v>3948</v>
      </c>
      <c r="F106" t="s">
        <v>3948</v>
      </c>
      <c r="G106" t="s">
        <v>3948</v>
      </c>
      <c r="H106" t="s">
        <v>3948</v>
      </c>
      <c r="I106" t="s">
        <v>10262</v>
      </c>
      <c r="J106" t="s">
        <v>3948</v>
      </c>
      <c r="K106" t="s">
        <v>10263</v>
      </c>
      <c r="L106" t="s">
        <v>311</v>
      </c>
      <c r="M106" t="s">
        <v>2979</v>
      </c>
      <c r="N106" t="s">
        <v>10264</v>
      </c>
      <c r="O106" t="s">
        <v>10265</v>
      </c>
      <c r="P106">
        <v>2016</v>
      </c>
      <c r="Q106">
        <v>80000</v>
      </c>
      <c r="R106" t="s">
        <v>10266</v>
      </c>
      <c r="S106" t="s">
        <v>10113</v>
      </c>
      <c r="T106" t="s">
        <v>5145</v>
      </c>
      <c r="U106" t="s">
        <v>8563</v>
      </c>
      <c r="V106" t="s">
        <v>5147</v>
      </c>
      <c r="W106">
        <v>8990000</v>
      </c>
      <c r="X106" t="s">
        <v>5148</v>
      </c>
      <c r="Y106">
        <v>46</v>
      </c>
      <c r="Z106" t="s">
        <v>63</v>
      </c>
      <c r="AA106" t="s">
        <v>5149</v>
      </c>
      <c r="AB106" t="s">
        <v>10267</v>
      </c>
      <c r="AC106" t="s">
        <v>10268</v>
      </c>
      <c r="AD106" t="s">
        <v>10263</v>
      </c>
      <c r="AE106" t="s">
        <v>10269</v>
      </c>
      <c r="AF106" t="s">
        <v>5633</v>
      </c>
      <c r="AG106">
        <v>1</v>
      </c>
      <c r="AH106" t="s">
        <v>5633</v>
      </c>
      <c r="AI106" t="s">
        <v>10270</v>
      </c>
      <c r="AJ106" t="s">
        <v>3948</v>
      </c>
      <c r="AK106">
        <v>2</v>
      </c>
      <c r="AL106">
        <v>0</v>
      </c>
      <c r="AM106" t="s">
        <v>3948</v>
      </c>
      <c r="AN106">
        <v>0</v>
      </c>
      <c r="AO106">
        <v>6600000</v>
      </c>
      <c r="AP106">
        <v>228240</v>
      </c>
      <c r="AQ106">
        <v>0</v>
      </c>
      <c r="AR106">
        <v>6828240</v>
      </c>
      <c r="AS106">
        <v>8990000</v>
      </c>
      <c r="AT106">
        <v>2161760</v>
      </c>
      <c r="AU106">
        <v>2405</v>
      </c>
    </row>
    <row r="107" spans="1:47" ht="13.5" customHeight="1" x14ac:dyDescent="0.3">
      <c r="A107" t="s">
        <v>5142</v>
      </c>
      <c r="B107" t="s">
        <v>5143</v>
      </c>
      <c r="C107">
        <v>0</v>
      </c>
      <c r="D107">
        <v>0</v>
      </c>
      <c r="E107" t="s">
        <v>3948</v>
      </c>
      <c r="F107" t="s">
        <v>3948</v>
      </c>
      <c r="G107" t="s">
        <v>3948</v>
      </c>
      <c r="H107" t="s">
        <v>3948</v>
      </c>
      <c r="I107" t="s">
        <v>11453</v>
      </c>
      <c r="J107" t="s">
        <v>3948</v>
      </c>
      <c r="K107" t="s">
        <v>11454</v>
      </c>
      <c r="L107" t="s">
        <v>186</v>
      </c>
      <c r="M107" t="s">
        <v>2664</v>
      </c>
      <c r="N107" t="s">
        <v>4515</v>
      </c>
      <c r="O107" t="s">
        <v>10975</v>
      </c>
      <c r="P107">
        <v>2025</v>
      </c>
      <c r="Q107">
        <v>45341</v>
      </c>
      <c r="R107" t="s">
        <v>11455</v>
      </c>
      <c r="S107" t="s">
        <v>11456</v>
      </c>
      <c r="T107" t="s">
        <v>5145</v>
      </c>
      <c r="U107" t="s">
        <v>10977</v>
      </c>
      <c r="V107" t="s">
        <v>5147</v>
      </c>
      <c r="W107">
        <v>13490000</v>
      </c>
      <c r="X107" t="s">
        <v>5148</v>
      </c>
      <c r="Y107">
        <v>14</v>
      </c>
      <c r="Z107" t="s">
        <v>26</v>
      </c>
      <c r="AA107" t="s">
        <v>5149</v>
      </c>
      <c r="AB107" t="s">
        <v>3948</v>
      </c>
      <c r="AC107" t="s">
        <v>11457</v>
      </c>
      <c r="AD107" t="s">
        <v>11454</v>
      </c>
      <c r="AE107" t="s">
        <v>11458</v>
      </c>
      <c r="AF107" t="s">
        <v>11407</v>
      </c>
      <c r="AG107">
        <v>1</v>
      </c>
      <c r="AH107" t="s">
        <v>11407</v>
      </c>
      <c r="AI107" t="s">
        <v>11459</v>
      </c>
      <c r="AJ107" t="s">
        <v>3948</v>
      </c>
      <c r="AK107">
        <v>1</v>
      </c>
      <c r="AL107">
        <v>0</v>
      </c>
      <c r="AM107" t="s">
        <v>3948</v>
      </c>
      <c r="AN107">
        <v>0</v>
      </c>
      <c r="AO107">
        <v>10500000</v>
      </c>
      <c r="AP107">
        <v>286740</v>
      </c>
      <c r="AQ107">
        <v>0</v>
      </c>
      <c r="AR107">
        <v>10786740</v>
      </c>
      <c r="AS107">
        <v>13490000</v>
      </c>
      <c r="AT107">
        <v>2703260</v>
      </c>
      <c r="AU107">
        <v>2004</v>
      </c>
    </row>
    <row r="108" spans="1:47" ht="13.5" customHeight="1" x14ac:dyDescent="0.3">
      <c r="A108" t="s">
        <v>5142</v>
      </c>
      <c r="B108" t="s">
        <v>5180</v>
      </c>
      <c r="C108">
        <v>0</v>
      </c>
      <c r="D108">
        <v>0</v>
      </c>
      <c r="E108" t="s">
        <v>3948</v>
      </c>
      <c r="F108" t="s">
        <v>3948</v>
      </c>
      <c r="G108" t="s">
        <v>3948</v>
      </c>
      <c r="H108" t="s">
        <v>3948</v>
      </c>
      <c r="I108" t="s">
        <v>5534</v>
      </c>
      <c r="J108" t="s">
        <v>3948</v>
      </c>
      <c r="K108" t="s">
        <v>5242</v>
      </c>
      <c r="L108" t="s">
        <v>241</v>
      </c>
      <c r="M108" t="s">
        <v>4827</v>
      </c>
      <c r="N108" t="s">
        <v>266</v>
      </c>
      <c r="O108" t="s">
        <v>5243</v>
      </c>
      <c r="P108">
        <v>2023</v>
      </c>
      <c r="Q108">
        <v>76000</v>
      </c>
      <c r="R108" t="s">
        <v>5244</v>
      </c>
      <c r="S108" t="s">
        <v>267</v>
      </c>
      <c r="T108" t="s">
        <v>5145</v>
      </c>
      <c r="U108" t="s">
        <v>5146</v>
      </c>
      <c r="V108" t="s">
        <v>5147</v>
      </c>
      <c r="W108">
        <v>17990000</v>
      </c>
      <c r="X108" t="s">
        <v>5148</v>
      </c>
      <c r="Y108">
        <v>222</v>
      </c>
      <c r="Z108" t="s">
        <v>26</v>
      </c>
      <c r="AA108" t="s">
        <v>5181</v>
      </c>
      <c r="AB108" t="s">
        <v>5150</v>
      </c>
      <c r="AC108" t="s">
        <v>5245</v>
      </c>
      <c r="AD108" t="s">
        <v>5242</v>
      </c>
      <c r="AE108" t="s">
        <v>5246</v>
      </c>
      <c r="AF108" t="s">
        <v>5535</v>
      </c>
      <c r="AG108">
        <v>1</v>
      </c>
      <c r="AH108" t="s">
        <v>5535</v>
      </c>
      <c r="AI108" t="s">
        <v>5536</v>
      </c>
      <c r="AJ108" t="s">
        <v>5537</v>
      </c>
      <c r="AK108">
        <v>1</v>
      </c>
      <c r="AL108">
        <v>0</v>
      </c>
      <c r="AM108" t="s">
        <v>3948</v>
      </c>
      <c r="AN108">
        <v>0</v>
      </c>
      <c r="AO108">
        <v>16500000</v>
      </c>
      <c r="AP108">
        <v>373530</v>
      </c>
      <c r="AQ108">
        <v>0</v>
      </c>
      <c r="AR108">
        <v>16873530</v>
      </c>
      <c r="AS108">
        <v>17990000</v>
      </c>
      <c r="AT108">
        <v>1116470</v>
      </c>
      <c r="AU108">
        <v>621</v>
      </c>
    </row>
    <row r="109" spans="1:47" ht="13.5" customHeight="1" x14ac:dyDescent="0.3">
      <c r="A109" t="s">
        <v>5142</v>
      </c>
      <c r="B109" t="s">
        <v>5143</v>
      </c>
      <c r="C109">
        <v>0</v>
      </c>
      <c r="D109">
        <v>0</v>
      </c>
      <c r="E109" t="s">
        <v>3948</v>
      </c>
      <c r="F109" t="s">
        <v>3948</v>
      </c>
      <c r="G109" t="s">
        <v>3948</v>
      </c>
      <c r="H109" t="s">
        <v>3948</v>
      </c>
      <c r="I109" t="s">
        <v>11147</v>
      </c>
      <c r="J109" t="s">
        <v>3948</v>
      </c>
      <c r="K109" t="s">
        <v>11148</v>
      </c>
      <c r="L109" t="s">
        <v>291</v>
      </c>
      <c r="M109" t="s">
        <v>3161</v>
      </c>
      <c r="N109" t="s">
        <v>4911</v>
      </c>
      <c r="O109" t="s">
        <v>10210</v>
      </c>
      <c r="P109">
        <v>2023</v>
      </c>
      <c r="Q109">
        <v>31306</v>
      </c>
      <c r="R109" t="s">
        <v>11149</v>
      </c>
      <c r="S109" t="s">
        <v>11150</v>
      </c>
      <c r="T109" t="s">
        <v>5145</v>
      </c>
      <c r="U109" t="s">
        <v>5270</v>
      </c>
      <c r="V109" t="s">
        <v>5147</v>
      </c>
      <c r="W109">
        <v>18990000</v>
      </c>
      <c r="X109" t="s">
        <v>5148</v>
      </c>
      <c r="Y109">
        <v>19</v>
      </c>
      <c r="Z109" t="s">
        <v>20</v>
      </c>
      <c r="AA109" t="s">
        <v>5149</v>
      </c>
      <c r="AB109" t="s">
        <v>3948</v>
      </c>
      <c r="AC109" t="s">
        <v>11151</v>
      </c>
      <c r="AD109" t="s">
        <v>11148</v>
      </c>
      <c r="AE109" t="s">
        <v>11152</v>
      </c>
      <c r="AF109" t="s">
        <v>10909</v>
      </c>
      <c r="AG109">
        <v>1</v>
      </c>
      <c r="AH109" t="s">
        <v>10909</v>
      </c>
      <c r="AI109" t="s">
        <v>11153</v>
      </c>
      <c r="AJ109" t="s">
        <v>3948</v>
      </c>
      <c r="AK109">
        <v>1</v>
      </c>
      <c r="AL109">
        <v>0</v>
      </c>
      <c r="AM109" t="s">
        <v>3948</v>
      </c>
      <c r="AN109">
        <v>0</v>
      </c>
      <c r="AO109">
        <v>15800000</v>
      </c>
      <c r="AP109">
        <v>366240</v>
      </c>
      <c r="AQ109">
        <v>0</v>
      </c>
      <c r="AR109">
        <v>16166240</v>
      </c>
      <c r="AS109">
        <v>18990000</v>
      </c>
      <c r="AT109">
        <v>2823760</v>
      </c>
      <c r="AU109">
        <v>1487</v>
      </c>
    </row>
    <row r="110" spans="1:47" ht="13.5" customHeight="1" x14ac:dyDescent="0.3">
      <c r="A110" t="s">
        <v>5142</v>
      </c>
      <c r="B110" t="s">
        <v>5170</v>
      </c>
      <c r="C110">
        <v>0</v>
      </c>
      <c r="D110">
        <v>0</v>
      </c>
      <c r="E110" t="s">
        <v>3948</v>
      </c>
      <c r="F110" t="s">
        <v>3948</v>
      </c>
      <c r="G110" t="s">
        <v>3948</v>
      </c>
      <c r="H110" t="s">
        <v>3948</v>
      </c>
      <c r="I110" t="s">
        <v>5479</v>
      </c>
      <c r="J110" t="s">
        <v>3948</v>
      </c>
      <c r="K110" t="s">
        <v>5263</v>
      </c>
      <c r="L110" t="s">
        <v>241</v>
      </c>
      <c r="M110" t="s">
        <v>269</v>
      </c>
      <c r="N110" t="s">
        <v>272</v>
      </c>
      <c r="O110" t="s">
        <v>5264</v>
      </c>
      <c r="P110">
        <v>2024</v>
      </c>
      <c r="Q110">
        <v>29570</v>
      </c>
      <c r="R110" t="s">
        <v>5265</v>
      </c>
      <c r="S110" t="s">
        <v>273</v>
      </c>
      <c r="T110" t="s">
        <v>5145</v>
      </c>
      <c r="U110" t="s">
        <v>5192</v>
      </c>
      <c r="V110" t="s">
        <v>5147</v>
      </c>
      <c r="W110">
        <v>17990000</v>
      </c>
      <c r="X110" t="s">
        <v>5148</v>
      </c>
      <c r="Y110">
        <v>162</v>
      </c>
      <c r="Z110" t="s">
        <v>26</v>
      </c>
      <c r="AA110" t="s">
        <v>5175</v>
      </c>
      <c r="AB110" t="s">
        <v>5266</v>
      </c>
      <c r="AC110" t="s">
        <v>5267</v>
      </c>
      <c r="AD110" t="s">
        <v>5263</v>
      </c>
      <c r="AE110" t="s">
        <v>5268</v>
      </c>
      <c r="AF110" t="s">
        <v>5480</v>
      </c>
      <c r="AG110">
        <v>1</v>
      </c>
      <c r="AH110" t="s">
        <v>5480</v>
      </c>
      <c r="AI110" t="s">
        <v>5481</v>
      </c>
      <c r="AJ110" t="s">
        <v>3948</v>
      </c>
      <c r="AK110">
        <v>1</v>
      </c>
      <c r="AL110">
        <v>0</v>
      </c>
      <c r="AM110" t="s">
        <v>3948</v>
      </c>
      <c r="AN110">
        <v>0</v>
      </c>
      <c r="AO110">
        <v>16000000</v>
      </c>
      <c r="AP110">
        <v>369240</v>
      </c>
      <c r="AQ110">
        <v>0</v>
      </c>
      <c r="AR110">
        <v>16369240</v>
      </c>
      <c r="AS110">
        <v>17990000</v>
      </c>
      <c r="AT110">
        <v>1620760</v>
      </c>
      <c r="AU110">
        <v>901</v>
      </c>
    </row>
    <row r="111" spans="1:47" ht="13.5" customHeight="1" x14ac:dyDescent="0.3">
      <c r="A111" t="s">
        <v>5142</v>
      </c>
      <c r="B111" t="s">
        <v>5161</v>
      </c>
      <c r="C111">
        <v>0</v>
      </c>
      <c r="D111">
        <v>0</v>
      </c>
      <c r="E111" t="s">
        <v>3948</v>
      </c>
      <c r="F111" t="s">
        <v>3948</v>
      </c>
      <c r="G111" t="s">
        <v>3948</v>
      </c>
      <c r="H111" t="s">
        <v>3948</v>
      </c>
      <c r="I111" t="s">
        <v>10911</v>
      </c>
      <c r="J111" t="s">
        <v>3948</v>
      </c>
      <c r="K111" t="s">
        <v>10912</v>
      </c>
      <c r="L111" t="s">
        <v>28</v>
      </c>
      <c r="M111" t="s">
        <v>42</v>
      </c>
      <c r="N111" t="s">
        <v>10913</v>
      </c>
      <c r="O111" t="s">
        <v>10914</v>
      </c>
      <c r="P111">
        <v>2026</v>
      </c>
      <c r="Q111">
        <v>1504</v>
      </c>
      <c r="R111" t="s">
        <v>10915</v>
      </c>
      <c r="S111" t="s">
        <v>10542</v>
      </c>
      <c r="T111" t="s">
        <v>5145</v>
      </c>
      <c r="U111" t="s">
        <v>8531</v>
      </c>
      <c r="V111" t="s">
        <v>5147</v>
      </c>
      <c r="W111">
        <v>11990000</v>
      </c>
      <c r="X111" t="s">
        <v>5148</v>
      </c>
      <c r="Y111">
        <v>19</v>
      </c>
      <c r="Z111" t="s">
        <v>16</v>
      </c>
      <c r="AA111" t="s">
        <v>5166</v>
      </c>
      <c r="AB111" t="s">
        <v>3948</v>
      </c>
      <c r="AC111" t="s">
        <v>10916</v>
      </c>
      <c r="AD111" t="s">
        <v>10912</v>
      </c>
      <c r="AE111" t="s">
        <v>10917</v>
      </c>
      <c r="AF111" t="s">
        <v>10909</v>
      </c>
      <c r="AG111">
        <v>1</v>
      </c>
      <c r="AH111" t="s">
        <v>10909</v>
      </c>
      <c r="AI111" t="s">
        <v>10918</v>
      </c>
      <c r="AJ111" t="s">
        <v>3948</v>
      </c>
      <c r="AK111">
        <v>1</v>
      </c>
      <c r="AL111">
        <v>0</v>
      </c>
      <c r="AM111" t="s">
        <v>3948</v>
      </c>
      <c r="AN111">
        <v>0</v>
      </c>
      <c r="AO111">
        <v>10300000</v>
      </c>
      <c r="AP111">
        <v>283740</v>
      </c>
      <c r="AQ111">
        <v>0</v>
      </c>
      <c r="AR111">
        <v>10583740</v>
      </c>
      <c r="AS111">
        <v>11990000</v>
      </c>
      <c r="AT111">
        <v>1406260</v>
      </c>
      <c r="AU111">
        <v>1173</v>
      </c>
    </row>
    <row r="112" spans="1:47" ht="13.5" customHeight="1" x14ac:dyDescent="0.3">
      <c r="A112" t="s">
        <v>5142</v>
      </c>
      <c r="B112" t="s">
        <v>5161</v>
      </c>
      <c r="C112">
        <v>0</v>
      </c>
      <c r="D112">
        <v>0</v>
      </c>
      <c r="E112" t="s">
        <v>3948</v>
      </c>
      <c r="F112" t="s">
        <v>3948</v>
      </c>
      <c r="G112" t="s">
        <v>3948</v>
      </c>
      <c r="H112" t="s">
        <v>3948</v>
      </c>
      <c r="I112" t="s">
        <v>9816</v>
      </c>
      <c r="J112" t="s">
        <v>3948</v>
      </c>
      <c r="K112" t="s">
        <v>9817</v>
      </c>
      <c r="L112" t="s">
        <v>86</v>
      </c>
      <c r="M112" t="s">
        <v>134</v>
      </c>
      <c r="N112" t="s">
        <v>138</v>
      </c>
      <c r="O112" t="s">
        <v>9818</v>
      </c>
      <c r="P112">
        <v>2024</v>
      </c>
      <c r="Q112">
        <v>42000</v>
      </c>
      <c r="R112" t="s">
        <v>9819</v>
      </c>
      <c r="S112" t="s">
        <v>9621</v>
      </c>
      <c r="T112" t="s">
        <v>5145</v>
      </c>
      <c r="U112" t="s">
        <v>5318</v>
      </c>
      <c r="V112" t="s">
        <v>5147</v>
      </c>
      <c r="W112">
        <v>15990000</v>
      </c>
      <c r="X112" t="s">
        <v>5148</v>
      </c>
      <c r="Y112">
        <v>74</v>
      </c>
      <c r="Z112" t="s">
        <v>16</v>
      </c>
      <c r="AA112" t="s">
        <v>5166</v>
      </c>
      <c r="AB112" t="s">
        <v>5150</v>
      </c>
      <c r="AC112" t="s">
        <v>9820</v>
      </c>
      <c r="AD112" t="s">
        <v>9821</v>
      </c>
      <c r="AE112" t="s">
        <v>9822</v>
      </c>
      <c r="AF112" t="s">
        <v>9780</v>
      </c>
      <c r="AG112">
        <v>1</v>
      </c>
      <c r="AH112" t="s">
        <v>9780</v>
      </c>
      <c r="AI112" t="s">
        <v>9823</v>
      </c>
      <c r="AJ112" t="s">
        <v>3948</v>
      </c>
      <c r="AK112">
        <v>1</v>
      </c>
      <c r="AL112">
        <v>0</v>
      </c>
      <c r="AM112" t="s">
        <v>3948</v>
      </c>
      <c r="AN112">
        <v>0</v>
      </c>
      <c r="AO112">
        <v>12600000</v>
      </c>
      <c r="AP112">
        <v>318240</v>
      </c>
      <c r="AQ112">
        <v>0</v>
      </c>
      <c r="AR112">
        <v>12918240</v>
      </c>
      <c r="AS112">
        <v>15990000</v>
      </c>
      <c r="AT112">
        <v>3071760</v>
      </c>
      <c r="AU112">
        <v>1921</v>
      </c>
    </row>
    <row r="113" spans="1:47" ht="13.5" customHeight="1" x14ac:dyDescent="0.3">
      <c r="A113" t="s">
        <v>5142</v>
      </c>
      <c r="B113" t="s">
        <v>5143</v>
      </c>
      <c r="C113">
        <v>0</v>
      </c>
      <c r="D113">
        <v>0</v>
      </c>
      <c r="E113" t="s">
        <v>3948</v>
      </c>
      <c r="F113" t="s">
        <v>3948</v>
      </c>
      <c r="G113" t="s">
        <v>3948</v>
      </c>
      <c r="H113" t="s">
        <v>3948</v>
      </c>
      <c r="I113" t="s">
        <v>10044</v>
      </c>
      <c r="J113" t="s">
        <v>3948</v>
      </c>
      <c r="K113" t="s">
        <v>10045</v>
      </c>
      <c r="L113" t="s">
        <v>156</v>
      </c>
      <c r="M113" t="s">
        <v>156</v>
      </c>
      <c r="N113" t="s">
        <v>10046</v>
      </c>
      <c r="O113" t="s">
        <v>10047</v>
      </c>
      <c r="P113">
        <v>2018</v>
      </c>
      <c r="Q113">
        <v>68000</v>
      </c>
      <c r="R113" t="s">
        <v>10048</v>
      </c>
      <c r="S113" t="s">
        <v>10049</v>
      </c>
      <c r="T113" t="s">
        <v>5145</v>
      </c>
      <c r="U113" t="s">
        <v>5179</v>
      </c>
      <c r="V113" t="s">
        <v>5147</v>
      </c>
      <c r="W113">
        <v>11990000</v>
      </c>
      <c r="X113" t="s">
        <v>5148</v>
      </c>
      <c r="Y113">
        <v>55</v>
      </c>
      <c r="Z113" t="s">
        <v>63</v>
      </c>
      <c r="AA113" t="s">
        <v>5149</v>
      </c>
      <c r="AB113" t="s">
        <v>10050</v>
      </c>
      <c r="AC113" t="s">
        <v>10051</v>
      </c>
      <c r="AD113" t="s">
        <v>10045</v>
      </c>
      <c r="AE113" t="s">
        <v>10052</v>
      </c>
      <c r="AF113" t="s">
        <v>10026</v>
      </c>
      <c r="AG113">
        <v>1</v>
      </c>
      <c r="AH113" t="s">
        <v>10998</v>
      </c>
      <c r="AI113" t="s">
        <v>10998</v>
      </c>
      <c r="AJ113" t="s">
        <v>3948</v>
      </c>
      <c r="AK113">
        <v>3</v>
      </c>
      <c r="AL113">
        <v>0</v>
      </c>
      <c r="AM113" t="s">
        <v>3948</v>
      </c>
      <c r="AN113">
        <v>0</v>
      </c>
      <c r="AO113">
        <v>9200000</v>
      </c>
      <c r="AP113">
        <v>267240</v>
      </c>
      <c r="AQ113">
        <v>0</v>
      </c>
      <c r="AR113">
        <v>9467240</v>
      </c>
      <c r="AS113">
        <v>11990000</v>
      </c>
      <c r="AT113">
        <v>2522760</v>
      </c>
      <c r="AU113">
        <v>2104</v>
      </c>
    </row>
    <row r="114" spans="1:47" ht="13.5" customHeight="1" x14ac:dyDescent="0.3">
      <c r="A114" t="s">
        <v>5142</v>
      </c>
      <c r="B114" t="s">
        <v>5143</v>
      </c>
      <c r="C114">
        <v>0</v>
      </c>
      <c r="D114">
        <v>0</v>
      </c>
      <c r="E114" t="s">
        <v>3948</v>
      </c>
      <c r="F114" t="s">
        <v>3948</v>
      </c>
      <c r="G114" t="s">
        <v>3948</v>
      </c>
      <c r="H114" t="s">
        <v>3948</v>
      </c>
      <c r="I114" t="s">
        <v>5614</v>
      </c>
      <c r="J114" t="s">
        <v>3948</v>
      </c>
      <c r="K114" t="s">
        <v>5435</v>
      </c>
      <c r="L114" t="s">
        <v>311</v>
      </c>
      <c r="M114" t="s">
        <v>312</v>
      </c>
      <c r="N114" t="s">
        <v>313</v>
      </c>
      <c r="O114" t="s">
        <v>5436</v>
      </c>
      <c r="P114">
        <v>2023</v>
      </c>
      <c r="Q114">
        <v>15600</v>
      </c>
      <c r="R114" t="s">
        <v>5437</v>
      </c>
      <c r="S114" t="s">
        <v>314</v>
      </c>
      <c r="T114" t="s">
        <v>5145</v>
      </c>
      <c r="U114" t="s">
        <v>5438</v>
      </c>
      <c r="V114" t="s">
        <v>5147</v>
      </c>
      <c r="W114">
        <v>33190000</v>
      </c>
      <c r="X114" t="s">
        <v>5148</v>
      </c>
      <c r="Y114">
        <v>868</v>
      </c>
      <c r="Z114" t="s">
        <v>63</v>
      </c>
      <c r="AA114" t="s">
        <v>5149</v>
      </c>
      <c r="AB114" t="s">
        <v>5439</v>
      </c>
      <c r="AC114" t="s">
        <v>5440</v>
      </c>
      <c r="AD114" t="s">
        <v>5441</v>
      </c>
      <c r="AE114" t="s">
        <v>5442</v>
      </c>
      <c r="AF114" t="s">
        <v>5615</v>
      </c>
      <c r="AG114">
        <v>1</v>
      </c>
      <c r="AH114" t="s">
        <v>5616</v>
      </c>
      <c r="AI114" t="s">
        <v>5616</v>
      </c>
      <c r="AJ114" t="s">
        <v>3948</v>
      </c>
      <c r="AK114">
        <v>0</v>
      </c>
      <c r="AL114">
        <v>0</v>
      </c>
      <c r="AM114" t="s">
        <v>3948</v>
      </c>
      <c r="AN114">
        <v>0</v>
      </c>
      <c r="AO114">
        <v>28500000</v>
      </c>
      <c r="AP114">
        <v>1097663</v>
      </c>
      <c r="AQ114">
        <v>0</v>
      </c>
      <c r="AR114">
        <v>29597663</v>
      </c>
      <c r="AS114">
        <v>33190000</v>
      </c>
      <c r="AT114">
        <v>3592337</v>
      </c>
      <c r="AU114">
        <v>1082</v>
      </c>
    </row>
    <row r="115" spans="1:47" ht="13.5" customHeight="1" x14ac:dyDescent="0.3">
      <c r="A115" t="s">
        <v>5142</v>
      </c>
      <c r="B115" t="s">
        <v>5170</v>
      </c>
      <c r="C115">
        <v>0</v>
      </c>
      <c r="D115">
        <v>0</v>
      </c>
      <c r="E115" t="s">
        <v>3948</v>
      </c>
      <c r="F115" t="s">
        <v>3948</v>
      </c>
      <c r="G115" t="s">
        <v>3948</v>
      </c>
      <c r="H115" t="s">
        <v>3948</v>
      </c>
      <c r="I115" t="s">
        <v>5608</v>
      </c>
      <c r="J115" t="s">
        <v>3948</v>
      </c>
      <c r="K115" t="s">
        <v>5410</v>
      </c>
      <c r="L115" t="s">
        <v>220</v>
      </c>
      <c r="M115" t="s">
        <v>223</v>
      </c>
      <c r="N115" t="s">
        <v>224</v>
      </c>
      <c r="O115" t="s">
        <v>5411</v>
      </c>
      <c r="P115">
        <v>2023</v>
      </c>
      <c r="Q115">
        <v>45000</v>
      </c>
      <c r="R115" t="s">
        <v>5412</v>
      </c>
      <c r="S115" t="s">
        <v>226</v>
      </c>
      <c r="T115" t="s">
        <v>5145</v>
      </c>
      <c r="U115" t="s">
        <v>5197</v>
      </c>
      <c r="V115" t="s">
        <v>5147</v>
      </c>
      <c r="W115">
        <v>16490000</v>
      </c>
      <c r="X115" t="s">
        <v>5148</v>
      </c>
      <c r="Y115">
        <v>291</v>
      </c>
      <c r="Z115" t="s">
        <v>26</v>
      </c>
      <c r="AA115" t="s">
        <v>5175</v>
      </c>
      <c r="AB115" t="s">
        <v>5167</v>
      </c>
      <c r="AC115" t="s">
        <v>5413</v>
      </c>
      <c r="AD115" t="s">
        <v>5410</v>
      </c>
      <c r="AE115" t="s">
        <v>5414</v>
      </c>
      <c r="AF115" t="s">
        <v>5609</v>
      </c>
      <c r="AG115">
        <v>1</v>
      </c>
      <c r="AH115" t="s">
        <v>7836</v>
      </c>
      <c r="AI115" t="s">
        <v>7836</v>
      </c>
      <c r="AJ115" t="s">
        <v>5514</v>
      </c>
      <c r="AK115">
        <v>1</v>
      </c>
      <c r="AL115">
        <v>0</v>
      </c>
      <c r="AM115" t="s">
        <v>3948</v>
      </c>
      <c r="AN115">
        <v>0</v>
      </c>
      <c r="AO115">
        <v>15400000</v>
      </c>
      <c r="AP115">
        <v>566967</v>
      </c>
      <c r="AQ115">
        <v>0</v>
      </c>
      <c r="AR115">
        <v>15966967</v>
      </c>
      <c r="AS115">
        <v>16490000</v>
      </c>
      <c r="AT115">
        <v>523033</v>
      </c>
      <c r="AU115">
        <v>317</v>
      </c>
    </row>
    <row r="116" spans="1:47" ht="13.5" customHeight="1" x14ac:dyDescent="0.3">
      <c r="A116" t="s">
        <v>5142</v>
      </c>
      <c r="B116" t="s">
        <v>5143</v>
      </c>
      <c r="C116">
        <v>0</v>
      </c>
      <c r="D116">
        <v>0</v>
      </c>
      <c r="E116" t="s">
        <v>3948</v>
      </c>
      <c r="F116" t="s">
        <v>3948</v>
      </c>
      <c r="G116" t="s">
        <v>3948</v>
      </c>
      <c r="H116" t="s">
        <v>3948</v>
      </c>
      <c r="I116" t="s">
        <v>10169</v>
      </c>
      <c r="J116" t="s">
        <v>3948</v>
      </c>
      <c r="K116" t="s">
        <v>10170</v>
      </c>
      <c r="L116" t="s">
        <v>220</v>
      </c>
      <c r="M116" t="s">
        <v>223</v>
      </c>
      <c r="N116" t="s">
        <v>224</v>
      </c>
      <c r="O116" t="s">
        <v>5411</v>
      </c>
      <c r="P116">
        <v>2024</v>
      </c>
      <c r="Q116">
        <v>26279</v>
      </c>
      <c r="R116" t="s">
        <v>10171</v>
      </c>
      <c r="S116" t="s">
        <v>10172</v>
      </c>
      <c r="T116" t="s">
        <v>5145</v>
      </c>
      <c r="U116" t="s">
        <v>10173</v>
      </c>
      <c r="V116" t="s">
        <v>5147</v>
      </c>
      <c r="W116">
        <v>19290000</v>
      </c>
      <c r="X116" t="s">
        <v>5148</v>
      </c>
      <c r="Y116">
        <v>46</v>
      </c>
      <c r="Z116" t="s">
        <v>20</v>
      </c>
      <c r="AA116" t="s">
        <v>5149</v>
      </c>
      <c r="AB116" t="s">
        <v>10174</v>
      </c>
      <c r="AC116" t="s">
        <v>10175</v>
      </c>
      <c r="AD116" t="s">
        <v>10170</v>
      </c>
      <c r="AE116" t="s">
        <v>10925</v>
      </c>
      <c r="AF116" t="s">
        <v>5633</v>
      </c>
      <c r="AG116">
        <v>1</v>
      </c>
      <c r="AH116" t="s">
        <v>5633</v>
      </c>
      <c r="AI116" t="s">
        <v>10176</v>
      </c>
      <c r="AJ116" t="s">
        <v>3948</v>
      </c>
      <c r="AK116">
        <v>1</v>
      </c>
      <c r="AL116">
        <v>0</v>
      </c>
      <c r="AM116" t="s">
        <v>3948</v>
      </c>
      <c r="AN116">
        <v>0</v>
      </c>
      <c r="AO116">
        <v>17000000</v>
      </c>
      <c r="AP116">
        <v>0</v>
      </c>
      <c r="AQ116">
        <v>0</v>
      </c>
      <c r="AR116">
        <v>17000000</v>
      </c>
      <c r="AS116">
        <v>19290000</v>
      </c>
      <c r="AT116">
        <v>2290000</v>
      </c>
      <c r="AU116">
        <v>1187</v>
      </c>
    </row>
    <row r="117" spans="1:47" ht="13.5" customHeight="1" x14ac:dyDescent="0.3">
      <c r="A117" t="s">
        <v>5142</v>
      </c>
      <c r="B117" t="s">
        <v>5143</v>
      </c>
      <c r="C117">
        <v>0</v>
      </c>
      <c r="D117">
        <v>0</v>
      </c>
      <c r="E117" t="s">
        <v>3948</v>
      </c>
      <c r="F117" t="s">
        <v>3948</v>
      </c>
      <c r="G117" t="s">
        <v>3948</v>
      </c>
      <c r="H117" t="s">
        <v>3948</v>
      </c>
      <c r="I117" t="s">
        <v>11008</v>
      </c>
      <c r="J117" t="s">
        <v>3948</v>
      </c>
      <c r="K117" t="s">
        <v>11009</v>
      </c>
      <c r="L117" t="s">
        <v>2545</v>
      </c>
      <c r="M117" t="s">
        <v>2856</v>
      </c>
      <c r="N117" t="s">
        <v>4936</v>
      </c>
      <c r="O117" t="s">
        <v>11010</v>
      </c>
      <c r="P117">
        <v>2020</v>
      </c>
      <c r="Q117">
        <v>47000</v>
      </c>
      <c r="R117" t="s">
        <v>11011</v>
      </c>
      <c r="S117" t="s">
        <v>11012</v>
      </c>
      <c r="T117" t="s">
        <v>5145</v>
      </c>
      <c r="U117" t="s">
        <v>8347</v>
      </c>
      <c r="V117" t="s">
        <v>5147</v>
      </c>
      <c r="W117">
        <v>17990000</v>
      </c>
      <c r="X117" t="s">
        <v>5148</v>
      </c>
      <c r="Y117">
        <v>18</v>
      </c>
      <c r="Z117" t="s">
        <v>16</v>
      </c>
      <c r="AA117" t="s">
        <v>5149</v>
      </c>
      <c r="AB117" t="s">
        <v>3948</v>
      </c>
      <c r="AC117" t="s">
        <v>11013</v>
      </c>
      <c r="AD117" t="s">
        <v>11009</v>
      </c>
      <c r="AE117" t="s">
        <v>11014</v>
      </c>
      <c r="AF117" t="s">
        <v>11015</v>
      </c>
      <c r="AG117">
        <v>1</v>
      </c>
      <c r="AH117" t="s">
        <v>11015</v>
      </c>
      <c r="AI117" t="s">
        <v>11016</v>
      </c>
      <c r="AJ117" t="s">
        <v>3948</v>
      </c>
      <c r="AK117">
        <v>2</v>
      </c>
      <c r="AL117">
        <v>0</v>
      </c>
      <c r="AM117" t="s">
        <v>3948</v>
      </c>
      <c r="AN117">
        <v>0</v>
      </c>
      <c r="AO117">
        <v>15700000</v>
      </c>
      <c r="AP117">
        <v>364740</v>
      </c>
      <c r="AQ117">
        <v>0</v>
      </c>
      <c r="AR117">
        <v>16064740</v>
      </c>
      <c r="AS117">
        <v>17990000</v>
      </c>
      <c r="AT117">
        <v>1925260</v>
      </c>
      <c r="AU117">
        <v>107</v>
      </c>
    </row>
    <row r="118" spans="1:47" ht="13.5" customHeight="1" x14ac:dyDescent="0.3">
      <c r="A118" t="s">
        <v>5142</v>
      </c>
      <c r="B118" t="s">
        <v>5170</v>
      </c>
      <c r="C118">
        <v>0</v>
      </c>
      <c r="D118">
        <v>0</v>
      </c>
      <c r="E118" t="s">
        <v>3948</v>
      </c>
      <c r="F118" t="s">
        <v>3948</v>
      </c>
      <c r="G118" t="s">
        <v>3948</v>
      </c>
      <c r="H118" t="s">
        <v>3948</v>
      </c>
      <c r="I118" t="s">
        <v>11460</v>
      </c>
      <c r="J118" t="s">
        <v>3948</v>
      </c>
      <c r="K118" t="s">
        <v>11461</v>
      </c>
      <c r="L118" t="s">
        <v>241</v>
      </c>
      <c r="M118" t="s">
        <v>4827</v>
      </c>
      <c r="N118" t="s">
        <v>11462</v>
      </c>
      <c r="O118" t="s">
        <v>11463</v>
      </c>
      <c r="P118">
        <v>2026</v>
      </c>
      <c r="Q118">
        <v>11659</v>
      </c>
      <c r="R118" t="s">
        <v>11464</v>
      </c>
      <c r="S118" t="s">
        <v>10006</v>
      </c>
      <c r="T118" t="s">
        <v>5145</v>
      </c>
      <c r="U118" t="s">
        <v>11465</v>
      </c>
      <c r="V118" t="s">
        <v>5147</v>
      </c>
      <c r="W118">
        <v>26990000</v>
      </c>
      <c r="X118" t="s">
        <v>5148</v>
      </c>
      <c r="Y118">
        <v>13</v>
      </c>
      <c r="Z118" t="s">
        <v>16</v>
      </c>
      <c r="AA118" t="s">
        <v>5175</v>
      </c>
      <c r="AB118" t="s">
        <v>3948</v>
      </c>
      <c r="AC118" t="s">
        <v>11466</v>
      </c>
      <c r="AD118" t="s">
        <v>11461</v>
      </c>
      <c r="AE118" t="s">
        <v>11467</v>
      </c>
      <c r="AF118" t="s">
        <v>11468</v>
      </c>
      <c r="AG118">
        <v>1</v>
      </c>
      <c r="AH118" t="s">
        <v>11468</v>
      </c>
      <c r="AI118" t="s">
        <v>11469</v>
      </c>
      <c r="AJ118" t="s">
        <v>3948</v>
      </c>
      <c r="AK118">
        <v>1</v>
      </c>
      <c r="AL118">
        <v>0</v>
      </c>
      <c r="AM118" t="s">
        <v>3948</v>
      </c>
      <c r="AN118">
        <v>0</v>
      </c>
      <c r="AO118">
        <v>23200000</v>
      </c>
      <c r="AP118">
        <v>0</v>
      </c>
      <c r="AQ118">
        <v>0</v>
      </c>
      <c r="AR118">
        <v>23200000</v>
      </c>
      <c r="AS118">
        <v>26990000</v>
      </c>
      <c r="AT118">
        <v>3790000</v>
      </c>
      <c r="AU118">
        <v>1404</v>
      </c>
    </row>
    <row r="119" spans="1:47" ht="13.5" customHeight="1" x14ac:dyDescent="0.3">
      <c r="A119" t="s">
        <v>5142</v>
      </c>
      <c r="B119" t="s">
        <v>5170</v>
      </c>
      <c r="C119">
        <v>0</v>
      </c>
      <c r="D119">
        <v>0</v>
      </c>
      <c r="E119" t="s">
        <v>3948</v>
      </c>
      <c r="F119" t="s">
        <v>3948</v>
      </c>
      <c r="G119" t="s">
        <v>3948</v>
      </c>
      <c r="H119" t="s">
        <v>3948</v>
      </c>
      <c r="I119" t="s">
        <v>5653</v>
      </c>
      <c r="J119" t="s">
        <v>3948</v>
      </c>
      <c r="K119" t="s">
        <v>5248</v>
      </c>
      <c r="L119" t="s">
        <v>278</v>
      </c>
      <c r="M119" t="s">
        <v>279</v>
      </c>
      <c r="N119" t="s">
        <v>283</v>
      </c>
      <c r="O119" t="s">
        <v>5249</v>
      </c>
      <c r="P119">
        <v>2025</v>
      </c>
      <c r="Q119">
        <v>16869</v>
      </c>
      <c r="R119" t="s">
        <v>5250</v>
      </c>
      <c r="S119" t="s">
        <v>284</v>
      </c>
      <c r="T119" t="s">
        <v>5145</v>
      </c>
      <c r="U119" t="s">
        <v>5251</v>
      </c>
      <c r="V119" t="s">
        <v>5147</v>
      </c>
      <c r="W119">
        <v>30990000</v>
      </c>
      <c r="X119" t="s">
        <v>5148</v>
      </c>
      <c r="Y119">
        <v>221</v>
      </c>
      <c r="Z119" t="s">
        <v>26</v>
      </c>
      <c r="AA119" t="s">
        <v>5175</v>
      </c>
      <c r="AB119" t="s">
        <v>5252</v>
      </c>
      <c r="AC119" t="s">
        <v>5654</v>
      </c>
      <c r="AD119" t="s">
        <v>5248</v>
      </c>
      <c r="AE119" t="s">
        <v>5253</v>
      </c>
      <c r="AF119" t="s">
        <v>5655</v>
      </c>
      <c r="AG119">
        <v>60226</v>
      </c>
      <c r="AH119" t="s">
        <v>5655</v>
      </c>
      <c r="AI119" t="s">
        <v>5656</v>
      </c>
      <c r="AJ119" t="s">
        <v>3948</v>
      </c>
      <c r="AK119">
        <v>0</v>
      </c>
      <c r="AL119">
        <v>0</v>
      </c>
      <c r="AM119" t="s">
        <v>3948</v>
      </c>
      <c r="AN119">
        <v>0</v>
      </c>
      <c r="AO119">
        <v>29000000</v>
      </c>
      <c r="AP119">
        <v>561030</v>
      </c>
      <c r="AQ119">
        <v>0</v>
      </c>
      <c r="AR119">
        <v>29561030</v>
      </c>
      <c r="AS119">
        <v>30990000</v>
      </c>
      <c r="AT119">
        <v>1428970</v>
      </c>
      <c r="AU119">
        <v>461</v>
      </c>
    </row>
    <row r="120" spans="1:47" ht="13.5" customHeight="1" x14ac:dyDescent="0.3">
      <c r="A120" t="s">
        <v>5142</v>
      </c>
      <c r="B120" t="s">
        <v>5170</v>
      </c>
      <c r="C120">
        <v>0</v>
      </c>
      <c r="D120">
        <v>0</v>
      </c>
      <c r="E120" t="s">
        <v>3948</v>
      </c>
      <c r="F120" t="s">
        <v>3948</v>
      </c>
      <c r="G120" t="s">
        <v>3948</v>
      </c>
      <c r="H120" t="s">
        <v>3948</v>
      </c>
      <c r="I120" t="s">
        <v>5641</v>
      </c>
      <c r="J120" t="s">
        <v>3948</v>
      </c>
      <c r="K120" t="s">
        <v>5431</v>
      </c>
      <c r="L120" t="s">
        <v>241</v>
      </c>
      <c r="M120" t="s">
        <v>4827</v>
      </c>
      <c r="N120" t="s">
        <v>262</v>
      </c>
      <c r="O120" t="s">
        <v>5155</v>
      </c>
      <c r="P120">
        <v>2021</v>
      </c>
      <c r="Q120">
        <v>77000</v>
      </c>
      <c r="R120" t="s">
        <v>5432</v>
      </c>
      <c r="S120" t="s">
        <v>263</v>
      </c>
      <c r="T120" t="s">
        <v>5145</v>
      </c>
      <c r="U120" t="s">
        <v>5426</v>
      </c>
      <c r="V120" t="s">
        <v>5147</v>
      </c>
      <c r="W120">
        <v>15490000</v>
      </c>
      <c r="X120" t="s">
        <v>5148</v>
      </c>
      <c r="Y120">
        <v>169</v>
      </c>
      <c r="Z120" t="s">
        <v>26</v>
      </c>
      <c r="AA120" t="s">
        <v>5175</v>
      </c>
      <c r="AB120" t="s">
        <v>5150</v>
      </c>
      <c r="AC120" t="s">
        <v>5433</v>
      </c>
      <c r="AD120" t="s">
        <v>5431</v>
      </c>
      <c r="AE120" t="s">
        <v>5434</v>
      </c>
      <c r="AF120" t="s">
        <v>5642</v>
      </c>
      <c r="AG120">
        <v>1</v>
      </c>
      <c r="AH120" t="s">
        <v>5642</v>
      </c>
      <c r="AI120" t="s">
        <v>5643</v>
      </c>
      <c r="AJ120" t="s">
        <v>3948</v>
      </c>
      <c r="AK120">
        <v>1</v>
      </c>
      <c r="AL120">
        <v>0</v>
      </c>
      <c r="AM120" t="s">
        <v>3948</v>
      </c>
      <c r="AN120">
        <v>0</v>
      </c>
      <c r="AO120">
        <v>14600000</v>
      </c>
      <c r="AP120">
        <v>348240</v>
      </c>
      <c r="AQ120">
        <v>0</v>
      </c>
      <c r="AR120">
        <v>14948240</v>
      </c>
      <c r="AS120">
        <v>15490000</v>
      </c>
      <c r="AT120">
        <v>541760</v>
      </c>
      <c r="AU120">
        <v>35</v>
      </c>
    </row>
    <row r="121" spans="1:47" ht="13.5" customHeight="1" x14ac:dyDescent="0.3">
      <c r="A121" t="s">
        <v>5142</v>
      </c>
      <c r="B121" t="s">
        <v>5143</v>
      </c>
      <c r="C121">
        <v>0</v>
      </c>
      <c r="D121">
        <v>0</v>
      </c>
      <c r="E121" t="s">
        <v>3948</v>
      </c>
      <c r="F121" t="s">
        <v>3948</v>
      </c>
      <c r="G121" t="s">
        <v>3948</v>
      </c>
      <c r="H121" t="s">
        <v>3948</v>
      </c>
      <c r="I121" t="s">
        <v>10279</v>
      </c>
      <c r="J121" t="s">
        <v>3948</v>
      </c>
      <c r="K121" t="s">
        <v>10280</v>
      </c>
      <c r="L121" t="s">
        <v>86</v>
      </c>
      <c r="M121" t="s">
        <v>111</v>
      </c>
      <c r="N121" t="s">
        <v>113</v>
      </c>
      <c r="O121" t="s">
        <v>5255</v>
      </c>
      <c r="P121">
        <v>2022</v>
      </c>
      <c r="Q121">
        <v>72706</v>
      </c>
      <c r="R121" t="s">
        <v>10281</v>
      </c>
      <c r="S121" t="s">
        <v>2376</v>
      </c>
      <c r="T121" t="s">
        <v>5145</v>
      </c>
      <c r="U121" t="s">
        <v>10282</v>
      </c>
      <c r="V121" t="s">
        <v>5147</v>
      </c>
      <c r="W121">
        <v>35990000</v>
      </c>
      <c r="X121" t="s">
        <v>5148</v>
      </c>
      <c r="Y121">
        <v>47</v>
      </c>
      <c r="Z121" t="s">
        <v>26</v>
      </c>
      <c r="AA121" t="s">
        <v>5149</v>
      </c>
      <c r="AB121" t="s">
        <v>5338</v>
      </c>
      <c r="AC121" t="s">
        <v>10283</v>
      </c>
      <c r="AD121" t="s">
        <v>10280</v>
      </c>
      <c r="AE121" t="s">
        <v>10284</v>
      </c>
      <c r="AF121" t="s">
        <v>10168</v>
      </c>
      <c r="AG121">
        <v>1</v>
      </c>
      <c r="AH121" t="s">
        <v>10168</v>
      </c>
      <c r="AI121" t="s">
        <v>10285</v>
      </c>
      <c r="AJ121" t="s">
        <v>3948</v>
      </c>
      <c r="AK121">
        <v>3</v>
      </c>
      <c r="AL121">
        <v>0</v>
      </c>
      <c r="AM121" t="s">
        <v>3948</v>
      </c>
      <c r="AN121">
        <v>0</v>
      </c>
      <c r="AO121">
        <v>29200000</v>
      </c>
      <c r="AP121">
        <v>567240</v>
      </c>
      <c r="AQ121">
        <v>0</v>
      </c>
      <c r="AR121">
        <v>29767240</v>
      </c>
      <c r="AS121">
        <v>35990000</v>
      </c>
      <c r="AT121">
        <v>6222760</v>
      </c>
      <c r="AU121">
        <v>1729</v>
      </c>
    </row>
    <row r="122" spans="1:47" ht="13.5" customHeight="1" x14ac:dyDescent="0.3">
      <c r="A122" t="s">
        <v>5142</v>
      </c>
      <c r="B122" t="s">
        <v>5143</v>
      </c>
      <c r="C122">
        <v>0</v>
      </c>
      <c r="D122">
        <v>0</v>
      </c>
      <c r="E122" t="s">
        <v>3948</v>
      </c>
      <c r="F122" t="s">
        <v>3948</v>
      </c>
      <c r="G122" t="s">
        <v>3948</v>
      </c>
      <c r="H122" t="s">
        <v>3948</v>
      </c>
      <c r="I122" t="s">
        <v>11470</v>
      </c>
      <c r="J122" t="s">
        <v>3948</v>
      </c>
      <c r="K122" t="s">
        <v>11471</v>
      </c>
      <c r="L122" t="s">
        <v>2494</v>
      </c>
      <c r="M122" t="s">
        <v>3656</v>
      </c>
      <c r="N122" t="s">
        <v>11472</v>
      </c>
      <c r="O122" t="s">
        <v>11473</v>
      </c>
      <c r="P122">
        <v>2026</v>
      </c>
      <c r="Q122">
        <v>5250</v>
      </c>
      <c r="R122" t="s">
        <v>11474</v>
      </c>
      <c r="S122" t="s">
        <v>11475</v>
      </c>
      <c r="T122" t="s">
        <v>5145</v>
      </c>
      <c r="U122" t="s">
        <v>5296</v>
      </c>
      <c r="V122" t="s">
        <v>5147</v>
      </c>
      <c r="W122">
        <v>17990000</v>
      </c>
      <c r="X122" t="s">
        <v>5148</v>
      </c>
      <c r="Y122">
        <v>14</v>
      </c>
      <c r="Z122" t="s">
        <v>26</v>
      </c>
      <c r="AA122" t="s">
        <v>5149</v>
      </c>
      <c r="AB122" t="s">
        <v>3948</v>
      </c>
      <c r="AC122" t="s">
        <v>11476</v>
      </c>
      <c r="AD122" t="s">
        <v>11471</v>
      </c>
      <c r="AE122" t="s">
        <v>11477</v>
      </c>
      <c r="AF122" t="s">
        <v>11407</v>
      </c>
      <c r="AG122">
        <v>1</v>
      </c>
      <c r="AH122" t="s">
        <v>11407</v>
      </c>
      <c r="AI122" t="s">
        <v>11478</v>
      </c>
      <c r="AJ122" t="s">
        <v>3948</v>
      </c>
      <c r="AK122">
        <v>3</v>
      </c>
      <c r="AL122">
        <v>0</v>
      </c>
      <c r="AM122" t="s">
        <v>3948</v>
      </c>
      <c r="AN122">
        <v>0</v>
      </c>
      <c r="AO122">
        <v>15000000</v>
      </c>
      <c r="AP122">
        <v>354240</v>
      </c>
      <c r="AQ122">
        <v>0</v>
      </c>
      <c r="AR122">
        <v>15354240</v>
      </c>
      <c r="AS122">
        <v>17990000</v>
      </c>
      <c r="AT122">
        <v>2635760</v>
      </c>
      <c r="AU122">
        <v>1465</v>
      </c>
    </row>
    <row r="123" spans="1:47" ht="13.5" customHeight="1" x14ac:dyDescent="0.3">
      <c r="A123" t="s">
        <v>5142</v>
      </c>
      <c r="B123" t="s">
        <v>5188</v>
      </c>
      <c r="C123">
        <v>0</v>
      </c>
      <c r="D123">
        <v>0</v>
      </c>
      <c r="E123" t="s">
        <v>3948</v>
      </c>
      <c r="F123" t="s">
        <v>3948</v>
      </c>
      <c r="G123" t="s">
        <v>3948</v>
      </c>
      <c r="H123" t="s">
        <v>3948</v>
      </c>
      <c r="I123" t="s">
        <v>5628</v>
      </c>
      <c r="J123" t="s">
        <v>3948</v>
      </c>
      <c r="K123" t="s">
        <v>5189</v>
      </c>
      <c r="L123" t="s">
        <v>241</v>
      </c>
      <c r="M123" t="s">
        <v>269</v>
      </c>
      <c r="N123" t="s">
        <v>272</v>
      </c>
      <c r="O123" t="s">
        <v>5190</v>
      </c>
      <c r="P123">
        <v>2025</v>
      </c>
      <c r="Q123">
        <v>5800</v>
      </c>
      <c r="R123" t="s">
        <v>5191</v>
      </c>
      <c r="S123" t="s">
        <v>274</v>
      </c>
      <c r="T123" t="s">
        <v>5145</v>
      </c>
      <c r="U123" t="s">
        <v>5192</v>
      </c>
      <c r="V123" t="s">
        <v>5147</v>
      </c>
      <c r="W123">
        <v>20990000</v>
      </c>
      <c r="X123" t="s">
        <v>5148</v>
      </c>
      <c r="Y123">
        <v>348</v>
      </c>
      <c r="Z123" t="s">
        <v>26</v>
      </c>
      <c r="AA123" t="s">
        <v>5181</v>
      </c>
      <c r="AB123" t="s">
        <v>5150</v>
      </c>
      <c r="AC123" t="s">
        <v>5193</v>
      </c>
      <c r="AD123" t="s">
        <v>5189</v>
      </c>
      <c r="AE123" t="s">
        <v>5194</v>
      </c>
      <c r="AF123" t="s">
        <v>5598</v>
      </c>
      <c r="AG123">
        <v>1</v>
      </c>
      <c r="AH123" t="s">
        <v>5598</v>
      </c>
      <c r="AI123" t="s">
        <v>5629</v>
      </c>
      <c r="AJ123" t="s">
        <v>3948</v>
      </c>
      <c r="AK123">
        <v>1</v>
      </c>
      <c r="AL123">
        <v>0</v>
      </c>
      <c r="AM123" t="s">
        <v>3948</v>
      </c>
      <c r="AN123">
        <v>0</v>
      </c>
      <c r="AO123">
        <v>27929100</v>
      </c>
      <c r="AP123">
        <v>918614</v>
      </c>
      <c r="AQ123">
        <v>0</v>
      </c>
      <c r="AR123">
        <v>28847714</v>
      </c>
      <c r="AS123">
        <v>20990000</v>
      </c>
      <c r="AT123">
        <v>-7857714</v>
      </c>
      <c r="AU123">
        <v>-3744</v>
      </c>
    </row>
    <row r="124" spans="1:47" ht="13.5" customHeight="1" x14ac:dyDescent="0.3">
      <c r="A124" t="s">
        <v>5142</v>
      </c>
      <c r="B124" t="s">
        <v>5143</v>
      </c>
      <c r="C124">
        <v>0</v>
      </c>
      <c r="D124">
        <v>0</v>
      </c>
      <c r="E124" t="s">
        <v>3948</v>
      </c>
      <c r="F124" t="s">
        <v>3948</v>
      </c>
      <c r="G124" t="s">
        <v>3948</v>
      </c>
      <c r="H124" t="s">
        <v>3948</v>
      </c>
      <c r="I124" t="s">
        <v>11130</v>
      </c>
      <c r="J124" t="s">
        <v>3948</v>
      </c>
      <c r="K124" t="s">
        <v>11131</v>
      </c>
      <c r="L124" t="s">
        <v>2521</v>
      </c>
      <c r="M124" t="s">
        <v>2543</v>
      </c>
      <c r="N124" t="s">
        <v>4460</v>
      </c>
      <c r="O124" t="s">
        <v>11132</v>
      </c>
      <c r="P124">
        <v>2025</v>
      </c>
      <c r="Q124">
        <v>71526</v>
      </c>
      <c r="R124" t="s">
        <v>11133</v>
      </c>
      <c r="S124" t="s">
        <v>10853</v>
      </c>
      <c r="T124" t="s">
        <v>5145</v>
      </c>
      <c r="U124" t="s">
        <v>5179</v>
      </c>
      <c r="V124" t="s">
        <v>5147</v>
      </c>
      <c r="W124">
        <v>13990000</v>
      </c>
      <c r="X124" t="s">
        <v>5148</v>
      </c>
      <c r="Y124">
        <v>25</v>
      </c>
      <c r="Z124" t="s">
        <v>16</v>
      </c>
      <c r="AA124" t="s">
        <v>5149</v>
      </c>
      <c r="AB124" t="s">
        <v>3948</v>
      </c>
      <c r="AC124" t="s">
        <v>11134</v>
      </c>
      <c r="AD124" t="s">
        <v>11131</v>
      </c>
      <c r="AE124" t="s">
        <v>11135</v>
      </c>
      <c r="AF124" t="s">
        <v>10905</v>
      </c>
      <c r="AG124">
        <v>1</v>
      </c>
      <c r="AH124" t="s">
        <v>10905</v>
      </c>
      <c r="AI124" t="s">
        <v>11136</v>
      </c>
      <c r="AJ124" t="s">
        <v>3948</v>
      </c>
      <c r="AK124">
        <v>1</v>
      </c>
      <c r="AL124">
        <v>0</v>
      </c>
      <c r="AM124" t="s">
        <v>3948</v>
      </c>
      <c r="AN124">
        <v>0</v>
      </c>
      <c r="AO124">
        <v>11500000</v>
      </c>
      <c r="AP124">
        <v>301740</v>
      </c>
      <c r="AQ124">
        <v>0</v>
      </c>
      <c r="AR124">
        <v>11801740</v>
      </c>
      <c r="AS124">
        <v>13990000</v>
      </c>
      <c r="AT124">
        <v>2188260</v>
      </c>
      <c r="AU124">
        <v>1564</v>
      </c>
    </row>
    <row r="125" spans="1:47" ht="13.5" customHeight="1" x14ac:dyDescent="0.3">
      <c r="A125" t="s">
        <v>5142</v>
      </c>
      <c r="B125" t="s">
        <v>5161</v>
      </c>
      <c r="C125">
        <v>0</v>
      </c>
      <c r="D125">
        <v>0</v>
      </c>
      <c r="E125" t="s">
        <v>3948</v>
      </c>
      <c r="F125" t="s">
        <v>3948</v>
      </c>
      <c r="G125" t="s">
        <v>3948</v>
      </c>
      <c r="H125" t="s">
        <v>3948</v>
      </c>
      <c r="I125" t="s">
        <v>11048</v>
      </c>
      <c r="J125" t="s">
        <v>3948</v>
      </c>
      <c r="K125" t="s">
        <v>11049</v>
      </c>
      <c r="L125" t="s">
        <v>2474</v>
      </c>
      <c r="M125" t="s">
        <v>4339</v>
      </c>
      <c r="N125" t="s">
        <v>4341</v>
      </c>
      <c r="O125" t="s">
        <v>10907</v>
      </c>
      <c r="P125">
        <v>2022</v>
      </c>
      <c r="Q125">
        <v>53750</v>
      </c>
      <c r="R125" t="s">
        <v>11050</v>
      </c>
      <c r="S125" t="s">
        <v>11051</v>
      </c>
      <c r="T125" t="s">
        <v>5145</v>
      </c>
      <c r="U125" t="s">
        <v>5209</v>
      </c>
      <c r="V125" t="s">
        <v>5147</v>
      </c>
      <c r="W125">
        <v>11990000</v>
      </c>
      <c r="X125" t="s">
        <v>5148</v>
      </c>
      <c r="Y125">
        <v>19</v>
      </c>
      <c r="Z125" t="s">
        <v>16</v>
      </c>
      <c r="AA125" t="s">
        <v>5166</v>
      </c>
      <c r="AB125" t="s">
        <v>3948</v>
      </c>
      <c r="AC125" t="s">
        <v>11052</v>
      </c>
      <c r="AD125" t="s">
        <v>11049</v>
      </c>
      <c r="AE125" t="s">
        <v>11053</v>
      </c>
      <c r="AF125" t="s">
        <v>10909</v>
      </c>
      <c r="AG125">
        <v>1</v>
      </c>
      <c r="AH125" t="s">
        <v>10909</v>
      </c>
      <c r="AI125" t="s">
        <v>11054</v>
      </c>
      <c r="AJ125" t="s">
        <v>3948</v>
      </c>
      <c r="AK125">
        <v>3</v>
      </c>
      <c r="AL125">
        <v>0</v>
      </c>
      <c r="AM125" t="s">
        <v>3948</v>
      </c>
      <c r="AN125">
        <v>0</v>
      </c>
      <c r="AO125">
        <v>9600000</v>
      </c>
      <c r="AP125">
        <v>273240</v>
      </c>
      <c r="AQ125">
        <v>0</v>
      </c>
      <c r="AR125">
        <v>9873240</v>
      </c>
      <c r="AS125">
        <v>11990000</v>
      </c>
      <c r="AT125">
        <v>2116760</v>
      </c>
      <c r="AU125">
        <v>1765</v>
      </c>
    </row>
    <row r="126" spans="1:47" ht="13.5" customHeight="1" x14ac:dyDescent="0.3">
      <c r="A126" t="s">
        <v>5142</v>
      </c>
      <c r="B126" t="s">
        <v>5161</v>
      </c>
      <c r="C126">
        <v>0</v>
      </c>
      <c r="D126">
        <v>0</v>
      </c>
      <c r="E126" t="s">
        <v>3948</v>
      </c>
      <c r="F126" t="s">
        <v>3948</v>
      </c>
      <c r="G126" t="s">
        <v>3948</v>
      </c>
      <c r="H126" t="s">
        <v>3948</v>
      </c>
      <c r="I126" t="s">
        <v>10271</v>
      </c>
      <c r="J126" t="s">
        <v>3948</v>
      </c>
      <c r="K126" t="s">
        <v>10272</v>
      </c>
      <c r="L126" t="s">
        <v>241</v>
      </c>
      <c r="M126" t="s">
        <v>4791</v>
      </c>
      <c r="N126" t="s">
        <v>4804</v>
      </c>
      <c r="O126" t="s">
        <v>10243</v>
      </c>
      <c r="P126">
        <v>2024</v>
      </c>
      <c r="Q126">
        <v>72000</v>
      </c>
      <c r="R126" t="s">
        <v>10273</v>
      </c>
      <c r="S126" t="s">
        <v>3755</v>
      </c>
      <c r="T126" t="s">
        <v>5145</v>
      </c>
      <c r="U126" t="s">
        <v>5157</v>
      </c>
      <c r="V126" t="s">
        <v>5147</v>
      </c>
      <c r="W126">
        <v>16990000</v>
      </c>
      <c r="X126" t="s">
        <v>5148</v>
      </c>
      <c r="Y126">
        <v>46</v>
      </c>
      <c r="Z126" t="s">
        <v>16</v>
      </c>
      <c r="AA126" t="s">
        <v>5166</v>
      </c>
      <c r="AB126" t="s">
        <v>10274</v>
      </c>
      <c r="AC126" t="s">
        <v>10275</v>
      </c>
      <c r="AD126" t="s">
        <v>10272</v>
      </c>
      <c r="AE126" t="s">
        <v>10276</v>
      </c>
      <c r="AF126" t="s">
        <v>5633</v>
      </c>
      <c r="AG126">
        <v>1</v>
      </c>
      <c r="AH126" t="s">
        <v>5633</v>
      </c>
      <c r="AI126" t="s">
        <v>10277</v>
      </c>
      <c r="AJ126" t="s">
        <v>3948</v>
      </c>
      <c r="AK126">
        <v>1</v>
      </c>
      <c r="AL126">
        <v>0</v>
      </c>
      <c r="AM126" t="s">
        <v>3948</v>
      </c>
      <c r="AN126">
        <v>0</v>
      </c>
      <c r="AO126">
        <v>14250000</v>
      </c>
      <c r="AP126">
        <v>342990</v>
      </c>
      <c r="AQ126">
        <v>0</v>
      </c>
      <c r="AR126">
        <v>14592990</v>
      </c>
      <c r="AS126">
        <v>16990000</v>
      </c>
      <c r="AT126">
        <v>2397010</v>
      </c>
      <c r="AU126">
        <v>1411</v>
      </c>
    </row>
    <row r="127" spans="1:47" ht="13.5" customHeight="1" x14ac:dyDescent="0.3">
      <c r="A127" t="s">
        <v>5142</v>
      </c>
      <c r="B127" t="s">
        <v>5143</v>
      </c>
      <c r="C127">
        <v>0</v>
      </c>
      <c r="D127">
        <v>0</v>
      </c>
      <c r="E127" t="s">
        <v>3948</v>
      </c>
      <c r="F127" t="s">
        <v>3948</v>
      </c>
      <c r="G127" t="s">
        <v>3948</v>
      </c>
      <c r="H127" t="s">
        <v>3948</v>
      </c>
      <c r="I127" t="s">
        <v>5634</v>
      </c>
      <c r="J127" t="s">
        <v>3948</v>
      </c>
      <c r="K127" t="s">
        <v>5154</v>
      </c>
      <c r="L127" t="s">
        <v>241</v>
      </c>
      <c r="M127" t="s">
        <v>4827</v>
      </c>
      <c r="N127" t="s">
        <v>262</v>
      </c>
      <c r="O127" t="s">
        <v>5155</v>
      </c>
      <c r="P127">
        <v>2025</v>
      </c>
      <c r="Q127">
        <v>20000</v>
      </c>
      <c r="R127" t="s">
        <v>5156</v>
      </c>
      <c r="S127" t="s">
        <v>265</v>
      </c>
      <c r="T127" t="s">
        <v>5145</v>
      </c>
      <c r="U127" t="s">
        <v>5157</v>
      </c>
      <c r="V127" t="s">
        <v>5147</v>
      </c>
      <c r="W127">
        <v>24990000</v>
      </c>
      <c r="X127" t="s">
        <v>5148</v>
      </c>
      <c r="Y127">
        <v>167</v>
      </c>
      <c r="Z127" t="s">
        <v>26</v>
      </c>
      <c r="AA127" t="s">
        <v>5149</v>
      </c>
      <c r="AB127" t="s">
        <v>5158</v>
      </c>
      <c r="AC127" t="s">
        <v>5159</v>
      </c>
      <c r="AD127" t="s">
        <v>5154</v>
      </c>
      <c r="AE127" t="s">
        <v>5160</v>
      </c>
      <c r="AF127" t="s">
        <v>5522</v>
      </c>
      <c r="AG127">
        <v>1</v>
      </c>
      <c r="AH127" t="s">
        <v>5522</v>
      </c>
      <c r="AI127" t="s">
        <v>5635</v>
      </c>
      <c r="AJ127" t="s">
        <v>3948</v>
      </c>
      <c r="AK127">
        <v>1</v>
      </c>
      <c r="AL127">
        <v>0</v>
      </c>
      <c r="AM127" t="s">
        <v>3948</v>
      </c>
      <c r="AN127">
        <v>0</v>
      </c>
      <c r="AO127">
        <v>23500000</v>
      </c>
      <c r="AP127">
        <v>481740</v>
      </c>
      <c r="AQ127">
        <v>0</v>
      </c>
      <c r="AR127">
        <v>23981740</v>
      </c>
      <c r="AS127">
        <v>24990000</v>
      </c>
      <c r="AT127">
        <v>1008260</v>
      </c>
      <c r="AU127">
        <v>403</v>
      </c>
    </row>
    <row r="128" spans="1:47" ht="13.5" customHeight="1" x14ac:dyDescent="0.3">
      <c r="A128" t="s">
        <v>5142</v>
      </c>
      <c r="B128" t="s">
        <v>5143</v>
      </c>
      <c r="C128">
        <v>0</v>
      </c>
      <c r="D128">
        <v>0</v>
      </c>
      <c r="E128" t="s">
        <v>3948</v>
      </c>
      <c r="F128" t="s">
        <v>3948</v>
      </c>
      <c r="G128" t="s">
        <v>3948</v>
      </c>
      <c r="H128" t="s">
        <v>3948</v>
      </c>
      <c r="I128" t="s">
        <v>9498</v>
      </c>
      <c r="J128" t="s">
        <v>3948</v>
      </c>
      <c r="K128" t="s">
        <v>9499</v>
      </c>
      <c r="L128" t="s">
        <v>220</v>
      </c>
      <c r="M128" t="s">
        <v>234</v>
      </c>
      <c r="N128" t="s">
        <v>4730</v>
      </c>
      <c r="O128" t="s">
        <v>9500</v>
      </c>
      <c r="P128">
        <v>2023</v>
      </c>
      <c r="Q128">
        <v>74175</v>
      </c>
      <c r="R128" t="s">
        <v>9501</v>
      </c>
      <c r="S128" t="s">
        <v>8779</v>
      </c>
      <c r="T128" t="s">
        <v>5145</v>
      </c>
      <c r="U128" t="s">
        <v>5197</v>
      </c>
      <c r="V128" t="s">
        <v>5147</v>
      </c>
      <c r="W128">
        <v>16990000</v>
      </c>
      <c r="X128" t="s">
        <v>5148</v>
      </c>
      <c r="Y128">
        <v>83</v>
      </c>
      <c r="Z128" t="s">
        <v>40</v>
      </c>
      <c r="AA128" t="s">
        <v>5149</v>
      </c>
      <c r="AB128" t="s">
        <v>9502</v>
      </c>
      <c r="AC128" t="s">
        <v>9503</v>
      </c>
      <c r="AD128" t="s">
        <v>9499</v>
      </c>
      <c r="AE128" t="s">
        <v>9504</v>
      </c>
      <c r="AF128" t="s">
        <v>9497</v>
      </c>
      <c r="AG128">
        <v>1</v>
      </c>
      <c r="AH128" t="s">
        <v>9497</v>
      </c>
      <c r="AI128" t="s">
        <v>9505</v>
      </c>
      <c r="AJ128" t="s">
        <v>3948</v>
      </c>
      <c r="AK128">
        <v>2</v>
      </c>
      <c r="AL128">
        <v>0</v>
      </c>
      <c r="AM128" t="s">
        <v>3948</v>
      </c>
      <c r="AN128">
        <v>0</v>
      </c>
      <c r="AO128">
        <v>13500000</v>
      </c>
      <c r="AP128">
        <v>331740</v>
      </c>
      <c r="AQ128">
        <v>0</v>
      </c>
      <c r="AR128">
        <v>13831740</v>
      </c>
      <c r="AS128">
        <v>16990000</v>
      </c>
      <c r="AT128">
        <v>3158260</v>
      </c>
      <c r="AU128">
        <v>1859</v>
      </c>
    </row>
    <row r="129" spans="1:47" ht="13.5" customHeight="1" x14ac:dyDescent="0.3">
      <c r="A129" t="s">
        <v>5142</v>
      </c>
      <c r="B129" t="s">
        <v>5143</v>
      </c>
      <c r="C129">
        <v>0</v>
      </c>
      <c r="D129">
        <v>0</v>
      </c>
      <c r="E129" t="s">
        <v>3948</v>
      </c>
      <c r="F129" t="s">
        <v>3948</v>
      </c>
      <c r="G129" t="s">
        <v>3948</v>
      </c>
      <c r="H129" t="s">
        <v>3948</v>
      </c>
      <c r="I129" t="s">
        <v>11479</v>
      </c>
      <c r="J129" t="s">
        <v>3948</v>
      </c>
      <c r="K129" t="s">
        <v>11480</v>
      </c>
      <c r="L129" t="s">
        <v>2545</v>
      </c>
      <c r="M129" t="s">
        <v>2856</v>
      </c>
      <c r="N129" t="s">
        <v>4930</v>
      </c>
      <c r="O129" t="s">
        <v>5553</v>
      </c>
      <c r="P129">
        <v>2023</v>
      </c>
      <c r="Q129">
        <v>60800</v>
      </c>
      <c r="R129" t="s">
        <v>11481</v>
      </c>
      <c r="S129" t="s">
        <v>10617</v>
      </c>
      <c r="T129" t="s">
        <v>5145</v>
      </c>
      <c r="U129" t="s">
        <v>8347</v>
      </c>
      <c r="V129" t="s">
        <v>5147</v>
      </c>
      <c r="W129">
        <v>22490000</v>
      </c>
      <c r="X129" t="s">
        <v>5148</v>
      </c>
      <c r="Y129">
        <v>14</v>
      </c>
      <c r="Z129" t="s">
        <v>3948</v>
      </c>
      <c r="AA129" t="s">
        <v>5149</v>
      </c>
      <c r="AB129" t="s">
        <v>5338</v>
      </c>
      <c r="AC129" t="s">
        <v>11482</v>
      </c>
      <c r="AD129" t="s">
        <v>11480</v>
      </c>
      <c r="AE129" t="s">
        <v>11483</v>
      </c>
      <c r="AF129" t="s">
        <v>11407</v>
      </c>
      <c r="AG129">
        <v>1</v>
      </c>
      <c r="AH129" t="s">
        <v>11407</v>
      </c>
      <c r="AI129" t="s">
        <v>11484</v>
      </c>
      <c r="AJ129" t="s">
        <v>3948</v>
      </c>
      <c r="AK129">
        <v>1</v>
      </c>
      <c r="AL129">
        <v>0</v>
      </c>
      <c r="AM129" t="s">
        <v>3948</v>
      </c>
      <c r="AN129">
        <v>0</v>
      </c>
      <c r="AO129">
        <v>19000000</v>
      </c>
      <c r="AP129">
        <v>414240</v>
      </c>
      <c r="AQ129">
        <v>0</v>
      </c>
      <c r="AR129">
        <v>19414240</v>
      </c>
      <c r="AS129">
        <v>22490000</v>
      </c>
      <c r="AT129">
        <v>3075760</v>
      </c>
      <c r="AU129">
        <v>1368</v>
      </c>
    </row>
    <row r="130" spans="1:47" ht="13.5" customHeight="1" x14ac:dyDescent="0.3">
      <c r="A130" t="s">
        <v>5142</v>
      </c>
      <c r="B130" t="s">
        <v>5143</v>
      </c>
      <c r="C130">
        <v>0</v>
      </c>
      <c r="D130">
        <v>0</v>
      </c>
      <c r="E130" t="s">
        <v>3948</v>
      </c>
      <c r="F130" t="s">
        <v>3948</v>
      </c>
      <c r="G130" t="s">
        <v>3948</v>
      </c>
      <c r="H130" t="s">
        <v>3948</v>
      </c>
      <c r="I130" t="s">
        <v>11113</v>
      </c>
      <c r="J130" t="s">
        <v>3948</v>
      </c>
      <c r="K130" t="s">
        <v>11114</v>
      </c>
      <c r="L130" t="s">
        <v>214</v>
      </c>
      <c r="M130" t="s">
        <v>215</v>
      </c>
      <c r="N130" t="s">
        <v>4649</v>
      </c>
      <c r="O130" t="s">
        <v>11115</v>
      </c>
      <c r="P130">
        <v>2021</v>
      </c>
      <c r="Q130">
        <v>89720</v>
      </c>
      <c r="R130" t="s">
        <v>11116</v>
      </c>
      <c r="S130" t="s">
        <v>11117</v>
      </c>
      <c r="T130" t="s">
        <v>5145</v>
      </c>
      <c r="U130" t="s">
        <v>5179</v>
      </c>
      <c r="V130" t="s">
        <v>5147</v>
      </c>
      <c r="W130">
        <v>11690000</v>
      </c>
      <c r="X130" t="s">
        <v>5148</v>
      </c>
      <c r="Y130">
        <v>26</v>
      </c>
      <c r="Z130" t="s">
        <v>16</v>
      </c>
      <c r="AA130" t="s">
        <v>5149</v>
      </c>
      <c r="AB130" t="s">
        <v>3948</v>
      </c>
      <c r="AC130" t="s">
        <v>11118</v>
      </c>
      <c r="AD130" t="s">
        <v>11114</v>
      </c>
      <c r="AE130" t="s">
        <v>11119</v>
      </c>
      <c r="AF130" t="s">
        <v>10999</v>
      </c>
      <c r="AG130">
        <v>1</v>
      </c>
      <c r="AH130" t="s">
        <v>10999</v>
      </c>
      <c r="AI130" t="s">
        <v>11120</v>
      </c>
      <c r="AJ130" t="s">
        <v>3948</v>
      </c>
      <c r="AK130">
        <v>1</v>
      </c>
      <c r="AL130">
        <v>0</v>
      </c>
      <c r="AM130" t="s">
        <v>3948</v>
      </c>
      <c r="AN130">
        <v>0</v>
      </c>
      <c r="AO130">
        <v>10000000</v>
      </c>
      <c r="AP130">
        <v>279240</v>
      </c>
      <c r="AQ130">
        <v>0</v>
      </c>
      <c r="AR130">
        <v>10279240</v>
      </c>
      <c r="AS130">
        <v>11690000</v>
      </c>
      <c r="AT130">
        <v>1410760</v>
      </c>
      <c r="AU130">
        <v>1207</v>
      </c>
    </row>
    <row r="131" spans="1:47" ht="13.5" customHeight="1" x14ac:dyDescent="0.3">
      <c r="A131" t="s">
        <v>5142</v>
      </c>
      <c r="B131" t="s">
        <v>5161</v>
      </c>
      <c r="C131">
        <v>0</v>
      </c>
      <c r="D131">
        <v>0</v>
      </c>
      <c r="E131" t="s">
        <v>3948</v>
      </c>
      <c r="F131" t="s">
        <v>3948</v>
      </c>
      <c r="G131" t="s">
        <v>3948</v>
      </c>
      <c r="H131" t="s">
        <v>3948</v>
      </c>
      <c r="I131" t="s">
        <v>5568</v>
      </c>
      <c r="J131" t="s">
        <v>3948</v>
      </c>
      <c r="K131" t="s">
        <v>5358</v>
      </c>
      <c r="L131" t="s">
        <v>86</v>
      </c>
      <c r="M131" t="s">
        <v>122</v>
      </c>
      <c r="N131" t="s">
        <v>125</v>
      </c>
      <c r="O131" t="s">
        <v>5359</v>
      </c>
      <c r="P131">
        <v>2023</v>
      </c>
      <c r="Q131">
        <v>114000</v>
      </c>
      <c r="R131" t="s">
        <v>5360</v>
      </c>
      <c r="S131" t="s">
        <v>126</v>
      </c>
      <c r="T131" t="s">
        <v>5145</v>
      </c>
      <c r="U131" t="s">
        <v>5361</v>
      </c>
      <c r="V131" t="s">
        <v>5147</v>
      </c>
      <c r="W131">
        <v>28990000</v>
      </c>
      <c r="X131" t="s">
        <v>5148</v>
      </c>
      <c r="Y131">
        <v>204</v>
      </c>
      <c r="Z131" t="s">
        <v>26</v>
      </c>
      <c r="AA131" t="s">
        <v>5166</v>
      </c>
      <c r="AB131" t="s">
        <v>3948</v>
      </c>
      <c r="AC131" t="s">
        <v>5362</v>
      </c>
      <c r="AD131" t="s">
        <v>5358</v>
      </c>
      <c r="AE131" t="s">
        <v>5363</v>
      </c>
      <c r="AF131" t="s">
        <v>5569</v>
      </c>
      <c r="AG131">
        <v>24</v>
      </c>
      <c r="AH131" t="s">
        <v>5570</v>
      </c>
      <c r="AI131" t="s">
        <v>5571</v>
      </c>
      <c r="AJ131" t="s">
        <v>3948</v>
      </c>
      <c r="AK131">
        <v>0</v>
      </c>
      <c r="AL131">
        <v>0</v>
      </c>
      <c r="AM131" t="s">
        <v>3948</v>
      </c>
      <c r="AN131">
        <v>0</v>
      </c>
      <c r="AO131">
        <v>26500000</v>
      </c>
      <c r="AP131">
        <v>523530</v>
      </c>
      <c r="AQ131">
        <v>0</v>
      </c>
      <c r="AR131">
        <v>27023530</v>
      </c>
      <c r="AS131">
        <v>28990000</v>
      </c>
      <c r="AT131">
        <v>1966470</v>
      </c>
      <c r="AU131">
        <v>678</v>
      </c>
    </row>
    <row r="132" spans="1:47" ht="13.5" customHeight="1" x14ac:dyDescent="0.3">
      <c r="A132" t="s">
        <v>5142</v>
      </c>
      <c r="B132" t="s">
        <v>5161</v>
      </c>
      <c r="C132">
        <v>0</v>
      </c>
      <c r="D132">
        <v>0</v>
      </c>
      <c r="E132" t="s">
        <v>3948</v>
      </c>
      <c r="F132" t="s">
        <v>3948</v>
      </c>
      <c r="G132" t="s">
        <v>3948</v>
      </c>
      <c r="H132" t="s">
        <v>3948</v>
      </c>
      <c r="I132" t="s">
        <v>9791</v>
      </c>
      <c r="J132" t="s">
        <v>3948</v>
      </c>
      <c r="K132" t="s">
        <v>9792</v>
      </c>
      <c r="L132" t="s">
        <v>186</v>
      </c>
      <c r="M132" t="s">
        <v>188</v>
      </c>
      <c r="N132" t="s">
        <v>4488</v>
      </c>
      <c r="O132" t="s">
        <v>9793</v>
      </c>
      <c r="P132">
        <v>2025</v>
      </c>
      <c r="Q132">
        <v>41752</v>
      </c>
      <c r="R132" t="s">
        <v>9794</v>
      </c>
      <c r="S132" t="s">
        <v>9647</v>
      </c>
      <c r="T132" t="s">
        <v>5145</v>
      </c>
      <c r="U132" t="s">
        <v>9795</v>
      </c>
      <c r="V132" t="s">
        <v>5147</v>
      </c>
      <c r="W132">
        <v>9990000</v>
      </c>
      <c r="X132" t="s">
        <v>5148</v>
      </c>
      <c r="Y132">
        <v>74</v>
      </c>
      <c r="Z132" t="s">
        <v>26</v>
      </c>
      <c r="AA132" t="s">
        <v>5166</v>
      </c>
      <c r="AB132" t="s">
        <v>9796</v>
      </c>
      <c r="AC132" t="s">
        <v>9797</v>
      </c>
      <c r="AD132" t="s">
        <v>9792</v>
      </c>
      <c r="AE132" t="s">
        <v>9798</v>
      </c>
      <c r="AF132" t="s">
        <v>9780</v>
      </c>
      <c r="AG132">
        <v>1</v>
      </c>
      <c r="AH132" t="s">
        <v>10207</v>
      </c>
      <c r="AI132" t="s">
        <v>10207</v>
      </c>
      <c r="AJ132" t="s">
        <v>3948</v>
      </c>
      <c r="AK132">
        <v>1</v>
      </c>
      <c r="AL132">
        <v>0</v>
      </c>
      <c r="AM132" t="s">
        <v>3948</v>
      </c>
      <c r="AN132">
        <v>0</v>
      </c>
      <c r="AO132">
        <v>7900000</v>
      </c>
      <c r="AP132">
        <v>247740</v>
      </c>
      <c r="AQ132">
        <v>0</v>
      </c>
      <c r="AR132">
        <v>8147740</v>
      </c>
      <c r="AS132">
        <v>9990000</v>
      </c>
      <c r="AT132">
        <v>1842260</v>
      </c>
      <c r="AU132">
        <v>1844</v>
      </c>
    </row>
    <row r="133" spans="1:47" ht="13.5" customHeight="1" x14ac:dyDescent="0.3">
      <c r="A133" t="s">
        <v>5142</v>
      </c>
      <c r="B133" t="s">
        <v>5161</v>
      </c>
      <c r="C133">
        <v>0</v>
      </c>
      <c r="D133">
        <v>0</v>
      </c>
      <c r="E133" t="s">
        <v>3948</v>
      </c>
      <c r="F133" t="s">
        <v>3948</v>
      </c>
      <c r="G133" t="s">
        <v>3948</v>
      </c>
      <c r="H133" t="s">
        <v>3948</v>
      </c>
      <c r="I133" t="s">
        <v>11056</v>
      </c>
      <c r="J133" t="s">
        <v>3948</v>
      </c>
      <c r="K133" t="s">
        <v>11057</v>
      </c>
      <c r="L133" t="s">
        <v>241</v>
      </c>
      <c r="M133" t="s">
        <v>4777</v>
      </c>
      <c r="N133" t="s">
        <v>4790</v>
      </c>
      <c r="O133" t="s">
        <v>9575</v>
      </c>
      <c r="P133">
        <v>2024</v>
      </c>
      <c r="Q133">
        <v>21000</v>
      </c>
      <c r="R133" t="s">
        <v>11058</v>
      </c>
      <c r="S133" t="s">
        <v>10737</v>
      </c>
      <c r="T133" t="s">
        <v>5145</v>
      </c>
      <c r="U133" t="s">
        <v>5157</v>
      </c>
      <c r="V133" t="s">
        <v>5147</v>
      </c>
      <c r="W133">
        <v>9290000</v>
      </c>
      <c r="X133" t="s">
        <v>5148</v>
      </c>
      <c r="Y133">
        <v>25</v>
      </c>
      <c r="Z133" t="s">
        <v>16</v>
      </c>
      <c r="AA133" t="s">
        <v>5166</v>
      </c>
      <c r="AB133" t="s">
        <v>3948</v>
      </c>
      <c r="AC133" t="s">
        <v>11059</v>
      </c>
      <c r="AD133" t="s">
        <v>11057</v>
      </c>
      <c r="AE133" t="s">
        <v>11060</v>
      </c>
      <c r="AF133" t="s">
        <v>10905</v>
      </c>
      <c r="AG133">
        <v>1</v>
      </c>
      <c r="AH133" t="s">
        <v>10905</v>
      </c>
      <c r="AI133" t="s">
        <v>11061</v>
      </c>
      <c r="AJ133" t="s">
        <v>3948</v>
      </c>
      <c r="AK133">
        <v>1</v>
      </c>
      <c r="AL133">
        <v>0</v>
      </c>
      <c r="AM133" t="s">
        <v>3948</v>
      </c>
      <c r="AN133">
        <v>0</v>
      </c>
      <c r="AO133">
        <v>7800000</v>
      </c>
      <c r="AP133">
        <v>246240</v>
      </c>
      <c r="AQ133">
        <v>0</v>
      </c>
      <c r="AR133">
        <v>8046240</v>
      </c>
      <c r="AS133">
        <v>9290000</v>
      </c>
      <c r="AT133">
        <v>1243760</v>
      </c>
      <c r="AU133">
        <v>1339</v>
      </c>
    </row>
    <row r="134" spans="1:47" ht="13.5" customHeight="1" x14ac:dyDescent="0.3">
      <c r="A134" t="s">
        <v>5142</v>
      </c>
      <c r="B134" t="s">
        <v>5170</v>
      </c>
      <c r="C134">
        <v>0</v>
      </c>
      <c r="D134">
        <v>0</v>
      </c>
      <c r="E134" t="s">
        <v>3948</v>
      </c>
      <c r="F134" t="s">
        <v>3948</v>
      </c>
      <c r="G134" t="s">
        <v>3948</v>
      </c>
      <c r="H134" t="s">
        <v>3948</v>
      </c>
      <c r="I134" t="s">
        <v>10973</v>
      </c>
      <c r="J134" t="s">
        <v>3948</v>
      </c>
      <c r="K134" t="s">
        <v>10974</v>
      </c>
      <c r="L134" t="s">
        <v>186</v>
      </c>
      <c r="M134" t="s">
        <v>2664</v>
      </c>
      <c r="N134" t="s">
        <v>4515</v>
      </c>
      <c r="O134" t="s">
        <v>10975</v>
      </c>
      <c r="P134">
        <v>2024</v>
      </c>
      <c r="Q134">
        <v>21886</v>
      </c>
      <c r="R134" t="s">
        <v>10976</v>
      </c>
      <c r="S134" t="s">
        <v>8831</v>
      </c>
      <c r="T134" t="s">
        <v>5145</v>
      </c>
      <c r="U134" t="s">
        <v>10977</v>
      </c>
      <c r="V134" t="s">
        <v>5147</v>
      </c>
      <c r="W134">
        <v>12990000</v>
      </c>
      <c r="X134" t="s">
        <v>5148</v>
      </c>
      <c r="Y134">
        <v>25</v>
      </c>
      <c r="Z134" t="s">
        <v>26</v>
      </c>
      <c r="AA134" t="s">
        <v>5175</v>
      </c>
      <c r="AB134" t="s">
        <v>3948</v>
      </c>
      <c r="AC134" t="s">
        <v>10978</v>
      </c>
      <c r="AD134" t="s">
        <v>10974</v>
      </c>
      <c r="AE134" t="s">
        <v>10979</v>
      </c>
      <c r="AF134" t="s">
        <v>10905</v>
      </c>
      <c r="AG134">
        <v>1</v>
      </c>
      <c r="AH134" t="s">
        <v>10905</v>
      </c>
      <c r="AI134" t="s">
        <v>10980</v>
      </c>
      <c r="AJ134" t="s">
        <v>3948</v>
      </c>
      <c r="AK134">
        <v>1</v>
      </c>
      <c r="AL134">
        <v>0</v>
      </c>
      <c r="AM134" t="s">
        <v>3948</v>
      </c>
      <c r="AN134">
        <v>0</v>
      </c>
      <c r="AO134">
        <v>10800000</v>
      </c>
      <c r="AP134">
        <v>291240</v>
      </c>
      <c r="AQ134">
        <v>0</v>
      </c>
      <c r="AR134">
        <v>11091240</v>
      </c>
      <c r="AS134">
        <v>12990000</v>
      </c>
      <c r="AT134">
        <v>1898760</v>
      </c>
      <c r="AU134">
        <v>1462</v>
      </c>
    </row>
    <row r="135" spans="1:47" ht="13.5" customHeight="1" x14ac:dyDescent="0.3">
      <c r="A135" t="s">
        <v>5142</v>
      </c>
      <c r="B135" t="s">
        <v>5143</v>
      </c>
      <c r="C135">
        <v>0</v>
      </c>
      <c r="D135">
        <v>0</v>
      </c>
      <c r="E135" t="s">
        <v>3948</v>
      </c>
      <c r="F135" t="s">
        <v>3948</v>
      </c>
      <c r="G135" t="s">
        <v>3948</v>
      </c>
      <c r="H135" t="s">
        <v>3948</v>
      </c>
      <c r="I135" t="s">
        <v>10838</v>
      </c>
      <c r="J135" t="s">
        <v>3948</v>
      </c>
      <c r="K135" t="s">
        <v>10839</v>
      </c>
      <c r="L135" t="s">
        <v>68</v>
      </c>
      <c r="M135" t="s">
        <v>4134</v>
      </c>
      <c r="N135" t="s">
        <v>69</v>
      </c>
      <c r="O135" t="s">
        <v>10840</v>
      </c>
      <c r="P135">
        <v>2022</v>
      </c>
      <c r="Q135">
        <v>37000</v>
      </c>
      <c r="R135" t="s">
        <v>10841</v>
      </c>
      <c r="S135" t="s">
        <v>10718</v>
      </c>
      <c r="T135" t="s">
        <v>5145</v>
      </c>
      <c r="U135" t="s">
        <v>5179</v>
      </c>
      <c r="V135" t="s">
        <v>5147</v>
      </c>
      <c r="W135">
        <v>7990000</v>
      </c>
      <c r="X135" t="s">
        <v>5148</v>
      </c>
      <c r="Y135">
        <v>38</v>
      </c>
      <c r="Z135" t="s">
        <v>16</v>
      </c>
      <c r="AA135" t="s">
        <v>5149</v>
      </c>
      <c r="AB135" t="s">
        <v>10842</v>
      </c>
      <c r="AC135" t="s">
        <v>10843</v>
      </c>
      <c r="AD135" t="s">
        <v>10839</v>
      </c>
      <c r="AE135" t="s">
        <v>10844</v>
      </c>
      <c r="AF135" t="s">
        <v>10837</v>
      </c>
      <c r="AG135">
        <v>1</v>
      </c>
      <c r="AH135" t="s">
        <v>10837</v>
      </c>
      <c r="AI135" t="s">
        <v>10845</v>
      </c>
      <c r="AJ135" t="s">
        <v>3948</v>
      </c>
      <c r="AK135">
        <v>1</v>
      </c>
      <c r="AL135">
        <v>0</v>
      </c>
      <c r="AM135" t="s">
        <v>3948</v>
      </c>
      <c r="AN135">
        <v>0</v>
      </c>
      <c r="AO135">
        <v>6500000</v>
      </c>
      <c r="AP135">
        <v>0</v>
      </c>
      <c r="AQ135">
        <v>0</v>
      </c>
      <c r="AR135">
        <v>6500000</v>
      </c>
      <c r="AS135">
        <v>7990000</v>
      </c>
      <c r="AT135">
        <v>1490000</v>
      </c>
      <c r="AU135">
        <v>1865</v>
      </c>
    </row>
    <row r="136" spans="1:47" ht="13.5" customHeight="1" x14ac:dyDescent="0.3">
      <c r="A136" t="s">
        <v>5142</v>
      </c>
      <c r="B136" t="s">
        <v>5143</v>
      </c>
      <c r="C136">
        <v>0</v>
      </c>
      <c r="D136">
        <v>0</v>
      </c>
      <c r="E136" t="s">
        <v>3948</v>
      </c>
      <c r="F136" t="s">
        <v>3948</v>
      </c>
      <c r="G136" t="s">
        <v>3948</v>
      </c>
      <c r="H136" t="s">
        <v>3948</v>
      </c>
      <c r="I136" t="s">
        <v>9799</v>
      </c>
      <c r="J136" t="s">
        <v>3948</v>
      </c>
      <c r="K136" t="s">
        <v>9800</v>
      </c>
      <c r="L136" t="s">
        <v>2549</v>
      </c>
      <c r="M136" t="s">
        <v>4744</v>
      </c>
      <c r="N136" t="s">
        <v>4745</v>
      </c>
      <c r="O136" t="s">
        <v>9801</v>
      </c>
      <c r="P136">
        <v>2021</v>
      </c>
      <c r="Q136">
        <v>46000</v>
      </c>
      <c r="R136" t="s">
        <v>9802</v>
      </c>
      <c r="S136" t="s">
        <v>9680</v>
      </c>
      <c r="T136" t="s">
        <v>5145</v>
      </c>
      <c r="U136" t="s">
        <v>9803</v>
      </c>
      <c r="V136" t="s">
        <v>5147</v>
      </c>
      <c r="W136">
        <v>8490000</v>
      </c>
      <c r="X136" t="s">
        <v>5148</v>
      </c>
      <c r="Y136">
        <v>74</v>
      </c>
      <c r="Z136" t="s">
        <v>40</v>
      </c>
      <c r="AA136" t="s">
        <v>5149</v>
      </c>
      <c r="AB136" t="s">
        <v>9804</v>
      </c>
      <c r="AC136" t="s">
        <v>9805</v>
      </c>
      <c r="AD136" t="s">
        <v>9800</v>
      </c>
      <c r="AE136" t="s">
        <v>9806</v>
      </c>
      <c r="AF136" t="s">
        <v>9780</v>
      </c>
      <c r="AG136">
        <v>1</v>
      </c>
      <c r="AH136" t="s">
        <v>9780</v>
      </c>
      <c r="AI136" t="s">
        <v>9807</v>
      </c>
      <c r="AJ136" t="s">
        <v>3948</v>
      </c>
      <c r="AK136">
        <v>1</v>
      </c>
      <c r="AL136">
        <v>0</v>
      </c>
      <c r="AM136" t="s">
        <v>3948</v>
      </c>
      <c r="AN136">
        <v>0</v>
      </c>
      <c r="AO136">
        <v>5000000</v>
      </c>
      <c r="AP136">
        <v>204240</v>
      </c>
      <c r="AQ136">
        <v>0</v>
      </c>
      <c r="AR136">
        <v>5204240</v>
      </c>
      <c r="AS136">
        <v>8490000</v>
      </c>
      <c r="AT136">
        <v>3285760</v>
      </c>
      <c r="AU136">
        <v>387</v>
      </c>
    </row>
    <row r="137" spans="1:47" ht="13.5" customHeight="1" x14ac:dyDescent="0.3">
      <c r="A137" t="s">
        <v>5142</v>
      </c>
      <c r="B137" t="s">
        <v>5170</v>
      </c>
      <c r="C137">
        <v>0</v>
      </c>
      <c r="D137">
        <v>0</v>
      </c>
      <c r="E137" t="s">
        <v>3948</v>
      </c>
      <c r="F137" t="s">
        <v>3948</v>
      </c>
      <c r="G137" t="s">
        <v>3948</v>
      </c>
      <c r="H137" t="s">
        <v>3948</v>
      </c>
      <c r="I137" t="s">
        <v>5503</v>
      </c>
      <c r="J137" t="s">
        <v>3948</v>
      </c>
      <c r="K137" t="s">
        <v>5327</v>
      </c>
      <c r="L137" t="s">
        <v>214</v>
      </c>
      <c r="M137" t="s">
        <v>215</v>
      </c>
      <c r="N137" t="s">
        <v>216</v>
      </c>
      <c r="O137" t="s">
        <v>5328</v>
      </c>
      <c r="P137">
        <v>2023</v>
      </c>
      <c r="Q137">
        <v>44000</v>
      </c>
      <c r="R137" t="s">
        <v>5329</v>
      </c>
      <c r="S137" t="s">
        <v>217</v>
      </c>
      <c r="T137" t="s">
        <v>5145</v>
      </c>
      <c r="U137" t="s">
        <v>5174</v>
      </c>
      <c r="V137" t="s">
        <v>5147</v>
      </c>
      <c r="W137">
        <v>16490000</v>
      </c>
      <c r="X137" t="s">
        <v>5148</v>
      </c>
      <c r="Y137">
        <v>181</v>
      </c>
      <c r="Z137" t="s">
        <v>20</v>
      </c>
      <c r="AA137" t="s">
        <v>5175</v>
      </c>
      <c r="AB137" t="s">
        <v>5150</v>
      </c>
      <c r="AC137" t="s">
        <v>5330</v>
      </c>
      <c r="AD137" t="s">
        <v>5327</v>
      </c>
      <c r="AE137" t="s">
        <v>5331</v>
      </c>
      <c r="AF137" t="s">
        <v>5504</v>
      </c>
      <c r="AG137">
        <v>1</v>
      </c>
      <c r="AH137" t="s">
        <v>5504</v>
      </c>
      <c r="AI137" t="s">
        <v>5505</v>
      </c>
      <c r="AJ137" t="s">
        <v>5506</v>
      </c>
      <c r="AK137">
        <v>1</v>
      </c>
      <c r="AL137">
        <v>0</v>
      </c>
      <c r="AM137" t="s">
        <v>3948</v>
      </c>
      <c r="AN137">
        <v>0</v>
      </c>
      <c r="AO137">
        <v>15200000</v>
      </c>
      <c r="AP137">
        <v>354030</v>
      </c>
      <c r="AQ137">
        <v>0</v>
      </c>
      <c r="AR137">
        <v>15554030</v>
      </c>
      <c r="AS137">
        <v>16490000</v>
      </c>
      <c r="AT137">
        <v>935970</v>
      </c>
      <c r="AU137">
        <v>568</v>
      </c>
    </row>
    <row r="138" spans="1:47" ht="13.5" customHeight="1" x14ac:dyDescent="0.3">
      <c r="A138" t="s">
        <v>5142</v>
      </c>
      <c r="B138" t="s">
        <v>5180</v>
      </c>
      <c r="C138">
        <v>0</v>
      </c>
      <c r="D138">
        <v>0</v>
      </c>
      <c r="E138" t="s">
        <v>3948</v>
      </c>
      <c r="F138" t="s">
        <v>3948</v>
      </c>
      <c r="G138" t="s">
        <v>3948</v>
      </c>
      <c r="H138" t="s">
        <v>3948</v>
      </c>
      <c r="I138" t="s">
        <v>8080</v>
      </c>
      <c r="J138" t="s">
        <v>3948</v>
      </c>
      <c r="K138" t="s">
        <v>8114</v>
      </c>
      <c r="L138" t="s">
        <v>68</v>
      </c>
      <c r="M138" t="s">
        <v>68</v>
      </c>
      <c r="N138" t="s">
        <v>78</v>
      </c>
      <c r="O138" t="s">
        <v>8082</v>
      </c>
      <c r="P138">
        <v>2014</v>
      </c>
      <c r="Q138">
        <v>0</v>
      </c>
      <c r="R138" t="s">
        <v>8115</v>
      </c>
      <c r="S138" t="s">
        <v>8116</v>
      </c>
      <c r="T138" t="s">
        <v>5145</v>
      </c>
      <c r="U138" t="s">
        <v>5179</v>
      </c>
      <c r="V138" t="s">
        <v>8085</v>
      </c>
      <c r="W138">
        <v>3490000</v>
      </c>
      <c r="X138" t="s">
        <v>5148</v>
      </c>
      <c r="Y138">
        <v>4486</v>
      </c>
      <c r="Z138" t="s">
        <v>8086</v>
      </c>
      <c r="AA138" t="s">
        <v>5181</v>
      </c>
      <c r="AB138" t="s">
        <v>3948</v>
      </c>
      <c r="AC138" t="s">
        <v>8117</v>
      </c>
      <c r="AD138" t="s">
        <v>8114</v>
      </c>
      <c r="AE138" t="s">
        <v>8089</v>
      </c>
      <c r="AF138" t="s">
        <v>8118</v>
      </c>
      <c r="AG138">
        <v>0</v>
      </c>
      <c r="AH138" t="s">
        <v>3948</v>
      </c>
      <c r="AI138" t="s">
        <v>3948</v>
      </c>
      <c r="AJ138" t="s">
        <v>8118</v>
      </c>
      <c r="AK138">
        <v>0</v>
      </c>
      <c r="AL138">
        <v>0</v>
      </c>
      <c r="AM138" t="s">
        <v>3948</v>
      </c>
      <c r="AN138">
        <v>0</v>
      </c>
      <c r="AO138">
        <v>82597</v>
      </c>
      <c r="AP138">
        <v>4016851</v>
      </c>
      <c r="AQ138">
        <v>0</v>
      </c>
      <c r="AR138">
        <v>4099448</v>
      </c>
      <c r="AS138">
        <v>3490000</v>
      </c>
      <c r="AT138">
        <v>-609448</v>
      </c>
      <c r="AU138">
        <v>-1746</v>
      </c>
    </row>
    <row r="139" spans="1:47" ht="13.5" customHeight="1" x14ac:dyDescent="0.3">
      <c r="A139" t="s">
        <v>5142</v>
      </c>
      <c r="B139" t="s">
        <v>5143</v>
      </c>
      <c r="C139">
        <v>0</v>
      </c>
      <c r="D139">
        <v>0</v>
      </c>
      <c r="E139" t="s">
        <v>3948</v>
      </c>
      <c r="F139" t="s">
        <v>3948</v>
      </c>
      <c r="G139" t="s">
        <v>3948</v>
      </c>
      <c r="H139" t="s">
        <v>3948</v>
      </c>
      <c r="I139" t="s">
        <v>11485</v>
      </c>
      <c r="J139" t="s">
        <v>3948</v>
      </c>
      <c r="K139" t="s">
        <v>11486</v>
      </c>
      <c r="L139" t="s">
        <v>28</v>
      </c>
      <c r="M139" t="s">
        <v>2575</v>
      </c>
      <c r="N139" t="s">
        <v>4032</v>
      </c>
      <c r="O139" t="s">
        <v>11487</v>
      </c>
      <c r="P139">
        <v>2023</v>
      </c>
      <c r="Q139">
        <v>24500</v>
      </c>
      <c r="R139" t="s">
        <v>11488</v>
      </c>
      <c r="S139" t="s">
        <v>11489</v>
      </c>
      <c r="T139" t="s">
        <v>5145</v>
      </c>
      <c r="U139" t="s">
        <v>5446</v>
      </c>
      <c r="V139" t="s">
        <v>5147</v>
      </c>
      <c r="W139">
        <v>7890000</v>
      </c>
      <c r="X139" t="s">
        <v>5148</v>
      </c>
      <c r="Y139">
        <v>14</v>
      </c>
      <c r="Z139" t="s">
        <v>26</v>
      </c>
      <c r="AA139" t="s">
        <v>5149</v>
      </c>
      <c r="AB139" t="s">
        <v>3948</v>
      </c>
      <c r="AC139" t="s">
        <v>11490</v>
      </c>
      <c r="AD139" t="s">
        <v>11486</v>
      </c>
      <c r="AE139" t="s">
        <v>11491</v>
      </c>
      <c r="AF139" t="s">
        <v>11407</v>
      </c>
      <c r="AG139">
        <v>1</v>
      </c>
      <c r="AH139" t="s">
        <v>11407</v>
      </c>
      <c r="AI139" t="s">
        <v>11492</v>
      </c>
      <c r="AJ139" t="s">
        <v>3948</v>
      </c>
      <c r="AK139">
        <v>1</v>
      </c>
      <c r="AL139">
        <v>0</v>
      </c>
      <c r="AM139" t="s">
        <v>3948</v>
      </c>
      <c r="AN139">
        <v>0</v>
      </c>
      <c r="AO139">
        <v>6500000</v>
      </c>
      <c r="AP139">
        <v>226740</v>
      </c>
      <c r="AQ139">
        <v>0</v>
      </c>
      <c r="AR139">
        <v>6726740</v>
      </c>
      <c r="AS139">
        <v>7890000</v>
      </c>
      <c r="AT139">
        <v>1163260</v>
      </c>
      <c r="AU139">
        <v>1474</v>
      </c>
    </row>
    <row r="140" spans="1:47" ht="13.5" customHeight="1" x14ac:dyDescent="0.3">
      <c r="A140" t="s">
        <v>5142</v>
      </c>
      <c r="B140" t="s">
        <v>5170</v>
      </c>
      <c r="C140">
        <v>0</v>
      </c>
      <c r="D140">
        <v>0</v>
      </c>
      <c r="E140" t="s">
        <v>3948</v>
      </c>
      <c r="F140" t="s">
        <v>3948</v>
      </c>
      <c r="G140" t="s">
        <v>3948</v>
      </c>
      <c r="H140" t="s">
        <v>3948</v>
      </c>
      <c r="I140" t="s">
        <v>11493</v>
      </c>
      <c r="J140" t="s">
        <v>3948</v>
      </c>
      <c r="K140" t="s">
        <v>11494</v>
      </c>
      <c r="L140" t="s">
        <v>2494</v>
      </c>
      <c r="M140" t="s">
        <v>11495</v>
      </c>
      <c r="N140" t="s">
        <v>11496</v>
      </c>
      <c r="O140" t="s">
        <v>11497</v>
      </c>
      <c r="P140">
        <v>2023</v>
      </c>
      <c r="Q140">
        <v>34836</v>
      </c>
      <c r="R140" t="s">
        <v>11498</v>
      </c>
      <c r="S140" t="s">
        <v>11499</v>
      </c>
      <c r="T140" t="s">
        <v>5145</v>
      </c>
      <c r="U140" t="s">
        <v>5179</v>
      </c>
      <c r="V140" t="s">
        <v>5147</v>
      </c>
      <c r="W140">
        <v>6290000</v>
      </c>
      <c r="X140" t="s">
        <v>5148</v>
      </c>
      <c r="Y140">
        <v>6</v>
      </c>
      <c r="Z140" t="s">
        <v>16</v>
      </c>
      <c r="AA140" t="s">
        <v>5175</v>
      </c>
      <c r="AB140" t="s">
        <v>3948</v>
      </c>
      <c r="AC140" t="s">
        <v>11500</v>
      </c>
      <c r="AD140" t="s">
        <v>11501</v>
      </c>
      <c r="AE140" t="s">
        <v>11502</v>
      </c>
      <c r="AF140" t="s">
        <v>11503</v>
      </c>
      <c r="AG140">
        <v>1</v>
      </c>
      <c r="AH140" t="s">
        <v>11503</v>
      </c>
      <c r="AI140" t="s">
        <v>11504</v>
      </c>
      <c r="AJ140" t="s">
        <v>3948</v>
      </c>
      <c r="AK140">
        <v>1</v>
      </c>
      <c r="AL140">
        <v>0</v>
      </c>
      <c r="AM140" t="s">
        <v>3948</v>
      </c>
      <c r="AN140">
        <v>0</v>
      </c>
      <c r="AO140">
        <v>5100000</v>
      </c>
      <c r="AP140">
        <v>205740</v>
      </c>
      <c r="AQ140">
        <v>0</v>
      </c>
      <c r="AR140">
        <v>5305740</v>
      </c>
      <c r="AS140">
        <v>6290000</v>
      </c>
      <c r="AT140">
        <v>984260</v>
      </c>
      <c r="AU140">
        <v>1565</v>
      </c>
    </row>
    <row r="141" spans="1:47" ht="13.5" customHeight="1" x14ac:dyDescent="0.3">
      <c r="A141" t="s">
        <v>5142</v>
      </c>
      <c r="B141" t="s">
        <v>5143</v>
      </c>
      <c r="C141">
        <v>0</v>
      </c>
      <c r="D141">
        <v>0</v>
      </c>
      <c r="E141" t="s">
        <v>3948</v>
      </c>
      <c r="F141" t="s">
        <v>3948</v>
      </c>
      <c r="G141" t="s">
        <v>3948</v>
      </c>
      <c r="H141" t="s">
        <v>3948</v>
      </c>
      <c r="I141" t="s">
        <v>5626</v>
      </c>
      <c r="J141" t="s">
        <v>3948</v>
      </c>
      <c r="K141" t="s">
        <v>5198</v>
      </c>
      <c r="L141" t="s">
        <v>207</v>
      </c>
      <c r="M141" t="s">
        <v>211</v>
      </c>
      <c r="N141" t="s">
        <v>212</v>
      </c>
      <c r="O141" t="s">
        <v>5199</v>
      </c>
      <c r="P141">
        <v>2025</v>
      </c>
      <c r="Q141">
        <v>19678</v>
      </c>
      <c r="R141" t="s">
        <v>5200</v>
      </c>
      <c r="S141" t="s">
        <v>213</v>
      </c>
      <c r="T141" t="s">
        <v>5145</v>
      </c>
      <c r="U141" t="s">
        <v>5201</v>
      </c>
      <c r="V141" t="s">
        <v>5147</v>
      </c>
      <c r="W141">
        <v>36990000</v>
      </c>
      <c r="X141" t="s">
        <v>5148</v>
      </c>
      <c r="Y141">
        <v>347</v>
      </c>
      <c r="Z141" t="s">
        <v>26</v>
      </c>
      <c r="AA141" t="s">
        <v>5149</v>
      </c>
      <c r="AB141" t="s">
        <v>5202</v>
      </c>
      <c r="AC141" t="s">
        <v>5203</v>
      </c>
      <c r="AD141" t="s">
        <v>5204</v>
      </c>
      <c r="AE141" t="s">
        <v>5205</v>
      </c>
      <c r="AF141" t="s">
        <v>5532</v>
      </c>
      <c r="AG141">
        <v>1</v>
      </c>
      <c r="AH141" t="s">
        <v>5627</v>
      </c>
      <c r="AI141" t="s">
        <v>5627</v>
      </c>
      <c r="AJ141" t="s">
        <v>3948</v>
      </c>
      <c r="AK141">
        <v>1</v>
      </c>
      <c r="AL141">
        <v>0</v>
      </c>
      <c r="AM141" t="s">
        <v>3948</v>
      </c>
      <c r="AN141">
        <v>0</v>
      </c>
      <c r="AO141">
        <v>38000000</v>
      </c>
      <c r="AP141">
        <v>1283058</v>
      </c>
      <c r="AQ141">
        <v>0</v>
      </c>
      <c r="AR141">
        <v>39283058</v>
      </c>
      <c r="AS141">
        <v>36990000</v>
      </c>
      <c r="AT141">
        <v>-2293058</v>
      </c>
      <c r="AU141">
        <v>-62</v>
      </c>
    </row>
    <row r="142" spans="1:47" ht="13.5" customHeight="1" x14ac:dyDescent="0.3">
      <c r="A142" t="s">
        <v>5142</v>
      </c>
      <c r="B142" t="s">
        <v>5143</v>
      </c>
      <c r="C142">
        <v>0</v>
      </c>
      <c r="D142">
        <v>0</v>
      </c>
      <c r="E142" t="s">
        <v>3948</v>
      </c>
      <c r="F142" t="s">
        <v>3948</v>
      </c>
      <c r="G142" t="s">
        <v>3948</v>
      </c>
      <c r="H142" t="s">
        <v>3948</v>
      </c>
      <c r="I142" t="s">
        <v>10224</v>
      </c>
      <c r="J142" t="s">
        <v>3948</v>
      </c>
      <c r="K142" t="s">
        <v>10225</v>
      </c>
      <c r="L142" t="s">
        <v>45</v>
      </c>
      <c r="M142" t="s">
        <v>46</v>
      </c>
      <c r="N142" t="s">
        <v>4053</v>
      </c>
      <c r="O142" t="s">
        <v>10226</v>
      </c>
      <c r="P142">
        <v>2024</v>
      </c>
      <c r="Q142">
        <v>12000</v>
      </c>
      <c r="R142" t="s">
        <v>10227</v>
      </c>
      <c r="S142" t="s">
        <v>7758</v>
      </c>
      <c r="T142" t="s">
        <v>5145</v>
      </c>
      <c r="U142" t="s">
        <v>5179</v>
      </c>
      <c r="V142" t="s">
        <v>5147</v>
      </c>
      <c r="W142">
        <v>14590000</v>
      </c>
      <c r="X142" t="s">
        <v>5148</v>
      </c>
      <c r="Y142">
        <v>91</v>
      </c>
      <c r="Z142" t="s">
        <v>26</v>
      </c>
      <c r="AA142" t="s">
        <v>5149</v>
      </c>
      <c r="AB142" t="s">
        <v>10228</v>
      </c>
      <c r="AC142" t="s">
        <v>10229</v>
      </c>
      <c r="AD142" t="s">
        <v>10230</v>
      </c>
      <c r="AE142" t="s">
        <v>10231</v>
      </c>
      <c r="AF142" t="s">
        <v>8593</v>
      </c>
      <c r="AG142">
        <v>1</v>
      </c>
      <c r="AH142" t="s">
        <v>8593</v>
      </c>
      <c r="AI142" t="s">
        <v>10232</v>
      </c>
      <c r="AJ142" t="s">
        <v>3948</v>
      </c>
      <c r="AK142">
        <v>1</v>
      </c>
      <c r="AL142">
        <v>0</v>
      </c>
      <c r="AM142" t="s">
        <v>3948</v>
      </c>
      <c r="AN142">
        <v>8</v>
      </c>
      <c r="AO142">
        <v>12400000</v>
      </c>
      <c r="AP142">
        <v>315240</v>
      </c>
      <c r="AQ142">
        <v>0</v>
      </c>
      <c r="AR142">
        <v>12715240</v>
      </c>
      <c r="AS142">
        <v>14590000</v>
      </c>
      <c r="AT142">
        <v>1874760</v>
      </c>
      <c r="AU142">
        <v>1285</v>
      </c>
    </row>
    <row r="143" spans="1:47" ht="13.5" customHeight="1" x14ac:dyDescent="0.3">
      <c r="A143" t="s">
        <v>5142</v>
      </c>
      <c r="B143" t="s">
        <v>5180</v>
      </c>
      <c r="C143">
        <v>0</v>
      </c>
      <c r="D143">
        <v>0</v>
      </c>
      <c r="E143" t="s">
        <v>3948</v>
      </c>
      <c r="F143" t="s">
        <v>3948</v>
      </c>
      <c r="G143" t="s">
        <v>3948</v>
      </c>
      <c r="H143" t="s">
        <v>3948</v>
      </c>
      <c r="I143" t="s">
        <v>5543</v>
      </c>
      <c r="J143" t="s">
        <v>3948</v>
      </c>
      <c r="K143" t="s">
        <v>5228</v>
      </c>
      <c r="L143" t="s">
        <v>237</v>
      </c>
      <c r="M143" t="s">
        <v>65</v>
      </c>
      <c r="N143" t="s">
        <v>238</v>
      </c>
      <c r="O143" t="s">
        <v>5229</v>
      </c>
      <c r="P143">
        <v>2025</v>
      </c>
      <c r="Q143">
        <v>1905</v>
      </c>
      <c r="R143" t="s">
        <v>5230</v>
      </c>
      <c r="S143" t="s">
        <v>239</v>
      </c>
      <c r="T143" t="s">
        <v>5145</v>
      </c>
      <c r="U143" t="s">
        <v>5179</v>
      </c>
      <c r="V143" t="s">
        <v>5147</v>
      </c>
      <c r="W143">
        <v>11290000</v>
      </c>
      <c r="X143" t="s">
        <v>5148</v>
      </c>
      <c r="Y143">
        <v>560</v>
      </c>
      <c r="Z143" t="s">
        <v>40</v>
      </c>
      <c r="AA143" t="s">
        <v>5181</v>
      </c>
      <c r="AB143" t="s">
        <v>5231</v>
      </c>
      <c r="AC143" t="s">
        <v>5232</v>
      </c>
      <c r="AD143" t="s">
        <v>5228</v>
      </c>
      <c r="AE143" t="s">
        <v>5233</v>
      </c>
      <c r="AF143" t="s">
        <v>5544</v>
      </c>
      <c r="AG143">
        <v>1</v>
      </c>
      <c r="AH143" t="s">
        <v>5544</v>
      </c>
      <c r="AI143" t="s">
        <v>5545</v>
      </c>
      <c r="AJ143" t="s">
        <v>3948</v>
      </c>
      <c r="AK143">
        <v>1</v>
      </c>
      <c r="AL143">
        <v>0</v>
      </c>
      <c r="AM143" t="s">
        <v>3948</v>
      </c>
      <c r="AN143">
        <v>0</v>
      </c>
      <c r="AO143">
        <v>10300000</v>
      </c>
      <c r="AP143">
        <v>280530</v>
      </c>
      <c r="AQ143">
        <v>0</v>
      </c>
      <c r="AR143">
        <v>10580530</v>
      </c>
      <c r="AS143">
        <v>11290000</v>
      </c>
      <c r="AT143">
        <v>709470</v>
      </c>
      <c r="AU143">
        <v>628</v>
      </c>
    </row>
    <row r="144" spans="1:47" ht="13.5" customHeight="1" x14ac:dyDescent="0.3">
      <c r="A144" t="s">
        <v>5142</v>
      </c>
      <c r="B144" t="s">
        <v>5143</v>
      </c>
      <c r="C144">
        <v>0</v>
      </c>
      <c r="D144">
        <v>0</v>
      </c>
      <c r="E144" t="s">
        <v>3948</v>
      </c>
      <c r="F144" t="s">
        <v>3948</v>
      </c>
      <c r="G144" t="s">
        <v>3948</v>
      </c>
      <c r="H144" t="s">
        <v>3948</v>
      </c>
      <c r="I144" t="s">
        <v>8727</v>
      </c>
      <c r="J144" t="s">
        <v>3948</v>
      </c>
      <c r="K144" t="s">
        <v>8728</v>
      </c>
      <c r="L144" t="s">
        <v>214</v>
      </c>
      <c r="M144" t="s">
        <v>8729</v>
      </c>
      <c r="N144" t="s">
        <v>8730</v>
      </c>
      <c r="O144" t="s">
        <v>8731</v>
      </c>
      <c r="P144">
        <v>2026</v>
      </c>
      <c r="Q144">
        <v>6207</v>
      </c>
      <c r="R144" t="s">
        <v>8732</v>
      </c>
      <c r="S144" t="s">
        <v>8601</v>
      </c>
      <c r="T144" t="s">
        <v>5145</v>
      </c>
      <c r="U144" t="s">
        <v>5179</v>
      </c>
      <c r="V144" t="s">
        <v>5147</v>
      </c>
      <c r="W144">
        <v>17490000</v>
      </c>
      <c r="X144" t="s">
        <v>5148</v>
      </c>
      <c r="Y144">
        <v>85</v>
      </c>
      <c r="Z144" t="s">
        <v>40</v>
      </c>
      <c r="AA144" t="s">
        <v>5149</v>
      </c>
      <c r="AB144" t="s">
        <v>5185</v>
      </c>
      <c r="AC144" t="s">
        <v>8733</v>
      </c>
      <c r="AD144" t="s">
        <v>8728</v>
      </c>
      <c r="AE144" t="s">
        <v>8734</v>
      </c>
      <c r="AF144" t="s">
        <v>8726</v>
      </c>
      <c r="AG144">
        <v>1</v>
      </c>
      <c r="AH144" t="s">
        <v>8726</v>
      </c>
      <c r="AI144" t="s">
        <v>8735</v>
      </c>
      <c r="AJ144" t="s">
        <v>3948</v>
      </c>
      <c r="AK144">
        <v>1</v>
      </c>
      <c r="AL144">
        <v>0</v>
      </c>
      <c r="AM144" t="s">
        <v>3948</v>
      </c>
      <c r="AN144">
        <v>0</v>
      </c>
      <c r="AO144">
        <v>15000000</v>
      </c>
      <c r="AP144">
        <v>354240</v>
      </c>
      <c r="AQ144">
        <v>0</v>
      </c>
      <c r="AR144">
        <v>15354240</v>
      </c>
      <c r="AS144">
        <v>17490000</v>
      </c>
      <c r="AT144">
        <v>2135760</v>
      </c>
      <c r="AU144">
        <v>1221</v>
      </c>
    </row>
    <row r="145" spans="1:47" ht="13.5" customHeight="1" x14ac:dyDescent="0.3">
      <c r="A145" t="s">
        <v>5142</v>
      </c>
      <c r="B145" t="s">
        <v>5143</v>
      </c>
      <c r="C145">
        <v>0</v>
      </c>
      <c r="D145">
        <v>0</v>
      </c>
      <c r="E145" t="s">
        <v>3948</v>
      </c>
      <c r="F145" t="s">
        <v>3948</v>
      </c>
      <c r="G145" t="s">
        <v>3948</v>
      </c>
      <c r="H145" t="s">
        <v>3948</v>
      </c>
      <c r="I145" t="s">
        <v>11026</v>
      </c>
      <c r="J145" t="s">
        <v>3948</v>
      </c>
      <c r="K145" t="s">
        <v>11027</v>
      </c>
      <c r="L145" t="s">
        <v>68</v>
      </c>
      <c r="M145" t="s">
        <v>11028</v>
      </c>
      <c r="N145" t="s">
        <v>11029</v>
      </c>
      <c r="O145" t="s">
        <v>11030</v>
      </c>
      <c r="P145">
        <v>2026</v>
      </c>
      <c r="Q145">
        <v>598</v>
      </c>
      <c r="R145" t="s">
        <v>11031</v>
      </c>
      <c r="S145" t="s">
        <v>5675</v>
      </c>
      <c r="T145" t="s">
        <v>5145</v>
      </c>
      <c r="U145" t="s">
        <v>11032</v>
      </c>
      <c r="V145" t="s">
        <v>5147</v>
      </c>
      <c r="W145">
        <v>18990000</v>
      </c>
      <c r="X145" t="s">
        <v>5148</v>
      </c>
      <c r="Y145">
        <v>108</v>
      </c>
      <c r="Z145" t="s">
        <v>20</v>
      </c>
      <c r="AA145" t="s">
        <v>5149</v>
      </c>
      <c r="AB145" t="s">
        <v>5150</v>
      </c>
      <c r="AC145" t="s">
        <v>11033</v>
      </c>
      <c r="AD145" t="s">
        <v>11027</v>
      </c>
      <c r="AE145" t="s">
        <v>5286</v>
      </c>
      <c r="AF145" t="s">
        <v>7825</v>
      </c>
      <c r="AG145">
        <v>1</v>
      </c>
      <c r="AH145" t="s">
        <v>7825</v>
      </c>
      <c r="AI145" t="s">
        <v>11034</v>
      </c>
      <c r="AJ145" t="s">
        <v>3948</v>
      </c>
      <c r="AK145">
        <v>1</v>
      </c>
      <c r="AL145">
        <v>0</v>
      </c>
      <c r="AM145" t="s">
        <v>3948</v>
      </c>
      <c r="AN145">
        <v>0</v>
      </c>
      <c r="AO145">
        <v>16500000</v>
      </c>
      <c r="AP145">
        <v>376740</v>
      </c>
      <c r="AQ145">
        <v>0</v>
      </c>
      <c r="AR145">
        <v>16876740</v>
      </c>
      <c r="AS145">
        <v>18990000</v>
      </c>
      <c r="AT145">
        <v>2113260</v>
      </c>
      <c r="AU145">
        <v>1113</v>
      </c>
    </row>
    <row r="146" spans="1:47" ht="13.5" customHeight="1" x14ac:dyDescent="0.3">
      <c r="A146" t="s">
        <v>5142</v>
      </c>
      <c r="B146" t="s">
        <v>5170</v>
      </c>
      <c r="C146">
        <v>0</v>
      </c>
      <c r="D146">
        <v>0</v>
      </c>
      <c r="E146" t="s">
        <v>3948</v>
      </c>
      <c r="F146" t="s">
        <v>3948</v>
      </c>
      <c r="G146" t="s">
        <v>3948</v>
      </c>
      <c r="H146" t="s">
        <v>3948</v>
      </c>
      <c r="I146" t="s">
        <v>5636</v>
      </c>
      <c r="J146" t="s">
        <v>3948</v>
      </c>
      <c r="K146" t="s">
        <v>5398</v>
      </c>
      <c r="L146" t="s">
        <v>173</v>
      </c>
      <c r="M146" t="s">
        <v>4423</v>
      </c>
      <c r="N146" t="s">
        <v>174</v>
      </c>
      <c r="O146" t="s">
        <v>5399</v>
      </c>
      <c r="P146">
        <v>2025</v>
      </c>
      <c r="Q146">
        <v>12000</v>
      </c>
      <c r="R146" t="s">
        <v>5400</v>
      </c>
      <c r="S146" t="s">
        <v>175</v>
      </c>
      <c r="T146" t="s">
        <v>5145</v>
      </c>
      <c r="U146" t="s">
        <v>5401</v>
      </c>
      <c r="V146" t="s">
        <v>5147</v>
      </c>
      <c r="W146">
        <v>17990000</v>
      </c>
      <c r="X146" t="s">
        <v>5148</v>
      </c>
      <c r="Y146">
        <v>140</v>
      </c>
      <c r="Z146" t="s">
        <v>26</v>
      </c>
      <c r="AA146" t="s">
        <v>5175</v>
      </c>
      <c r="AB146" t="s">
        <v>5176</v>
      </c>
      <c r="AC146" t="s">
        <v>5402</v>
      </c>
      <c r="AD146" t="s">
        <v>5398</v>
      </c>
      <c r="AE146" t="s">
        <v>5403</v>
      </c>
      <c r="AF146" t="s">
        <v>5547</v>
      </c>
      <c r="AG146">
        <v>1</v>
      </c>
      <c r="AH146" t="s">
        <v>5547</v>
      </c>
      <c r="AI146" t="s">
        <v>5637</v>
      </c>
      <c r="AJ146" t="s">
        <v>3948</v>
      </c>
      <c r="AK146">
        <v>2</v>
      </c>
      <c r="AL146">
        <v>0</v>
      </c>
      <c r="AM146" t="s">
        <v>3948</v>
      </c>
      <c r="AN146">
        <v>0</v>
      </c>
      <c r="AO146">
        <v>17500000</v>
      </c>
      <c r="AP146">
        <v>391740</v>
      </c>
      <c r="AQ146">
        <v>0</v>
      </c>
      <c r="AR146">
        <v>17891740</v>
      </c>
      <c r="AS146">
        <v>17990000</v>
      </c>
      <c r="AT146">
        <v>98260</v>
      </c>
      <c r="AU146">
        <v>55</v>
      </c>
    </row>
    <row r="147" spans="1:47" ht="13.5" customHeight="1" x14ac:dyDescent="0.3">
      <c r="A147" t="s">
        <v>5142</v>
      </c>
      <c r="B147" t="s">
        <v>5170</v>
      </c>
      <c r="C147">
        <v>0</v>
      </c>
      <c r="D147">
        <v>0</v>
      </c>
      <c r="E147" t="s">
        <v>3948</v>
      </c>
      <c r="F147" t="s">
        <v>3948</v>
      </c>
      <c r="G147" t="s">
        <v>3948</v>
      </c>
      <c r="H147" t="s">
        <v>3948</v>
      </c>
      <c r="I147" t="s">
        <v>5589</v>
      </c>
      <c r="J147" t="s">
        <v>3948</v>
      </c>
      <c r="K147" t="s">
        <v>5351</v>
      </c>
      <c r="L147" t="s">
        <v>28</v>
      </c>
      <c r="M147" t="s">
        <v>31</v>
      </c>
      <c r="N147" t="s">
        <v>32</v>
      </c>
      <c r="O147" t="s">
        <v>5352</v>
      </c>
      <c r="P147">
        <v>2021</v>
      </c>
      <c r="Q147">
        <v>40095</v>
      </c>
      <c r="R147" t="s">
        <v>5353</v>
      </c>
      <c r="S147" t="s">
        <v>34</v>
      </c>
      <c r="T147" t="s">
        <v>5145</v>
      </c>
      <c r="U147" t="s">
        <v>5354</v>
      </c>
      <c r="V147" t="s">
        <v>5147</v>
      </c>
      <c r="W147">
        <v>8190000</v>
      </c>
      <c r="X147" t="s">
        <v>5148</v>
      </c>
      <c r="Y147">
        <v>328</v>
      </c>
      <c r="Z147" t="s">
        <v>33</v>
      </c>
      <c r="AA147" t="s">
        <v>5175</v>
      </c>
      <c r="AB147" t="s">
        <v>5355</v>
      </c>
      <c r="AC147" t="s">
        <v>5356</v>
      </c>
      <c r="AD147" t="s">
        <v>5351</v>
      </c>
      <c r="AE147" t="s">
        <v>5357</v>
      </c>
      <c r="AF147" t="s">
        <v>5590</v>
      </c>
      <c r="AG147">
        <v>1</v>
      </c>
      <c r="AH147" t="s">
        <v>5590</v>
      </c>
      <c r="AI147" t="s">
        <v>5591</v>
      </c>
      <c r="AJ147" t="s">
        <v>5476</v>
      </c>
      <c r="AK147">
        <v>1</v>
      </c>
      <c r="AL147">
        <v>0</v>
      </c>
      <c r="AM147" t="s">
        <v>3948</v>
      </c>
      <c r="AN147">
        <v>0</v>
      </c>
      <c r="AO147">
        <v>6200000</v>
      </c>
      <c r="AP147">
        <v>219030</v>
      </c>
      <c r="AQ147">
        <v>0</v>
      </c>
      <c r="AR147">
        <v>6419030</v>
      </c>
      <c r="AS147">
        <v>8190000</v>
      </c>
      <c r="AT147">
        <v>1770970</v>
      </c>
      <c r="AU147">
        <v>2162</v>
      </c>
    </row>
    <row r="148" spans="1:47" ht="13.5" customHeight="1" x14ac:dyDescent="0.3">
      <c r="A148" t="s">
        <v>5142</v>
      </c>
      <c r="B148" t="s">
        <v>5170</v>
      </c>
      <c r="C148">
        <v>0</v>
      </c>
      <c r="D148">
        <v>0</v>
      </c>
      <c r="E148" t="s">
        <v>3948</v>
      </c>
      <c r="F148" t="s">
        <v>3948</v>
      </c>
      <c r="G148" t="s">
        <v>3948</v>
      </c>
      <c r="H148" t="s">
        <v>3948</v>
      </c>
      <c r="I148" t="s">
        <v>11137</v>
      </c>
      <c r="J148" t="s">
        <v>3948</v>
      </c>
      <c r="K148" t="s">
        <v>11138</v>
      </c>
      <c r="L148" t="s">
        <v>167</v>
      </c>
      <c r="M148" t="s">
        <v>3363</v>
      </c>
      <c r="N148" t="s">
        <v>11139</v>
      </c>
      <c r="O148" t="s">
        <v>11140</v>
      </c>
      <c r="P148">
        <v>2020</v>
      </c>
      <c r="Q148">
        <v>75110</v>
      </c>
      <c r="R148" t="s">
        <v>11141</v>
      </c>
      <c r="S148" t="s">
        <v>11142</v>
      </c>
      <c r="T148" t="s">
        <v>5145</v>
      </c>
      <c r="U148" t="s">
        <v>11143</v>
      </c>
      <c r="V148" t="s">
        <v>5147</v>
      </c>
      <c r="W148">
        <v>7490000</v>
      </c>
      <c r="X148" t="s">
        <v>5148</v>
      </c>
      <c r="Y148">
        <v>19</v>
      </c>
      <c r="Z148" t="s">
        <v>16</v>
      </c>
      <c r="AA148" t="s">
        <v>5175</v>
      </c>
      <c r="AB148" t="s">
        <v>3948</v>
      </c>
      <c r="AC148" t="s">
        <v>11144</v>
      </c>
      <c r="AD148" t="s">
        <v>11138</v>
      </c>
      <c r="AE148" t="s">
        <v>11145</v>
      </c>
      <c r="AF148" t="s">
        <v>10909</v>
      </c>
      <c r="AG148">
        <v>1</v>
      </c>
      <c r="AH148" t="s">
        <v>10909</v>
      </c>
      <c r="AI148" t="s">
        <v>11146</v>
      </c>
      <c r="AJ148" t="s">
        <v>3948</v>
      </c>
      <c r="AK148">
        <v>1</v>
      </c>
      <c r="AL148">
        <v>0</v>
      </c>
      <c r="AM148" t="s">
        <v>3948</v>
      </c>
      <c r="AN148">
        <v>0</v>
      </c>
      <c r="AO148">
        <v>5000000</v>
      </c>
      <c r="AP148">
        <v>204240</v>
      </c>
      <c r="AQ148">
        <v>0</v>
      </c>
      <c r="AR148">
        <v>5204240</v>
      </c>
      <c r="AS148">
        <v>7490000</v>
      </c>
      <c r="AT148">
        <v>2285760</v>
      </c>
      <c r="AU148">
        <v>3052</v>
      </c>
    </row>
    <row r="149" spans="1:47" ht="13.5" customHeight="1" x14ac:dyDescent="0.3">
      <c r="A149" t="s">
        <v>5142</v>
      </c>
      <c r="B149" t="s">
        <v>5161</v>
      </c>
      <c r="C149">
        <v>0</v>
      </c>
      <c r="D149">
        <v>0</v>
      </c>
      <c r="E149" t="s">
        <v>3948</v>
      </c>
      <c r="F149" t="s">
        <v>3948</v>
      </c>
      <c r="G149" t="s">
        <v>3948</v>
      </c>
      <c r="H149" t="s">
        <v>3948</v>
      </c>
      <c r="I149" t="s">
        <v>10988</v>
      </c>
      <c r="J149" t="s">
        <v>3948</v>
      </c>
      <c r="K149" t="s">
        <v>10989</v>
      </c>
      <c r="L149" t="s">
        <v>82</v>
      </c>
      <c r="M149" t="s">
        <v>2574</v>
      </c>
      <c r="N149" t="s">
        <v>10990</v>
      </c>
      <c r="O149" t="s">
        <v>10991</v>
      </c>
      <c r="P149">
        <v>2024</v>
      </c>
      <c r="Q149">
        <v>32000</v>
      </c>
      <c r="R149" t="s">
        <v>10992</v>
      </c>
      <c r="S149" t="s">
        <v>10523</v>
      </c>
      <c r="T149" t="s">
        <v>5145</v>
      </c>
      <c r="U149" t="s">
        <v>10993</v>
      </c>
      <c r="V149" t="s">
        <v>5147</v>
      </c>
      <c r="W149">
        <v>17490000</v>
      </c>
      <c r="X149" t="s">
        <v>5148</v>
      </c>
      <c r="Y149">
        <v>20</v>
      </c>
      <c r="Z149" t="s">
        <v>16</v>
      </c>
      <c r="AA149" t="s">
        <v>5166</v>
      </c>
      <c r="AB149" t="s">
        <v>3948</v>
      </c>
      <c r="AC149" t="s">
        <v>10994</v>
      </c>
      <c r="AD149" t="s">
        <v>10989</v>
      </c>
      <c r="AE149" t="s">
        <v>10995</v>
      </c>
      <c r="AF149" t="s">
        <v>10996</v>
      </c>
      <c r="AG149">
        <v>1</v>
      </c>
      <c r="AH149" t="s">
        <v>10996</v>
      </c>
      <c r="AI149" t="s">
        <v>10997</v>
      </c>
      <c r="AJ149" t="s">
        <v>3948</v>
      </c>
      <c r="AK149">
        <v>1</v>
      </c>
      <c r="AL149">
        <v>0</v>
      </c>
      <c r="AM149" t="s">
        <v>3948</v>
      </c>
      <c r="AN149">
        <v>0</v>
      </c>
      <c r="AO149">
        <v>15000000</v>
      </c>
      <c r="AP149">
        <v>354240</v>
      </c>
      <c r="AQ149">
        <v>0</v>
      </c>
      <c r="AR149">
        <v>15354240</v>
      </c>
      <c r="AS149">
        <v>17490000</v>
      </c>
      <c r="AT149">
        <v>2135760</v>
      </c>
      <c r="AU149">
        <v>1221</v>
      </c>
    </row>
    <row r="150" spans="1:47" ht="13.5" customHeight="1" x14ac:dyDescent="0.3">
      <c r="A150" t="s">
        <v>5142</v>
      </c>
      <c r="B150" t="s">
        <v>5143</v>
      </c>
      <c r="C150">
        <v>0</v>
      </c>
      <c r="D150">
        <v>0</v>
      </c>
      <c r="E150" t="s">
        <v>3948</v>
      </c>
      <c r="F150" t="s">
        <v>3948</v>
      </c>
      <c r="G150" t="s">
        <v>3948</v>
      </c>
      <c r="H150" t="s">
        <v>3948</v>
      </c>
      <c r="I150" t="s">
        <v>11505</v>
      </c>
      <c r="J150" t="s">
        <v>3948</v>
      </c>
      <c r="K150" t="s">
        <v>11506</v>
      </c>
      <c r="L150" t="s">
        <v>167</v>
      </c>
      <c r="M150" t="s">
        <v>3395</v>
      </c>
      <c r="N150" t="s">
        <v>4404</v>
      </c>
      <c r="O150" t="s">
        <v>11507</v>
      </c>
      <c r="P150">
        <v>2020</v>
      </c>
      <c r="Q150">
        <v>61000</v>
      </c>
      <c r="R150" t="s">
        <v>11508</v>
      </c>
      <c r="S150" t="s">
        <v>11509</v>
      </c>
      <c r="T150" t="s">
        <v>5145</v>
      </c>
      <c r="U150" t="s">
        <v>5209</v>
      </c>
      <c r="V150" t="s">
        <v>5147</v>
      </c>
      <c r="W150">
        <v>6390000</v>
      </c>
      <c r="X150" t="s">
        <v>5148</v>
      </c>
      <c r="Y150">
        <v>6</v>
      </c>
      <c r="Z150" t="s">
        <v>16</v>
      </c>
      <c r="AA150" t="s">
        <v>5149</v>
      </c>
      <c r="AB150" t="s">
        <v>3948</v>
      </c>
      <c r="AC150" t="s">
        <v>11510</v>
      </c>
      <c r="AD150" t="s">
        <v>11511</v>
      </c>
      <c r="AE150" t="s">
        <v>11512</v>
      </c>
      <c r="AF150" t="s">
        <v>11503</v>
      </c>
      <c r="AG150">
        <v>1</v>
      </c>
      <c r="AH150" t="s">
        <v>11503</v>
      </c>
      <c r="AI150" t="s">
        <v>11513</v>
      </c>
      <c r="AJ150" t="s">
        <v>3948</v>
      </c>
      <c r="AK150">
        <v>1</v>
      </c>
      <c r="AL150">
        <v>0</v>
      </c>
      <c r="AM150" t="s">
        <v>3948</v>
      </c>
      <c r="AN150">
        <v>0</v>
      </c>
      <c r="AO150">
        <v>5000000</v>
      </c>
      <c r="AP150">
        <v>204240</v>
      </c>
      <c r="AQ150">
        <v>0</v>
      </c>
      <c r="AR150">
        <v>5204240</v>
      </c>
      <c r="AS150">
        <v>6390000</v>
      </c>
      <c r="AT150">
        <v>1185760</v>
      </c>
      <c r="AU150">
        <v>1856</v>
      </c>
    </row>
    <row r="151" spans="1:47" ht="13.5" customHeight="1" x14ac:dyDescent="0.3">
      <c r="A151" t="s">
        <v>5142</v>
      </c>
      <c r="B151" t="s">
        <v>5143</v>
      </c>
      <c r="C151">
        <v>0</v>
      </c>
      <c r="D151">
        <v>0</v>
      </c>
      <c r="E151" t="s">
        <v>3948</v>
      </c>
      <c r="F151" t="s">
        <v>3948</v>
      </c>
      <c r="G151" t="s">
        <v>3948</v>
      </c>
      <c r="H151" t="s">
        <v>3948</v>
      </c>
      <c r="I151" t="s">
        <v>9568</v>
      </c>
      <c r="J151" t="s">
        <v>3948</v>
      </c>
      <c r="K151" t="s">
        <v>9569</v>
      </c>
      <c r="L151" t="s">
        <v>86</v>
      </c>
      <c r="M151" t="s">
        <v>122</v>
      </c>
      <c r="N151" t="s">
        <v>4262</v>
      </c>
      <c r="O151" t="s">
        <v>9570</v>
      </c>
      <c r="P151">
        <v>2023</v>
      </c>
      <c r="Q151">
        <v>101000</v>
      </c>
      <c r="R151" t="s">
        <v>9571</v>
      </c>
      <c r="S151" t="s">
        <v>8795</v>
      </c>
      <c r="T151" t="s">
        <v>5145</v>
      </c>
      <c r="U151" t="s">
        <v>5369</v>
      </c>
      <c r="V151" t="s">
        <v>5147</v>
      </c>
      <c r="W151">
        <v>24990000</v>
      </c>
      <c r="X151" t="s">
        <v>5148</v>
      </c>
      <c r="Y151">
        <v>80</v>
      </c>
      <c r="Z151" t="s">
        <v>26</v>
      </c>
      <c r="AA151" t="s">
        <v>5149</v>
      </c>
      <c r="AB151" t="s">
        <v>5167</v>
      </c>
      <c r="AC151" t="s">
        <v>9572</v>
      </c>
      <c r="AD151" t="s">
        <v>9569</v>
      </c>
      <c r="AE151" t="s">
        <v>9573</v>
      </c>
      <c r="AF151" t="s">
        <v>9550</v>
      </c>
      <c r="AG151">
        <v>1</v>
      </c>
      <c r="AH151" t="s">
        <v>9550</v>
      </c>
      <c r="AI151" t="s">
        <v>9574</v>
      </c>
      <c r="AJ151" t="s">
        <v>3948</v>
      </c>
      <c r="AK151">
        <v>1</v>
      </c>
      <c r="AL151">
        <v>0</v>
      </c>
      <c r="AM151" t="s">
        <v>3948</v>
      </c>
      <c r="AN151">
        <v>0</v>
      </c>
      <c r="AO151">
        <v>19700000</v>
      </c>
      <c r="AP151">
        <v>424740</v>
      </c>
      <c r="AQ151">
        <v>0</v>
      </c>
      <c r="AR151">
        <v>20124740</v>
      </c>
      <c r="AS151">
        <v>24990000</v>
      </c>
      <c r="AT151">
        <v>4865260</v>
      </c>
      <c r="AU151">
        <v>1947</v>
      </c>
    </row>
    <row r="152" spans="1:47" ht="13.5" customHeight="1" x14ac:dyDescent="0.3">
      <c r="A152" t="s">
        <v>5142</v>
      </c>
      <c r="B152" t="s">
        <v>5143</v>
      </c>
      <c r="C152">
        <v>0</v>
      </c>
      <c r="D152">
        <v>0</v>
      </c>
      <c r="E152" t="s">
        <v>3948</v>
      </c>
      <c r="F152" t="s">
        <v>3948</v>
      </c>
      <c r="G152" t="s">
        <v>3948</v>
      </c>
      <c r="H152" t="s">
        <v>3948</v>
      </c>
      <c r="I152" t="s">
        <v>11514</v>
      </c>
      <c r="J152" t="s">
        <v>3948</v>
      </c>
      <c r="K152" t="s">
        <v>11515</v>
      </c>
      <c r="L152" t="s">
        <v>241</v>
      </c>
      <c r="M152" t="s">
        <v>4791</v>
      </c>
      <c r="N152" t="s">
        <v>4804</v>
      </c>
      <c r="O152" t="s">
        <v>10243</v>
      </c>
      <c r="P152">
        <v>2023</v>
      </c>
      <c r="Q152">
        <v>65000</v>
      </c>
      <c r="R152" t="s">
        <v>11516</v>
      </c>
      <c r="S152" t="s">
        <v>11517</v>
      </c>
      <c r="T152" t="s">
        <v>5145</v>
      </c>
      <c r="U152" t="s">
        <v>5157</v>
      </c>
      <c r="V152" t="s">
        <v>5147</v>
      </c>
      <c r="W152">
        <v>15790000</v>
      </c>
      <c r="X152" t="s">
        <v>5148</v>
      </c>
      <c r="Y152">
        <v>1</v>
      </c>
      <c r="Z152" t="s">
        <v>16</v>
      </c>
      <c r="AA152" t="s">
        <v>5149</v>
      </c>
      <c r="AB152" t="s">
        <v>3948</v>
      </c>
      <c r="AC152" t="s">
        <v>11518</v>
      </c>
      <c r="AD152" t="s">
        <v>11515</v>
      </c>
      <c r="AE152" t="s">
        <v>11519</v>
      </c>
      <c r="AF152" t="s">
        <v>11520</v>
      </c>
      <c r="AG152">
        <v>1</v>
      </c>
      <c r="AH152" t="s">
        <v>11520</v>
      </c>
      <c r="AI152" t="s">
        <v>11521</v>
      </c>
      <c r="AJ152" t="s">
        <v>3948</v>
      </c>
      <c r="AK152">
        <v>1</v>
      </c>
      <c r="AL152">
        <v>0</v>
      </c>
      <c r="AM152" t="s">
        <v>3948</v>
      </c>
      <c r="AN152">
        <v>0</v>
      </c>
      <c r="AO152">
        <v>13200000</v>
      </c>
      <c r="AP152">
        <v>327240</v>
      </c>
      <c r="AQ152">
        <v>0</v>
      </c>
      <c r="AR152">
        <v>13527240</v>
      </c>
      <c r="AS152">
        <v>15790000</v>
      </c>
      <c r="AT152">
        <v>2262760</v>
      </c>
      <c r="AU152">
        <v>1433</v>
      </c>
    </row>
    <row r="153" spans="1:47" ht="13.5" customHeight="1" x14ac:dyDescent="0.3">
      <c r="A153" t="s">
        <v>5142</v>
      </c>
      <c r="B153" t="s">
        <v>5161</v>
      </c>
      <c r="C153">
        <v>0</v>
      </c>
      <c r="D153">
        <v>0</v>
      </c>
      <c r="E153" t="s">
        <v>3948</v>
      </c>
      <c r="F153" t="s">
        <v>3948</v>
      </c>
      <c r="G153" t="s">
        <v>3948</v>
      </c>
      <c r="H153" t="s">
        <v>3948</v>
      </c>
      <c r="I153" t="s">
        <v>11522</v>
      </c>
      <c r="J153" t="s">
        <v>3948</v>
      </c>
      <c r="K153" t="s">
        <v>11523</v>
      </c>
      <c r="L153" t="s">
        <v>186</v>
      </c>
      <c r="M153" t="s">
        <v>2664</v>
      </c>
      <c r="N153" t="s">
        <v>4514</v>
      </c>
      <c r="O153" t="s">
        <v>11524</v>
      </c>
      <c r="P153">
        <v>2023</v>
      </c>
      <c r="Q153">
        <v>44258</v>
      </c>
      <c r="R153" t="s">
        <v>11525</v>
      </c>
      <c r="S153" t="s">
        <v>9862</v>
      </c>
      <c r="T153" t="s">
        <v>5145</v>
      </c>
      <c r="U153" t="s">
        <v>11526</v>
      </c>
      <c r="V153" t="s">
        <v>5147</v>
      </c>
      <c r="W153">
        <v>12890000</v>
      </c>
      <c r="X153" t="s">
        <v>5148</v>
      </c>
      <c r="Y153">
        <v>14</v>
      </c>
      <c r="Z153" t="s">
        <v>16</v>
      </c>
      <c r="AA153" t="s">
        <v>5166</v>
      </c>
      <c r="AB153" t="s">
        <v>3948</v>
      </c>
      <c r="AC153" t="s">
        <v>11527</v>
      </c>
      <c r="AD153" t="s">
        <v>11523</v>
      </c>
      <c r="AE153" t="s">
        <v>11528</v>
      </c>
      <c r="AF153" t="s">
        <v>11407</v>
      </c>
      <c r="AG153">
        <v>1</v>
      </c>
      <c r="AH153" t="s">
        <v>11407</v>
      </c>
      <c r="AI153" t="s">
        <v>11529</v>
      </c>
      <c r="AJ153" t="s">
        <v>3948</v>
      </c>
      <c r="AK153">
        <v>1</v>
      </c>
      <c r="AL153">
        <v>0</v>
      </c>
      <c r="AM153" t="s">
        <v>3948</v>
      </c>
      <c r="AN153">
        <v>0</v>
      </c>
      <c r="AO153">
        <v>10500000</v>
      </c>
      <c r="AP153">
        <v>286740</v>
      </c>
      <c r="AQ153">
        <v>0</v>
      </c>
      <c r="AR153">
        <v>10786740</v>
      </c>
      <c r="AS153">
        <v>12890000</v>
      </c>
      <c r="AT153">
        <v>2103260</v>
      </c>
      <c r="AU153">
        <v>1632</v>
      </c>
    </row>
    <row r="154" spans="1:47" ht="13.5" customHeight="1" x14ac:dyDescent="0.3">
      <c r="A154" t="s">
        <v>5142</v>
      </c>
      <c r="B154" t="s">
        <v>5180</v>
      </c>
      <c r="C154">
        <v>0</v>
      </c>
      <c r="D154">
        <v>0</v>
      </c>
      <c r="E154" t="s">
        <v>3948</v>
      </c>
      <c r="F154" t="s">
        <v>3948</v>
      </c>
      <c r="G154" t="s">
        <v>3948</v>
      </c>
      <c r="H154" t="s">
        <v>3948</v>
      </c>
      <c r="I154" t="s">
        <v>5585</v>
      </c>
      <c r="J154" t="s">
        <v>3948</v>
      </c>
      <c r="K154" t="s">
        <v>5415</v>
      </c>
      <c r="L154" t="s">
        <v>86</v>
      </c>
      <c r="M154" t="s">
        <v>134</v>
      </c>
      <c r="N154" t="s">
        <v>135</v>
      </c>
      <c r="O154" t="s">
        <v>5378</v>
      </c>
      <c r="P154">
        <v>2022</v>
      </c>
      <c r="Q154">
        <v>25200</v>
      </c>
      <c r="R154" t="s">
        <v>5416</v>
      </c>
      <c r="S154" t="s">
        <v>137</v>
      </c>
      <c r="T154" t="s">
        <v>5145</v>
      </c>
      <c r="U154" t="s">
        <v>5257</v>
      </c>
      <c r="V154" t="s">
        <v>5147</v>
      </c>
      <c r="W154">
        <v>10490000</v>
      </c>
      <c r="X154" t="s">
        <v>5148</v>
      </c>
      <c r="Y154">
        <v>504</v>
      </c>
      <c r="Z154" t="s">
        <v>40</v>
      </c>
      <c r="AA154" t="s">
        <v>5181</v>
      </c>
      <c r="AB154" t="s">
        <v>5176</v>
      </c>
      <c r="AC154" t="s">
        <v>5417</v>
      </c>
      <c r="AD154" t="s">
        <v>5415</v>
      </c>
      <c r="AE154" t="s">
        <v>5418</v>
      </c>
      <c r="AF154" t="s">
        <v>5586</v>
      </c>
      <c r="AG154">
        <v>1</v>
      </c>
      <c r="AH154" t="s">
        <v>5586</v>
      </c>
      <c r="AI154" t="s">
        <v>5587</v>
      </c>
      <c r="AJ154" t="s">
        <v>5588</v>
      </c>
      <c r="AK154">
        <v>1</v>
      </c>
      <c r="AL154">
        <v>0</v>
      </c>
      <c r="AM154" t="s">
        <v>3948</v>
      </c>
      <c r="AN154">
        <v>1</v>
      </c>
      <c r="AO154">
        <v>10300000</v>
      </c>
      <c r="AP154">
        <v>280530</v>
      </c>
      <c r="AQ154">
        <v>0</v>
      </c>
      <c r="AR154">
        <v>10580530</v>
      </c>
      <c r="AS154">
        <v>10490000</v>
      </c>
      <c r="AT154">
        <v>-90530</v>
      </c>
      <c r="AU154">
        <v>-86</v>
      </c>
    </row>
    <row r="155" spans="1:47" ht="13.5" customHeight="1" x14ac:dyDescent="0.3">
      <c r="A155" t="s">
        <v>5142</v>
      </c>
      <c r="B155" t="s">
        <v>5143</v>
      </c>
      <c r="C155">
        <v>0</v>
      </c>
      <c r="D155">
        <v>0</v>
      </c>
      <c r="E155" t="s">
        <v>3948</v>
      </c>
      <c r="F155" t="s">
        <v>3948</v>
      </c>
      <c r="G155" t="s">
        <v>3948</v>
      </c>
      <c r="H155" t="s">
        <v>3948</v>
      </c>
      <c r="I155" t="s">
        <v>5528</v>
      </c>
      <c r="J155" t="s">
        <v>3948</v>
      </c>
      <c r="K155" t="s">
        <v>5280</v>
      </c>
      <c r="L155" t="s">
        <v>18</v>
      </c>
      <c r="M155" t="s">
        <v>24</v>
      </c>
      <c r="N155" t="s">
        <v>25</v>
      </c>
      <c r="O155" t="s">
        <v>5281</v>
      </c>
      <c r="P155">
        <v>2024</v>
      </c>
      <c r="Q155">
        <v>30000</v>
      </c>
      <c r="R155" t="s">
        <v>5282</v>
      </c>
      <c r="S155" t="s">
        <v>27</v>
      </c>
      <c r="T155" t="s">
        <v>5145</v>
      </c>
      <c r="U155" t="s">
        <v>5283</v>
      </c>
      <c r="V155" t="s">
        <v>5147</v>
      </c>
      <c r="W155">
        <v>20990000</v>
      </c>
      <c r="X155" t="s">
        <v>5148</v>
      </c>
      <c r="Y155">
        <v>250</v>
      </c>
      <c r="Z155" t="s">
        <v>26</v>
      </c>
      <c r="AA155" t="s">
        <v>5149</v>
      </c>
      <c r="AB155" t="s">
        <v>5284</v>
      </c>
      <c r="AC155" t="s">
        <v>5285</v>
      </c>
      <c r="AD155" t="s">
        <v>5280</v>
      </c>
      <c r="AE155" t="s">
        <v>5286</v>
      </c>
      <c r="AF155" t="s">
        <v>5529</v>
      </c>
      <c r="AG155">
        <v>1</v>
      </c>
      <c r="AH155" t="s">
        <v>5529</v>
      </c>
      <c r="AI155" t="s">
        <v>5530</v>
      </c>
      <c r="AJ155" t="s">
        <v>3948</v>
      </c>
      <c r="AK155">
        <v>1</v>
      </c>
      <c r="AL155">
        <v>0</v>
      </c>
      <c r="AM155" t="s">
        <v>3948</v>
      </c>
      <c r="AN155">
        <v>0</v>
      </c>
      <c r="AO155">
        <v>20000000</v>
      </c>
      <c r="AP155">
        <v>524003</v>
      </c>
      <c r="AQ155">
        <v>0</v>
      </c>
      <c r="AR155">
        <v>20524003</v>
      </c>
      <c r="AS155">
        <v>20990000</v>
      </c>
      <c r="AT155">
        <v>465997</v>
      </c>
      <c r="AU155">
        <v>222</v>
      </c>
    </row>
    <row r="156" spans="1:47" ht="13.5" customHeight="1" x14ac:dyDescent="0.3">
      <c r="A156" t="s">
        <v>5142</v>
      </c>
      <c r="B156" t="s">
        <v>5180</v>
      </c>
      <c r="C156">
        <v>0</v>
      </c>
      <c r="D156">
        <v>0</v>
      </c>
      <c r="E156" t="s">
        <v>3948</v>
      </c>
      <c r="F156" t="s">
        <v>3948</v>
      </c>
      <c r="G156" t="s">
        <v>3948</v>
      </c>
      <c r="H156" t="s">
        <v>3948</v>
      </c>
      <c r="I156" t="s">
        <v>8091</v>
      </c>
      <c r="J156" t="s">
        <v>3948</v>
      </c>
      <c r="K156" t="s">
        <v>8092</v>
      </c>
      <c r="L156" t="s">
        <v>186</v>
      </c>
      <c r="M156" t="s">
        <v>199</v>
      </c>
      <c r="N156" t="s">
        <v>8093</v>
      </c>
      <c r="O156" t="s">
        <v>8094</v>
      </c>
      <c r="P156">
        <v>2014</v>
      </c>
      <c r="Q156">
        <v>83000</v>
      </c>
      <c r="R156" t="s">
        <v>8095</v>
      </c>
      <c r="S156" t="s">
        <v>8096</v>
      </c>
      <c r="T156" t="s">
        <v>5145</v>
      </c>
      <c r="U156" t="s">
        <v>8097</v>
      </c>
      <c r="V156" t="s">
        <v>5147</v>
      </c>
      <c r="W156">
        <v>8490000</v>
      </c>
      <c r="X156" t="s">
        <v>5148</v>
      </c>
      <c r="Y156">
        <v>2370</v>
      </c>
      <c r="Z156" t="s">
        <v>8098</v>
      </c>
      <c r="AA156" t="s">
        <v>5181</v>
      </c>
      <c r="AB156" t="s">
        <v>3948</v>
      </c>
      <c r="AC156" t="s">
        <v>8099</v>
      </c>
      <c r="AD156" t="s">
        <v>8092</v>
      </c>
      <c r="AE156" t="s">
        <v>5142</v>
      </c>
      <c r="AF156" t="s">
        <v>8100</v>
      </c>
      <c r="AG156">
        <v>1</v>
      </c>
      <c r="AH156" t="s">
        <v>8101</v>
      </c>
      <c r="AI156" t="s">
        <v>8102</v>
      </c>
      <c r="AJ156" t="s">
        <v>3948</v>
      </c>
      <c r="AK156">
        <v>0</v>
      </c>
      <c r="AL156">
        <v>0</v>
      </c>
      <c r="AM156" t="s">
        <v>3948</v>
      </c>
      <c r="AN156">
        <v>0</v>
      </c>
      <c r="AO156">
        <v>0</v>
      </c>
      <c r="AP156">
        <v>2523835</v>
      </c>
      <c r="AQ156">
        <v>0</v>
      </c>
      <c r="AR156">
        <v>2523835</v>
      </c>
      <c r="AS156">
        <v>8490000</v>
      </c>
      <c r="AT156">
        <v>5966165</v>
      </c>
      <c r="AU156">
        <v>7027</v>
      </c>
    </row>
    <row r="157" spans="1:47" ht="13.5" customHeight="1" x14ac:dyDescent="0.3">
      <c r="A157" t="s">
        <v>5142</v>
      </c>
      <c r="B157" t="s">
        <v>5170</v>
      </c>
      <c r="C157">
        <v>0</v>
      </c>
      <c r="D157">
        <v>0</v>
      </c>
      <c r="E157" t="s">
        <v>3948</v>
      </c>
      <c r="F157" t="s">
        <v>3948</v>
      </c>
      <c r="G157" t="s">
        <v>3948</v>
      </c>
      <c r="H157" t="s">
        <v>3948</v>
      </c>
      <c r="I157" t="s">
        <v>11530</v>
      </c>
      <c r="J157" t="s">
        <v>3948</v>
      </c>
      <c r="K157" t="s">
        <v>11531</v>
      </c>
      <c r="L157" t="s">
        <v>220</v>
      </c>
      <c r="M157" t="s">
        <v>231</v>
      </c>
      <c r="N157" t="s">
        <v>4711</v>
      </c>
      <c r="O157" t="s">
        <v>11532</v>
      </c>
      <c r="P157">
        <v>2023</v>
      </c>
      <c r="Q157">
        <v>93000</v>
      </c>
      <c r="R157" t="s">
        <v>11533</v>
      </c>
      <c r="S157" t="s">
        <v>11534</v>
      </c>
      <c r="T157" t="s">
        <v>5145</v>
      </c>
      <c r="U157" t="s">
        <v>11535</v>
      </c>
      <c r="V157" t="s">
        <v>5147</v>
      </c>
      <c r="W157">
        <v>10590000</v>
      </c>
      <c r="X157" t="s">
        <v>5148</v>
      </c>
      <c r="Y157">
        <v>14</v>
      </c>
      <c r="Z157" t="s">
        <v>20</v>
      </c>
      <c r="AA157" t="s">
        <v>5175</v>
      </c>
      <c r="AB157" t="s">
        <v>3948</v>
      </c>
      <c r="AC157" t="s">
        <v>11536</v>
      </c>
      <c r="AD157" t="s">
        <v>11531</v>
      </c>
      <c r="AE157" t="s">
        <v>11537</v>
      </c>
      <c r="AF157" t="s">
        <v>11407</v>
      </c>
      <c r="AG157">
        <v>1</v>
      </c>
      <c r="AH157" t="s">
        <v>11407</v>
      </c>
      <c r="AI157" t="s">
        <v>11538</v>
      </c>
      <c r="AJ157" t="s">
        <v>3948</v>
      </c>
      <c r="AK157">
        <v>1</v>
      </c>
      <c r="AL157">
        <v>0</v>
      </c>
      <c r="AM157" t="s">
        <v>3948</v>
      </c>
      <c r="AN157">
        <v>0</v>
      </c>
      <c r="AO157">
        <v>8400000</v>
      </c>
      <c r="AP157">
        <v>255240</v>
      </c>
      <c r="AQ157">
        <v>0</v>
      </c>
      <c r="AR157">
        <v>8655240</v>
      </c>
      <c r="AS157">
        <v>10590000</v>
      </c>
      <c r="AT157">
        <v>1934760</v>
      </c>
      <c r="AU157">
        <v>1827</v>
      </c>
    </row>
    <row r="158" spans="1:47" ht="13.5" customHeight="1" x14ac:dyDescent="0.3">
      <c r="A158" t="s">
        <v>5142</v>
      </c>
      <c r="B158" t="s">
        <v>5143</v>
      </c>
      <c r="C158">
        <v>0</v>
      </c>
      <c r="D158">
        <v>0</v>
      </c>
      <c r="E158" t="s">
        <v>3948</v>
      </c>
      <c r="F158" t="s">
        <v>3948</v>
      </c>
      <c r="G158" t="s">
        <v>3948</v>
      </c>
      <c r="H158" t="s">
        <v>3948</v>
      </c>
      <c r="I158" t="s">
        <v>11539</v>
      </c>
      <c r="J158" t="s">
        <v>3948</v>
      </c>
      <c r="K158" t="s">
        <v>11540</v>
      </c>
      <c r="L158" t="s">
        <v>278</v>
      </c>
      <c r="M158" t="s">
        <v>4867</v>
      </c>
      <c r="N158" t="s">
        <v>4870</v>
      </c>
      <c r="O158" t="s">
        <v>11541</v>
      </c>
      <c r="P158">
        <v>2023</v>
      </c>
      <c r="Q158">
        <v>93000</v>
      </c>
      <c r="R158" t="s">
        <v>11542</v>
      </c>
      <c r="S158" t="s">
        <v>11543</v>
      </c>
      <c r="T158" t="s">
        <v>5145</v>
      </c>
      <c r="U158" t="s">
        <v>11544</v>
      </c>
      <c r="V158" t="s">
        <v>5147</v>
      </c>
      <c r="W158">
        <v>10690000</v>
      </c>
      <c r="X158" t="s">
        <v>5148</v>
      </c>
      <c r="Y158">
        <v>6</v>
      </c>
      <c r="Z158" t="s">
        <v>16</v>
      </c>
      <c r="AA158" t="s">
        <v>5149</v>
      </c>
      <c r="AB158" t="s">
        <v>3948</v>
      </c>
      <c r="AC158" t="s">
        <v>11545</v>
      </c>
      <c r="AD158" t="s">
        <v>11540</v>
      </c>
      <c r="AE158" t="s">
        <v>11546</v>
      </c>
      <c r="AF158" t="s">
        <v>11503</v>
      </c>
      <c r="AG158">
        <v>1</v>
      </c>
      <c r="AH158" t="s">
        <v>11503</v>
      </c>
      <c r="AI158" t="s">
        <v>11547</v>
      </c>
      <c r="AJ158" t="s">
        <v>3948</v>
      </c>
      <c r="AK158">
        <v>1</v>
      </c>
      <c r="AL158">
        <v>0</v>
      </c>
      <c r="AM158" t="s">
        <v>3948</v>
      </c>
      <c r="AN158">
        <v>0</v>
      </c>
      <c r="AO158">
        <v>8200000</v>
      </c>
      <c r="AP158">
        <v>252240</v>
      </c>
      <c r="AQ158">
        <v>0</v>
      </c>
      <c r="AR158">
        <v>8452240</v>
      </c>
      <c r="AS158">
        <v>10690000</v>
      </c>
      <c r="AT158">
        <v>2237760</v>
      </c>
      <c r="AU158">
        <v>2093</v>
      </c>
    </row>
    <row r="159" spans="1:47" ht="13.5" customHeight="1" x14ac:dyDescent="0.3">
      <c r="A159" t="s">
        <v>5142</v>
      </c>
      <c r="B159" t="s">
        <v>5143</v>
      </c>
      <c r="C159">
        <v>0</v>
      </c>
      <c r="D159">
        <v>0</v>
      </c>
      <c r="E159" t="s">
        <v>3948</v>
      </c>
      <c r="F159" t="s">
        <v>3948</v>
      </c>
      <c r="G159" t="s">
        <v>3948</v>
      </c>
      <c r="H159" t="s">
        <v>3948</v>
      </c>
      <c r="I159" t="s">
        <v>5492</v>
      </c>
      <c r="J159" t="s">
        <v>3948</v>
      </c>
      <c r="K159" t="s">
        <v>5493</v>
      </c>
      <c r="L159" t="s">
        <v>82</v>
      </c>
      <c r="M159" t="s">
        <v>3030</v>
      </c>
      <c r="N159" t="s">
        <v>5494</v>
      </c>
      <c r="O159" t="s">
        <v>5495</v>
      </c>
      <c r="P159">
        <v>2025</v>
      </c>
      <c r="Q159">
        <v>44200</v>
      </c>
      <c r="R159" t="s">
        <v>5496</v>
      </c>
      <c r="S159" t="s">
        <v>3031</v>
      </c>
      <c r="T159" t="s">
        <v>5145</v>
      </c>
      <c r="U159" t="s">
        <v>5497</v>
      </c>
      <c r="V159" t="s">
        <v>5147</v>
      </c>
      <c r="W159">
        <v>25990000</v>
      </c>
      <c r="X159" t="s">
        <v>5148</v>
      </c>
      <c r="Y159">
        <v>113</v>
      </c>
      <c r="Z159" t="s">
        <v>26</v>
      </c>
      <c r="AA159" t="s">
        <v>5149</v>
      </c>
      <c r="AB159" t="s">
        <v>5185</v>
      </c>
      <c r="AC159" t="s">
        <v>5498</v>
      </c>
      <c r="AD159" t="s">
        <v>5493</v>
      </c>
      <c r="AE159" t="s">
        <v>5499</v>
      </c>
      <c r="AF159" t="s">
        <v>5500</v>
      </c>
      <c r="AG159">
        <v>1</v>
      </c>
      <c r="AH159" t="s">
        <v>5500</v>
      </c>
      <c r="AI159" t="s">
        <v>5501</v>
      </c>
      <c r="AJ159" t="s">
        <v>3948</v>
      </c>
      <c r="AK159">
        <v>1</v>
      </c>
      <c r="AL159">
        <v>0</v>
      </c>
      <c r="AM159" t="s">
        <v>3948</v>
      </c>
      <c r="AN159">
        <v>0</v>
      </c>
      <c r="AO159">
        <v>22000000</v>
      </c>
      <c r="AP159">
        <v>459240</v>
      </c>
      <c r="AQ159">
        <v>0</v>
      </c>
      <c r="AR159">
        <v>22459240</v>
      </c>
      <c r="AS159">
        <v>25990000</v>
      </c>
      <c r="AT159">
        <v>3530760</v>
      </c>
      <c r="AU159">
        <v>1359</v>
      </c>
    </row>
    <row r="160" spans="1:47" ht="13.5" customHeight="1" x14ac:dyDescent="0.3">
      <c r="A160" t="s">
        <v>5142</v>
      </c>
      <c r="B160" t="s">
        <v>5143</v>
      </c>
      <c r="C160">
        <v>0</v>
      </c>
      <c r="D160">
        <v>0</v>
      </c>
      <c r="E160" t="s">
        <v>3948</v>
      </c>
      <c r="F160" t="s">
        <v>3948</v>
      </c>
      <c r="G160" t="s">
        <v>3948</v>
      </c>
      <c r="H160" t="s">
        <v>3948</v>
      </c>
      <c r="I160" t="s">
        <v>5577</v>
      </c>
      <c r="J160" t="s">
        <v>3948</v>
      </c>
      <c r="K160" t="s">
        <v>5273</v>
      </c>
      <c r="L160" t="s">
        <v>156</v>
      </c>
      <c r="M160" t="s">
        <v>156</v>
      </c>
      <c r="N160" t="s">
        <v>159</v>
      </c>
      <c r="O160" t="s">
        <v>5274</v>
      </c>
      <c r="P160">
        <v>2024</v>
      </c>
      <c r="Q160">
        <v>58500</v>
      </c>
      <c r="R160" t="s">
        <v>5275</v>
      </c>
      <c r="S160" t="s">
        <v>160</v>
      </c>
      <c r="T160" t="s">
        <v>5145</v>
      </c>
      <c r="U160" t="s">
        <v>5209</v>
      </c>
      <c r="V160" t="s">
        <v>5147</v>
      </c>
      <c r="W160">
        <v>25390000</v>
      </c>
      <c r="X160" t="s">
        <v>5148</v>
      </c>
      <c r="Y160">
        <v>251</v>
      </c>
      <c r="Z160" t="s">
        <v>26</v>
      </c>
      <c r="AA160" t="s">
        <v>5149</v>
      </c>
      <c r="AB160" t="s">
        <v>5276</v>
      </c>
      <c r="AC160" t="s">
        <v>5277</v>
      </c>
      <c r="AD160" t="s">
        <v>5278</v>
      </c>
      <c r="AE160" t="s">
        <v>5279</v>
      </c>
      <c r="AF160" t="s">
        <v>5578</v>
      </c>
      <c r="AG160">
        <v>1</v>
      </c>
      <c r="AH160" t="s">
        <v>5578</v>
      </c>
      <c r="AI160" t="s">
        <v>5579</v>
      </c>
      <c r="AJ160" t="s">
        <v>3948</v>
      </c>
      <c r="AK160">
        <v>1</v>
      </c>
      <c r="AL160">
        <v>0</v>
      </c>
      <c r="AM160" t="s">
        <v>3948</v>
      </c>
      <c r="AN160">
        <v>0</v>
      </c>
      <c r="AO160">
        <v>23500000</v>
      </c>
      <c r="AP160">
        <v>903834</v>
      </c>
      <c r="AQ160">
        <v>0</v>
      </c>
      <c r="AR160">
        <v>24403834</v>
      </c>
      <c r="AS160">
        <v>25390000</v>
      </c>
      <c r="AT160">
        <v>986166</v>
      </c>
      <c r="AU160">
        <v>388</v>
      </c>
    </row>
    <row r="161" spans="1:47" ht="13.5" customHeight="1" x14ac:dyDescent="0.3">
      <c r="A161" t="s">
        <v>5142</v>
      </c>
      <c r="B161" t="s">
        <v>5180</v>
      </c>
      <c r="C161">
        <v>0</v>
      </c>
      <c r="D161">
        <v>0</v>
      </c>
      <c r="E161" t="s">
        <v>3948</v>
      </c>
      <c r="F161" t="s">
        <v>3948</v>
      </c>
      <c r="G161" t="s">
        <v>3948</v>
      </c>
      <c r="H161" t="s">
        <v>3948</v>
      </c>
      <c r="I161" t="s">
        <v>5657</v>
      </c>
      <c r="J161" t="s">
        <v>3948</v>
      </c>
      <c r="K161" t="s">
        <v>5370</v>
      </c>
      <c r="L161" t="s">
        <v>220</v>
      </c>
      <c r="M161" t="s">
        <v>231</v>
      </c>
      <c r="N161" t="s">
        <v>232</v>
      </c>
      <c r="O161" t="s">
        <v>5371</v>
      </c>
      <c r="P161">
        <v>2021</v>
      </c>
      <c r="Q161">
        <v>85390</v>
      </c>
      <c r="R161" t="s">
        <v>5372</v>
      </c>
      <c r="S161" t="s">
        <v>233</v>
      </c>
      <c r="T161" t="s">
        <v>5145</v>
      </c>
      <c r="U161" t="s">
        <v>5373</v>
      </c>
      <c r="V161" t="s">
        <v>5147</v>
      </c>
      <c r="W161">
        <v>9790000</v>
      </c>
      <c r="X161" t="s">
        <v>5148</v>
      </c>
      <c r="Y161">
        <v>417</v>
      </c>
      <c r="Z161" t="s">
        <v>40</v>
      </c>
      <c r="AA161" t="s">
        <v>5181</v>
      </c>
      <c r="AB161" t="s">
        <v>5374</v>
      </c>
      <c r="AC161" t="s">
        <v>5375</v>
      </c>
      <c r="AD161" t="s">
        <v>5370</v>
      </c>
      <c r="AE161" t="s">
        <v>5376</v>
      </c>
      <c r="AF161" t="s">
        <v>5658</v>
      </c>
      <c r="AG161">
        <v>1</v>
      </c>
      <c r="AH161" t="s">
        <v>5659</v>
      </c>
      <c r="AI161" t="s">
        <v>5659</v>
      </c>
      <c r="AJ161" t="s">
        <v>5575</v>
      </c>
      <c r="AK161">
        <v>1</v>
      </c>
      <c r="AL161">
        <v>0</v>
      </c>
      <c r="AM161" t="s">
        <v>3948</v>
      </c>
      <c r="AN161">
        <v>0</v>
      </c>
      <c r="AO161">
        <v>7700000</v>
      </c>
      <c r="AP161">
        <v>241530</v>
      </c>
      <c r="AQ161">
        <v>0</v>
      </c>
      <c r="AR161">
        <v>7941530</v>
      </c>
      <c r="AS161">
        <v>9790000</v>
      </c>
      <c r="AT161">
        <v>1848470</v>
      </c>
      <c r="AU161">
        <v>1888</v>
      </c>
    </row>
    <row r="162" spans="1:47" ht="13.5" customHeight="1" x14ac:dyDescent="0.3">
      <c r="A162" t="s">
        <v>5142</v>
      </c>
      <c r="B162" t="s">
        <v>5180</v>
      </c>
      <c r="C162">
        <v>0</v>
      </c>
      <c r="D162">
        <v>0</v>
      </c>
      <c r="E162" t="s">
        <v>3948</v>
      </c>
      <c r="F162" t="s">
        <v>3948</v>
      </c>
      <c r="G162" t="s">
        <v>3948</v>
      </c>
      <c r="H162" t="s">
        <v>3948</v>
      </c>
      <c r="I162" t="s">
        <v>5508</v>
      </c>
      <c r="J162" t="s">
        <v>3948</v>
      </c>
      <c r="K162" t="s">
        <v>5287</v>
      </c>
      <c r="L162" t="s">
        <v>173</v>
      </c>
      <c r="M162" t="s">
        <v>4423</v>
      </c>
      <c r="N162" t="s">
        <v>176</v>
      </c>
      <c r="O162" t="s">
        <v>5256</v>
      </c>
      <c r="P162">
        <v>2025</v>
      </c>
      <c r="Q162">
        <v>10200</v>
      </c>
      <c r="R162" t="s">
        <v>5288</v>
      </c>
      <c r="S162" t="s">
        <v>179</v>
      </c>
      <c r="T162" t="s">
        <v>5145</v>
      </c>
      <c r="U162" t="s">
        <v>5289</v>
      </c>
      <c r="V162" t="s">
        <v>5147</v>
      </c>
      <c r="W162">
        <v>16490000</v>
      </c>
      <c r="X162" t="s">
        <v>5148</v>
      </c>
      <c r="Y162">
        <v>309</v>
      </c>
      <c r="Z162" t="s">
        <v>33</v>
      </c>
      <c r="AA162" t="s">
        <v>5181</v>
      </c>
      <c r="AB162" t="s">
        <v>5185</v>
      </c>
      <c r="AC162" t="s">
        <v>5290</v>
      </c>
      <c r="AD162" t="s">
        <v>5291</v>
      </c>
      <c r="AE162" t="s">
        <v>5292</v>
      </c>
      <c r="AF162" t="s">
        <v>5509</v>
      </c>
      <c r="AG162">
        <v>1</v>
      </c>
      <c r="AH162" t="s">
        <v>5509</v>
      </c>
      <c r="AI162" t="s">
        <v>5510</v>
      </c>
      <c r="AJ162" t="s">
        <v>3948</v>
      </c>
      <c r="AK162">
        <v>1</v>
      </c>
      <c r="AL162">
        <v>0</v>
      </c>
      <c r="AM162" t="s">
        <v>3948</v>
      </c>
      <c r="AN162">
        <v>0</v>
      </c>
      <c r="AO162">
        <v>15500000</v>
      </c>
      <c r="AP162">
        <v>358530</v>
      </c>
      <c r="AQ162">
        <v>0</v>
      </c>
      <c r="AR162">
        <v>15858530</v>
      </c>
      <c r="AS162">
        <v>16490000</v>
      </c>
      <c r="AT162">
        <v>631470</v>
      </c>
      <c r="AU162">
        <v>383</v>
      </c>
    </row>
    <row r="163" spans="1:47" ht="13.5" customHeight="1" x14ac:dyDescent="0.3">
      <c r="A163" t="s">
        <v>5142</v>
      </c>
      <c r="B163" t="s">
        <v>5170</v>
      </c>
      <c r="C163">
        <v>0</v>
      </c>
      <c r="D163">
        <v>0</v>
      </c>
      <c r="E163" t="s">
        <v>3948</v>
      </c>
      <c r="F163" t="s">
        <v>3948</v>
      </c>
      <c r="G163" t="s">
        <v>3948</v>
      </c>
      <c r="H163" t="s">
        <v>3948</v>
      </c>
      <c r="I163" t="s">
        <v>5603</v>
      </c>
      <c r="J163" t="s">
        <v>3948</v>
      </c>
      <c r="K163" t="s">
        <v>5453</v>
      </c>
      <c r="L163" t="s">
        <v>288</v>
      </c>
      <c r="M163" t="s">
        <v>288</v>
      </c>
      <c r="N163" t="s">
        <v>289</v>
      </c>
      <c r="O163" t="s">
        <v>5454</v>
      </c>
      <c r="P163">
        <v>2019</v>
      </c>
      <c r="Q163">
        <v>95000</v>
      </c>
      <c r="R163" t="s">
        <v>5455</v>
      </c>
      <c r="S163" t="s">
        <v>290</v>
      </c>
      <c r="T163" t="s">
        <v>5145</v>
      </c>
      <c r="U163" t="s">
        <v>5456</v>
      </c>
      <c r="V163" t="s">
        <v>5147</v>
      </c>
      <c r="W163">
        <v>7690000</v>
      </c>
      <c r="X163" t="s">
        <v>5148</v>
      </c>
      <c r="Y163">
        <v>138</v>
      </c>
      <c r="Z163" t="s">
        <v>40</v>
      </c>
      <c r="AA163" t="s">
        <v>5175</v>
      </c>
      <c r="AB163" t="s">
        <v>5457</v>
      </c>
      <c r="AC163" t="s">
        <v>5458</v>
      </c>
      <c r="AD163" t="s">
        <v>5453</v>
      </c>
      <c r="AE163" t="s">
        <v>5459</v>
      </c>
      <c r="AF163" t="s">
        <v>5476</v>
      </c>
      <c r="AG163">
        <v>1</v>
      </c>
      <c r="AH163" t="s">
        <v>5476</v>
      </c>
      <c r="AI163" t="s">
        <v>5604</v>
      </c>
      <c r="AJ163" t="s">
        <v>5514</v>
      </c>
      <c r="AK163">
        <v>1</v>
      </c>
      <c r="AL163">
        <v>0</v>
      </c>
      <c r="AM163" t="s">
        <v>3948</v>
      </c>
      <c r="AN163">
        <v>0</v>
      </c>
      <c r="AO163">
        <v>5800000</v>
      </c>
      <c r="AP163">
        <v>216240</v>
      </c>
      <c r="AQ163">
        <v>0</v>
      </c>
      <c r="AR163">
        <v>6016240</v>
      </c>
      <c r="AS163">
        <v>7690000</v>
      </c>
      <c r="AT163">
        <v>1673760</v>
      </c>
      <c r="AU163">
        <v>2177</v>
      </c>
    </row>
    <row r="164" spans="1:47" ht="13.5" customHeight="1" x14ac:dyDescent="0.3">
      <c r="A164" t="s">
        <v>5142</v>
      </c>
      <c r="B164" t="s">
        <v>5143</v>
      </c>
      <c r="C164">
        <v>0</v>
      </c>
      <c r="D164">
        <v>0</v>
      </c>
      <c r="E164" t="s">
        <v>3948</v>
      </c>
      <c r="F164" t="s">
        <v>3948</v>
      </c>
      <c r="G164" t="s">
        <v>3948</v>
      </c>
      <c r="H164" t="s">
        <v>3948</v>
      </c>
      <c r="I164" t="s">
        <v>11548</v>
      </c>
      <c r="J164" t="s">
        <v>3948</v>
      </c>
      <c r="K164" t="s">
        <v>11549</v>
      </c>
      <c r="L164" t="s">
        <v>2549</v>
      </c>
      <c r="M164" t="s">
        <v>4750</v>
      </c>
      <c r="N164" t="s">
        <v>4752</v>
      </c>
      <c r="O164" t="s">
        <v>11550</v>
      </c>
      <c r="P164">
        <v>2024</v>
      </c>
      <c r="Q164">
        <v>28000</v>
      </c>
      <c r="R164" t="s">
        <v>11551</v>
      </c>
      <c r="S164" t="s">
        <v>9986</v>
      </c>
      <c r="T164" t="s">
        <v>5145</v>
      </c>
      <c r="U164" t="s">
        <v>11552</v>
      </c>
      <c r="V164" t="s">
        <v>5147</v>
      </c>
      <c r="W164">
        <v>13990000</v>
      </c>
      <c r="X164" t="s">
        <v>5148</v>
      </c>
      <c r="Y164">
        <v>14</v>
      </c>
      <c r="Z164" t="s">
        <v>20</v>
      </c>
      <c r="AA164" t="s">
        <v>5149</v>
      </c>
      <c r="AB164" t="s">
        <v>11553</v>
      </c>
      <c r="AC164" t="s">
        <v>11554</v>
      </c>
      <c r="AD164" t="s">
        <v>11549</v>
      </c>
      <c r="AE164" t="s">
        <v>11555</v>
      </c>
      <c r="AF164" t="s">
        <v>11407</v>
      </c>
      <c r="AG164">
        <v>1</v>
      </c>
      <c r="AH164" t="s">
        <v>11407</v>
      </c>
      <c r="AI164" t="s">
        <v>11556</v>
      </c>
      <c r="AJ164" t="s">
        <v>3948</v>
      </c>
      <c r="AK164">
        <v>1</v>
      </c>
      <c r="AL164">
        <v>0</v>
      </c>
      <c r="AM164" t="s">
        <v>3948</v>
      </c>
      <c r="AN164">
        <v>0</v>
      </c>
      <c r="AO164">
        <v>11800000</v>
      </c>
      <c r="AP164">
        <v>306240</v>
      </c>
      <c r="AQ164">
        <v>0</v>
      </c>
      <c r="AR164">
        <v>12106240</v>
      </c>
      <c r="AS164">
        <v>13990000</v>
      </c>
      <c r="AT164">
        <v>1883760</v>
      </c>
      <c r="AU164">
        <v>1347</v>
      </c>
    </row>
    <row r="165" spans="1:47" ht="13.5" customHeight="1" x14ac:dyDescent="0.3">
      <c r="A165" t="s">
        <v>5142</v>
      </c>
      <c r="B165" t="s">
        <v>5143</v>
      </c>
      <c r="C165">
        <v>0</v>
      </c>
      <c r="D165">
        <v>0</v>
      </c>
      <c r="E165" t="s">
        <v>3948</v>
      </c>
      <c r="F165" t="s">
        <v>3948</v>
      </c>
      <c r="G165" t="s">
        <v>3948</v>
      </c>
      <c r="H165" t="s">
        <v>3948</v>
      </c>
      <c r="I165" t="s">
        <v>9540</v>
      </c>
      <c r="J165" t="s">
        <v>3948</v>
      </c>
      <c r="K165" t="s">
        <v>9541</v>
      </c>
      <c r="L165" t="s">
        <v>220</v>
      </c>
      <c r="M165" t="s">
        <v>231</v>
      </c>
      <c r="N165" t="s">
        <v>9542</v>
      </c>
      <c r="O165" t="s">
        <v>9543</v>
      </c>
      <c r="P165">
        <v>2024</v>
      </c>
      <c r="Q165">
        <v>28600</v>
      </c>
      <c r="R165" t="s">
        <v>9544</v>
      </c>
      <c r="S165" t="s">
        <v>8038</v>
      </c>
      <c r="T165" t="s">
        <v>5145</v>
      </c>
      <c r="U165" t="s">
        <v>9545</v>
      </c>
      <c r="V165" t="s">
        <v>5147</v>
      </c>
      <c r="W165">
        <v>11990000</v>
      </c>
      <c r="X165" t="s">
        <v>5148</v>
      </c>
      <c r="Y165">
        <v>80</v>
      </c>
      <c r="Z165" t="s">
        <v>63</v>
      </c>
      <c r="AA165" t="s">
        <v>5149</v>
      </c>
      <c r="AB165" t="s">
        <v>9546</v>
      </c>
      <c r="AC165" t="s">
        <v>9547</v>
      </c>
      <c r="AD165" t="s">
        <v>9548</v>
      </c>
      <c r="AE165" t="s">
        <v>9549</v>
      </c>
      <c r="AF165" t="s">
        <v>9550</v>
      </c>
      <c r="AG165">
        <v>1</v>
      </c>
      <c r="AH165" t="s">
        <v>9550</v>
      </c>
      <c r="AI165" t="s">
        <v>9551</v>
      </c>
      <c r="AJ165" t="s">
        <v>3948</v>
      </c>
      <c r="AK165">
        <v>2</v>
      </c>
      <c r="AL165">
        <v>0</v>
      </c>
      <c r="AM165" t="s">
        <v>3948</v>
      </c>
      <c r="AN165">
        <v>0</v>
      </c>
      <c r="AO165">
        <v>10000000</v>
      </c>
      <c r="AP165">
        <v>279240</v>
      </c>
      <c r="AQ165">
        <v>0</v>
      </c>
      <c r="AR165">
        <v>10279240</v>
      </c>
      <c r="AS165">
        <v>11990000</v>
      </c>
      <c r="AT165">
        <v>1710760</v>
      </c>
      <c r="AU165">
        <v>1427</v>
      </c>
    </row>
    <row r="166" spans="1:47" ht="13.5" customHeight="1" x14ac:dyDescent="0.3">
      <c r="A166" t="s">
        <v>5142</v>
      </c>
      <c r="B166" t="s">
        <v>5143</v>
      </c>
      <c r="C166">
        <v>0</v>
      </c>
      <c r="D166">
        <v>0</v>
      </c>
      <c r="E166" t="s">
        <v>3948</v>
      </c>
      <c r="F166" t="s">
        <v>3948</v>
      </c>
      <c r="G166" t="s">
        <v>3948</v>
      </c>
      <c r="H166" t="s">
        <v>3948</v>
      </c>
      <c r="I166" t="s">
        <v>11063</v>
      </c>
      <c r="J166" t="s">
        <v>3948</v>
      </c>
      <c r="K166" t="s">
        <v>11064</v>
      </c>
      <c r="L166" t="s">
        <v>86</v>
      </c>
      <c r="M166" t="s">
        <v>98</v>
      </c>
      <c r="N166" t="s">
        <v>99</v>
      </c>
      <c r="O166" t="s">
        <v>5271</v>
      </c>
      <c r="P166">
        <v>2023</v>
      </c>
      <c r="Q166">
        <v>52000</v>
      </c>
      <c r="R166" t="s">
        <v>11065</v>
      </c>
      <c r="S166" t="s">
        <v>11066</v>
      </c>
      <c r="T166" t="s">
        <v>5145</v>
      </c>
      <c r="U166" t="s">
        <v>5272</v>
      </c>
      <c r="V166" t="s">
        <v>5147</v>
      </c>
      <c r="W166">
        <v>19490000</v>
      </c>
      <c r="X166" t="s">
        <v>5148</v>
      </c>
      <c r="Y166">
        <v>19</v>
      </c>
      <c r="Z166" t="s">
        <v>20</v>
      </c>
      <c r="AA166" t="s">
        <v>5149</v>
      </c>
      <c r="AB166" t="s">
        <v>3948</v>
      </c>
      <c r="AC166" t="s">
        <v>11067</v>
      </c>
      <c r="AD166" t="s">
        <v>11064</v>
      </c>
      <c r="AE166" t="s">
        <v>11068</v>
      </c>
      <c r="AF166" t="s">
        <v>10909</v>
      </c>
      <c r="AG166">
        <v>1</v>
      </c>
      <c r="AH166" t="s">
        <v>10909</v>
      </c>
      <c r="AI166" t="s">
        <v>11069</v>
      </c>
      <c r="AJ166" t="s">
        <v>3948</v>
      </c>
      <c r="AK166">
        <v>1</v>
      </c>
      <c r="AL166">
        <v>0</v>
      </c>
      <c r="AM166" t="s">
        <v>3948</v>
      </c>
      <c r="AN166">
        <v>0</v>
      </c>
      <c r="AO166">
        <v>16500000</v>
      </c>
      <c r="AP166">
        <v>376740</v>
      </c>
      <c r="AQ166">
        <v>0</v>
      </c>
      <c r="AR166">
        <v>16876740</v>
      </c>
      <c r="AS166">
        <v>19490000</v>
      </c>
      <c r="AT166">
        <v>2613260</v>
      </c>
      <c r="AU166">
        <v>1341</v>
      </c>
    </row>
    <row r="167" spans="1:47" ht="13.5" customHeight="1" x14ac:dyDescent="0.3">
      <c r="A167" t="s">
        <v>5142</v>
      </c>
      <c r="B167" t="s">
        <v>5143</v>
      </c>
      <c r="C167">
        <v>0</v>
      </c>
      <c r="D167">
        <v>0</v>
      </c>
      <c r="E167" t="s">
        <v>3948</v>
      </c>
      <c r="F167" t="s">
        <v>3948</v>
      </c>
      <c r="G167" t="s">
        <v>3948</v>
      </c>
      <c r="H167" t="s">
        <v>3948</v>
      </c>
      <c r="I167" t="s">
        <v>10926</v>
      </c>
      <c r="J167" t="s">
        <v>3948</v>
      </c>
      <c r="K167" t="s">
        <v>10927</v>
      </c>
      <c r="L167" t="s">
        <v>2474</v>
      </c>
      <c r="M167" t="s">
        <v>10296</v>
      </c>
      <c r="N167" t="s">
        <v>10928</v>
      </c>
      <c r="O167" t="s">
        <v>10929</v>
      </c>
      <c r="P167">
        <v>2024</v>
      </c>
      <c r="Q167">
        <v>45000</v>
      </c>
      <c r="R167" t="s">
        <v>10930</v>
      </c>
      <c r="S167" t="s">
        <v>10297</v>
      </c>
      <c r="T167" t="s">
        <v>5145</v>
      </c>
      <c r="U167" t="s">
        <v>5373</v>
      </c>
      <c r="V167" t="s">
        <v>5147</v>
      </c>
      <c r="W167">
        <v>20590000</v>
      </c>
      <c r="X167" t="s">
        <v>5148</v>
      </c>
      <c r="Y167">
        <v>34</v>
      </c>
      <c r="Z167" t="s">
        <v>16</v>
      </c>
      <c r="AA167" t="s">
        <v>5149</v>
      </c>
      <c r="AB167" t="s">
        <v>3948</v>
      </c>
      <c r="AC167" t="s">
        <v>10931</v>
      </c>
      <c r="AD167" t="s">
        <v>10927</v>
      </c>
      <c r="AE167" t="s">
        <v>10932</v>
      </c>
      <c r="AF167" t="s">
        <v>10933</v>
      </c>
      <c r="AG167">
        <v>1</v>
      </c>
      <c r="AH167" t="s">
        <v>10933</v>
      </c>
      <c r="AI167" t="s">
        <v>10934</v>
      </c>
      <c r="AJ167" t="s">
        <v>3948</v>
      </c>
      <c r="AK167">
        <v>2</v>
      </c>
      <c r="AL167">
        <v>0</v>
      </c>
      <c r="AM167" t="s">
        <v>3948</v>
      </c>
      <c r="AN167">
        <v>0</v>
      </c>
      <c r="AO167">
        <v>17000000</v>
      </c>
      <c r="AP167">
        <v>384240</v>
      </c>
      <c r="AQ167">
        <v>0</v>
      </c>
      <c r="AR167">
        <v>17384240</v>
      </c>
      <c r="AS167">
        <v>20590000</v>
      </c>
      <c r="AT167">
        <v>3205760</v>
      </c>
      <c r="AU167">
        <v>1557</v>
      </c>
    </row>
    <row r="168" spans="1:47" ht="13.5" customHeight="1" x14ac:dyDescent="0.3">
      <c r="A168" t="s">
        <v>5142</v>
      </c>
      <c r="B168" t="s">
        <v>5161</v>
      </c>
      <c r="C168">
        <v>0</v>
      </c>
      <c r="D168">
        <v>0</v>
      </c>
      <c r="E168" t="s">
        <v>3948</v>
      </c>
      <c r="F168" t="s">
        <v>3948</v>
      </c>
      <c r="G168" t="s">
        <v>3948</v>
      </c>
      <c r="H168" t="s">
        <v>3948</v>
      </c>
      <c r="I168" t="s">
        <v>11557</v>
      </c>
      <c r="J168" t="s">
        <v>3948</v>
      </c>
      <c r="K168" t="s">
        <v>11558</v>
      </c>
      <c r="L168" t="s">
        <v>156</v>
      </c>
      <c r="M168" t="s">
        <v>156</v>
      </c>
      <c r="N168" t="s">
        <v>4380</v>
      </c>
      <c r="O168" t="s">
        <v>11559</v>
      </c>
      <c r="P168">
        <v>2024</v>
      </c>
      <c r="Q168">
        <v>80110</v>
      </c>
      <c r="R168" t="s">
        <v>11560</v>
      </c>
      <c r="S168" t="s">
        <v>11561</v>
      </c>
      <c r="T168" t="s">
        <v>5145</v>
      </c>
      <c r="U168" t="s">
        <v>5209</v>
      </c>
      <c r="V168" t="s">
        <v>5147</v>
      </c>
      <c r="W168">
        <v>17990000</v>
      </c>
      <c r="X168" t="s">
        <v>5148</v>
      </c>
      <c r="Y168">
        <v>14</v>
      </c>
      <c r="Z168" t="s">
        <v>16</v>
      </c>
      <c r="AA168" t="s">
        <v>5166</v>
      </c>
      <c r="AB168" t="s">
        <v>3948</v>
      </c>
      <c r="AC168" t="s">
        <v>11562</v>
      </c>
      <c r="AD168" t="s">
        <v>11563</v>
      </c>
      <c r="AE168" t="s">
        <v>11564</v>
      </c>
      <c r="AF168" t="s">
        <v>11407</v>
      </c>
      <c r="AG168">
        <v>1</v>
      </c>
      <c r="AH168" t="s">
        <v>11407</v>
      </c>
      <c r="AI168" t="s">
        <v>11565</v>
      </c>
      <c r="AJ168" t="s">
        <v>3948</v>
      </c>
      <c r="AK168">
        <v>1</v>
      </c>
      <c r="AL168">
        <v>0</v>
      </c>
      <c r="AM168" t="s">
        <v>3948</v>
      </c>
      <c r="AN168">
        <v>0</v>
      </c>
      <c r="AO168">
        <v>15500000</v>
      </c>
      <c r="AP168">
        <v>361740</v>
      </c>
      <c r="AQ168">
        <v>0</v>
      </c>
      <c r="AR168">
        <v>15861740</v>
      </c>
      <c r="AS168">
        <v>17990000</v>
      </c>
      <c r="AT168">
        <v>2128260</v>
      </c>
      <c r="AU168">
        <v>1183</v>
      </c>
    </row>
    <row r="169" spans="1:47" ht="13.5" customHeight="1" x14ac:dyDescent="0.3">
      <c r="A169" t="s">
        <v>5142</v>
      </c>
      <c r="B169" t="s">
        <v>5188</v>
      </c>
      <c r="C169">
        <v>0</v>
      </c>
      <c r="D169">
        <v>0</v>
      </c>
      <c r="E169" t="s">
        <v>3948</v>
      </c>
      <c r="F169" t="s">
        <v>3948</v>
      </c>
      <c r="G169" t="s">
        <v>3948</v>
      </c>
      <c r="H169" t="s">
        <v>3948</v>
      </c>
      <c r="I169" t="s">
        <v>11566</v>
      </c>
      <c r="J169" t="s">
        <v>3948</v>
      </c>
      <c r="K169" t="s">
        <v>11567</v>
      </c>
      <c r="L169" t="s">
        <v>86</v>
      </c>
      <c r="M169" t="s">
        <v>134</v>
      </c>
      <c r="N169" t="s">
        <v>135</v>
      </c>
      <c r="O169" t="s">
        <v>5378</v>
      </c>
      <c r="P169">
        <v>2023</v>
      </c>
      <c r="Q169">
        <v>26330</v>
      </c>
      <c r="R169" t="s">
        <v>11568</v>
      </c>
      <c r="S169" t="s">
        <v>10797</v>
      </c>
      <c r="T169" t="s">
        <v>5145</v>
      </c>
      <c r="U169" t="s">
        <v>11095</v>
      </c>
      <c r="V169" t="s">
        <v>5147</v>
      </c>
      <c r="W169">
        <v>12190000</v>
      </c>
      <c r="X169" t="s">
        <v>5148</v>
      </c>
      <c r="Y169">
        <v>6</v>
      </c>
      <c r="Z169" t="s">
        <v>16</v>
      </c>
      <c r="AA169" t="s">
        <v>5181</v>
      </c>
      <c r="AB169" t="s">
        <v>3948</v>
      </c>
      <c r="AC169" t="s">
        <v>11569</v>
      </c>
      <c r="AD169" t="s">
        <v>11567</v>
      </c>
      <c r="AE169" t="s">
        <v>11570</v>
      </c>
      <c r="AF169" t="s">
        <v>11503</v>
      </c>
      <c r="AG169">
        <v>1</v>
      </c>
      <c r="AH169" t="s">
        <v>11503</v>
      </c>
      <c r="AI169" t="s">
        <v>11571</v>
      </c>
      <c r="AJ169" t="s">
        <v>3948</v>
      </c>
      <c r="AK169">
        <v>1</v>
      </c>
      <c r="AL169">
        <v>0</v>
      </c>
      <c r="AM169" t="s">
        <v>3948</v>
      </c>
      <c r="AN169">
        <v>0</v>
      </c>
      <c r="AO169">
        <v>10100000</v>
      </c>
      <c r="AP169">
        <v>280740</v>
      </c>
      <c r="AQ169">
        <v>0</v>
      </c>
      <c r="AR169">
        <v>10380740</v>
      </c>
      <c r="AS169">
        <v>12190000</v>
      </c>
      <c r="AT169">
        <v>1809260</v>
      </c>
      <c r="AU169">
        <v>1484</v>
      </c>
    </row>
    <row r="170" spans="1:47" ht="13.5" customHeight="1" x14ac:dyDescent="0.3">
      <c r="A170" t="s">
        <v>5142</v>
      </c>
      <c r="B170" t="s">
        <v>5143</v>
      </c>
      <c r="C170">
        <v>0</v>
      </c>
      <c r="D170">
        <v>0</v>
      </c>
      <c r="E170" t="s">
        <v>3948</v>
      </c>
      <c r="F170" t="s">
        <v>3948</v>
      </c>
      <c r="G170" t="s">
        <v>3948</v>
      </c>
      <c r="H170" t="s">
        <v>3948</v>
      </c>
      <c r="I170" t="s">
        <v>10019</v>
      </c>
      <c r="J170" t="s">
        <v>3948</v>
      </c>
      <c r="K170" t="s">
        <v>10020</v>
      </c>
      <c r="L170" t="s">
        <v>45</v>
      </c>
      <c r="M170" t="s">
        <v>2764</v>
      </c>
      <c r="N170" t="s">
        <v>4066</v>
      </c>
      <c r="O170" t="s">
        <v>10021</v>
      </c>
      <c r="P170">
        <v>2023</v>
      </c>
      <c r="Q170">
        <v>52000</v>
      </c>
      <c r="R170" t="s">
        <v>10022</v>
      </c>
      <c r="S170" t="s">
        <v>9967</v>
      </c>
      <c r="T170" t="s">
        <v>5145</v>
      </c>
      <c r="U170" t="s">
        <v>5179</v>
      </c>
      <c r="V170" t="s">
        <v>5147</v>
      </c>
      <c r="W170">
        <v>9890000</v>
      </c>
      <c r="X170" t="s">
        <v>5148</v>
      </c>
      <c r="Y170">
        <v>55</v>
      </c>
      <c r="Z170" t="s">
        <v>63</v>
      </c>
      <c r="AA170" t="s">
        <v>5149</v>
      </c>
      <c r="AB170" t="s">
        <v>10023</v>
      </c>
      <c r="AC170" t="s">
        <v>10024</v>
      </c>
      <c r="AD170" t="s">
        <v>10020</v>
      </c>
      <c r="AE170" t="s">
        <v>10025</v>
      </c>
      <c r="AF170" t="s">
        <v>10026</v>
      </c>
      <c r="AG170">
        <v>1</v>
      </c>
      <c r="AH170" t="s">
        <v>10026</v>
      </c>
      <c r="AI170" t="s">
        <v>10027</v>
      </c>
      <c r="AJ170" t="s">
        <v>3948</v>
      </c>
      <c r="AK170">
        <v>1</v>
      </c>
      <c r="AL170">
        <v>0</v>
      </c>
      <c r="AM170" t="s">
        <v>3948</v>
      </c>
      <c r="AN170">
        <v>0</v>
      </c>
      <c r="AO170">
        <v>8100000</v>
      </c>
      <c r="AP170">
        <v>250740</v>
      </c>
      <c r="AQ170">
        <v>0</v>
      </c>
      <c r="AR170">
        <v>8350740</v>
      </c>
      <c r="AS170">
        <v>9890000</v>
      </c>
      <c r="AT170">
        <v>1539260</v>
      </c>
      <c r="AU170">
        <v>1556</v>
      </c>
    </row>
    <row r="171" spans="1:47" ht="13.5" customHeight="1" x14ac:dyDescent="0.3">
      <c r="A171" t="s">
        <v>5142</v>
      </c>
      <c r="B171" t="s">
        <v>5170</v>
      </c>
      <c r="C171">
        <v>0</v>
      </c>
      <c r="D171">
        <v>0</v>
      </c>
      <c r="E171" t="s">
        <v>3948</v>
      </c>
      <c r="F171" t="s">
        <v>3948</v>
      </c>
      <c r="G171" t="s">
        <v>3948</v>
      </c>
      <c r="H171" t="s">
        <v>3948</v>
      </c>
      <c r="I171" t="s">
        <v>11572</v>
      </c>
      <c r="J171" t="s">
        <v>3948</v>
      </c>
      <c r="K171" t="s">
        <v>11573</v>
      </c>
      <c r="L171" t="s">
        <v>186</v>
      </c>
      <c r="M171" t="s">
        <v>4491</v>
      </c>
      <c r="N171" t="s">
        <v>4492</v>
      </c>
      <c r="O171" t="s">
        <v>11574</v>
      </c>
      <c r="P171">
        <v>2021</v>
      </c>
      <c r="Q171">
        <v>18508</v>
      </c>
      <c r="R171" t="s">
        <v>11575</v>
      </c>
      <c r="S171" t="s">
        <v>11576</v>
      </c>
      <c r="T171" t="s">
        <v>5145</v>
      </c>
      <c r="U171" t="s">
        <v>5348</v>
      </c>
      <c r="V171" t="s">
        <v>5147</v>
      </c>
      <c r="W171">
        <v>9590000</v>
      </c>
      <c r="X171" t="s">
        <v>5148</v>
      </c>
      <c r="Y171">
        <v>1</v>
      </c>
      <c r="Z171" t="s">
        <v>16</v>
      </c>
      <c r="AA171" t="s">
        <v>5175</v>
      </c>
      <c r="AB171" t="s">
        <v>3948</v>
      </c>
      <c r="AC171" t="s">
        <v>11577</v>
      </c>
      <c r="AD171" t="s">
        <v>11573</v>
      </c>
      <c r="AE171" t="s">
        <v>11578</v>
      </c>
      <c r="AF171" t="s">
        <v>11520</v>
      </c>
      <c r="AG171">
        <v>1</v>
      </c>
      <c r="AH171" t="s">
        <v>11520</v>
      </c>
      <c r="AI171" t="s">
        <v>11579</v>
      </c>
      <c r="AJ171" t="s">
        <v>3948</v>
      </c>
      <c r="AK171">
        <v>1</v>
      </c>
      <c r="AL171">
        <v>0</v>
      </c>
      <c r="AM171" t="s">
        <v>3948</v>
      </c>
      <c r="AN171">
        <v>0</v>
      </c>
      <c r="AO171">
        <v>7400000</v>
      </c>
      <c r="AP171">
        <v>240240</v>
      </c>
      <c r="AQ171">
        <v>0</v>
      </c>
      <c r="AR171">
        <v>7640240</v>
      </c>
      <c r="AS171">
        <v>9590000</v>
      </c>
      <c r="AT171">
        <v>1949760</v>
      </c>
      <c r="AU171">
        <v>2033</v>
      </c>
    </row>
    <row r="172" spans="1:47" ht="13.5" customHeight="1" x14ac:dyDescent="0.3">
      <c r="A172" t="s">
        <v>5142</v>
      </c>
      <c r="B172" t="s">
        <v>5143</v>
      </c>
      <c r="C172">
        <v>0</v>
      </c>
      <c r="D172">
        <v>0</v>
      </c>
      <c r="E172" t="s">
        <v>3948</v>
      </c>
      <c r="F172" t="s">
        <v>3948</v>
      </c>
      <c r="G172" t="s">
        <v>3948</v>
      </c>
      <c r="H172" t="s">
        <v>3948</v>
      </c>
      <c r="I172" t="s">
        <v>5592</v>
      </c>
      <c r="J172" t="s">
        <v>3948</v>
      </c>
      <c r="K172" t="s">
        <v>5304</v>
      </c>
      <c r="L172" t="s">
        <v>86</v>
      </c>
      <c r="M172" t="s">
        <v>93</v>
      </c>
      <c r="N172" t="s">
        <v>96</v>
      </c>
      <c r="O172" t="s">
        <v>5305</v>
      </c>
      <c r="P172">
        <v>2020</v>
      </c>
      <c r="Q172">
        <v>55000</v>
      </c>
      <c r="R172" t="s">
        <v>5306</v>
      </c>
      <c r="S172" t="s">
        <v>97</v>
      </c>
      <c r="T172" t="s">
        <v>5145</v>
      </c>
      <c r="U172" t="s">
        <v>5151</v>
      </c>
      <c r="V172" t="s">
        <v>5147</v>
      </c>
      <c r="W172">
        <v>18490000</v>
      </c>
      <c r="X172" t="s">
        <v>5148</v>
      </c>
      <c r="Y172">
        <v>1281</v>
      </c>
      <c r="Z172" t="s">
        <v>40</v>
      </c>
      <c r="AA172" t="s">
        <v>5149</v>
      </c>
      <c r="AB172" t="s">
        <v>5307</v>
      </c>
      <c r="AC172" t="s">
        <v>5308</v>
      </c>
      <c r="AD172" t="s">
        <v>5304</v>
      </c>
      <c r="AE172" t="s">
        <v>5309</v>
      </c>
      <c r="AF172" t="s">
        <v>5593</v>
      </c>
      <c r="AG172">
        <v>1</v>
      </c>
      <c r="AH172" t="s">
        <v>5593</v>
      </c>
      <c r="AI172" t="s">
        <v>5594</v>
      </c>
      <c r="AJ172" t="s">
        <v>3948</v>
      </c>
      <c r="AK172">
        <v>0</v>
      </c>
      <c r="AL172">
        <v>0</v>
      </c>
      <c r="AM172" t="s">
        <v>3948</v>
      </c>
      <c r="AN172">
        <v>0</v>
      </c>
      <c r="AO172">
        <v>18000000</v>
      </c>
      <c r="AP172">
        <v>673380</v>
      </c>
      <c r="AQ172">
        <v>0</v>
      </c>
      <c r="AR172">
        <v>18673380</v>
      </c>
      <c r="AS172">
        <v>18490000</v>
      </c>
      <c r="AT172">
        <v>-183380</v>
      </c>
      <c r="AU172">
        <v>-99</v>
      </c>
    </row>
    <row r="173" spans="1:47" ht="13.5" customHeight="1" x14ac:dyDescent="0.3">
      <c r="A173" t="s">
        <v>5142</v>
      </c>
      <c r="B173" t="s">
        <v>8596</v>
      </c>
      <c r="C173">
        <v>0</v>
      </c>
      <c r="D173">
        <v>0</v>
      </c>
      <c r="E173" t="s">
        <v>3948</v>
      </c>
      <c r="F173" t="s">
        <v>3948</v>
      </c>
      <c r="G173" t="s">
        <v>3948</v>
      </c>
      <c r="H173" t="s">
        <v>3948</v>
      </c>
      <c r="I173" t="s">
        <v>11580</v>
      </c>
      <c r="J173" t="s">
        <v>3948</v>
      </c>
      <c r="K173" t="s">
        <v>11581</v>
      </c>
      <c r="L173" t="s">
        <v>28</v>
      </c>
      <c r="M173" t="s">
        <v>2575</v>
      </c>
      <c r="N173" t="s">
        <v>4032</v>
      </c>
      <c r="O173" t="s">
        <v>11487</v>
      </c>
      <c r="P173">
        <v>2022</v>
      </c>
      <c r="Q173">
        <v>20125</v>
      </c>
      <c r="R173" t="s">
        <v>11582</v>
      </c>
      <c r="S173" t="s">
        <v>11583</v>
      </c>
      <c r="T173" t="s">
        <v>5145</v>
      </c>
      <c r="U173" t="s">
        <v>11429</v>
      </c>
      <c r="V173" t="s">
        <v>5147</v>
      </c>
      <c r="W173">
        <v>7590000</v>
      </c>
      <c r="X173" t="s">
        <v>5148</v>
      </c>
      <c r="Y173">
        <v>14</v>
      </c>
      <c r="Z173" t="s">
        <v>26</v>
      </c>
      <c r="AA173" t="s">
        <v>8596</v>
      </c>
      <c r="AB173" t="s">
        <v>10842</v>
      </c>
      <c r="AC173" t="s">
        <v>11584</v>
      </c>
      <c r="AD173" t="s">
        <v>11581</v>
      </c>
      <c r="AE173" t="s">
        <v>11585</v>
      </c>
      <c r="AF173" t="s">
        <v>11407</v>
      </c>
      <c r="AG173">
        <v>1</v>
      </c>
      <c r="AH173" t="s">
        <v>11407</v>
      </c>
      <c r="AI173" t="s">
        <v>11586</v>
      </c>
      <c r="AJ173" t="s">
        <v>3948</v>
      </c>
      <c r="AK173">
        <v>1</v>
      </c>
      <c r="AL173">
        <v>0</v>
      </c>
      <c r="AM173" t="s">
        <v>3948</v>
      </c>
      <c r="AN173">
        <v>0</v>
      </c>
      <c r="AO173">
        <v>6200000</v>
      </c>
      <c r="AP173">
        <v>222240</v>
      </c>
      <c r="AQ173">
        <v>0</v>
      </c>
      <c r="AR173">
        <v>6422240</v>
      </c>
      <c r="AS173">
        <v>7590000</v>
      </c>
      <c r="AT173">
        <v>1167760</v>
      </c>
      <c r="AU173">
        <v>1539</v>
      </c>
    </row>
    <row r="174" spans="1:47" ht="13.5" customHeight="1" x14ac:dyDescent="0.3">
      <c r="A174" t="s">
        <v>5142</v>
      </c>
      <c r="B174" t="s">
        <v>5143</v>
      </c>
      <c r="C174">
        <v>0</v>
      </c>
      <c r="D174">
        <v>0</v>
      </c>
      <c r="E174" t="s">
        <v>3948</v>
      </c>
      <c r="F174" t="s">
        <v>3948</v>
      </c>
      <c r="G174" t="s">
        <v>3948</v>
      </c>
      <c r="H174" t="s">
        <v>3948</v>
      </c>
      <c r="I174" t="s">
        <v>10037</v>
      </c>
      <c r="J174" t="s">
        <v>3948</v>
      </c>
      <c r="K174" t="s">
        <v>10038</v>
      </c>
      <c r="L174" t="s">
        <v>241</v>
      </c>
      <c r="M174" t="s">
        <v>4827</v>
      </c>
      <c r="N174" t="s">
        <v>262</v>
      </c>
      <c r="O174" t="s">
        <v>5155</v>
      </c>
      <c r="P174">
        <v>2023</v>
      </c>
      <c r="Q174">
        <v>47000</v>
      </c>
      <c r="R174" t="s">
        <v>10039</v>
      </c>
      <c r="S174" t="s">
        <v>9768</v>
      </c>
      <c r="T174" t="s">
        <v>5145</v>
      </c>
      <c r="U174" t="s">
        <v>5146</v>
      </c>
      <c r="V174" t="s">
        <v>5147</v>
      </c>
      <c r="W174">
        <v>21490000</v>
      </c>
      <c r="X174" t="s">
        <v>5148</v>
      </c>
      <c r="Y174">
        <v>64</v>
      </c>
      <c r="Z174" t="s">
        <v>26</v>
      </c>
      <c r="AA174" t="s">
        <v>5149</v>
      </c>
      <c r="AB174" t="s">
        <v>10040</v>
      </c>
      <c r="AC174" t="s">
        <v>10041</v>
      </c>
      <c r="AD174" t="s">
        <v>10038</v>
      </c>
      <c r="AE174" t="s">
        <v>10042</v>
      </c>
      <c r="AF174" t="s">
        <v>10018</v>
      </c>
      <c r="AG174">
        <v>1</v>
      </c>
      <c r="AH174" t="s">
        <v>10018</v>
      </c>
      <c r="AI174" t="s">
        <v>10043</v>
      </c>
      <c r="AJ174" t="s">
        <v>3948</v>
      </c>
      <c r="AK174">
        <v>1</v>
      </c>
      <c r="AL174">
        <v>0</v>
      </c>
      <c r="AM174" t="s">
        <v>3948</v>
      </c>
      <c r="AN174">
        <v>0</v>
      </c>
      <c r="AO174">
        <v>18000000</v>
      </c>
      <c r="AP174">
        <v>399240</v>
      </c>
      <c r="AQ174">
        <v>0</v>
      </c>
      <c r="AR174">
        <v>18399240</v>
      </c>
      <c r="AS174">
        <v>21490000</v>
      </c>
      <c r="AT174">
        <v>3090760</v>
      </c>
      <c r="AU174">
        <v>1438</v>
      </c>
    </row>
    <row r="175" spans="1:47" ht="13.5" customHeight="1" x14ac:dyDescent="0.3">
      <c r="A175" t="s">
        <v>5142</v>
      </c>
      <c r="B175" t="s">
        <v>5170</v>
      </c>
      <c r="C175">
        <v>0</v>
      </c>
      <c r="D175">
        <v>0</v>
      </c>
      <c r="E175" t="s">
        <v>3948</v>
      </c>
      <c r="F175" t="s">
        <v>3948</v>
      </c>
      <c r="G175" t="s">
        <v>3948</v>
      </c>
      <c r="H175" t="s">
        <v>3948</v>
      </c>
      <c r="I175" t="s">
        <v>5482</v>
      </c>
      <c r="J175" t="s">
        <v>3948</v>
      </c>
      <c r="K175" t="s">
        <v>5448</v>
      </c>
      <c r="L175" t="s">
        <v>147</v>
      </c>
      <c r="M175" t="s">
        <v>153</v>
      </c>
      <c r="N175" t="s">
        <v>154</v>
      </c>
      <c r="O175" t="s">
        <v>5449</v>
      </c>
      <c r="P175">
        <v>2022</v>
      </c>
      <c r="Q175">
        <v>58239</v>
      </c>
      <c r="R175" t="s">
        <v>5450</v>
      </c>
      <c r="S175" t="s">
        <v>155</v>
      </c>
      <c r="T175" t="s">
        <v>5145</v>
      </c>
      <c r="U175" t="s">
        <v>5283</v>
      </c>
      <c r="V175" t="s">
        <v>5147</v>
      </c>
      <c r="W175">
        <v>11190000</v>
      </c>
      <c r="X175" t="s">
        <v>5148</v>
      </c>
      <c r="Y175">
        <v>138</v>
      </c>
      <c r="Z175" t="s">
        <v>26</v>
      </c>
      <c r="AA175" t="s">
        <v>5175</v>
      </c>
      <c r="AB175" t="s">
        <v>5150</v>
      </c>
      <c r="AC175" t="s">
        <v>5451</v>
      </c>
      <c r="AD175" t="s">
        <v>5448</v>
      </c>
      <c r="AE175" t="s">
        <v>5452</v>
      </c>
      <c r="AF175" t="s">
        <v>5476</v>
      </c>
      <c r="AG175">
        <v>1</v>
      </c>
      <c r="AH175" t="s">
        <v>5476</v>
      </c>
      <c r="AI175" t="s">
        <v>5483</v>
      </c>
      <c r="AJ175" t="s">
        <v>3948</v>
      </c>
      <c r="AK175">
        <v>1</v>
      </c>
      <c r="AL175">
        <v>0</v>
      </c>
      <c r="AM175" t="s">
        <v>3948</v>
      </c>
      <c r="AN175">
        <v>0</v>
      </c>
      <c r="AO175">
        <v>10100000</v>
      </c>
      <c r="AP175">
        <v>280740</v>
      </c>
      <c r="AQ175">
        <v>0</v>
      </c>
      <c r="AR175">
        <v>10380740</v>
      </c>
      <c r="AS175">
        <v>11190000</v>
      </c>
      <c r="AT175">
        <v>809260</v>
      </c>
      <c r="AU175">
        <v>723</v>
      </c>
    </row>
    <row r="176" spans="1:47" ht="13.5" customHeight="1" x14ac:dyDescent="0.3">
      <c r="A176" t="s">
        <v>5142</v>
      </c>
      <c r="B176" t="s">
        <v>5143</v>
      </c>
      <c r="C176">
        <v>0</v>
      </c>
      <c r="D176">
        <v>0</v>
      </c>
      <c r="E176" t="s">
        <v>3948</v>
      </c>
      <c r="F176" t="s">
        <v>3948</v>
      </c>
      <c r="G176" t="s">
        <v>3948</v>
      </c>
      <c r="H176" t="s">
        <v>3948</v>
      </c>
      <c r="I176" t="s">
        <v>11080</v>
      </c>
      <c r="J176" t="s">
        <v>3948</v>
      </c>
      <c r="K176" t="s">
        <v>11081</v>
      </c>
      <c r="L176" t="s">
        <v>86</v>
      </c>
      <c r="M176" t="s">
        <v>134</v>
      </c>
      <c r="N176" t="s">
        <v>138</v>
      </c>
      <c r="O176" t="s">
        <v>9818</v>
      </c>
      <c r="P176">
        <v>2025</v>
      </c>
      <c r="Q176">
        <v>24180</v>
      </c>
      <c r="R176" t="s">
        <v>11082</v>
      </c>
      <c r="S176" t="s">
        <v>10873</v>
      </c>
      <c r="T176" t="s">
        <v>5145</v>
      </c>
      <c r="U176" t="s">
        <v>11083</v>
      </c>
      <c r="V176" t="s">
        <v>5147</v>
      </c>
      <c r="W176">
        <v>16990000</v>
      </c>
      <c r="X176" t="s">
        <v>5148</v>
      </c>
      <c r="Y176">
        <v>26</v>
      </c>
      <c r="Z176" t="s">
        <v>26</v>
      </c>
      <c r="AA176" t="s">
        <v>5149</v>
      </c>
      <c r="AB176" t="s">
        <v>3948</v>
      </c>
      <c r="AC176" t="s">
        <v>11084</v>
      </c>
      <c r="AD176" t="s">
        <v>11081</v>
      </c>
      <c r="AE176" t="s">
        <v>11085</v>
      </c>
      <c r="AF176" t="s">
        <v>10999</v>
      </c>
      <c r="AG176">
        <v>1</v>
      </c>
      <c r="AH176" t="s">
        <v>10999</v>
      </c>
      <c r="AI176" t="s">
        <v>11086</v>
      </c>
      <c r="AJ176" t="s">
        <v>3948</v>
      </c>
      <c r="AK176">
        <v>1</v>
      </c>
      <c r="AL176">
        <v>0</v>
      </c>
      <c r="AM176" t="s">
        <v>3948</v>
      </c>
      <c r="AN176">
        <v>0</v>
      </c>
      <c r="AO176">
        <v>14200000</v>
      </c>
      <c r="AP176">
        <v>342240</v>
      </c>
      <c r="AQ176">
        <v>0</v>
      </c>
      <c r="AR176">
        <v>14542240</v>
      </c>
      <c r="AS176">
        <v>16990000</v>
      </c>
      <c r="AT176">
        <v>2447760</v>
      </c>
      <c r="AU176">
        <v>1441</v>
      </c>
    </row>
    <row r="177" spans="1:47" ht="13.5" customHeight="1" x14ac:dyDescent="0.3">
      <c r="A177" t="s">
        <v>5142</v>
      </c>
      <c r="B177" t="s">
        <v>5180</v>
      </c>
      <c r="C177">
        <v>0</v>
      </c>
      <c r="D177">
        <v>0</v>
      </c>
      <c r="E177" t="s">
        <v>3948</v>
      </c>
      <c r="F177" t="s">
        <v>3948</v>
      </c>
      <c r="G177" t="s">
        <v>3948</v>
      </c>
      <c r="H177" t="s">
        <v>3948</v>
      </c>
      <c r="I177" t="s">
        <v>5572</v>
      </c>
      <c r="J177" t="s">
        <v>3948</v>
      </c>
      <c r="K177" t="s">
        <v>5383</v>
      </c>
      <c r="L177" t="s">
        <v>45</v>
      </c>
      <c r="M177" t="s">
        <v>46</v>
      </c>
      <c r="N177" t="s">
        <v>47</v>
      </c>
      <c r="O177" t="s">
        <v>5384</v>
      </c>
      <c r="P177">
        <v>2017</v>
      </c>
      <c r="Q177">
        <v>75000</v>
      </c>
      <c r="R177" t="s">
        <v>5385</v>
      </c>
      <c r="S177" t="s">
        <v>48</v>
      </c>
      <c r="T177" t="s">
        <v>5145</v>
      </c>
      <c r="U177" t="s">
        <v>5254</v>
      </c>
      <c r="V177" t="s">
        <v>5147</v>
      </c>
      <c r="W177">
        <v>9590000</v>
      </c>
      <c r="X177" t="s">
        <v>5148</v>
      </c>
      <c r="Y177">
        <v>384</v>
      </c>
      <c r="Z177" t="s">
        <v>40</v>
      </c>
      <c r="AA177" t="s">
        <v>5181</v>
      </c>
      <c r="AB177" t="s">
        <v>3948</v>
      </c>
      <c r="AC177" t="s">
        <v>5386</v>
      </c>
      <c r="AD177" t="s">
        <v>5383</v>
      </c>
      <c r="AE177" t="s">
        <v>5387</v>
      </c>
      <c r="AF177" t="s">
        <v>5573</v>
      </c>
      <c r="AG177">
        <v>1</v>
      </c>
      <c r="AH177" t="s">
        <v>5574</v>
      </c>
      <c r="AI177" t="s">
        <v>5574</v>
      </c>
      <c r="AJ177" t="s">
        <v>5575</v>
      </c>
      <c r="AK177">
        <v>1</v>
      </c>
      <c r="AL177">
        <v>0</v>
      </c>
      <c r="AM177" t="s">
        <v>3948</v>
      </c>
      <c r="AN177">
        <v>0</v>
      </c>
      <c r="AO177">
        <v>7300000</v>
      </c>
      <c r="AP177">
        <v>235530</v>
      </c>
      <c r="AQ177">
        <v>0</v>
      </c>
      <c r="AR177">
        <v>7535530</v>
      </c>
      <c r="AS177">
        <v>9590000</v>
      </c>
      <c r="AT177">
        <v>2054470</v>
      </c>
      <c r="AU177">
        <v>2142</v>
      </c>
    </row>
    <row r="178" spans="1:47" ht="13.5" customHeight="1" x14ac:dyDescent="0.3">
      <c r="A178" t="s">
        <v>5142</v>
      </c>
      <c r="B178" t="s">
        <v>5170</v>
      </c>
      <c r="C178">
        <v>0</v>
      </c>
      <c r="D178">
        <v>0</v>
      </c>
      <c r="E178" t="s">
        <v>3948</v>
      </c>
      <c r="F178" t="s">
        <v>3948</v>
      </c>
      <c r="G178" t="s">
        <v>3948</v>
      </c>
      <c r="H178" t="s">
        <v>3948</v>
      </c>
      <c r="I178" t="s">
        <v>5597</v>
      </c>
      <c r="J178" t="s">
        <v>3948</v>
      </c>
      <c r="K178" t="s">
        <v>5182</v>
      </c>
      <c r="L178" t="s">
        <v>241</v>
      </c>
      <c r="M178" t="s">
        <v>4791</v>
      </c>
      <c r="N178" t="s">
        <v>247</v>
      </c>
      <c r="O178" t="s">
        <v>5183</v>
      </c>
      <c r="P178">
        <v>2025</v>
      </c>
      <c r="Q178">
        <v>4687</v>
      </c>
      <c r="R178" t="s">
        <v>5184</v>
      </c>
      <c r="S178" t="s">
        <v>248</v>
      </c>
      <c r="T178" t="s">
        <v>5145</v>
      </c>
      <c r="U178" t="s">
        <v>5146</v>
      </c>
      <c r="V178" t="s">
        <v>5147</v>
      </c>
      <c r="W178">
        <v>23890000</v>
      </c>
      <c r="X178" t="s">
        <v>5148</v>
      </c>
      <c r="Y178">
        <v>348</v>
      </c>
      <c r="Z178" t="s">
        <v>26</v>
      </c>
      <c r="AA178" t="s">
        <v>5175</v>
      </c>
      <c r="AB178" t="s">
        <v>5185</v>
      </c>
      <c r="AC178" t="s">
        <v>5186</v>
      </c>
      <c r="AD178" t="s">
        <v>5182</v>
      </c>
      <c r="AE178" t="s">
        <v>5187</v>
      </c>
      <c r="AF178" t="s">
        <v>5598</v>
      </c>
      <c r="AG178">
        <v>1</v>
      </c>
      <c r="AH178" t="s">
        <v>5598</v>
      </c>
      <c r="AI178" t="s">
        <v>5599</v>
      </c>
      <c r="AJ178" t="s">
        <v>3948</v>
      </c>
      <c r="AK178">
        <v>1</v>
      </c>
      <c r="AL178">
        <v>0</v>
      </c>
      <c r="AM178" t="s">
        <v>3948</v>
      </c>
      <c r="AN178">
        <v>0</v>
      </c>
      <c r="AO178">
        <v>28490000</v>
      </c>
      <c r="AP178">
        <v>914223</v>
      </c>
      <c r="AQ178">
        <v>0</v>
      </c>
      <c r="AR178">
        <v>29404223</v>
      </c>
      <c r="AS178">
        <v>23890000</v>
      </c>
      <c r="AT178">
        <v>-5514223</v>
      </c>
      <c r="AU178">
        <v>-2308</v>
      </c>
    </row>
    <row r="179" spans="1:47" ht="13.5" customHeight="1" x14ac:dyDescent="0.3">
      <c r="A179" t="s">
        <v>5142</v>
      </c>
      <c r="B179" t="s">
        <v>5143</v>
      </c>
      <c r="C179">
        <v>0</v>
      </c>
      <c r="D179">
        <v>0</v>
      </c>
      <c r="E179" t="s">
        <v>3948</v>
      </c>
      <c r="F179" t="s">
        <v>3948</v>
      </c>
      <c r="G179" t="s">
        <v>3948</v>
      </c>
      <c r="H179" t="s">
        <v>3948</v>
      </c>
      <c r="I179" t="s">
        <v>10208</v>
      </c>
      <c r="J179" t="s">
        <v>3948</v>
      </c>
      <c r="K179" t="s">
        <v>10209</v>
      </c>
      <c r="L179" t="s">
        <v>291</v>
      </c>
      <c r="M179" t="s">
        <v>3161</v>
      </c>
      <c r="N179" t="s">
        <v>4911</v>
      </c>
      <c r="O179" t="s">
        <v>10210</v>
      </c>
      <c r="P179">
        <v>2023</v>
      </c>
      <c r="Q179">
        <v>31000</v>
      </c>
      <c r="R179" t="s">
        <v>10211</v>
      </c>
      <c r="S179" t="s">
        <v>3864</v>
      </c>
      <c r="T179" t="s">
        <v>5145</v>
      </c>
      <c r="U179" t="s">
        <v>5197</v>
      </c>
      <c r="V179" t="s">
        <v>5147</v>
      </c>
      <c r="W179">
        <v>18990000</v>
      </c>
      <c r="X179" t="s">
        <v>5148</v>
      </c>
      <c r="Y179">
        <v>46</v>
      </c>
      <c r="Z179" t="s">
        <v>16</v>
      </c>
      <c r="AA179" t="s">
        <v>5149</v>
      </c>
      <c r="AB179" t="s">
        <v>10078</v>
      </c>
      <c r="AC179" t="s">
        <v>10212</v>
      </c>
      <c r="AD179" t="s">
        <v>10209</v>
      </c>
      <c r="AE179" t="s">
        <v>10213</v>
      </c>
      <c r="AF179" t="s">
        <v>5633</v>
      </c>
      <c r="AG179">
        <v>1</v>
      </c>
      <c r="AH179" t="s">
        <v>5633</v>
      </c>
      <c r="AI179" t="s">
        <v>10214</v>
      </c>
      <c r="AJ179" t="s">
        <v>3948</v>
      </c>
      <c r="AK179">
        <v>1</v>
      </c>
      <c r="AL179">
        <v>0</v>
      </c>
      <c r="AM179" t="s">
        <v>3948</v>
      </c>
      <c r="AN179">
        <v>0</v>
      </c>
      <c r="AO179">
        <v>16000000</v>
      </c>
      <c r="AP179">
        <v>369240</v>
      </c>
      <c r="AQ179">
        <v>0</v>
      </c>
      <c r="AR179">
        <v>16369240</v>
      </c>
      <c r="AS179">
        <v>18990000</v>
      </c>
      <c r="AT179">
        <v>2620760</v>
      </c>
      <c r="AU179">
        <v>138</v>
      </c>
    </row>
    <row r="180" spans="1:47" ht="13.5" customHeight="1" x14ac:dyDescent="0.3">
      <c r="A180" t="s">
        <v>5142</v>
      </c>
      <c r="B180" t="s">
        <v>5170</v>
      </c>
      <c r="C180">
        <v>0</v>
      </c>
      <c r="D180">
        <v>0</v>
      </c>
      <c r="E180" t="s">
        <v>3948</v>
      </c>
      <c r="F180" t="s">
        <v>3948</v>
      </c>
      <c r="G180" t="s">
        <v>3948</v>
      </c>
      <c r="H180" t="s">
        <v>3948</v>
      </c>
      <c r="I180" t="s">
        <v>11587</v>
      </c>
      <c r="J180" t="s">
        <v>3948</v>
      </c>
      <c r="K180" t="s">
        <v>11588</v>
      </c>
      <c r="L180" t="s">
        <v>2533</v>
      </c>
      <c r="M180" t="s">
        <v>4613</v>
      </c>
      <c r="N180" t="s">
        <v>11589</v>
      </c>
      <c r="O180" t="s">
        <v>11590</v>
      </c>
      <c r="P180">
        <v>2024</v>
      </c>
      <c r="Q180">
        <v>35000</v>
      </c>
      <c r="R180" t="s">
        <v>11591</v>
      </c>
      <c r="S180" t="s">
        <v>9992</v>
      </c>
      <c r="T180" t="s">
        <v>5145</v>
      </c>
      <c r="U180" t="s">
        <v>5179</v>
      </c>
      <c r="V180" t="s">
        <v>5147</v>
      </c>
      <c r="W180">
        <v>9490000</v>
      </c>
      <c r="X180" t="s">
        <v>5148</v>
      </c>
      <c r="Y180">
        <v>54</v>
      </c>
      <c r="Z180" t="s">
        <v>26</v>
      </c>
      <c r="AA180" t="s">
        <v>5175</v>
      </c>
      <c r="AB180" t="s">
        <v>3948</v>
      </c>
      <c r="AC180" t="s">
        <v>11592</v>
      </c>
      <c r="AD180" t="s">
        <v>11593</v>
      </c>
      <c r="AE180" t="s">
        <v>11594</v>
      </c>
      <c r="AF180" t="s">
        <v>11595</v>
      </c>
      <c r="AG180">
        <v>1</v>
      </c>
      <c r="AH180" t="s">
        <v>11596</v>
      </c>
      <c r="AI180" t="s">
        <v>11596</v>
      </c>
      <c r="AJ180" t="s">
        <v>3948</v>
      </c>
      <c r="AK180">
        <v>1</v>
      </c>
      <c r="AL180">
        <v>0</v>
      </c>
      <c r="AM180" t="s">
        <v>3948</v>
      </c>
      <c r="AN180">
        <v>0</v>
      </c>
      <c r="AO180">
        <v>7200000</v>
      </c>
      <c r="AP180">
        <v>237240</v>
      </c>
      <c r="AQ180">
        <v>0</v>
      </c>
      <c r="AR180">
        <v>7437240</v>
      </c>
      <c r="AS180">
        <v>9490000</v>
      </c>
      <c r="AT180">
        <v>2052760</v>
      </c>
      <c r="AU180">
        <v>2163</v>
      </c>
    </row>
    <row r="181" spans="1:47" ht="13.5" customHeight="1" x14ac:dyDescent="0.3">
      <c r="A181" t="s">
        <v>5142</v>
      </c>
      <c r="B181" t="s">
        <v>5143</v>
      </c>
      <c r="C181">
        <v>0</v>
      </c>
      <c r="D181">
        <v>0</v>
      </c>
      <c r="E181" t="s">
        <v>3948</v>
      </c>
      <c r="F181" t="s">
        <v>3948</v>
      </c>
      <c r="G181" t="s">
        <v>3948</v>
      </c>
      <c r="H181" t="s">
        <v>3948</v>
      </c>
      <c r="I181" t="s">
        <v>10935</v>
      </c>
      <c r="J181" t="s">
        <v>3948</v>
      </c>
      <c r="K181" t="s">
        <v>10936</v>
      </c>
      <c r="L181" t="s">
        <v>241</v>
      </c>
      <c r="M181" t="s">
        <v>4791</v>
      </c>
      <c r="N181" t="s">
        <v>4799</v>
      </c>
      <c r="O181" t="s">
        <v>10937</v>
      </c>
      <c r="P181">
        <v>2020</v>
      </c>
      <c r="Q181">
        <v>80213</v>
      </c>
      <c r="R181" t="s">
        <v>10938</v>
      </c>
      <c r="S181" t="s">
        <v>10771</v>
      </c>
      <c r="T181" t="s">
        <v>5145</v>
      </c>
      <c r="U181" t="s">
        <v>5165</v>
      </c>
      <c r="V181" t="s">
        <v>5147</v>
      </c>
      <c r="W181">
        <v>12990000</v>
      </c>
      <c r="X181" t="s">
        <v>5148</v>
      </c>
      <c r="Y181">
        <v>35</v>
      </c>
      <c r="Z181" t="s">
        <v>26</v>
      </c>
      <c r="AA181" t="s">
        <v>5149</v>
      </c>
      <c r="AB181" t="s">
        <v>10078</v>
      </c>
      <c r="AC181" t="s">
        <v>10939</v>
      </c>
      <c r="AD181" t="s">
        <v>10936</v>
      </c>
      <c r="AE181" t="s">
        <v>10940</v>
      </c>
      <c r="AF181" t="s">
        <v>10941</v>
      </c>
      <c r="AG181">
        <v>1</v>
      </c>
      <c r="AH181" t="s">
        <v>10941</v>
      </c>
      <c r="AI181" t="s">
        <v>10942</v>
      </c>
      <c r="AJ181" t="s">
        <v>3948</v>
      </c>
      <c r="AK181">
        <v>2</v>
      </c>
      <c r="AL181">
        <v>0</v>
      </c>
      <c r="AM181" t="s">
        <v>3948</v>
      </c>
      <c r="AN181">
        <v>0</v>
      </c>
      <c r="AO181">
        <v>10350000</v>
      </c>
      <c r="AP181">
        <v>0</v>
      </c>
      <c r="AQ181">
        <v>0</v>
      </c>
      <c r="AR181">
        <v>10350000</v>
      </c>
      <c r="AS181">
        <v>12990000</v>
      </c>
      <c r="AT181">
        <v>2640000</v>
      </c>
      <c r="AU181">
        <v>2032</v>
      </c>
    </row>
    <row r="182" spans="1:47" ht="13.5" customHeight="1" x14ac:dyDescent="0.3">
      <c r="A182" t="s">
        <v>5142</v>
      </c>
      <c r="B182" t="s">
        <v>5143</v>
      </c>
      <c r="C182">
        <v>0</v>
      </c>
      <c r="D182">
        <v>0</v>
      </c>
      <c r="E182" t="s">
        <v>3948</v>
      </c>
      <c r="F182" t="s">
        <v>3948</v>
      </c>
      <c r="G182" t="s">
        <v>3948</v>
      </c>
      <c r="H182" t="s">
        <v>3948</v>
      </c>
      <c r="I182" t="s">
        <v>11121</v>
      </c>
      <c r="J182" t="s">
        <v>3948</v>
      </c>
      <c r="K182" t="s">
        <v>11122</v>
      </c>
      <c r="L182" t="s">
        <v>214</v>
      </c>
      <c r="M182" t="s">
        <v>2675</v>
      </c>
      <c r="N182" t="s">
        <v>11123</v>
      </c>
      <c r="O182" t="s">
        <v>11124</v>
      </c>
      <c r="P182">
        <v>2018</v>
      </c>
      <c r="Q182">
        <v>103000</v>
      </c>
      <c r="R182" t="s">
        <v>11125</v>
      </c>
      <c r="S182" t="s">
        <v>5667</v>
      </c>
      <c r="T182" t="s">
        <v>5145</v>
      </c>
      <c r="U182" t="s">
        <v>5270</v>
      </c>
      <c r="V182" t="s">
        <v>5147</v>
      </c>
      <c r="W182">
        <v>11990000</v>
      </c>
      <c r="X182" t="s">
        <v>5148</v>
      </c>
      <c r="Y182">
        <v>112</v>
      </c>
      <c r="Z182" t="s">
        <v>40</v>
      </c>
      <c r="AA182" t="s">
        <v>5149</v>
      </c>
      <c r="AB182" t="s">
        <v>3948</v>
      </c>
      <c r="AC182" t="s">
        <v>11126</v>
      </c>
      <c r="AD182" t="s">
        <v>11122</v>
      </c>
      <c r="AE182" t="s">
        <v>11127</v>
      </c>
      <c r="AF182" t="s">
        <v>11128</v>
      </c>
      <c r="AG182">
        <v>1</v>
      </c>
      <c r="AH182" t="s">
        <v>11128</v>
      </c>
      <c r="AI182" t="s">
        <v>11129</v>
      </c>
      <c r="AJ182" t="s">
        <v>3948</v>
      </c>
      <c r="AK182">
        <v>4</v>
      </c>
      <c r="AL182">
        <v>0</v>
      </c>
      <c r="AM182" t="s">
        <v>3948</v>
      </c>
      <c r="AN182">
        <v>0</v>
      </c>
      <c r="AO182">
        <v>9800000</v>
      </c>
      <c r="AP182">
        <v>0</v>
      </c>
      <c r="AQ182">
        <v>0</v>
      </c>
      <c r="AR182">
        <v>9800000</v>
      </c>
      <c r="AS182">
        <v>11990000</v>
      </c>
      <c r="AT182">
        <v>2190000</v>
      </c>
      <c r="AU182">
        <v>1827</v>
      </c>
    </row>
    <row r="183" spans="1:47" ht="13.5" customHeight="1" x14ac:dyDescent="0.3">
      <c r="A183" t="s">
        <v>5142</v>
      </c>
      <c r="B183" t="s">
        <v>5143</v>
      </c>
      <c r="C183">
        <v>0</v>
      </c>
      <c r="D183">
        <v>0</v>
      </c>
      <c r="E183" t="s">
        <v>3948</v>
      </c>
      <c r="F183" t="s">
        <v>3948</v>
      </c>
      <c r="G183" t="s">
        <v>3948</v>
      </c>
      <c r="H183" t="s">
        <v>3948</v>
      </c>
      <c r="I183" t="s">
        <v>10964</v>
      </c>
      <c r="J183" t="s">
        <v>3948</v>
      </c>
      <c r="K183" t="s">
        <v>10965</v>
      </c>
      <c r="L183" t="s">
        <v>28</v>
      </c>
      <c r="M183" t="s">
        <v>2575</v>
      </c>
      <c r="N183" t="s">
        <v>10966</v>
      </c>
      <c r="O183" t="s">
        <v>10967</v>
      </c>
      <c r="P183">
        <v>2024</v>
      </c>
      <c r="Q183">
        <v>30883</v>
      </c>
      <c r="R183" t="s">
        <v>10968</v>
      </c>
      <c r="S183" t="s">
        <v>689</v>
      </c>
      <c r="T183" t="s">
        <v>5145</v>
      </c>
      <c r="U183" t="s">
        <v>5217</v>
      </c>
      <c r="V183" t="s">
        <v>5147</v>
      </c>
      <c r="W183">
        <v>9290000</v>
      </c>
      <c r="X183" t="s">
        <v>5148</v>
      </c>
      <c r="Y183">
        <v>74</v>
      </c>
      <c r="Z183" t="s">
        <v>40</v>
      </c>
      <c r="AA183" t="s">
        <v>5149</v>
      </c>
      <c r="AB183" t="s">
        <v>10969</v>
      </c>
      <c r="AC183" t="s">
        <v>10970</v>
      </c>
      <c r="AD183" t="s">
        <v>10965</v>
      </c>
      <c r="AE183" t="s">
        <v>10971</v>
      </c>
      <c r="AF183" t="s">
        <v>9780</v>
      </c>
      <c r="AG183">
        <v>1</v>
      </c>
      <c r="AH183" t="s">
        <v>9780</v>
      </c>
      <c r="AI183" t="s">
        <v>10972</v>
      </c>
      <c r="AJ183" t="s">
        <v>3948</v>
      </c>
      <c r="AK183">
        <v>3</v>
      </c>
      <c r="AL183">
        <v>0</v>
      </c>
      <c r="AM183" t="s">
        <v>3948</v>
      </c>
      <c r="AN183">
        <v>0</v>
      </c>
      <c r="AO183">
        <v>7500000</v>
      </c>
      <c r="AP183">
        <v>241740</v>
      </c>
      <c r="AQ183">
        <v>0</v>
      </c>
      <c r="AR183">
        <v>7741740</v>
      </c>
      <c r="AS183">
        <v>9290000</v>
      </c>
      <c r="AT183">
        <v>1548260</v>
      </c>
      <c r="AU183">
        <v>1667</v>
      </c>
    </row>
    <row r="184" spans="1:47" ht="13.5" customHeight="1" x14ac:dyDescent="0.3">
      <c r="A184" t="s">
        <v>5142</v>
      </c>
      <c r="B184" t="s">
        <v>5143</v>
      </c>
      <c r="C184">
        <v>0</v>
      </c>
      <c r="D184">
        <v>0</v>
      </c>
      <c r="E184" t="s">
        <v>3948</v>
      </c>
      <c r="F184" t="s">
        <v>3948</v>
      </c>
      <c r="G184" t="s">
        <v>3948</v>
      </c>
      <c r="H184" t="s">
        <v>3948</v>
      </c>
      <c r="I184" t="s">
        <v>10053</v>
      </c>
      <c r="J184" t="s">
        <v>3948</v>
      </c>
      <c r="K184" t="s">
        <v>10054</v>
      </c>
      <c r="L184" t="s">
        <v>2494</v>
      </c>
      <c r="M184" t="s">
        <v>2495</v>
      </c>
      <c r="N184" t="s">
        <v>4009</v>
      </c>
      <c r="O184" t="s">
        <v>10055</v>
      </c>
      <c r="P184">
        <v>2021</v>
      </c>
      <c r="Q184">
        <v>90000</v>
      </c>
      <c r="R184" t="s">
        <v>10056</v>
      </c>
      <c r="S184" t="s">
        <v>9754</v>
      </c>
      <c r="T184" t="s">
        <v>5145</v>
      </c>
      <c r="U184" t="s">
        <v>5209</v>
      </c>
      <c r="V184" t="s">
        <v>5147</v>
      </c>
      <c r="W184">
        <v>7290000</v>
      </c>
      <c r="X184" t="s">
        <v>5148</v>
      </c>
      <c r="Y184">
        <v>64</v>
      </c>
      <c r="Z184" t="s">
        <v>40</v>
      </c>
      <c r="AA184" t="s">
        <v>5149</v>
      </c>
      <c r="AB184" t="s">
        <v>10057</v>
      </c>
      <c r="AC184" t="s">
        <v>10058</v>
      </c>
      <c r="AD184" t="s">
        <v>10054</v>
      </c>
      <c r="AE184" t="s">
        <v>10059</v>
      </c>
      <c r="AF184" t="s">
        <v>10018</v>
      </c>
      <c r="AG184">
        <v>1</v>
      </c>
      <c r="AH184" t="s">
        <v>10018</v>
      </c>
      <c r="AI184" t="s">
        <v>10060</v>
      </c>
      <c r="AJ184" t="s">
        <v>3948</v>
      </c>
      <c r="AK184">
        <v>1</v>
      </c>
      <c r="AL184">
        <v>0</v>
      </c>
      <c r="AM184" t="s">
        <v>3948</v>
      </c>
      <c r="AN184">
        <v>0</v>
      </c>
      <c r="AO184">
        <v>5200000</v>
      </c>
      <c r="AP184">
        <v>207240</v>
      </c>
      <c r="AQ184">
        <v>0</v>
      </c>
      <c r="AR184">
        <v>5407240</v>
      </c>
      <c r="AS184">
        <v>7290000</v>
      </c>
      <c r="AT184">
        <v>1882760</v>
      </c>
      <c r="AU184">
        <v>2583</v>
      </c>
    </row>
    <row r="185" spans="1:47" ht="13.5" customHeight="1" x14ac:dyDescent="0.3">
      <c r="A185" t="s">
        <v>5142</v>
      </c>
      <c r="B185" t="s">
        <v>5170</v>
      </c>
      <c r="C185">
        <v>0</v>
      </c>
      <c r="D185">
        <v>0</v>
      </c>
      <c r="E185" t="s">
        <v>3948</v>
      </c>
      <c r="F185" t="s">
        <v>3948</v>
      </c>
      <c r="G185" t="s">
        <v>3948</v>
      </c>
      <c r="H185" t="s">
        <v>3948</v>
      </c>
      <c r="I185" t="s">
        <v>5619</v>
      </c>
      <c r="J185" t="s">
        <v>3948</v>
      </c>
      <c r="K185" t="s">
        <v>5470</v>
      </c>
      <c r="L185" t="s">
        <v>204</v>
      </c>
      <c r="M185" t="s">
        <v>204</v>
      </c>
      <c r="N185" t="s">
        <v>205</v>
      </c>
      <c r="O185" t="s">
        <v>5471</v>
      </c>
      <c r="P185">
        <v>2022</v>
      </c>
      <c r="Q185">
        <v>0</v>
      </c>
      <c r="R185" t="s">
        <v>5472</v>
      </c>
      <c r="S185" t="s">
        <v>206</v>
      </c>
      <c r="T185" t="s">
        <v>5145</v>
      </c>
      <c r="U185" t="s">
        <v>5179</v>
      </c>
      <c r="V185" t="s">
        <v>5147</v>
      </c>
      <c r="W185">
        <v>6390000</v>
      </c>
      <c r="X185" t="s">
        <v>5148</v>
      </c>
      <c r="Y185">
        <v>259</v>
      </c>
      <c r="Z185" t="s">
        <v>40</v>
      </c>
      <c r="AA185" t="s">
        <v>5175</v>
      </c>
      <c r="AB185" t="s">
        <v>5473</v>
      </c>
      <c r="AC185" t="s">
        <v>5474</v>
      </c>
      <c r="AD185" t="s">
        <v>5470</v>
      </c>
      <c r="AE185" t="s">
        <v>5475</v>
      </c>
      <c r="AF185" t="s">
        <v>5620</v>
      </c>
      <c r="AG185">
        <v>1</v>
      </c>
      <c r="AH185" t="s">
        <v>5620</v>
      </c>
      <c r="AI185" t="s">
        <v>5621</v>
      </c>
      <c r="AJ185" t="s">
        <v>3948</v>
      </c>
      <c r="AK185">
        <v>0</v>
      </c>
      <c r="AL185">
        <v>0</v>
      </c>
      <c r="AM185" t="s">
        <v>3948</v>
      </c>
      <c r="AN185">
        <v>0</v>
      </c>
      <c r="AO185">
        <v>8137896</v>
      </c>
      <c r="AP185">
        <v>248098</v>
      </c>
      <c r="AQ185">
        <v>0</v>
      </c>
      <c r="AR185">
        <v>8385994</v>
      </c>
      <c r="AS185">
        <v>6390000</v>
      </c>
      <c r="AT185">
        <v>-1995994</v>
      </c>
      <c r="AU185">
        <v>-3124</v>
      </c>
    </row>
    <row r="186" spans="1:47" ht="13.5" customHeight="1" x14ac:dyDescent="0.3">
      <c r="A186" t="s">
        <v>5142</v>
      </c>
      <c r="B186" t="s">
        <v>8079</v>
      </c>
      <c r="C186">
        <v>0</v>
      </c>
      <c r="D186">
        <v>0</v>
      </c>
      <c r="E186" t="s">
        <v>3948</v>
      </c>
      <c r="F186" t="s">
        <v>3948</v>
      </c>
      <c r="G186" t="s">
        <v>3948</v>
      </c>
      <c r="H186" t="s">
        <v>3948</v>
      </c>
      <c r="I186" t="s">
        <v>8080</v>
      </c>
      <c r="J186" t="s">
        <v>3948</v>
      </c>
      <c r="K186" t="s">
        <v>8081</v>
      </c>
      <c r="L186" t="s">
        <v>68</v>
      </c>
      <c r="M186" t="s">
        <v>68</v>
      </c>
      <c r="N186" t="s">
        <v>78</v>
      </c>
      <c r="O186" t="s">
        <v>8082</v>
      </c>
      <c r="P186">
        <v>2014</v>
      </c>
      <c r="Q186">
        <v>0</v>
      </c>
      <c r="R186" t="s">
        <v>8083</v>
      </c>
      <c r="S186" t="s">
        <v>8084</v>
      </c>
      <c r="T186" t="s">
        <v>5145</v>
      </c>
      <c r="U186" t="s">
        <v>5179</v>
      </c>
      <c r="V186" t="s">
        <v>8085</v>
      </c>
      <c r="W186">
        <v>4867100</v>
      </c>
      <c r="X186" t="s">
        <v>5148</v>
      </c>
      <c r="Y186">
        <v>4479</v>
      </c>
      <c r="Z186" t="s">
        <v>8086</v>
      </c>
      <c r="AA186" t="s">
        <v>8087</v>
      </c>
      <c r="AB186" t="s">
        <v>3948</v>
      </c>
      <c r="AC186" t="s">
        <v>8088</v>
      </c>
      <c r="AD186" t="s">
        <v>8081</v>
      </c>
      <c r="AE186" t="s">
        <v>8089</v>
      </c>
      <c r="AF186" t="s">
        <v>8090</v>
      </c>
      <c r="AG186">
        <v>0</v>
      </c>
      <c r="AH186" t="s">
        <v>3948</v>
      </c>
      <c r="AI186" t="s">
        <v>3948</v>
      </c>
      <c r="AJ186" t="s">
        <v>8090</v>
      </c>
      <c r="AK186">
        <v>0</v>
      </c>
      <c r="AL186">
        <v>0</v>
      </c>
      <c r="AM186" t="s">
        <v>3948</v>
      </c>
      <c r="AN186">
        <v>0</v>
      </c>
      <c r="AO186">
        <v>108561</v>
      </c>
      <c r="AP186">
        <v>3090141</v>
      </c>
      <c r="AQ186">
        <v>0</v>
      </c>
      <c r="AR186">
        <v>3198702</v>
      </c>
      <c r="AS186">
        <v>4867100</v>
      </c>
      <c r="AT186">
        <v>1668398</v>
      </c>
      <c r="AU186">
        <v>3428</v>
      </c>
    </row>
    <row r="187" spans="1:47" ht="13.5" customHeight="1" x14ac:dyDescent="0.3">
      <c r="A187" t="s">
        <v>5142</v>
      </c>
      <c r="B187" t="s">
        <v>5161</v>
      </c>
      <c r="C187">
        <v>0</v>
      </c>
      <c r="D187">
        <v>0</v>
      </c>
      <c r="E187" t="s">
        <v>3948</v>
      </c>
      <c r="F187" t="s">
        <v>3948</v>
      </c>
      <c r="G187" t="s">
        <v>3948</v>
      </c>
      <c r="H187" t="s">
        <v>3948</v>
      </c>
      <c r="I187" t="s">
        <v>11001</v>
      </c>
      <c r="J187" t="s">
        <v>3948</v>
      </c>
      <c r="K187" t="s">
        <v>11002</v>
      </c>
      <c r="L187" t="s">
        <v>86</v>
      </c>
      <c r="M187" t="s">
        <v>87</v>
      </c>
      <c r="N187" t="s">
        <v>4182</v>
      </c>
      <c r="O187" t="s">
        <v>11003</v>
      </c>
      <c r="P187">
        <v>2023</v>
      </c>
      <c r="Q187">
        <v>40200</v>
      </c>
      <c r="R187" t="s">
        <v>11004</v>
      </c>
      <c r="S187" t="s">
        <v>423</v>
      </c>
      <c r="T187" t="s">
        <v>5145</v>
      </c>
      <c r="U187" t="s">
        <v>5269</v>
      </c>
      <c r="V187" t="s">
        <v>5147</v>
      </c>
      <c r="W187">
        <v>20990000</v>
      </c>
      <c r="X187" t="s">
        <v>5148</v>
      </c>
      <c r="Y187">
        <v>221</v>
      </c>
      <c r="Z187" t="s">
        <v>40</v>
      </c>
      <c r="AA187" t="s">
        <v>5166</v>
      </c>
      <c r="AB187" t="s">
        <v>3948</v>
      </c>
      <c r="AC187" t="s">
        <v>11005</v>
      </c>
      <c r="AD187" t="s">
        <v>11002</v>
      </c>
      <c r="AE187" t="s">
        <v>11006</v>
      </c>
      <c r="AF187" t="s">
        <v>5655</v>
      </c>
      <c r="AG187">
        <v>1</v>
      </c>
      <c r="AH187" t="s">
        <v>5655</v>
      </c>
      <c r="AI187" t="s">
        <v>11007</v>
      </c>
      <c r="AJ187" t="s">
        <v>3948</v>
      </c>
      <c r="AK187">
        <v>0</v>
      </c>
      <c r="AL187">
        <v>0</v>
      </c>
      <c r="AM187" t="s">
        <v>3948</v>
      </c>
      <c r="AN187">
        <v>0</v>
      </c>
      <c r="AO187">
        <v>18300000</v>
      </c>
      <c r="AP187">
        <v>729196</v>
      </c>
      <c r="AQ187">
        <v>0</v>
      </c>
      <c r="AR187">
        <v>19029196</v>
      </c>
      <c r="AS187">
        <v>20990000</v>
      </c>
      <c r="AT187">
        <v>1960804</v>
      </c>
      <c r="AU187">
        <v>934</v>
      </c>
    </row>
    <row r="188" spans="1:47" ht="13.5" customHeight="1" x14ac:dyDescent="0.3">
      <c r="A188" t="s">
        <v>5142</v>
      </c>
      <c r="B188" t="s">
        <v>5143</v>
      </c>
      <c r="C188">
        <v>0</v>
      </c>
      <c r="D188">
        <v>0</v>
      </c>
      <c r="E188" t="s">
        <v>3948</v>
      </c>
      <c r="F188" t="s">
        <v>3948</v>
      </c>
      <c r="G188" t="s">
        <v>3948</v>
      </c>
      <c r="H188" t="s">
        <v>3948</v>
      </c>
      <c r="I188" t="s">
        <v>11070</v>
      </c>
      <c r="J188" t="s">
        <v>3948</v>
      </c>
      <c r="K188" t="s">
        <v>11071</v>
      </c>
      <c r="L188" t="s">
        <v>60</v>
      </c>
      <c r="M188" t="s">
        <v>3150</v>
      </c>
      <c r="N188" t="s">
        <v>11072</v>
      </c>
      <c r="O188" t="s">
        <v>11073</v>
      </c>
      <c r="P188">
        <v>2024</v>
      </c>
      <c r="Q188">
        <v>51000</v>
      </c>
      <c r="R188" t="s">
        <v>11074</v>
      </c>
      <c r="S188" t="s">
        <v>3151</v>
      </c>
      <c r="T188" t="s">
        <v>5145</v>
      </c>
      <c r="U188" t="s">
        <v>5426</v>
      </c>
      <c r="V188" t="s">
        <v>5147</v>
      </c>
      <c r="W188">
        <v>11490000</v>
      </c>
      <c r="X188" t="s">
        <v>5148</v>
      </c>
      <c r="Y188">
        <v>19</v>
      </c>
      <c r="Z188" t="s">
        <v>26</v>
      </c>
      <c r="AA188" t="s">
        <v>5149</v>
      </c>
      <c r="AB188" t="s">
        <v>11597</v>
      </c>
      <c r="AC188" t="s">
        <v>11075</v>
      </c>
      <c r="AD188" t="s">
        <v>11071</v>
      </c>
      <c r="AE188" t="s">
        <v>11076</v>
      </c>
      <c r="AF188" t="s">
        <v>10909</v>
      </c>
      <c r="AG188">
        <v>1</v>
      </c>
      <c r="AH188" t="s">
        <v>10909</v>
      </c>
      <c r="AI188" t="s">
        <v>11077</v>
      </c>
      <c r="AJ188" t="s">
        <v>3948</v>
      </c>
      <c r="AK188">
        <v>1</v>
      </c>
      <c r="AL188">
        <v>0</v>
      </c>
      <c r="AM188" t="s">
        <v>3948</v>
      </c>
      <c r="AN188">
        <v>0</v>
      </c>
      <c r="AO188">
        <v>9250000</v>
      </c>
      <c r="AP188">
        <v>267990</v>
      </c>
      <c r="AQ188">
        <v>0</v>
      </c>
      <c r="AR188">
        <v>9517990</v>
      </c>
      <c r="AS188">
        <v>11490000</v>
      </c>
      <c r="AT188">
        <v>1972010</v>
      </c>
      <c r="AU188">
        <v>1716</v>
      </c>
    </row>
    <row r="189" spans="1:47" ht="13.5" customHeight="1" x14ac:dyDescent="0.3">
      <c r="A189" t="s">
        <v>5142</v>
      </c>
      <c r="B189" t="s">
        <v>5170</v>
      </c>
      <c r="C189">
        <v>0</v>
      </c>
      <c r="D189">
        <v>0</v>
      </c>
      <c r="E189" t="s">
        <v>3948</v>
      </c>
      <c r="F189" t="s">
        <v>3948</v>
      </c>
      <c r="G189" t="s">
        <v>3948</v>
      </c>
      <c r="H189" t="s">
        <v>3948</v>
      </c>
      <c r="I189" t="s">
        <v>11598</v>
      </c>
      <c r="J189" t="s">
        <v>3948</v>
      </c>
      <c r="K189" t="s">
        <v>11599</v>
      </c>
      <c r="L189" t="s">
        <v>2549</v>
      </c>
      <c r="M189" t="s">
        <v>4747</v>
      </c>
      <c r="N189" t="s">
        <v>4748</v>
      </c>
      <c r="O189" t="s">
        <v>11600</v>
      </c>
      <c r="P189">
        <v>2020</v>
      </c>
      <c r="Q189">
        <v>22745</v>
      </c>
      <c r="R189" t="s">
        <v>11601</v>
      </c>
      <c r="S189" t="s">
        <v>11602</v>
      </c>
      <c r="T189" t="s">
        <v>5145</v>
      </c>
      <c r="U189" t="s">
        <v>11603</v>
      </c>
      <c r="V189" t="s">
        <v>5147</v>
      </c>
      <c r="W189">
        <v>11990000</v>
      </c>
      <c r="X189" t="s">
        <v>5148</v>
      </c>
      <c r="Y189">
        <v>14</v>
      </c>
      <c r="Z189" t="s">
        <v>26</v>
      </c>
      <c r="AA189" t="s">
        <v>5175</v>
      </c>
      <c r="AB189" t="s">
        <v>5374</v>
      </c>
      <c r="AC189" t="s">
        <v>11604</v>
      </c>
      <c r="AD189" t="s">
        <v>11599</v>
      </c>
      <c r="AE189" t="s">
        <v>11605</v>
      </c>
      <c r="AF189" t="s">
        <v>11407</v>
      </c>
      <c r="AG189">
        <v>1</v>
      </c>
      <c r="AH189" t="s">
        <v>11407</v>
      </c>
      <c r="AI189" t="s">
        <v>11606</v>
      </c>
      <c r="AJ189" t="s">
        <v>3948</v>
      </c>
      <c r="AK189">
        <v>1</v>
      </c>
      <c r="AL189">
        <v>0</v>
      </c>
      <c r="AM189" t="s">
        <v>3948</v>
      </c>
      <c r="AN189">
        <v>0</v>
      </c>
      <c r="AO189">
        <v>10300000</v>
      </c>
      <c r="AP189">
        <v>283740</v>
      </c>
      <c r="AQ189">
        <v>0</v>
      </c>
      <c r="AR189">
        <v>10583740</v>
      </c>
      <c r="AS189">
        <v>11990000</v>
      </c>
      <c r="AT189">
        <v>1406260</v>
      </c>
      <c r="AU189">
        <v>1173</v>
      </c>
    </row>
    <row r="190" spans="1:47" ht="13.5" customHeight="1" x14ac:dyDescent="0.3">
      <c r="A190" t="s">
        <v>5142</v>
      </c>
      <c r="B190" t="s">
        <v>5143</v>
      </c>
      <c r="C190">
        <v>0</v>
      </c>
      <c r="D190">
        <v>0</v>
      </c>
      <c r="E190" t="s">
        <v>3948</v>
      </c>
      <c r="F190" t="s">
        <v>3948</v>
      </c>
      <c r="G190" t="s">
        <v>3948</v>
      </c>
      <c r="H190" t="s">
        <v>3948</v>
      </c>
      <c r="I190" t="s">
        <v>5564</v>
      </c>
      <c r="J190" t="s">
        <v>3948</v>
      </c>
      <c r="K190" t="s">
        <v>5364</v>
      </c>
      <c r="L190" t="s">
        <v>45</v>
      </c>
      <c r="M190" t="s">
        <v>49</v>
      </c>
      <c r="N190" t="s">
        <v>50</v>
      </c>
      <c r="O190" t="s">
        <v>5365</v>
      </c>
      <c r="P190">
        <v>2023</v>
      </c>
      <c r="Q190">
        <v>44495</v>
      </c>
      <c r="R190" t="s">
        <v>5366</v>
      </c>
      <c r="S190" t="s">
        <v>51</v>
      </c>
      <c r="T190" t="s">
        <v>5145</v>
      </c>
      <c r="U190" t="s">
        <v>5254</v>
      </c>
      <c r="V190" t="s">
        <v>5147</v>
      </c>
      <c r="W190">
        <v>48990000</v>
      </c>
      <c r="X190" t="s">
        <v>5148</v>
      </c>
      <c r="Y190">
        <v>327</v>
      </c>
      <c r="Z190" t="s">
        <v>63</v>
      </c>
      <c r="AA190" t="s">
        <v>5149</v>
      </c>
      <c r="AB190" t="s">
        <v>3948</v>
      </c>
      <c r="AC190" t="s">
        <v>5367</v>
      </c>
      <c r="AD190" t="s">
        <v>5368</v>
      </c>
      <c r="AE190" t="s">
        <v>5142</v>
      </c>
      <c r="AF190" t="s">
        <v>5565</v>
      </c>
      <c r="AG190">
        <v>1</v>
      </c>
      <c r="AH190" t="s">
        <v>5566</v>
      </c>
      <c r="AI190" t="s">
        <v>5567</v>
      </c>
      <c r="AJ190" t="s">
        <v>3948</v>
      </c>
      <c r="AK190">
        <v>4</v>
      </c>
      <c r="AL190">
        <v>0</v>
      </c>
      <c r="AM190" t="s">
        <v>3948</v>
      </c>
      <c r="AN190">
        <v>0</v>
      </c>
      <c r="AO190">
        <v>48000000</v>
      </c>
      <c r="AP190">
        <v>846030</v>
      </c>
      <c r="AQ190">
        <v>0</v>
      </c>
      <c r="AR190">
        <v>48846030</v>
      </c>
      <c r="AS190">
        <v>48990000</v>
      </c>
      <c r="AT190">
        <v>143970</v>
      </c>
      <c r="AU190">
        <v>29</v>
      </c>
    </row>
    <row r="191" spans="1:47" ht="13.5" customHeight="1" x14ac:dyDescent="0.3">
      <c r="A191" t="s">
        <v>5142</v>
      </c>
      <c r="B191" t="s">
        <v>5161</v>
      </c>
      <c r="C191">
        <v>0</v>
      </c>
      <c r="D191">
        <v>0</v>
      </c>
      <c r="E191" t="s">
        <v>3948</v>
      </c>
      <c r="F191" t="s">
        <v>3948</v>
      </c>
      <c r="G191" t="s">
        <v>3948</v>
      </c>
      <c r="H191" t="s">
        <v>3948</v>
      </c>
      <c r="I191" t="s">
        <v>5560</v>
      </c>
      <c r="J191" t="s">
        <v>3948</v>
      </c>
      <c r="K191" t="s">
        <v>5427</v>
      </c>
      <c r="L191" t="s">
        <v>241</v>
      </c>
      <c r="M191" t="s">
        <v>4791</v>
      </c>
      <c r="N191" t="s">
        <v>258</v>
      </c>
      <c r="O191" t="s">
        <v>5259</v>
      </c>
      <c r="P191">
        <v>2023</v>
      </c>
      <c r="Q191">
        <v>25000</v>
      </c>
      <c r="R191" t="s">
        <v>5428</v>
      </c>
      <c r="S191" t="s">
        <v>259</v>
      </c>
      <c r="T191" t="s">
        <v>5145</v>
      </c>
      <c r="U191" t="s">
        <v>5165</v>
      </c>
      <c r="V191" t="s">
        <v>5147</v>
      </c>
      <c r="W191">
        <v>16490000</v>
      </c>
      <c r="X191" t="s">
        <v>5148</v>
      </c>
      <c r="Y191">
        <v>290</v>
      </c>
      <c r="Z191" t="s">
        <v>26</v>
      </c>
      <c r="AA191" t="s">
        <v>5166</v>
      </c>
      <c r="AB191" t="s">
        <v>5185</v>
      </c>
      <c r="AC191" t="s">
        <v>5429</v>
      </c>
      <c r="AD191" t="s">
        <v>5427</v>
      </c>
      <c r="AE191" t="s">
        <v>5430</v>
      </c>
      <c r="AF191" t="s">
        <v>5561</v>
      </c>
      <c r="AG191">
        <v>1</v>
      </c>
      <c r="AH191" t="s">
        <v>5562</v>
      </c>
      <c r="AI191" t="s">
        <v>5562</v>
      </c>
      <c r="AJ191" t="s">
        <v>5518</v>
      </c>
      <c r="AK191">
        <v>3</v>
      </c>
      <c r="AL191">
        <v>0</v>
      </c>
      <c r="AM191" t="s">
        <v>3948</v>
      </c>
      <c r="AN191">
        <v>0</v>
      </c>
      <c r="AO191">
        <v>16000000</v>
      </c>
      <c r="AP191">
        <v>366030</v>
      </c>
      <c r="AQ191">
        <v>0</v>
      </c>
      <c r="AR191">
        <v>16366030</v>
      </c>
      <c r="AS191">
        <v>16490000</v>
      </c>
      <c r="AT191">
        <v>123970</v>
      </c>
      <c r="AU191">
        <v>75</v>
      </c>
    </row>
    <row r="192" spans="1:47" ht="13.5" customHeight="1" x14ac:dyDescent="0.3">
      <c r="A192" t="s">
        <v>5142</v>
      </c>
      <c r="B192" t="s">
        <v>5170</v>
      </c>
      <c r="C192">
        <v>0</v>
      </c>
      <c r="D192">
        <v>0</v>
      </c>
      <c r="E192" t="s">
        <v>3948</v>
      </c>
      <c r="F192" t="s">
        <v>3948</v>
      </c>
      <c r="G192" t="s">
        <v>3948</v>
      </c>
      <c r="H192" t="s">
        <v>3948</v>
      </c>
      <c r="I192" t="s">
        <v>5663</v>
      </c>
      <c r="J192" t="s">
        <v>3948</v>
      </c>
      <c r="K192" t="s">
        <v>5171</v>
      </c>
      <c r="L192" t="s">
        <v>291</v>
      </c>
      <c r="M192" t="s">
        <v>297</v>
      </c>
      <c r="N192" t="s">
        <v>298</v>
      </c>
      <c r="O192" t="s">
        <v>5172</v>
      </c>
      <c r="P192">
        <v>2024</v>
      </c>
      <c r="Q192">
        <v>35150</v>
      </c>
      <c r="R192" t="s">
        <v>5173</v>
      </c>
      <c r="S192" t="s">
        <v>299</v>
      </c>
      <c r="T192" t="s">
        <v>5145</v>
      </c>
      <c r="U192" t="s">
        <v>5174</v>
      </c>
      <c r="V192" t="s">
        <v>5147</v>
      </c>
      <c r="W192">
        <v>17490000</v>
      </c>
      <c r="X192" t="s">
        <v>5148</v>
      </c>
      <c r="Y192">
        <v>256</v>
      </c>
      <c r="Z192" t="s">
        <v>26</v>
      </c>
      <c r="AA192" t="s">
        <v>5175</v>
      </c>
      <c r="AB192" t="s">
        <v>5176</v>
      </c>
      <c r="AC192" t="s">
        <v>5664</v>
      </c>
      <c r="AD192" t="s">
        <v>5171</v>
      </c>
      <c r="AE192" t="s">
        <v>5177</v>
      </c>
      <c r="AF192" t="s">
        <v>5512</v>
      </c>
      <c r="AG192">
        <v>1</v>
      </c>
      <c r="AH192" t="s">
        <v>5512</v>
      </c>
      <c r="AI192" t="s">
        <v>5665</v>
      </c>
      <c r="AJ192" t="s">
        <v>3948</v>
      </c>
      <c r="AK192">
        <v>1</v>
      </c>
      <c r="AL192">
        <v>0</v>
      </c>
      <c r="AM192" t="s">
        <v>3948</v>
      </c>
      <c r="AN192">
        <v>0</v>
      </c>
      <c r="AO192">
        <v>16400000</v>
      </c>
      <c r="AP192">
        <v>372030</v>
      </c>
      <c r="AQ192">
        <v>0</v>
      </c>
      <c r="AR192">
        <v>16772030</v>
      </c>
      <c r="AS192">
        <v>17490000</v>
      </c>
      <c r="AT192">
        <v>717970</v>
      </c>
      <c r="AU192">
        <v>411</v>
      </c>
    </row>
    <row r="193" spans="1:47" ht="13.5" customHeight="1" x14ac:dyDescent="0.3">
      <c r="A193" t="s">
        <v>5142</v>
      </c>
      <c r="B193" t="s">
        <v>5143</v>
      </c>
      <c r="C193">
        <v>0</v>
      </c>
      <c r="D193">
        <v>0</v>
      </c>
      <c r="E193" t="s">
        <v>3948</v>
      </c>
      <c r="F193" t="s">
        <v>3948</v>
      </c>
      <c r="G193" t="s">
        <v>3948</v>
      </c>
      <c r="H193" t="s">
        <v>3948</v>
      </c>
      <c r="I193" t="s">
        <v>11607</v>
      </c>
      <c r="J193" t="s">
        <v>3948</v>
      </c>
      <c r="K193" t="s">
        <v>11608</v>
      </c>
      <c r="L193" t="s">
        <v>204</v>
      </c>
      <c r="M193" t="s">
        <v>11609</v>
      </c>
      <c r="N193" t="s">
        <v>11610</v>
      </c>
      <c r="O193" t="s">
        <v>11611</v>
      </c>
      <c r="P193">
        <v>2025</v>
      </c>
      <c r="Q193">
        <v>36000</v>
      </c>
      <c r="R193" t="s">
        <v>11612</v>
      </c>
      <c r="S193" t="s">
        <v>11613</v>
      </c>
      <c r="T193" t="s">
        <v>5145</v>
      </c>
      <c r="U193" t="s">
        <v>5179</v>
      </c>
      <c r="V193" t="s">
        <v>5147</v>
      </c>
      <c r="W193">
        <v>8990000</v>
      </c>
      <c r="X193" t="s">
        <v>5148</v>
      </c>
      <c r="Y193">
        <v>14</v>
      </c>
      <c r="Z193" t="s">
        <v>20</v>
      </c>
      <c r="AA193" t="s">
        <v>5149</v>
      </c>
      <c r="AB193" t="s">
        <v>3948</v>
      </c>
      <c r="AC193" t="s">
        <v>11614</v>
      </c>
      <c r="AD193" t="s">
        <v>11608</v>
      </c>
      <c r="AE193" t="s">
        <v>11615</v>
      </c>
      <c r="AF193" t="s">
        <v>11407</v>
      </c>
      <c r="AG193">
        <v>1</v>
      </c>
      <c r="AH193" t="s">
        <v>11407</v>
      </c>
      <c r="AI193" t="s">
        <v>11616</v>
      </c>
      <c r="AJ193" t="s">
        <v>3948</v>
      </c>
      <c r="AK193">
        <v>1</v>
      </c>
      <c r="AL193">
        <v>0</v>
      </c>
      <c r="AM193" t="s">
        <v>3948</v>
      </c>
      <c r="AN193">
        <v>0</v>
      </c>
      <c r="AO193">
        <v>7500000</v>
      </c>
      <c r="AP193">
        <v>241740</v>
      </c>
      <c r="AQ193">
        <v>0</v>
      </c>
      <c r="AR193">
        <v>7741740</v>
      </c>
      <c r="AS193">
        <v>8990000</v>
      </c>
      <c r="AT193">
        <v>1248260</v>
      </c>
      <c r="AU193">
        <v>1388</v>
      </c>
    </row>
    <row r="194" spans="1:47" ht="13.5" customHeight="1" x14ac:dyDescent="0.3">
      <c r="A194" t="s">
        <v>5142</v>
      </c>
      <c r="B194" t="s">
        <v>5170</v>
      </c>
      <c r="C194">
        <v>0</v>
      </c>
      <c r="D194">
        <v>0</v>
      </c>
      <c r="E194" t="s">
        <v>3948</v>
      </c>
      <c r="F194" t="s">
        <v>3948</v>
      </c>
      <c r="G194" t="s">
        <v>3948</v>
      </c>
      <c r="H194" t="s">
        <v>3948</v>
      </c>
      <c r="I194" t="s">
        <v>5630</v>
      </c>
      <c r="J194" t="s">
        <v>3948</v>
      </c>
      <c r="K194" t="s">
        <v>5404</v>
      </c>
      <c r="L194" t="s">
        <v>241</v>
      </c>
      <c r="M194" t="s">
        <v>269</v>
      </c>
      <c r="N194" t="s">
        <v>270</v>
      </c>
      <c r="O194" t="s">
        <v>5405</v>
      </c>
      <c r="P194">
        <v>2023</v>
      </c>
      <c r="Q194">
        <v>67000</v>
      </c>
      <c r="R194" t="s">
        <v>5406</v>
      </c>
      <c r="S194" t="s">
        <v>271</v>
      </c>
      <c r="T194" t="s">
        <v>5145</v>
      </c>
      <c r="U194" t="s">
        <v>5179</v>
      </c>
      <c r="V194" t="s">
        <v>5147</v>
      </c>
      <c r="W194">
        <v>13750000</v>
      </c>
      <c r="X194" t="s">
        <v>5148</v>
      </c>
      <c r="Y194">
        <v>383</v>
      </c>
      <c r="Z194" t="s">
        <v>33</v>
      </c>
      <c r="AA194" t="s">
        <v>5175</v>
      </c>
      <c r="AB194" t="s">
        <v>5407</v>
      </c>
      <c r="AC194" t="s">
        <v>5408</v>
      </c>
      <c r="AD194" t="s">
        <v>5404</v>
      </c>
      <c r="AE194" t="s">
        <v>5409</v>
      </c>
      <c r="AF194" t="s">
        <v>5631</v>
      </c>
      <c r="AG194">
        <v>1</v>
      </c>
      <c r="AH194" t="s">
        <v>5631</v>
      </c>
      <c r="AI194" t="s">
        <v>5632</v>
      </c>
      <c r="AJ194" t="s">
        <v>3948</v>
      </c>
      <c r="AK194">
        <v>1</v>
      </c>
      <c r="AL194">
        <v>0</v>
      </c>
      <c r="AM194" t="s">
        <v>3948</v>
      </c>
      <c r="AN194">
        <v>0</v>
      </c>
      <c r="AO194">
        <v>14000000</v>
      </c>
      <c r="AP194">
        <v>336030</v>
      </c>
      <c r="AQ194">
        <v>0</v>
      </c>
      <c r="AR194">
        <v>14336030</v>
      </c>
      <c r="AS194">
        <v>13750000</v>
      </c>
      <c r="AT194">
        <v>-586030</v>
      </c>
      <c r="AU194">
        <v>-426</v>
      </c>
    </row>
    <row r="195" spans="1:47" ht="13.5" customHeight="1" x14ac:dyDescent="0.3">
      <c r="A195" t="s">
        <v>5142</v>
      </c>
      <c r="B195" t="s">
        <v>5170</v>
      </c>
      <c r="C195">
        <v>0</v>
      </c>
      <c r="D195">
        <v>0</v>
      </c>
      <c r="E195" t="s">
        <v>3948</v>
      </c>
      <c r="F195" t="s">
        <v>3948</v>
      </c>
      <c r="G195" t="s">
        <v>3948</v>
      </c>
      <c r="H195" t="s">
        <v>3948</v>
      </c>
      <c r="I195" t="s">
        <v>10981</v>
      </c>
      <c r="J195" t="s">
        <v>3948</v>
      </c>
      <c r="K195" t="s">
        <v>10982</v>
      </c>
      <c r="L195" t="s">
        <v>156</v>
      </c>
      <c r="M195" t="s">
        <v>156</v>
      </c>
      <c r="N195" t="s">
        <v>4367</v>
      </c>
      <c r="O195" t="s">
        <v>10983</v>
      </c>
      <c r="P195">
        <v>2019</v>
      </c>
      <c r="Q195">
        <v>83740</v>
      </c>
      <c r="R195" t="s">
        <v>10984</v>
      </c>
      <c r="S195" t="s">
        <v>7464</v>
      </c>
      <c r="T195" t="s">
        <v>5145</v>
      </c>
      <c r="U195" t="s">
        <v>5373</v>
      </c>
      <c r="V195" t="s">
        <v>5147</v>
      </c>
      <c r="W195">
        <v>6990000</v>
      </c>
      <c r="X195" t="s">
        <v>5148</v>
      </c>
      <c r="Y195">
        <v>25</v>
      </c>
      <c r="Z195" t="s">
        <v>26</v>
      </c>
      <c r="AA195" t="s">
        <v>5175</v>
      </c>
      <c r="AB195" t="s">
        <v>3948</v>
      </c>
      <c r="AC195" t="s">
        <v>10985</v>
      </c>
      <c r="AD195" t="s">
        <v>10982</v>
      </c>
      <c r="AE195" t="s">
        <v>10986</v>
      </c>
      <c r="AF195" t="s">
        <v>10905</v>
      </c>
      <c r="AG195">
        <v>1</v>
      </c>
      <c r="AH195" t="s">
        <v>10905</v>
      </c>
      <c r="AI195" t="s">
        <v>10987</v>
      </c>
      <c r="AJ195" t="s">
        <v>3948</v>
      </c>
      <c r="AK195">
        <v>2</v>
      </c>
      <c r="AL195">
        <v>0</v>
      </c>
      <c r="AM195" t="s">
        <v>3948</v>
      </c>
      <c r="AN195">
        <v>0</v>
      </c>
      <c r="AO195">
        <v>5500000</v>
      </c>
      <c r="AP195">
        <v>211740</v>
      </c>
      <c r="AQ195">
        <v>0</v>
      </c>
      <c r="AR195">
        <v>5711740</v>
      </c>
      <c r="AS195">
        <v>6990000</v>
      </c>
      <c r="AT195">
        <v>1278260</v>
      </c>
      <c r="AU195">
        <v>1829</v>
      </c>
    </row>
    <row r="196" spans="1:47" ht="13.5" customHeight="1" x14ac:dyDescent="0.3">
      <c r="A196" t="s">
        <v>5142</v>
      </c>
      <c r="B196" t="s">
        <v>5143</v>
      </c>
      <c r="C196">
        <v>0</v>
      </c>
      <c r="D196">
        <v>0</v>
      </c>
      <c r="E196" t="s">
        <v>3948</v>
      </c>
      <c r="F196" t="s">
        <v>3948</v>
      </c>
      <c r="G196" t="s">
        <v>3948</v>
      </c>
      <c r="H196" t="s">
        <v>3948</v>
      </c>
      <c r="I196" t="s">
        <v>10919</v>
      </c>
      <c r="J196" t="s">
        <v>3948</v>
      </c>
      <c r="K196" t="s">
        <v>10920</v>
      </c>
      <c r="L196" t="s">
        <v>2521</v>
      </c>
      <c r="M196" t="s">
        <v>2522</v>
      </c>
      <c r="N196" t="s">
        <v>4458</v>
      </c>
      <c r="O196" t="s">
        <v>392</v>
      </c>
      <c r="P196">
        <v>2026</v>
      </c>
      <c r="Q196">
        <v>7392</v>
      </c>
      <c r="R196" t="s">
        <v>10921</v>
      </c>
      <c r="S196" t="s">
        <v>10854</v>
      </c>
      <c r="T196" t="s">
        <v>5145</v>
      </c>
      <c r="U196" t="s">
        <v>5197</v>
      </c>
      <c r="V196" t="s">
        <v>5147</v>
      </c>
      <c r="W196">
        <v>19990000</v>
      </c>
      <c r="X196" t="s">
        <v>5148</v>
      </c>
      <c r="Y196">
        <v>25</v>
      </c>
      <c r="Z196" t="s">
        <v>26</v>
      </c>
      <c r="AA196" t="s">
        <v>5149</v>
      </c>
      <c r="AB196" t="s">
        <v>3948</v>
      </c>
      <c r="AC196" t="s">
        <v>10922</v>
      </c>
      <c r="AD196" t="s">
        <v>10920</v>
      </c>
      <c r="AE196" t="s">
        <v>10923</v>
      </c>
      <c r="AF196" t="s">
        <v>10905</v>
      </c>
      <c r="AG196">
        <v>1</v>
      </c>
      <c r="AH196" t="s">
        <v>10905</v>
      </c>
      <c r="AI196" t="s">
        <v>10924</v>
      </c>
      <c r="AJ196" t="s">
        <v>3948</v>
      </c>
      <c r="AK196">
        <v>1</v>
      </c>
      <c r="AL196">
        <v>0</v>
      </c>
      <c r="AM196" t="s">
        <v>3948</v>
      </c>
      <c r="AN196">
        <v>0</v>
      </c>
      <c r="AO196">
        <v>18000000</v>
      </c>
      <c r="AP196">
        <v>399240</v>
      </c>
      <c r="AQ196">
        <v>0</v>
      </c>
      <c r="AR196">
        <v>18399240</v>
      </c>
      <c r="AS196">
        <v>19990000</v>
      </c>
      <c r="AT196">
        <v>1590760</v>
      </c>
      <c r="AU196">
        <v>796</v>
      </c>
    </row>
    <row r="197" spans="1:47" ht="13.5" customHeight="1" x14ac:dyDescent="0.3">
      <c r="A197" t="s">
        <v>5142</v>
      </c>
      <c r="B197" t="s">
        <v>5143</v>
      </c>
      <c r="C197">
        <v>0</v>
      </c>
      <c r="D197">
        <v>0</v>
      </c>
      <c r="E197" t="s">
        <v>3948</v>
      </c>
      <c r="F197" t="s">
        <v>3948</v>
      </c>
      <c r="G197" t="s">
        <v>3948</v>
      </c>
      <c r="H197" t="s">
        <v>3948</v>
      </c>
      <c r="I197" t="s">
        <v>11617</v>
      </c>
      <c r="J197" t="s">
        <v>3948</v>
      </c>
      <c r="K197" t="s">
        <v>11618</v>
      </c>
      <c r="L197" t="s">
        <v>291</v>
      </c>
      <c r="M197" t="s">
        <v>11619</v>
      </c>
      <c r="N197" t="s">
        <v>11620</v>
      </c>
      <c r="O197" t="s">
        <v>11621</v>
      </c>
      <c r="P197">
        <v>2019</v>
      </c>
      <c r="Q197">
        <v>75950</v>
      </c>
      <c r="R197" t="s">
        <v>11622</v>
      </c>
      <c r="S197" t="s">
        <v>11623</v>
      </c>
      <c r="T197" t="s">
        <v>5145</v>
      </c>
      <c r="U197" t="s">
        <v>5179</v>
      </c>
      <c r="V197" t="s">
        <v>5147</v>
      </c>
      <c r="W197">
        <v>11290000</v>
      </c>
      <c r="X197" t="s">
        <v>5148</v>
      </c>
      <c r="Y197">
        <v>1</v>
      </c>
      <c r="Z197" t="s">
        <v>16</v>
      </c>
      <c r="AA197" t="s">
        <v>5149</v>
      </c>
      <c r="AB197" t="s">
        <v>3948</v>
      </c>
      <c r="AC197" t="s">
        <v>11624</v>
      </c>
      <c r="AD197" t="s">
        <v>11618</v>
      </c>
      <c r="AE197" t="s">
        <v>11625</v>
      </c>
      <c r="AF197" t="s">
        <v>11520</v>
      </c>
      <c r="AG197">
        <v>1</v>
      </c>
      <c r="AH197" t="s">
        <v>11520</v>
      </c>
      <c r="AI197" t="s">
        <v>11626</v>
      </c>
      <c r="AJ197" t="s">
        <v>3948</v>
      </c>
      <c r="AK197">
        <v>1</v>
      </c>
      <c r="AL197">
        <v>0</v>
      </c>
      <c r="AM197" t="s">
        <v>3948</v>
      </c>
      <c r="AN197">
        <v>0</v>
      </c>
      <c r="AO197">
        <v>9000000</v>
      </c>
      <c r="AP197">
        <v>264240</v>
      </c>
      <c r="AQ197">
        <v>0</v>
      </c>
      <c r="AR197">
        <v>9264240</v>
      </c>
      <c r="AS197">
        <v>11290000</v>
      </c>
      <c r="AT197">
        <v>2025760</v>
      </c>
      <c r="AU197">
        <v>1794</v>
      </c>
    </row>
    <row r="198" spans="1:47" ht="13.5" customHeight="1" x14ac:dyDescent="0.3">
      <c r="A198" t="s">
        <v>5142</v>
      </c>
      <c r="B198" t="s">
        <v>5143</v>
      </c>
      <c r="C198">
        <v>0</v>
      </c>
      <c r="D198">
        <v>0</v>
      </c>
      <c r="E198" t="s">
        <v>3948</v>
      </c>
      <c r="F198" t="s">
        <v>3948</v>
      </c>
      <c r="G198" t="s">
        <v>3948</v>
      </c>
      <c r="H198" t="s">
        <v>3948</v>
      </c>
      <c r="I198" t="s">
        <v>10949</v>
      </c>
      <c r="J198" t="s">
        <v>3948</v>
      </c>
      <c r="K198" t="s">
        <v>10950</v>
      </c>
      <c r="L198" t="s">
        <v>241</v>
      </c>
      <c r="M198" t="s">
        <v>4791</v>
      </c>
      <c r="N198" t="s">
        <v>4804</v>
      </c>
      <c r="O198" t="s">
        <v>10243</v>
      </c>
      <c r="P198">
        <v>2022</v>
      </c>
      <c r="Q198">
        <v>72768</v>
      </c>
      <c r="R198" t="s">
        <v>10951</v>
      </c>
      <c r="S198" t="s">
        <v>10952</v>
      </c>
      <c r="T198" t="s">
        <v>5145</v>
      </c>
      <c r="U198" t="s">
        <v>5157</v>
      </c>
      <c r="V198" t="s">
        <v>5147</v>
      </c>
      <c r="W198">
        <v>14990000</v>
      </c>
      <c r="X198" t="s">
        <v>5148</v>
      </c>
      <c r="Y198">
        <v>19</v>
      </c>
      <c r="Z198" t="s">
        <v>16</v>
      </c>
      <c r="AA198" t="s">
        <v>5149</v>
      </c>
      <c r="AB198" t="s">
        <v>3948</v>
      </c>
      <c r="AC198" t="s">
        <v>10953</v>
      </c>
      <c r="AD198" t="s">
        <v>10950</v>
      </c>
      <c r="AE198" t="s">
        <v>10954</v>
      </c>
      <c r="AF198" t="s">
        <v>10909</v>
      </c>
      <c r="AG198">
        <v>1</v>
      </c>
      <c r="AH198" t="s">
        <v>10909</v>
      </c>
      <c r="AI198" t="s">
        <v>10955</v>
      </c>
      <c r="AJ198" t="s">
        <v>3948</v>
      </c>
      <c r="AK198">
        <v>1</v>
      </c>
      <c r="AL198">
        <v>0</v>
      </c>
      <c r="AM198" t="s">
        <v>3948</v>
      </c>
      <c r="AN198">
        <v>0</v>
      </c>
      <c r="AO198">
        <v>12850000</v>
      </c>
      <c r="AP198">
        <v>321990</v>
      </c>
      <c r="AQ198">
        <v>0</v>
      </c>
      <c r="AR198">
        <v>13171990</v>
      </c>
      <c r="AS198">
        <v>14990000</v>
      </c>
      <c r="AT198">
        <v>1818010</v>
      </c>
      <c r="AU198">
        <v>1213</v>
      </c>
    </row>
    <row r="199" spans="1:47" ht="13.5" customHeight="1" x14ac:dyDescent="0.3">
      <c r="A199" t="s">
        <v>5142</v>
      </c>
      <c r="B199" t="s">
        <v>5161</v>
      </c>
      <c r="C199">
        <v>0</v>
      </c>
      <c r="D199">
        <v>0</v>
      </c>
      <c r="E199" t="s">
        <v>3948</v>
      </c>
      <c r="F199" t="s">
        <v>3948</v>
      </c>
      <c r="G199" t="s">
        <v>3948</v>
      </c>
      <c r="H199" t="s">
        <v>3948</v>
      </c>
      <c r="I199" t="s">
        <v>5660</v>
      </c>
      <c r="J199" t="s">
        <v>3948</v>
      </c>
      <c r="K199" t="s">
        <v>5460</v>
      </c>
      <c r="L199" t="s">
        <v>241</v>
      </c>
      <c r="M199" t="s">
        <v>4791</v>
      </c>
      <c r="N199" t="s">
        <v>254</v>
      </c>
      <c r="O199" t="s">
        <v>5144</v>
      </c>
      <c r="P199">
        <v>2023</v>
      </c>
      <c r="Q199">
        <v>45360</v>
      </c>
      <c r="R199" t="s">
        <v>5461</v>
      </c>
      <c r="S199" t="s">
        <v>255</v>
      </c>
      <c r="T199" t="s">
        <v>5145</v>
      </c>
      <c r="U199" t="s">
        <v>5157</v>
      </c>
      <c r="V199" t="s">
        <v>5147</v>
      </c>
      <c r="W199">
        <v>12990000</v>
      </c>
      <c r="X199" t="s">
        <v>5148</v>
      </c>
      <c r="Y199">
        <v>350</v>
      </c>
      <c r="Z199" t="s">
        <v>26</v>
      </c>
      <c r="AA199" t="s">
        <v>5166</v>
      </c>
      <c r="AB199" t="s">
        <v>5462</v>
      </c>
      <c r="AC199" t="s">
        <v>5463</v>
      </c>
      <c r="AD199" t="s">
        <v>5460</v>
      </c>
      <c r="AE199" t="s">
        <v>5464</v>
      </c>
      <c r="AF199" t="s">
        <v>5661</v>
      </c>
      <c r="AG199">
        <v>1</v>
      </c>
      <c r="AH199" t="s">
        <v>5662</v>
      </c>
      <c r="AI199" t="s">
        <v>5662</v>
      </c>
      <c r="AJ199" t="s">
        <v>5607</v>
      </c>
      <c r="AK199">
        <v>1</v>
      </c>
      <c r="AL199">
        <v>0</v>
      </c>
      <c r="AM199" t="s">
        <v>3948</v>
      </c>
      <c r="AN199">
        <v>0</v>
      </c>
      <c r="AO199">
        <v>12100000</v>
      </c>
      <c r="AP199">
        <v>307530</v>
      </c>
      <c r="AQ199">
        <v>0</v>
      </c>
      <c r="AR199">
        <v>12407530</v>
      </c>
      <c r="AS199">
        <v>12990000</v>
      </c>
      <c r="AT199">
        <v>582470</v>
      </c>
      <c r="AU199">
        <v>448</v>
      </c>
    </row>
    <row r="200" spans="1:47" ht="13.5" customHeight="1" x14ac:dyDescent="0.3">
      <c r="A200" t="s">
        <v>5142</v>
      </c>
      <c r="B200" t="s">
        <v>8596</v>
      </c>
      <c r="C200">
        <v>0</v>
      </c>
      <c r="D200">
        <v>0</v>
      </c>
      <c r="E200" t="s">
        <v>3948</v>
      </c>
      <c r="F200" t="s">
        <v>3948</v>
      </c>
      <c r="G200" t="s">
        <v>3948</v>
      </c>
      <c r="H200" t="s">
        <v>3948</v>
      </c>
      <c r="I200" t="s">
        <v>11627</v>
      </c>
      <c r="J200" t="s">
        <v>3948</v>
      </c>
      <c r="K200" t="s">
        <v>11628</v>
      </c>
      <c r="L200" t="s">
        <v>186</v>
      </c>
      <c r="M200" t="s">
        <v>2664</v>
      </c>
      <c r="N200" t="s">
        <v>4514</v>
      </c>
      <c r="O200" t="s">
        <v>11524</v>
      </c>
      <c r="P200">
        <v>2024</v>
      </c>
      <c r="Q200">
        <v>55000</v>
      </c>
      <c r="R200" t="s">
        <v>11629</v>
      </c>
      <c r="S200" t="s">
        <v>10795</v>
      </c>
      <c r="T200" t="s">
        <v>5145</v>
      </c>
      <c r="U200" t="s">
        <v>5195</v>
      </c>
      <c r="V200" t="s">
        <v>5147</v>
      </c>
      <c r="W200">
        <v>12990000</v>
      </c>
      <c r="X200" t="s">
        <v>5148</v>
      </c>
      <c r="Y200">
        <v>14</v>
      </c>
      <c r="Z200" t="s">
        <v>26</v>
      </c>
      <c r="AA200" t="s">
        <v>8596</v>
      </c>
      <c r="AB200" t="s">
        <v>3948</v>
      </c>
      <c r="AC200" t="s">
        <v>11630</v>
      </c>
      <c r="AD200" t="s">
        <v>11628</v>
      </c>
      <c r="AE200" t="s">
        <v>11631</v>
      </c>
      <c r="AF200" t="s">
        <v>11407</v>
      </c>
      <c r="AG200">
        <v>1</v>
      </c>
      <c r="AH200" t="s">
        <v>11407</v>
      </c>
      <c r="AI200" t="s">
        <v>11632</v>
      </c>
      <c r="AJ200" t="s">
        <v>3948</v>
      </c>
      <c r="AK200">
        <v>1</v>
      </c>
      <c r="AL200">
        <v>0</v>
      </c>
      <c r="AM200" t="s">
        <v>3948</v>
      </c>
      <c r="AN200">
        <v>0</v>
      </c>
      <c r="AO200">
        <v>10500000</v>
      </c>
      <c r="AP200">
        <v>286740</v>
      </c>
      <c r="AQ200">
        <v>0</v>
      </c>
      <c r="AR200">
        <v>10786740</v>
      </c>
      <c r="AS200">
        <v>12990000</v>
      </c>
      <c r="AT200">
        <v>2203260</v>
      </c>
      <c r="AU200">
        <v>1696</v>
      </c>
    </row>
    <row r="201" spans="1:47" ht="13.5" customHeight="1" x14ac:dyDescent="0.3">
      <c r="A201" t="s">
        <v>5142</v>
      </c>
      <c r="B201" t="s">
        <v>5170</v>
      </c>
      <c r="C201">
        <v>0</v>
      </c>
      <c r="D201">
        <v>0</v>
      </c>
      <c r="E201" t="s">
        <v>3948</v>
      </c>
      <c r="F201" t="s">
        <v>3948</v>
      </c>
      <c r="G201" t="s">
        <v>3948</v>
      </c>
      <c r="H201" t="s">
        <v>3948</v>
      </c>
      <c r="I201" t="s">
        <v>5538</v>
      </c>
      <c r="J201" t="s">
        <v>3948</v>
      </c>
      <c r="K201" t="s">
        <v>5466</v>
      </c>
      <c r="L201" t="s">
        <v>60</v>
      </c>
      <c r="M201" t="s">
        <v>65</v>
      </c>
      <c r="N201" t="s">
        <v>66</v>
      </c>
      <c r="O201" t="s">
        <v>5539</v>
      </c>
      <c r="P201">
        <v>2020</v>
      </c>
      <c r="Q201">
        <v>96150</v>
      </c>
      <c r="R201" t="s">
        <v>5467</v>
      </c>
      <c r="S201" t="s">
        <v>67</v>
      </c>
      <c r="T201" t="s">
        <v>5145</v>
      </c>
      <c r="U201" t="s">
        <v>5179</v>
      </c>
      <c r="V201" t="s">
        <v>5147</v>
      </c>
      <c r="W201">
        <v>13990000</v>
      </c>
      <c r="X201" t="s">
        <v>5148</v>
      </c>
      <c r="Y201">
        <v>624</v>
      </c>
      <c r="Z201" t="s">
        <v>40</v>
      </c>
      <c r="AA201" t="s">
        <v>5175</v>
      </c>
      <c r="AB201" t="s">
        <v>5178</v>
      </c>
      <c r="AC201" t="s">
        <v>5468</v>
      </c>
      <c r="AD201" t="s">
        <v>5466</v>
      </c>
      <c r="AE201" t="s">
        <v>5469</v>
      </c>
      <c r="AF201" t="s">
        <v>5540</v>
      </c>
      <c r="AG201">
        <v>1</v>
      </c>
      <c r="AH201" t="s">
        <v>5540</v>
      </c>
      <c r="AI201" t="s">
        <v>5541</v>
      </c>
      <c r="AJ201" t="s">
        <v>5542</v>
      </c>
      <c r="AK201">
        <v>3</v>
      </c>
      <c r="AL201">
        <v>0</v>
      </c>
      <c r="AM201" t="s">
        <v>3948</v>
      </c>
      <c r="AN201">
        <v>0</v>
      </c>
      <c r="AO201">
        <v>14190000</v>
      </c>
      <c r="AP201">
        <v>338880</v>
      </c>
      <c r="AQ201">
        <v>0</v>
      </c>
      <c r="AR201">
        <v>14528880</v>
      </c>
      <c r="AS201">
        <v>13990000</v>
      </c>
      <c r="AT201">
        <v>-538880</v>
      </c>
      <c r="AU201">
        <v>-385</v>
      </c>
    </row>
    <row r="202" spans="1:47" ht="13.5" customHeight="1" x14ac:dyDescent="0.3">
      <c r="A202" t="s">
        <v>5142</v>
      </c>
      <c r="B202" t="s">
        <v>5143</v>
      </c>
      <c r="C202">
        <v>0</v>
      </c>
      <c r="D202">
        <v>0</v>
      </c>
      <c r="E202" t="s">
        <v>3948</v>
      </c>
      <c r="F202" t="s">
        <v>3948</v>
      </c>
      <c r="G202" t="s">
        <v>3948</v>
      </c>
      <c r="H202" t="s">
        <v>3948</v>
      </c>
      <c r="I202" t="s">
        <v>8119</v>
      </c>
      <c r="J202" t="s">
        <v>3948</v>
      </c>
      <c r="K202" t="s">
        <v>8120</v>
      </c>
      <c r="L202" t="s">
        <v>241</v>
      </c>
      <c r="M202" t="s">
        <v>4791</v>
      </c>
      <c r="N202" t="s">
        <v>252</v>
      </c>
      <c r="O202" t="s">
        <v>8121</v>
      </c>
      <c r="P202">
        <v>2020</v>
      </c>
      <c r="Q202">
        <v>31000</v>
      </c>
      <c r="R202" t="s">
        <v>8122</v>
      </c>
      <c r="S202" t="s">
        <v>253</v>
      </c>
      <c r="T202" t="s">
        <v>5145</v>
      </c>
      <c r="U202" t="s">
        <v>5157</v>
      </c>
      <c r="V202" t="s">
        <v>5147</v>
      </c>
      <c r="W202">
        <v>14990000</v>
      </c>
      <c r="X202" t="s">
        <v>5148</v>
      </c>
      <c r="Y202">
        <v>1597</v>
      </c>
      <c r="Z202" t="s">
        <v>40</v>
      </c>
      <c r="AA202" t="s">
        <v>5149</v>
      </c>
      <c r="AB202" t="s">
        <v>5178</v>
      </c>
      <c r="AC202" t="s">
        <v>8123</v>
      </c>
      <c r="AD202" t="s">
        <v>8120</v>
      </c>
      <c r="AE202" t="s">
        <v>8124</v>
      </c>
      <c r="AF202" t="s">
        <v>8125</v>
      </c>
      <c r="AG202">
        <v>1</v>
      </c>
      <c r="AH202" t="s">
        <v>8126</v>
      </c>
      <c r="AI202" t="s">
        <v>8126</v>
      </c>
      <c r="AJ202" t="s">
        <v>3948</v>
      </c>
      <c r="AK202">
        <v>0</v>
      </c>
      <c r="AL202">
        <v>0</v>
      </c>
      <c r="AM202" t="s">
        <v>3948</v>
      </c>
      <c r="AN202">
        <v>7</v>
      </c>
      <c r="AO202">
        <v>20000000</v>
      </c>
      <c r="AP202">
        <v>1051072</v>
      </c>
      <c r="AQ202">
        <v>0</v>
      </c>
      <c r="AR202">
        <v>21051072</v>
      </c>
      <c r="AS202">
        <v>14990000</v>
      </c>
      <c r="AT202">
        <v>-6061072</v>
      </c>
      <c r="AU202">
        <v>-4043</v>
      </c>
    </row>
    <row r="203" spans="1:47" ht="13.5" customHeight="1" x14ac:dyDescent="0.3">
      <c r="A203" t="s">
        <v>5142</v>
      </c>
      <c r="B203" t="s">
        <v>5143</v>
      </c>
      <c r="C203">
        <v>0</v>
      </c>
      <c r="D203">
        <v>0</v>
      </c>
      <c r="E203" t="s">
        <v>3948</v>
      </c>
      <c r="F203" t="s">
        <v>3948</v>
      </c>
      <c r="G203" t="s">
        <v>3948</v>
      </c>
      <c r="H203" t="s">
        <v>3948</v>
      </c>
      <c r="I203" t="s">
        <v>11041</v>
      </c>
      <c r="J203" t="s">
        <v>3948</v>
      </c>
      <c r="K203" t="s">
        <v>11042</v>
      </c>
      <c r="L203" t="s">
        <v>241</v>
      </c>
      <c r="M203" t="s">
        <v>4756</v>
      </c>
      <c r="N203" t="s">
        <v>4767</v>
      </c>
      <c r="O203" t="s">
        <v>11043</v>
      </c>
      <c r="P203">
        <v>2021</v>
      </c>
      <c r="Q203">
        <v>102000</v>
      </c>
      <c r="R203" t="s">
        <v>11044</v>
      </c>
      <c r="S203" t="s">
        <v>3614</v>
      </c>
      <c r="T203" t="s">
        <v>5145</v>
      </c>
      <c r="U203" t="s">
        <v>5157</v>
      </c>
      <c r="V203" t="s">
        <v>5147</v>
      </c>
      <c r="W203">
        <v>12490000</v>
      </c>
      <c r="X203" t="s">
        <v>5148</v>
      </c>
      <c r="Y203">
        <v>19</v>
      </c>
      <c r="Z203" t="s">
        <v>16</v>
      </c>
      <c r="AA203" t="s">
        <v>5149</v>
      </c>
      <c r="AB203" t="s">
        <v>3948</v>
      </c>
      <c r="AC203" t="s">
        <v>11045</v>
      </c>
      <c r="AD203" t="s">
        <v>11042</v>
      </c>
      <c r="AE203" t="s">
        <v>11046</v>
      </c>
      <c r="AF203" t="s">
        <v>10909</v>
      </c>
      <c r="AG203">
        <v>1</v>
      </c>
      <c r="AH203" t="s">
        <v>10909</v>
      </c>
      <c r="AI203" t="s">
        <v>11047</v>
      </c>
      <c r="AJ203" t="s">
        <v>3948</v>
      </c>
      <c r="AK203">
        <v>3</v>
      </c>
      <c r="AL203">
        <v>0</v>
      </c>
      <c r="AM203" t="s">
        <v>3948</v>
      </c>
      <c r="AN203">
        <v>0</v>
      </c>
      <c r="AO203">
        <v>10800000</v>
      </c>
      <c r="AP203">
        <v>291240</v>
      </c>
      <c r="AQ203">
        <v>0</v>
      </c>
      <c r="AR203">
        <v>11091240</v>
      </c>
      <c r="AS203">
        <v>12490000</v>
      </c>
      <c r="AT203">
        <v>1398760</v>
      </c>
      <c r="AU203">
        <v>112</v>
      </c>
    </row>
    <row r="204" spans="1:47" ht="13.5" customHeight="1" x14ac:dyDescent="0.3">
      <c r="A204" t="s">
        <v>5142</v>
      </c>
      <c r="B204" t="s">
        <v>5180</v>
      </c>
      <c r="C204">
        <v>0</v>
      </c>
      <c r="D204">
        <v>0</v>
      </c>
      <c r="E204" t="s">
        <v>3948</v>
      </c>
      <c r="F204" t="s">
        <v>3948</v>
      </c>
      <c r="G204" t="s">
        <v>3948</v>
      </c>
      <c r="H204" t="s">
        <v>3948</v>
      </c>
      <c r="I204" t="s">
        <v>5644</v>
      </c>
      <c r="J204" t="s">
        <v>3948</v>
      </c>
      <c r="K204" t="s">
        <v>5310</v>
      </c>
      <c r="L204" t="s">
        <v>291</v>
      </c>
      <c r="M204" t="s">
        <v>292</v>
      </c>
      <c r="N204" t="s">
        <v>293</v>
      </c>
      <c r="O204" t="s">
        <v>5311</v>
      </c>
      <c r="P204">
        <v>2021</v>
      </c>
      <c r="Q204">
        <v>75000</v>
      </c>
      <c r="R204" t="s">
        <v>5312</v>
      </c>
      <c r="S204" t="s">
        <v>294</v>
      </c>
      <c r="T204" t="s">
        <v>5145</v>
      </c>
      <c r="U204" t="s">
        <v>5179</v>
      </c>
      <c r="V204" t="s">
        <v>5147</v>
      </c>
      <c r="W204">
        <v>12990000</v>
      </c>
      <c r="X204" t="s">
        <v>5148</v>
      </c>
      <c r="Y204">
        <v>427</v>
      </c>
      <c r="Z204" t="s">
        <v>40</v>
      </c>
      <c r="AA204" t="s">
        <v>5181</v>
      </c>
      <c r="AB204" t="s">
        <v>5313</v>
      </c>
      <c r="AC204" t="s">
        <v>5645</v>
      </c>
      <c r="AD204" t="s">
        <v>5310</v>
      </c>
      <c r="AE204" t="s">
        <v>5314</v>
      </c>
      <c r="AF204" t="s">
        <v>5646</v>
      </c>
      <c r="AG204">
        <v>1</v>
      </c>
      <c r="AH204" t="s">
        <v>5646</v>
      </c>
      <c r="AI204" t="s">
        <v>5647</v>
      </c>
      <c r="AJ204" t="s">
        <v>5476</v>
      </c>
      <c r="AK204">
        <v>2</v>
      </c>
      <c r="AL204">
        <v>0</v>
      </c>
      <c r="AM204" t="s">
        <v>3948</v>
      </c>
      <c r="AN204">
        <v>0</v>
      </c>
      <c r="AO204">
        <v>11000000</v>
      </c>
      <c r="AP204">
        <v>443877</v>
      </c>
      <c r="AQ204">
        <v>0</v>
      </c>
      <c r="AR204">
        <v>11443877</v>
      </c>
      <c r="AS204">
        <v>12990000</v>
      </c>
      <c r="AT204">
        <v>1546123</v>
      </c>
      <c r="AU204">
        <v>119</v>
      </c>
    </row>
    <row r="205" spans="1:47" ht="13.5" customHeight="1" x14ac:dyDescent="0.3">
      <c r="A205" t="s">
        <v>5142</v>
      </c>
      <c r="B205" t="s">
        <v>8127</v>
      </c>
      <c r="C205">
        <v>0</v>
      </c>
      <c r="D205">
        <v>0</v>
      </c>
      <c r="E205" t="s">
        <v>3948</v>
      </c>
      <c r="F205" t="s">
        <v>3948</v>
      </c>
      <c r="G205" t="s">
        <v>3948</v>
      </c>
      <c r="H205" t="s">
        <v>3948</v>
      </c>
      <c r="I205" t="s">
        <v>8128</v>
      </c>
      <c r="J205" t="s">
        <v>3948</v>
      </c>
      <c r="K205" t="s">
        <v>8129</v>
      </c>
      <c r="L205" t="s">
        <v>186</v>
      </c>
      <c r="M205" t="s">
        <v>188</v>
      </c>
      <c r="N205" t="s">
        <v>189</v>
      </c>
      <c r="O205" t="s">
        <v>8130</v>
      </c>
      <c r="P205">
        <v>2014</v>
      </c>
      <c r="Q205">
        <v>50000</v>
      </c>
      <c r="R205" t="s">
        <v>8131</v>
      </c>
      <c r="S205" t="s">
        <v>8132</v>
      </c>
      <c r="T205" t="s">
        <v>5145</v>
      </c>
      <c r="U205" t="s">
        <v>8133</v>
      </c>
      <c r="V205" t="s">
        <v>5147</v>
      </c>
      <c r="W205">
        <v>4390000</v>
      </c>
      <c r="X205" t="s">
        <v>5148</v>
      </c>
      <c r="Y205">
        <v>2954</v>
      </c>
      <c r="Z205" t="s">
        <v>8134</v>
      </c>
      <c r="AA205" t="s">
        <v>8135</v>
      </c>
      <c r="AB205" t="s">
        <v>3948</v>
      </c>
      <c r="AC205" t="s">
        <v>8136</v>
      </c>
      <c r="AD205" t="s">
        <v>8129</v>
      </c>
      <c r="AE205" t="s">
        <v>8137</v>
      </c>
      <c r="AF205" t="s">
        <v>8138</v>
      </c>
      <c r="AG205">
        <v>0</v>
      </c>
      <c r="AH205" t="s">
        <v>3948</v>
      </c>
      <c r="AI205" t="s">
        <v>3948</v>
      </c>
      <c r="AJ205" t="s">
        <v>3948</v>
      </c>
      <c r="AK205">
        <v>0</v>
      </c>
      <c r="AL205">
        <v>0</v>
      </c>
      <c r="AM205" t="s">
        <v>3948</v>
      </c>
      <c r="AN205">
        <v>1</v>
      </c>
      <c r="AO205">
        <v>0</v>
      </c>
      <c r="AP205">
        <v>1812732</v>
      </c>
      <c r="AQ205">
        <v>0</v>
      </c>
      <c r="AR205">
        <v>1812732</v>
      </c>
      <c r="AS205">
        <v>4390000</v>
      </c>
      <c r="AT205">
        <v>2577268</v>
      </c>
      <c r="AU205">
        <v>5871</v>
      </c>
    </row>
    <row r="206" spans="1:47" ht="13.5" customHeight="1" x14ac:dyDescent="0.3">
      <c r="A206" t="s">
        <v>5142</v>
      </c>
      <c r="B206" t="s">
        <v>5170</v>
      </c>
      <c r="C206">
        <v>0</v>
      </c>
      <c r="D206">
        <v>0</v>
      </c>
      <c r="E206" t="s">
        <v>3948</v>
      </c>
      <c r="F206" t="s">
        <v>3948</v>
      </c>
      <c r="G206" t="s">
        <v>3948</v>
      </c>
      <c r="H206" t="s">
        <v>3948</v>
      </c>
      <c r="I206" t="s">
        <v>9552</v>
      </c>
      <c r="J206" t="s">
        <v>3948</v>
      </c>
      <c r="K206" t="s">
        <v>9553</v>
      </c>
      <c r="L206" t="s">
        <v>180</v>
      </c>
      <c r="M206" t="s">
        <v>181</v>
      </c>
      <c r="N206" t="s">
        <v>4433</v>
      </c>
      <c r="O206" t="s">
        <v>9554</v>
      </c>
      <c r="P206">
        <v>2019</v>
      </c>
      <c r="Q206">
        <v>44500</v>
      </c>
      <c r="R206" t="s">
        <v>9555</v>
      </c>
      <c r="S206" t="s">
        <v>3921</v>
      </c>
      <c r="T206" t="s">
        <v>5145</v>
      </c>
      <c r="U206" t="s">
        <v>5373</v>
      </c>
      <c r="V206" t="s">
        <v>5147</v>
      </c>
      <c r="W206">
        <v>10490000</v>
      </c>
      <c r="X206" t="s">
        <v>5148</v>
      </c>
      <c r="Y206">
        <v>80</v>
      </c>
      <c r="Z206" t="s">
        <v>26</v>
      </c>
      <c r="AA206" t="s">
        <v>5175</v>
      </c>
      <c r="AB206" t="s">
        <v>5355</v>
      </c>
      <c r="AC206" t="s">
        <v>9556</v>
      </c>
      <c r="AD206" t="s">
        <v>9553</v>
      </c>
      <c r="AE206" t="s">
        <v>9557</v>
      </c>
      <c r="AF206" t="s">
        <v>9550</v>
      </c>
      <c r="AG206">
        <v>1</v>
      </c>
      <c r="AH206" t="s">
        <v>9550</v>
      </c>
      <c r="AI206" t="s">
        <v>9558</v>
      </c>
      <c r="AJ206" t="s">
        <v>3948</v>
      </c>
      <c r="AK206">
        <v>1</v>
      </c>
      <c r="AL206">
        <v>0</v>
      </c>
      <c r="AM206" t="s">
        <v>3948</v>
      </c>
      <c r="AN206">
        <v>0</v>
      </c>
      <c r="AO206">
        <v>9500000</v>
      </c>
      <c r="AP206">
        <v>271740</v>
      </c>
      <c r="AQ206">
        <v>0</v>
      </c>
      <c r="AR206">
        <v>9771740</v>
      </c>
      <c r="AS206">
        <v>10490000</v>
      </c>
      <c r="AT206">
        <v>718260</v>
      </c>
      <c r="AU206">
        <v>685</v>
      </c>
    </row>
    <row r="207" spans="1:47" ht="13.5" customHeight="1" x14ac:dyDescent="0.3">
      <c r="A207" t="s">
        <v>5142</v>
      </c>
      <c r="B207" t="s">
        <v>5143</v>
      </c>
      <c r="C207">
        <v>0</v>
      </c>
      <c r="D207">
        <v>0</v>
      </c>
      <c r="E207" t="s">
        <v>3948</v>
      </c>
      <c r="F207" t="s">
        <v>3948</v>
      </c>
      <c r="G207" t="s">
        <v>3948</v>
      </c>
      <c r="H207" t="s">
        <v>3948</v>
      </c>
      <c r="I207" t="s">
        <v>11633</v>
      </c>
      <c r="J207" t="s">
        <v>3948</v>
      </c>
      <c r="K207" t="s">
        <v>11634</v>
      </c>
      <c r="L207" t="s">
        <v>68</v>
      </c>
      <c r="M207" t="s">
        <v>4134</v>
      </c>
      <c r="N207" t="s">
        <v>71</v>
      </c>
      <c r="O207" t="s">
        <v>11635</v>
      </c>
      <c r="P207">
        <v>2025</v>
      </c>
      <c r="Q207">
        <v>28000</v>
      </c>
      <c r="R207" t="s">
        <v>11636</v>
      </c>
      <c r="S207" t="s">
        <v>11637</v>
      </c>
      <c r="T207" t="s">
        <v>5145</v>
      </c>
      <c r="U207" t="s">
        <v>5179</v>
      </c>
      <c r="V207" t="s">
        <v>5147</v>
      </c>
      <c r="W207">
        <v>9990000</v>
      </c>
      <c r="X207" t="s">
        <v>5148</v>
      </c>
      <c r="Y207">
        <v>14</v>
      </c>
      <c r="Z207" t="s">
        <v>16</v>
      </c>
      <c r="AA207" t="s">
        <v>5149</v>
      </c>
      <c r="AB207" t="s">
        <v>3948</v>
      </c>
      <c r="AC207" t="s">
        <v>11638</v>
      </c>
      <c r="AD207" t="s">
        <v>11634</v>
      </c>
      <c r="AE207" t="s">
        <v>11639</v>
      </c>
      <c r="AF207" t="s">
        <v>11407</v>
      </c>
      <c r="AG207">
        <v>1</v>
      </c>
      <c r="AH207" t="s">
        <v>11407</v>
      </c>
      <c r="AI207" t="s">
        <v>11640</v>
      </c>
      <c r="AJ207" t="s">
        <v>3948</v>
      </c>
      <c r="AK207">
        <v>1</v>
      </c>
      <c r="AL207">
        <v>0</v>
      </c>
      <c r="AM207" t="s">
        <v>3948</v>
      </c>
      <c r="AN207">
        <v>0</v>
      </c>
      <c r="AO207">
        <v>8300000</v>
      </c>
      <c r="AP207">
        <v>253740</v>
      </c>
      <c r="AQ207">
        <v>0</v>
      </c>
      <c r="AR207">
        <v>8553740</v>
      </c>
      <c r="AS207">
        <v>9990000</v>
      </c>
      <c r="AT207">
        <v>1436260</v>
      </c>
      <c r="AU207">
        <v>1438</v>
      </c>
    </row>
    <row r="208" spans="1:47" ht="13.5" customHeight="1" x14ac:dyDescent="0.3">
      <c r="A208" t="s">
        <v>5142</v>
      </c>
      <c r="B208" t="s">
        <v>5170</v>
      </c>
      <c r="C208">
        <v>0</v>
      </c>
      <c r="D208">
        <v>0</v>
      </c>
      <c r="E208" t="s">
        <v>3948</v>
      </c>
      <c r="F208" t="s">
        <v>3948</v>
      </c>
      <c r="G208" t="s">
        <v>3948</v>
      </c>
      <c r="H208" t="s">
        <v>3948</v>
      </c>
      <c r="I208" t="s">
        <v>5611</v>
      </c>
      <c r="J208" t="s">
        <v>3948</v>
      </c>
      <c r="K208" t="s">
        <v>5339</v>
      </c>
      <c r="L208" t="s">
        <v>86</v>
      </c>
      <c r="M208" t="s">
        <v>122</v>
      </c>
      <c r="N208" t="s">
        <v>130</v>
      </c>
      <c r="O208" t="s">
        <v>5340</v>
      </c>
      <c r="P208">
        <v>2025</v>
      </c>
      <c r="Q208">
        <v>34500</v>
      </c>
      <c r="R208" t="s">
        <v>5341</v>
      </c>
      <c r="S208" t="s">
        <v>131</v>
      </c>
      <c r="T208" t="s">
        <v>5145</v>
      </c>
      <c r="U208" t="s">
        <v>5179</v>
      </c>
      <c r="V208" t="s">
        <v>5147</v>
      </c>
      <c r="W208">
        <v>28490000</v>
      </c>
      <c r="X208" t="s">
        <v>5148</v>
      </c>
      <c r="Y208">
        <v>270</v>
      </c>
      <c r="Z208" t="s">
        <v>26</v>
      </c>
      <c r="AA208" t="s">
        <v>5175</v>
      </c>
      <c r="AB208" t="s">
        <v>5342</v>
      </c>
      <c r="AC208" t="s">
        <v>5343</v>
      </c>
      <c r="AD208" t="s">
        <v>5339</v>
      </c>
      <c r="AE208" t="s">
        <v>5344</v>
      </c>
      <c r="AF208" t="s">
        <v>5612</v>
      </c>
      <c r="AG208">
        <v>1</v>
      </c>
      <c r="AH208" t="s">
        <v>5612</v>
      </c>
      <c r="AI208" t="s">
        <v>5613</v>
      </c>
      <c r="AJ208" t="s">
        <v>3948</v>
      </c>
      <c r="AK208">
        <v>1</v>
      </c>
      <c r="AL208">
        <v>0</v>
      </c>
      <c r="AM208" t="s">
        <v>3948</v>
      </c>
      <c r="AN208">
        <v>0</v>
      </c>
      <c r="AO208">
        <v>27000000</v>
      </c>
      <c r="AP208">
        <v>531030</v>
      </c>
      <c r="AQ208">
        <v>0</v>
      </c>
      <c r="AR208">
        <v>27531030</v>
      </c>
      <c r="AS208">
        <v>28490000</v>
      </c>
      <c r="AT208">
        <v>958970</v>
      </c>
      <c r="AU208">
        <v>337</v>
      </c>
    </row>
    <row r="209" spans="1:47" ht="13.5" customHeight="1" x14ac:dyDescent="0.3">
      <c r="A209" t="s">
        <v>5142</v>
      </c>
      <c r="B209" t="s">
        <v>5143</v>
      </c>
      <c r="C209">
        <v>0</v>
      </c>
      <c r="D209">
        <v>0</v>
      </c>
      <c r="E209" t="s">
        <v>3948</v>
      </c>
      <c r="F209" t="s">
        <v>3948</v>
      </c>
      <c r="G209" t="s">
        <v>3948</v>
      </c>
      <c r="H209" t="s">
        <v>3948</v>
      </c>
      <c r="I209" t="s">
        <v>5484</v>
      </c>
      <c r="J209" t="s">
        <v>3948</v>
      </c>
      <c r="K209" t="s">
        <v>5485</v>
      </c>
      <c r="L209" t="s">
        <v>68</v>
      </c>
      <c r="M209" t="s">
        <v>4130</v>
      </c>
      <c r="N209" t="s">
        <v>4131</v>
      </c>
      <c r="O209" t="s">
        <v>5486</v>
      </c>
      <c r="P209">
        <v>2025</v>
      </c>
      <c r="Q209">
        <v>6443</v>
      </c>
      <c r="R209" t="s">
        <v>5487</v>
      </c>
      <c r="S209" t="s">
        <v>325</v>
      </c>
      <c r="T209" t="s">
        <v>5145</v>
      </c>
      <c r="U209" t="s">
        <v>5179</v>
      </c>
      <c r="V209" t="s">
        <v>5147</v>
      </c>
      <c r="W209">
        <v>11290000</v>
      </c>
      <c r="X209" t="s">
        <v>5148</v>
      </c>
      <c r="Y209">
        <v>120</v>
      </c>
      <c r="Z209" t="s">
        <v>40</v>
      </c>
      <c r="AA209" t="s">
        <v>5149</v>
      </c>
      <c r="AB209" t="s">
        <v>5374</v>
      </c>
      <c r="AC209" t="s">
        <v>5488</v>
      </c>
      <c r="AD209" t="s">
        <v>5485</v>
      </c>
      <c r="AE209" t="s">
        <v>5489</v>
      </c>
      <c r="AF209" t="s">
        <v>5490</v>
      </c>
      <c r="AG209">
        <v>1</v>
      </c>
      <c r="AH209" t="s">
        <v>5490</v>
      </c>
      <c r="AI209" t="s">
        <v>5491</v>
      </c>
      <c r="AJ209" t="s">
        <v>3948</v>
      </c>
      <c r="AK209">
        <v>1</v>
      </c>
      <c r="AL209">
        <v>0</v>
      </c>
      <c r="AM209" t="s">
        <v>3948</v>
      </c>
      <c r="AN209">
        <v>0</v>
      </c>
      <c r="AO209">
        <v>9000000</v>
      </c>
      <c r="AP209">
        <v>264240</v>
      </c>
      <c r="AQ209">
        <v>0</v>
      </c>
      <c r="AR209">
        <v>9264240</v>
      </c>
      <c r="AS209">
        <v>11290000</v>
      </c>
      <c r="AT209">
        <v>2025760</v>
      </c>
      <c r="AU209">
        <v>1794</v>
      </c>
    </row>
    <row r="210" spans="1:47" ht="13.5" customHeight="1" x14ac:dyDescent="0.3">
      <c r="A210" t="s">
        <v>5142</v>
      </c>
      <c r="B210" t="s">
        <v>5170</v>
      </c>
      <c r="C210">
        <v>0</v>
      </c>
      <c r="D210">
        <v>0</v>
      </c>
      <c r="E210" t="s">
        <v>3948</v>
      </c>
      <c r="F210" t="s">
        <v>3948</v>
      </c>
      <c r="G210" t="s">
        <v>3948</v>
      </c>
      <c r="H210" t="s">
        <v>3948</v>
      </c>
      <c r="I210" t="s">
        <v>5519</v>
      </c>
      <c r="J210" t="s">
        <v>3948</v>
      </c>
      <c r="K210" t="s">
        <v>5345</v>
      </c>
      <c r="L210" t="s">
        <v>186</v>
      </c>
      <c r="M210" t="s">
        <v>196</v>
      </c>
      <c r="N210" t="s">
        <v>197</v>
      </c>
      <c r="O210" t="s">
        <v>5346</v>
      </c>
      <c r="P210">
        <v>2024</v>
      </c>
      <c r="Q210">
        <v>37000</v>
      </c>
      <c r="R210" t="s">
        <v>5347</v>
      </c>
      <c r="S210" t="s">
        <v>198</v>
      </c>
      <c r="T210" t="s">
        <v>5145</v>
      </c>
      <c r="U210" t="s">
        <v>5348</v>
      </c>
      <c r="V210" t="s">
        <v>5147</v>
      </c>
      <c r="W210">
        <v>31490000</v>
      </c>
      <c r="X210" t="s">
        <v>5148</v>
      </c>
      <c r="Y210">
        <v>236</v>
      </c>
      <c r="Z210" t="s">
        <v>26</v>
      </c>
      <c r="AA210" t="s">
        <v>5175</v>
      </c>
      <c r="AB210" t="s">
        <v>5152</v>
      </c>
      <c r="AC210" t="s">
        <v>5349</v>
      </c>
      <c r="AD210" t="s">
        <v>5345</v>
      </c>
      <c r="AE210" t="s">
        <v>5350</v>
      </c>
      <c r="AF210" t="s">
        <v>5520</v>
      </c>
      <c r="AG210">
        <v>1</v>
      </c>
      <c r="AH210" t="s">
        <v>5520</v>
      </c>
      <c r="AI210" t="s">
        <v>5521</v>
      </c>
      <c r="AJ210" t="s">
        <v>3948</v>
      </c>
      <c r="AK210">
        <v>1</v>
      </c>
      <c r="AL210">
        <v>0</v>
      </c>
      <c r="AM210" t="s">
        <v>3948</v>
      </c>
      <c r="AN210">
        <v>0</v>
      </c>
      <c r="AO210">
        <v>28000000</v>
      </c>
      <c r="AP210">
        <v>1142194</v>
      </c>
      <c r="AQ210">
        <v>0</v>
      </c>
      <c r="AR210">
        <v>29142194</v>
      </c>
      <c r="AS210">
        <v>31490000</v>
      </c>
      <c r="AT210">
        <v>2347806</v>
      </c>
      <c r="AU210">
        <v>746</v>
      </c>
    </row>
    <row r="211" spans="1:47" ht="13.5" customHeight="1" x14ac:dyDescent="0.3">
      <c r="A211" t="s">
        <v>5142</v>
      </c>
      <c r="B211" t="s">
        <v>5143</v>
      </c>
      <c r="C211">
        <v>0</v>
      </c>
      <c r="D211">
        <v>0</v>
      </c>
      <c r="E211" t="s">
        <v>3948</v>
      </c>
      <c r="F211" t="s">
        <v>3948</v>
      </c>
      <c r="G211" t="s">
        <v>3948</v>
      </c>
      <c r="H211" t="s">
        <v>3948</v>
      </c>
      <c r="I211" t="s">
        <v>9782</v>
      </c>
      <c r="J211" t="s">
        <v>3948</v>
      </c>
      <c r="K211" t="s">
        <v>9783</v>
      </c>
      <c r="L211" t="s">
        <v>306</v>
      </c>
      <c r="M211" t="s">
        <v>5039</v>
      </c>
      <c r="N211" t="s">
        <v>9784</v>
      </c>
      <c r="O211" t="s">
        <v>9785</v>
      </c>
      <c r="P211">
        <v>2024</v>
      </c>
      <c r="Q211">
        <v>56985</v>
      </c>
      <c r="R211" t="s">
        <v>9786</v>
      </c>
      <c r="S211" t="s">
        <v>2895</v>
      </c>
      <c r="T211" t="s">
        <v>5145</v>
      </c>
      <c r="U211" t="s">
        <v>5179</v>
      </c>
      <c r="V211" t="s">
        <v>5147</v>
      </c>
      <c r="W211">
        <v>20290000</v>
      </c>
      <c r="X211" t="s">
        <v>5148</v>
      </c>
      <c r="Y211">
        <v>76</v>
      </c>
      <c r="Z211" t="s">
        <v>16</v>
      </c>
      <c r="AA211" t="s">
        <v>5149</v>
      </c>
      <c r="AB211" t="s">
        <v>5374</v>
      </c>
      <c r="AC211" t="s">
        <v>9787</v>
      </c>
      <c r="AD211" t="s">
        <v>9783</v>
      </c>
      <c r="AE211" t="s">
        <v>9788</v>
      </c>
      <c r="AF211" t="s">
        <v>9781</v>
      </c>
      <c r="AG211">
        <v>1</v>
      </c>
      <c r="AH211" t="s">
        <v>9781</v>
      </c>
      <c r="AI211" t="s">
        <v>9789</v>
      </c>
      <c r="AJ211" t="s">
        <v>3948</v>
      </c>
      <c r="AK211">
        <v>1</v>
      </c>
      <c r="AL211">
        <v>0</v>
      </c>
      <c r="AM211" t="s">
        <v>3948</v>
      </c>
      <c r="AN211">
        <v>0</v>
      </c>
      <c r="AO211">
        <v>17000000</v>
      </c>
      <c r="AP211">
        <v>384240</v>
      </c>
      <c r="AQ211">
        <v>0</v>
      </c>
      <c r="AR211">
        <v>17384240</v>
      </c>
      <c r="AS211">
        <v>20290000</v>
      </c>
      <c r="AT211">
        <v>2905760</v>
      </c>
      <c r="AU211">
        <v>1432</v>
      </c>
    </row>
    <row r="212" spans="1:47" ht="13.5" customHeight="1" x14ac:dyDescent="0.3">
      <c r="A212" t="s">
        <v>5142</v>
      </c>
      <c r="B212" t="s">
        <v>8596</v>
      </c>
      <c r="C212">
        <v>0</v>
      </c>
      <c r="D212">
        <v>0</v>
      </c>
      <c r="E212" t="s">
        <v>3948</v>
      </c>
      <c r="F212" t="s">
        <v>3948</v>
      </c>
      <c r="G212" t="s">
        <v>3948</v>
      </c>
      <c r="H212" t="s">
        <v>3948</v>
      </c>
      <c r="I212" t="s">
        <v>11641</v>
      </c>
      <c r="J212" t="s">
        <v>3948</v>
      </c>
      <c r="K212" t="s">
        <v>11642</v>
      </c>
      <c r="L212" t="s">
        <v>173</v>
      </c>
      <c r="M212" t="s">
        <v>4423</v>
      </c>
      <c r="N212" t="s">
        <v>176</v>
      </c>
      <c r="O212" t="s">
        <v>5256</v>
      </c>
      <c r="P212">
        <v>2026</v>
      </c>
      <c r="Q212">
        <v>6400</v>
      </c>
      <c r="R212" t="s">
        <v>11643</v>
      </c>
      <c r="S212" t="s">
        <v>178</v>
      </c>
      <c r="T212" t="s">
        <v>5145</v>
      </c>
      <c r="U212" t="s">
        <v>11644</v>
      </c>
      <c r="V212" t="s">
        <v>5147</v>
      </c>
      <c r="W212">
        <v>15990000</v>
      </c>
      <c r="X212" t="s">
        <v>5148</v>
      </c>
      <c r="Y212">
        <v>162</v>
      </c>
      <c r="Z212" t="s">
        <v>26</v>
      </c>
      <c r="AA212" t="s">
        <v>8596</v>
      </c>
      <c r="AB212" t="s">
        <v>11645</v>
      </c>
      <c r="AC212" t="s">
        <v>11646</v>
      </c>
      <c r="AD212" t="s">
        <v>11647</v>
      </c>
      <c r="AE212" t="s">
        <v>11648</v>
      </c>
      <c r="AF212" t="s">
        <v>5480</v>
      </c>
      <c r="AG212">
        <v>1</v>
      </c>
      <c r="AH212" t="s">
        <v>5480</v>
      </c>
      <c r="AI212" t="s">
        <v>11649</v>
      </c>
      <c r="AJ212" t="s">
        <v>3948</v>
      </c>
      <c r="AK212">
        <v>1</v>
      </c>
      <c r="AL212">
        <v>0</v>
      </c>
      <c r="AM212" t="s">
        <v>3948</v>
      </c>
      <c r="AN212">
        <v>0</v>
      </c>
      <c r="AO212">
        <v>14500000</v>
      </c>
      <c r="AP212">
        <v>346740</v>
      </c>
      <c r="AQ212">
        <v>0</v>
      </c>
      <c r="AR212">
        <v>14846740</v>
      </c>
      <c r="AS212">
        <v>15990000</v>
      </c>
      <c r="AT212">
        <v>1143260</v>
      </c>
      <c r="AU212">
        <v>715</v>
      </c>
    </row>
    <row r="213" spans="1:47" ht="13.5" customHeight="1" x14ac:dyDescent="0.3">
      <c r="A213" t="s">
        <v>5142</v>
      </c>
      <c r="B213" t="s">
        <v>5143</v>
      </c>
      <c r="C213">
        <v>0</v>
      </c>
      <c r="D213">
        <v>0</v>
      </c>
      <c r="E213" t="s">
        <v>3948</v>
      </c>
      <c r="F213" t="s">
        <v>3948</v>
      </c>
      <c r="G213" t="s">
        <v>3948</v>
      </c>
      <c r="H213" t="s">
        <v>3948</v>
      </c>
      <c r="I213" t="s">
        <v>10196</v>
      </c>
      <c r="J213" t="s">
        <v>3948</v>
      </c>
      <c r="K213" t="s">
        <v>10197</v>
      </c>
      <c r="L213" t="s">
        <v>167</v>
      </c>
      <c r="M213" t="s">
        <v>10198</v>
      </c>
      <c r="N213" t="s">
        <v>10199</v>
      </c>
      <c r="O213" t="s">
        <v>10200</v>
      </c>
      <c r="P213">
        <v>2022</v>
      </c>
      <c r="Q213">
        <v>102547</v>
      </c>
      <c r="R213" t="s">
        <v>10201</v>
      </c>
      <c r="S213" t="s">
        <v>10202</v>
      </c>
      <c r="T213" t="s">
        <v>5145</v>
      </c>
      <c r="U213" t="s">
        <v>5179</v>
      </c>
      <c r="V213" t="s">
        <v>5147</v>
      </c>
      <c r="W213">
        <v>10790000</v>
      </c>
      <c r="X213" t="s">
        <v>5148</v>
      </c>
      <c r="Y213">
        <v>47</v>
      </c>
      <c r="Z213" t="s">
        <v>26</v>
      </c>
      <c r="AA213" t="s">
        <v>5149</v>
      </c>
      <c r="AB213" t="s">
        <v>10203</v>
      </c>
      <c r="AC213" t="s">
        <v>10204</v>
      </c>
      <c r="AD213" t="s">
        <v>10197</v>
      </c>
      <c r="AE213" t="s">
        <v>10205</v>
      </c>
      <c r="AF213" t="s">
        <v>10168</v>
      </c>
      <c r="AG213">
        <v>1</v>
      </c>
      <c r="AH213" t="s">
        <v>10168</v>
      </c>
      <c r="AI213" t="s">
        <v>10206</v>
      </c>
      <c r="AJ213" t="s">
        <v>3948</v>
      </c>
      <c r="AK213">
        <v>1</v>
      </c>
      <c r="AL213">
        <v>0</v>
      </c>
      <c r="AM213" t="s">
        <v>3948</v>
      </c>
      <c r="AN213">
        <v>0</v>
      </c>
      <c r="AO213">
        <v>8500000</v>
      </c>
      <c r="AP213">
        <v>256740</v>
      </c>
      <c r="AQ213">
        <v>0</v>
      </c>
      <c r="AR213">
        <v>8756740</v>
      </c>
      <c r="AS213">
        <v>10790000</v>
      </c>
      <c r="AT213">
        <v>2033260</v>
      </c>
      <c r="AU213">
        <v>1884</v>
      </c>
    </row>
    <row r="214" spans="1:47" ht="13.5" customHeight="1" x14ac:dyDescent="0.3">
      <c r="A214" t="s">
        <v>5142</v>
      </c>
      <c r="B214" t="s">
        <v>5143</v>
      </c>
      <c r="C214">
        <v>0</v>
      </c>
      <c r="D214">
        <v>0</v>
      </c>
      <c r="E214" t="s">
        <v>3948</v>
      </c>
      <c r="F214" t="s">
        <v>3948</v>
      </c>
      <c r="G214" t="s">
        <v>3948</v>
      </c>
      <c r="H214" t="s">
        <v>3948</v>
      </c>
      <c r="I214" t="s">
        <v>11650</v>
      </c>
      <c r="J214" t="s">
        <v>3948</v>
      </c>
      <c r="K214" t="s">
        <v>11651</v>
      </c>
      <c r="L214" t="s">
        <v>167</v>
      </c>
      <c r="M214" t="s">
        <v>4409</v>
      </c>
      <c r="N214" t="s">
        <v>4410</v>
      </c>
      <c r="O214" t="s">
        <v>11652</v>
      </c>
      <c r="P214">
        <v>2022</v>
      </c>
      <c r="Q214">
        <v>46000</v>
      </c>
      <c r="R214" t="s">
        <v>11653</v>
      </c>
      <c r="S214" t="s">
        <v>11654</v>
      </c>
      <c r="T214" t="s">
        <v>5145</v>
      </c>
      <c r="U214" t="s">
        <v>5209</v>
      </c>
      <c r="V214" t="s">
        <v>5147</v>
      </c>
      <c r="W214">
        <v>7590000</v>
      </c>
      <c r="X214" t="s">
        <v>5148</v>
      </c>
      <c r="Y214">
        <v>14</v>
      </c>
      <c r="Z214" t="s">
        <v>16</v>
      </c>
      <c r="AA214" t="s">
        <v>5149</v>
      </c>
      <c r="AB214" t="s">
        <v>11655</v>
      </c>
      <c r="AC214" t="s">
        <v>11656</v>
      </c>
      <c r="AD214" t="s">
        <v>11657</v>
      </c>
      <c r="AE214" t="s">
        <v>11658</v>
      </c>
      <c r="AF214" t="s">
        <v>11407</v>
      </c>
      <c r="AG214">
        <v>1</v>
      </c>
      <c r="AH214" t="s">
        <v>11407</v>
      </c>
      <c r="AI214" t="s">
        <v>11659</v>
      </c>
      <c r="AJ214" t="s">
        <v>3948</v>
      </c>
      <c r="AK214">
        <v>1</v>
      </c>
      <c r="AL214">
        <v>0</v>
      </c>
      <c r="AM214" t="s">
        <v>3948</v>
      </c>
      <c r="AN214">
        <v>0</v>
      </c>
      <c r="AO214">
        <v>5850000</v>
      </c>
      <c r="AP214">
        <v>216990</v>
      </c>
      <c r="AQ214">
        <v>0</v>
      </c>
      <c r="AR214">
        <v>6066990</v>
      </c>
      <c r="AS214">
        <v>7590000</v>
      </c>
      <c r="AT214">
        <v>1523010</v>
      </c>
      <c r="AU214">
        <v>2007</v>
      </c>
    </row>
    <row r="215" spans="1:47" ht="13.5" customHeight="1" x14ac:dyDescent="0.3">
      <c r="A215" t="s">
        <v>5142</v>
      </c>
      <c r="B215" t="s">
        <v>5170</v>
      </c>
      <c r="C215">
        <v>0</v>
      </c>
      <c r="D215">
        <v>0</v>
      </c>
      <c r="E215" t="s">
        <v>3948</v>
      </c>
      <c r="F215" t="s">
        <v>3948</v>
      </c>
      <c r="G215" t="s">
        <v>3948</v>
      </c>
      <c r="H215" t="s">
        <v>3948</v>
      </c>
      <c r="I215" t="s">
        <v>5515</v>
      </c>
      <c r="J215" t="s">
        <v>3948</v>
      </c>
      <c r="K215" t="s">
        <v>5293</v>
      </c>
      <c r="L215" t="s">
        <v>167</v>
      </c>
      <c r="M215" t="s">
        <v>170</v>
      </c>
      <c r="N215" t="s">
        <v>171</v>
      </c>
      <c r="O215" t="s">
        <v>5294</v>
      </c>
      <c r="P215">
        <v>2023</v>
      </c>
      <c r="Q215">
        <v>40695</v>
      </c>
      <c r="R215" t="s">
        <v>5295</v>
      </c>
      <c r="S215" t="s">
        <v>172</v>
      </c>
      <c r="T215" t="s">
        <v>5145</v>
      </c>
      <c r="U215" t="s">
        <v>5296</v>
      </c>
      <c r="V215" t="s">
        <v>5147</v>
      </c>
      <c r="W215">
        <v>12790000</v>
      </c>
      <c r="X215" t="s">
        <v>5148</v>
      </c>
      <c r="Y215">
        <v>368</v>
      </c>
      <c r="Z215" t="s">
        <v>40</v>
      </c>
      <c r="AA215" t="s">
        <v>5175</v>
      </c>
      <c r="AB215" t="s">
        <v>3948</v>
      </c>
      <c r="AC215" t="s">
        <v>5297</v>
      </c>
      <c r="AD215" t="s">
        <v>5298</v>
      </c>
      <c r="AE215" t="s">
        <v>5299</v>
      </c>
      <c r="AF215" t="s">
        <v>5516</v>
      </c>
      <c r="AG215">
        <v>1</v>
      </c>
      <c r="AH215" t="s">
        <v>5516</v>
      </c>
      <c r="AI215" t="s">
        <v>5517</v>
      </c>
      <c r="AJ215" t="s">
        <v>3948</v>
      </c>
      <c r="AK215">
        <v>3</v>
      </c>
      <c r="AL215">
        <v>0</v>
      </c>
      <c r="AM215" t="s">
        <v>3948</v>
      </c>
      <c r="AN215">
        <v>0</v>
      </c>
      <c r="AO215">
        <v>10600000</v>
      </c>
      <c r="AP215">
        <v>285030</v>
      </c>
      <c r="AQ215">
        <v>0</v>
      </c>
      <c r="AR215">
        <v>10885030</v>
      </c>
      <c r="AS215">
        <v>12790000</v>
      </c>
      <c r="AT215">
        <v>1904970</v>
      </c>
      <c r="AU215">
        <v>1489</v>
      </c>
    </row>
    <row r="216" spans="1:47" ht="13.5" customHeight="1" x14ac:dyDescent="0.3">
      <c r="A216" t="s">
        <v>5142</v>
      </c>
      <c r="B216" t="s">
        <v>5161</v>
      </c>
      <c r="C216">
        <v>0</v>
      </c>
      <c r="D216">
        <v>0</v>
      </c>
      <c r="E216" t="s">
        <v>3948</v>
      </c>
      <c r="F216" t="s">
        <v>3948</v>
      </c>
      <c r="G216" t="s">
        <v>3948</v>
      </c>
      <c r="H216" t="s">
        <v>3948</v>
      </c>
      <c r="I216" t="s">
        <v>5622</v>
      </c>
      <c r="J216" t="s">
        <v>3948</v>
      </c>
      <c r="K216" t="s">
        <v>5332</v>
      </c>
      <c r="L216" t="s">
        <v>68</v>
      </c>
      <c r="M216" t="s">
        <v>79</v>
      </c>
      <c r="N216" t="s">
        <v>80</v>
      </c>
      <c r="O216" t="s">
        <v>5333</v>
      </c>
      <c r="P216">
        <v>2025</v>
      </c>
      <c r="Q216">
        <v>37000</v>
      </c>
      <c r="R216" t="s">
        <v>5334</v>
      </c>
      <c r="S216" t="s">
        <v>81</v>
      </c>
      <c r="T216" t="s">
        <v>5145</v>
      </c>
      <c r="U216" t="s">
        <v>5254</v>
      </c>
      <c r="V216" t="s">
        <v>5147</v>
      </c>
      <c r="W216">
        <v>15190000</v>
      </c>
      <c r="X216" t="s">
        <v>5148</v>
      </c>
      <c r="Y216">
        <v>181</v>
      </c>
      <c r="Z216" t="s">
        <v>26</v>
      </c>
      <c r="AA216" t="s">
        <v>5166</v>
      </c>
      <c r="AB216" t="s">
        <v>5335</v>
      </c>
      <c r="AC216" t="s">
        <v>5336</v>
      </c>
      <c r="AD216" t="s">
        <v>5332</v>
      </c>
      <c r="AE216" t="s">
        <v>5337</v>
      </c>
      <c r="AF216" t="s">
        <v>5504</v>
      </c>
      <c r="AG216">
        <v>1</v>
      </c>
      <c r="AH216" t="s">
        <v>5504</v>
      </c>
      <c r="AI216" t="s">
        <v>5623</v>
      </c>
      <c r="AJ216" t="s">
        <v>3948</v>
      </c>
      <c r="AK216">
        <v>1</v>
      </c>
      <c r="AL216">
        <v>0</v>
      </c>
      <c r="AM216" t="s">
        <v>3948</v>
      </c>
      <c r="AN216">
        <v>0</v>
      </c>
      <c r="AO216">
        <v>13900000</v>
      </c>
      <c r="AP216">
        <v>334530</v>
      </c>
      <c r="AQ216">
        <v>0</v>
      </c>
      <c r="AR216">
        <v>14234530</v>
      </c>
      <c r="AS216">
        <v>15190000</v>
      </c>
      <c r="AT216">
        <v>955470</v>
      </c>
      <c r="AU216">
        <v>629</v>
      </c>
    </row>
    <row r="217" spans="1:47" ht="13.5" customHeight="1" x14ac:dyDescent="0.3">
      <c r="A217" t="s">
        <v>5142</v>
      </c>
      <c r="B217" t="s">
        <v>5180</v>
      </c>
      <c r="C217">
        <v>0</v>
      </c>
      <c r="D217">
        <v>0</v>
      </c>
      <c r="E217" t="s">
        <v>3948</v>
      </c>
      <c r="F217" t="s">
        <v>3948</v>
      </c>
      <c r="G217" t="s">
        <v>3948</v>
      </c>
      <c r="H217" t="s">
        <v>3948</v>
      </c>
      <c r="I217" t="s">
        <v>5582</v>
      </c>
      <c r="J217" t="s">
        <v>3948</v>
      </c>
      <c r="K217" t="s">
        <v>5234</v>
      </c>
      <c r="L217" t="s">
        <v>60</v>
      </c>
      <c r="M217" t="s">
        <v>61</v>
      </c>
      <c r="N217" t="s">
        <v>62</v>
      </c>
      <c r="O217" t="s">
        <v>5235</v>
      </c>
      <c r="P217">
        <v>2019</v>
      </c>
      <c r="Q217">
        <v>72580</v>
      </c>
      <c r="R217" t="s">
        <v>5236</v>
      </c>
      <c r="S217" t="s">
        <v>64</v>
      </c>
      <c r="T217" t="s">
        <v>5145</v>
      </c>
      <c r="U217" t="s">
        <v>5237</v>
      </c>
      <c r="V217" t="s">
        <v>5147</v>
      </c>
      <c r="W217">
        <v>9290000</v>
      </c>
      <c r="X217" t="s">
        <v>5148</v>
      </c>
      <c r="Y217">
        <v>134</v>
      </c>
      <c r="Z217" t="s">
        <v>40</v>
      </c>
      <c r="AA217" t="s">
        <v>5181</v>
      </c>
      <c r="AB217" t="s">
        <v>5238</v>
      </c>
      <c r="AC217" t="s">
        <v>5239</v>
      </c>
      <c r="AD217" t="s">
        <v>5240</v>
      </c>
      <c r="AE217" t="s">
        <v>5241</v>
      </c>
      <c r="AF217" t="s">
        <v>5583</v>
      </c>
      <c r="AG217">
        <v>1</v>
      </c>
      <c r="AH217" t="s">
        <v>5583</v>
      </c>
      <c r="AI217" t="s">
        <v>5584</v>
      </c>
      <c r="AJ217" t="s">
        <v>3948</v>
      </c>
      <c r="AK217">
        <v>4</v>
      </c>
      <c r="AL217">
        <v>0</v>
      </c>
      <c r="AM217" t="s">
        <v>3948</v>
      </c>
      <c r="AN217">
        <v>0</v>
      </c>
      <c r="AO217">
        <v>8300000</v>
      </c>
      <c r="AP217">
        <v>253740</v>
      </c>
      <c r="AQ217">
        <v>0</v>
      </c>
      <c r="AR217">
        <v>8553740</v>
      </c>
      <c r="AS217">
        <v>9290000</v>
      </c>
      <c r="AT217">
        <v>736260</v>
      </c>
      <c r="AU217">
        <v>793</v>
      </c>
    </row>
    <row r="218" spans="1:47" ht="13.5" customHeight="1" x14ac:dyDescent="0.3">
      <c r="A218" t="s">
        <v>5142</v>
      </c>
      <c r="B218" t="s">
        <v>5161</v>
      </c>
      <c r="C218">
        <v>0</v>
      </c>
      <c r="D218">
        <v>0</v>
      </c>
      <c r="E218" t="s">
        <v>3948</v>
      </c>
      <c r="F218" t="s">
        <v>3948</v>
      </c>
      <c r="G218" t="s">
        <v>3948</v>
      </c>
      <c r="H218" t="s">
        <v>3948</v>
      </c>
      <c r="I218" t="s">
        <v>10061</v>
      </c>
      <c r="J218" t="s">
        <v>3948</v>
      </c>
      <c r="K218" t="s">
        <v>10062</v>
      </c>
      <c r="L218" t="s">
        <v>86</v>
      </c>
      <c r="M218" t="s">
        <v>122</v>
      </c>
      <c r="N218" t="s">
        <v>4271</v>
      </c>
      <c r="O218" t="s">
        <v>10063</v>
      </c>
      <c r="P218">
        <v>2024</v>
      </c>
      <c r="Q218">
        <v>38300</v>
      </c>
      <c r="R218" t="s">
        <v>10064</v>
      </c>
      <c r="S218" t="s">
        <v>3910</v>
      </c>
      <c r="T218" t="s">
        <v>5145</v>
      </c>
      <c r="U218" t="s">
        <v>5179</v>
      </c>
      <c r="V218" t="s">
        <v>5147</v>
      </c>
      <c r="W218">
        <v>20990000</v>
      </c>
      <c r="X218" t="s">
        <v>5148</v>
      </c>
      <c r="Y218">
        <v>55</v>
      </c>
      <c r="Z218" t="s">
        <v>26</v>
      </c>
      <c r="AA218" t="s">
        <v>5166</v>
      </c>
      <c r="AB218" t="s">
        <v>10065</v>
      </c>
      <c r="AC218" t="s">
        <v>10066</v>
      </c>
      <c r="AD218" t="s">
        <v>10062</v>
      </c>
      <c r="AE218" t="s">
        <v>10035</v>
      </c>
      <c r="AF218" t="s">
        <v>10026</v>
      </c>
      <c r="AG218">
        <v>1</v>
      </c>
      <c r="AH218" t="s">
        <v>10026</v>
      </c>
      <c r="AI218" t="s">
        <v>10067</v>
      </c>
      <c r="AJ218" t="s">
        <v>3948</v>
      </c>
      <c r="AK218">
        <v>1</v>
      </c>
      <c r="AL218">
        <v>0</v>
      </c>
      <c r="AM218" t="s">
        <v>3948</v>
      </c>
      <c r="AN218">
        <v>0</v>
      </c>
      <c r="AO218">
        <v>18000000</v>
      </c>
      <c r="AP218">
        <v>399240</v>
      </c>
      <c r="AQ218">
        <v>0</v>
      </c>
      <c r="AR218">
        <v>18399240</v>
      </c>
      <c r="AS218">
        <v>20990000</v>
      </c>
      <c r="AT218">
        <v>2590760</v>
      </c>
      <c r="AU218">
        <v>1234</v>
      </c>
    </row>
    <row r="219" spans="1:47" ht="13.5" customHeight="1" x14ac:dyDescent="0.3">
      <c r="A219" t="s">
        <v>5142</v>
      </c>
      <c r="B219" t="s">
        <v>5143</v>
      </c>
      <c r="C219">
        <v>0</v>
      </c>
      <c r="D219">
        <v>0</v>
      </c>
      <c r="E219" t="s">
        <v>3948</v>
      </c>
      <c r="F219" t="s">
        <v>3948</v>
      </c>
      <c r="G219" t="s">
        <v>3948</v>
      </c>
      <c r="H219" t="s">
        <v>3948</v>
      </c>
      <c r="I219" t="s">
        <v>5548</v>
      </c>
      <c r="J219" t="s">
        <v>3948</v>
      </c>
      <c r="K219" t="s">
        <v>5377</v>
      </c>
      <c r="L219" t="s">
        <v>86</v>
      </c>
      <c r="M219" t="s">
        <v>134</v>
      </c>
      <c r="N219" t="s">
        <v>135</v>
      </c>
      <c r="O219" t="s">
        <v>5378</v>
      </c>
      <c r="P219">
        <v>2021</v>
      </c>
      <c r="Q219">
        <v>26963</v>
      </c>
      <c r="R219" t="s">
        <v>5379</v>
      </c>
      <c r="S219" t="s">
        <v>136</v>
      </c>
      <c r="T219" t="s">
        <v>5145</v>
      </c>
      <c r="U219" t="s">
        <v>5283</v>
      </c>
      <c r="V219" t="s">
        <v>5147</v>
      </c>
      <c r="W219">
        <v>12990000</v>
      </c>
      <c r="X219" t="s">
        <v>5148</v>
      </c>
      <c r="Y219">
        <v>1327</v>
      </c>
      <c r="Z219" t="s">
        <v>40</v>
      </c>
      <c r="AA219" t="s">
        <v>5149</v>
      </c>
      <c r="AB219" t="s">
        <v>5380</v>
      </c>
      <c r="AC219" t="s">
        <v>5381</v>
      </c>
      <c r="AD219" t="s">
        <v>5377</v>
      </c>
      <c r="AE219" t="s">
        <v>5382</v>
      </c>
      <c r="AF219" t="s">
        <v>5549</v>
      </c>
      <c r="AG219">
        <v>1</v>
      </c>
      <c r="AH219" t="s">
        <v>5549</v>
      </c>
      <c r="AI219" t="s">
        <v>5550</v>
      </c>
      <c r="AJ219" t="s">
        <v>3948</v>
      </c>
      <c r="AK219">
        <v>0</v>
      </c>
      <c r="AL219">
        <v>0</v>
      </c>
      <c r="AM219" t="s">
        <v>3948</v>
      </c>
      <c r="AN219">
        <v>0</v>
      </c>
      <c r="AO219">
        <v>15500000</v>
      </c>
      <c r="AP219">
        <v>899467</v>
      </c>
      <c r="AQ219">
        <v>0</v>
      </c>
      <c r="AR219">
        <v>16399467</v>
      </c>
      <c r="AS219">
        <v>12990000</v>
      </c>
      <c r="AT219">
        <v>-3409467</v>
      </c>
      <c r="AU219">
        <v>-2625</v>
      </c>
    </row>
    <row r="220" spans="1:47" ht="13.5" customHeight="1" x14ac:dyDescent="0.3">
      <c r="A220" t="s">
        <v>5142</v>
      </c>
      <c r="B220" t="s">
        <v>5180</v>
      </c>
      <c r="C220">
        <v>0</v>
      </c>
      <c r="D220">
        <v>0</v>
      </c>
      <c r="E220" t="s">
        <v>3948</v>
      </c>
      <c r="F220" t="s">
        <v>3948</v>
      </c>
      <c r="G220" t="s">
        <v>3948</v>
      </c>
      <c r="H220" t="s">
        <v>3948</v>
      </c>
      <c r="I220" t="s">
        <v>8103</v>
      </c>
      <c r="J220" t="s">
        <v>3948</v>
      </c>
      <c r="K220" t="s">
        <v>8104</v>
      </c>
      <c r="L220" t="s">
        <v>241</v>
      </c>
      <c r="M220" t="s">
        <v>4791</v>
      </c>
      <c r="N220" t="s">
        <v>8105</v>
      </c>
      <c r="O220" t="s">
        <v>8106</v>
      </c>
      <c r="P220">
        <v>2018</v>
      </c>
      <c r="Q220">
        <v>120000</v>
      </c>
      <c r="R220" t="s">
        <v>8107</v>
      </c>
      <c r="S220" t="s">
        <v>249</v>
      </c>
      <c r="T220" t="s">
        <v>5145</v>
      </c>
      <c r="U220" t="s">
        <v>8108</v>
      </c>
      <c r="V220" t="s">
        <v>5147</v>
      </c>
      <c r="W220">
        <v>14390000</v>
      </c>
      <c r="X220" t="s">
        <v>5148</v>
      </c>
      <c r="Y220">
        <v>1671</v>
      </c>
      <c r="Z220" t="s">
        <v>40</v>
      </c>
      <c r="AA220" t="s">
        <v>5181</v>
      </c>
      <c r="AB220" t="s">
        <v>8109</v>
      </c>
      <c r="AC220" t="s">
        <v>8110</v>
      </c>
      <c r="AD220" t="s">
        <v>8104</v>
      </c>
      <c r="AE220" t="s">
        <v>8111</v>
      </c>
      <c r="AF220" t="s">
        <v>8112</v>
      </c>
      <c r="AG220">
        <v>1</v>
      </c>
      <c r="AH220" t="s">
        <v>8113</v>
      </c>
      <c r="AI220" t="s">
        <v>8113</v>
      </c>
      <c r="AJ220" t="s">
        <v>3948</v>
      </c>
      <c r="AK220">
        <v>0</v>
      </c>
      <c r="AL220">
        <v>0</v>
      </c>
      <c r="AM220" t="s">
        <v>3948</v>
      </c>
      <c r="AN220">
        <v>0</v>
      </c>
      <c r="AO220">
        <v>17650000</v>
      </c>
      <c r="AP220">
        <v>753678</v>
      </c>
      <c r="AQ220">
        <v>0</v>
      </c>
      <c r="AR220">
        <v>18403678</v>
      </c>
      <c r="AS220">
        <v>14390000</v>
      </c>
      <c r="AT220">
        <v>-4013678</v>
      </c>
      <c r="AU220">
        <v>-2789</v>
      </c>
    </row>
    <row r="221" spans="1:47" ht="13.5" customHeight="1" x14ac:dyDescent="0.3">
      <c r="A221" t="s">
        <v>5142</v>
      </c>
      <c r="B221" t="s">
        <v>5143</v>
      </c>
      <c r="C221">
        <v>0</v>
      </c>
      <c r="D221">
        <v>0</v>
      </c>
      <c r="E221" t="s">
        <v>3948</v>
      </c>
      <c r="F221" t="s">
        <v>3948</v>
      </c>
      <c r="G221" t="s">
        <v>3948</v>
      </c>
      <c r="H221" t="s">
        <v>3948</v>
      </c>
      <c r="I221" t="s">
        <v>11660</v>
      </c>
      <c r="J221" t="s">
        <v>3948</v>
      </c>
      <c r="K221" t="s">
        <v>11661</v>
      </c>
      <c r="L221" t="s">
        <v>241</v>
      </c>
      <c r="M221" t="s">
        <v>4791</v>
      </c>
      <c r="N221" t="s">
        <v>247</v>
      </c>
      <c r="O221" t="s">
        <v>5183</v>
      </c>
      <c r="P221">
        <v>2026</v>
      </c>
      <c r="Q221">
        <v>4500</v>
      </c>
      <c r="R221" t="s">
        <v>11662</v>
      </c>
      <c r="S221" t="s">
        <v>416</v>
      </c>
      <c r="T221" t="s">
        <v>5145</v>
      </c>
      <c r="U221" t="s">
        <v>11321</v>
      </c>
      <c r="V221" t="s">
        <v>5147</v>
      </c>
      <c r="W221">
        <v>23490000</v>
      </c>
      <c r="X221" t="s">
        <v>5148</v>
      </c>
      <c r="Y221">
        <v>13</v>
      </c>
      <c r="Z221" t="s">
        <v>20</v>
      </c>
      <c r="AA221" t="s">
        <v>5149</v>
      </c>
      <c r="AB221" t="s">
        <v>3948</v>
      </c>
      <c r="AC221" t="s">
        <v>11663</v>
      </c>
      <c r="AD221" t="s">
        <v>11661</v>
      </c>
      <c r="AE221" t="s">
        <v>11664</v>
      </c>
      <c r="AF221" t="s">
        <v>11468</v>
      </c>
      <c r="AG221">
        <v>1</v>
      </c>
      <c r="AH221" t="s">
        <v>11468</v>
      </c>
      <c r="AI221" t="s">
        <v>11665</v>
      </c>
      <c r="AJ221" t="s">
        <v>3948</v>
      </c>
      <c r="AK221">
        <v>3</v>
      </c>
      <c r="AL221">
        <v>0</v>
      </c>
      <c r="AM221" t="s">
        <v>3948</v>
      </c>
      <c r="AN221">
        <v>0</v>
      </c>
      <c r="AO221">
        <v>20500000</v>
      </c>
      <c r="AP221">
        <v>0</v>
      </c>
      <c r="AQ221">
        <v>0</v>
      </c>
      <c r="AR221">
        <v>20500000</v>
      </c>
      <c r="AS221">
        <v>23490000</v>
      </c>
      <c r="AT221">
        <v>2990000</v>
      </c>
      <c r="AU221">
        <v>1273</v>
      </c>
    </row>
    <row r="222" spans="1:47" ht="13.5" customHeight="1" x14ac:dyDescent="0.3">
      <c r="A222" t="s">
        <v>5142</v>
      </c>
      <c r="B222" t="s">
        <v>5143</v>
      </c>
      <c r="C222">
        <v>0</v>
      </c>
      <c r="D222">
        <v>0</v>
      </c>
      <c r="E222" t="s">
        <v>3948</v>
      </c>
      <c r="F222" t="s">
        <v>3948</v>
      </c>
      <c r="G222" t="s">
        <v>3948</v>
      </c>
      <c r="H222" t="s">
        <v>3948</v>
      </c>
      <c r="I222" t="s">
        <v>10233</v>
      </c>
      <c r="J222" t="s">
        <v>3948</v>
      </c>
      <c r="K222" t="s">
        <v>10234</v>
      </c>
      <c r="L222" t="s">
        <v>237</v>
      </c>
      <c r="M222" t="s">
        <v>65</v>
      </c>
      <c r="N222" t="s">
        <v>4738</v>
      </c>
      <c r="O222" t="s">
        <v>10235</v>
      </c>
      <c r="P222">
        <v>2025</v>
      </c>
      <c r="Q222">
        <v>7991</v>
      </c>
      <c r="R222" t="s">
        <v>10236</v>
      </c>
      <c r="S222" t="s">
        <v>10237</v>
      </c>
      <c r="T222" t="s">
        <v>5145</v>
      </c>
      <c r="U222" t="s">
        <v>10238</v>
      </c>
      <c r="V222" t="s">
        <v>5147</v>
      </c>
      <c r="W222">
        <v>15290000</v>
      </c>
      <c r="X222" t="s">
        <v>5148</v>
      </c>
      <c r="Y222">
        <v>46</v>
      </c>
      <c r="Z222" t="s">
        <v>20</v>
      </c>
      <c r="AA222" t="s">
        <v>5149</v>
      </c>
      <c r="AB222" t="s">
        <v>10239</v>
      </c>
      <c r="AC222" t="s">
        <v>10240</v>
      </c>
      <c r="AD222" t="s">
        <v>10234</v>
      </c>
      <c r="AE222" t="s">
        <v>10241</v>
      </c>
      <c r="AF222" t="s">
        <v>5633</v>
      </c>
      <c r="AG222">
        <v>1</v>
      </c>
      <c r="AH222" t="s">
        <v>5633</v>
      </c>
      <c r="AI222" t="s">
        <v>10242</v>
      </c>
      <c r="AJ222" t="s">
        <v>3948</v>
      </c>
      <c r="AK222">
        <v>1</v>
      </c>
      <c r="AL222">
        <v>0</v>
      </c>
      <c r="AM222" t="s">
        <v>3948</v>
      </c>
      <c r="AN222">
        <v>0</v>
      </c>
      <c r="AO222">
        <v>13800000</v>
      </c>
      <c r="AP222">
        <v>336240</v>
      </c>
      <c r="AQ222">
        <v>0</v>
      </c>
      <c r="AR222">
        <v>14136240</v>
      </c>
      <c r="AS222">
        <v>15290000</v>
      </c>
      <c r="AT222">
        <v>1153760</v>
      </c>
      <c r="AU222">
        <v>755</v>
      </c>
    </row>
    <row r="223" spans="1:47" ht="13.5" customHeight="1" x14ac:dyDescent="0.3">
      <c r="A223" t="s">
        <v>5142</v>
      </c>
      <c r="B223" t="s">
        <v>5161</v>
      </c>
      <c r="C223">
        <v>0</v>
      </c>
      <c r="D223">
        <v>0</v>
      </c>
      <c r="E223" t="s">
        <v>3948</v>
      </c>
      <c r="F223" t="s">
        <v>3948</v>
      </c>
      <c r="G223" t="s">
        <v>3948</v>
      </c>
      <c r="H223" t="s">
        <v>3948</v>
      </c>
      <c r="I223" t="s">
        <v>11017</v>
      </c>
      <c r="J223" t="s">
        <v>3948</v>
      </c>
      <c r="K223" t="s">
        <v>11018</v>
      </c>
      <c r="L223" t="s">
        <v>2494</v>
      </c>
      <c r="M223" t="s">
        <v>10292</v>
      </c>
      <c r="N223" t="s">
        <v>11019</v>
      </c>
      <c r="O223" t="s">
        <v>11020</v>
      </c>
      <c r="P223">
        <v>2026</v>
      </c>
      <c r="Q223">
        <v>15600</v>
      </c>
      <c r="R223" t="s">
        <v>11021</v>
      </c>
      <c r="S223" t="s">
        <v>10860</v>
      </c>
      <c r="T223" t="s">
        <v>5145</v>
      </c>
      <c r="U223" t="s">
        <v>5179</v>
      </c>
      <c r="V223" t="s">
        <v>5147</v>
      </c>
      <c r="W223">
        <v>14200000</v>
      </c>
      <c r="X223" t="s">
        <v>5148</v>
      </c>
      <c r="Y223">
        <v>21</v>
      </c>
      <c r="Z223" t="s">
        <v>16</v>
      </c>
      <c r="AA223" t="s">
        <v>5166</v>
      </c>
      <c r="AB223" t="s">
        <v>3948</v>
      </c>
      <c r="AC223" t="s">
        <v>11022</v>
      </c>
      <c r="AD223" t="s">
        <v>11018</v>
      </c>
      <c r="AE223" t="s">
        <v>11023</v>
      </c>
      <c r="AF223" t="s">
        <v>11024</v>
      </c>
      <c r="AG223">
        <v>1</v>
      </c>
      <c r="AH223" t="s">
        <v>11024</v>
      </c>
      <c r="AI223" t="s">
        <v>11025</v>
      </c>
      <c r="AJ223" t="s">
        <v>3948</v>
      </c>
      <c r="AK223">
        <v>1</v>
      </c>
      <c r="AL223">
        <v>0</v>
      </c>
      <c r="AM223" t="s">
        <v>3948</v>
      </c>
      <c r="AN223">
        <v>0</v>
      </c>
      <c r="AO223">
        <v>11550000</v>
      </c>
      <c r="AP223">
        <v>302490</v>
      </c>
      <c r="AQ223">
        <v>0</v>
      </c>
      <c r="AR223">
        <v>11852490</v>
      </c>
      <c r="AS223">
        <v>14200000</v>
      </c>
      <c r="AT223">
        <v>2347510</v>
      </c>
      <c r="AU223">
        <v>1653</v>
      </c>
    </row>
    <row r="224" spans="1:47" ht="13.5" customHeight="1" x14ac:dyDescent="0.3">
      <c r="A224" t="s">
        <v>5142</v>
      </c>
      <c r="B224" t="s">
        <v>5170</v>
      </c>
      <c r="C224">
        <v>0</v>
      </c>
      <c r="D224">
        <v>0</v>
      </c>
      <c r="E224" t="s">
        <v>3948</v>
      </c>
      <c r="F224" t="s">
        <v>3948</v>
      </c>
      <c r="G224" t="s">
        <v>3948</v>
      </c>
      <c r="H224" t="s">
        <v>3948</v>
      </c>
      <c r="I224" t="s">
        <v>5624</v>
      </c>
      <c r="J224" t="s">
        <v>3948</v>
      </c>
      <c r="K224" t="s">
        <v>5419</v>
      </c>
      <c r="L224" t="s">
        <v>207</v>
      </c>
      <c r="M224" t="s">
        <v>208</v>
      </c>
      <c r="N224" t="s">
        <v>209</v>
      </c>
      <c r="O224" t="s">
        <v>5420</v>
      </c>
      <c r="P224">
        <v>2025</v>
      </c>
      <c r="Q224">
        <v>39700</v>
      </c>
      <c r="R224" t="s">
        <v>5421</v>
      </c>
      <c r="S224" t="s">
        <v>210</v>
      </c>
      <c r="T224" t="s">
        <v>5145</v>
      </c>
      <c r="U224" t="s">
        <v>5422</v>
      </c>
      <c r="V224" t="s">
        <v>5147</v>
      </c>
      <c r="W224">
        <v>19990000</v>
      </c>
      <c r="X224" t="s">
        <v>5148</v>
      </c>
      <c r="Y224">
        <v>139</v>
      </c>
      <c r="Z224" t="s">
        <v>26</v>
      </c>
      <c r="AA224" t="s">
        <v>5175</v>
      </c>
      <c r="AB224" t="s">
        <v>5158</v>
      </c>
      <c r="AC224" t="s">
        <v>5423</v>
      </c>
      <c r="AD224" t="s">
        <v>5419</v>
      </c>
      <c r="AE224" t="s">
        <v>5424</v>
      </c>
      <c r="AF224" t="s">
        <v>5563</v>
      </c>
      <c r="AG224">
        <v>1</v>
      </c>
      <c r="AH224" t="s">
        <v>5563</v>
      </c>
      <c r="AI224" t="s">
        <v>5625</v>
      </c>
      <c r="AJ224" t="s">
        <v>3948</v>
      </c>
      <c r="AK224">
        <v>1</v>
      </c>
      <c r="AL224">
        <v>0</v>
      </c>
      <c r="AM224" t="s">
        <v>3948</v>
      </c>
      <c r="AN224">
        <v>0</v>
      </c>
      <c r="AO224">
        <v>18300000</v>
      </c>
      <c r="AP224">
        <v>403740</v>
      </c>
      <c r="AQ224">
        <v>0</v>
      </c>
      <c r="AR224">
        <v>18703740</v>
      </c>
      <c r="AS224">
        <v>19990000</v>
      </c>
      <c r="AT224">
        <v>1286260</v>
      </c>
      <c r="AU224">
        <v>643</v>
      </c>
    </row>
    <row r="225" spans="1:47" ht="13.5" customHeight="1" x14ac:dyDescent="0.3">
      <c r="A225" t="s">
        <v>5142</v>
      </c>
      <c r="B225" t="s">
        <v>8596</v>
      </c>
      <c r="C225">
        <v>0</v>
      </c>
      <c r="D225">
        <v>0</v>
      </c>
      <c r="E225" t="s">
        <v>3948</v>
      </c>
      <c r="F225" t="s">
        <v>3948</v>
      </c>
      <c r="G225" t="s">
        <v>3948</v>
      </c>
      <c r="H225" t="s">
        <v>3948</v>
      </c>
      <c r="I225" t="s">
        <v>11087</v>
      </c>
      <c r="J225" t="s">
        <v>3948</v>
      </c>
      <c r="K225" t="s">
        <v>11088</v>
      </c>
      <c r="L225" t="s">
        <v>214</v>
      </c>
      <c r="M225" t="s">
        <v>3787</v>
      </c>
      <c r="N225" t="s">
        <v>4625</v>
      </c>
      <c r="O225" t="s">
        <v>11089</v>
      </c>
      <c r="P225">
        <v>2024</v>
      </c>
      <c r="Q225">
        <v>28945</v>
      </c>
      <c r="R225" t="s">
        <v>11090</v>
      </c>
      <c r="S225" t="s">
        <v>11091</v>
      </c>
      <c r="T225" t="s">
        <v>5145</v>
      </c>
      <c r="U225" t="s">
        <v>5373</v>
      </c>
      <c r="V225" t="s">
        <v>5147</v>
      </c>
      <c r="W225">
        <v>13490000</v>
      </c>
      <c r="X225" t="s">
        <v>5148</v>
      </c>
      <c r="Y225">
        <v>26</v>
      </c>
      <c r="Z225" t="s">
        <v>26</v>
      </c>
      <c r="AA225" t="s">
        <v>8596</v>
      </c>
      <c r="AB225" t="s">
        <v>3948</v>
      </c>
      <c r="AC225" t="s">
        <v>11092</v>
      </c>
      <c r="AD225" t="s">
        <v>11088</v>
      </c>
      <c r="AE225" t="s">
        <v>11093</v>
      </c>
      <c r="AF225" t="s">
        <v>10999</v>
      </c>
      <c r="AG225">
        <v>1</v>
      </c>
      <c r="AH225" t="s">
        <v>10999</v>
      </c>
      <c r="AI225" t="s">
        <v>11094</v>
      </c>
      <c r="AJ225" t="s">
        <v>3948</v>
      </c>
      <c r="AK225">
        <v>1</v>
      </c>
      <c r="AL225">
        <v>0</v>
      </c>
      <c r="AM225" t="s">
        <v>3948</v>
      </c>
      <c r="AN225">
        <v>0</v>
      </c>
      <c r="AO225">
        <v>11500000</v>
      </c>
      <c r="AP225">
        <v>301740</v>
      </c>
      <c r="AQ225">
        <v>0</v>
      </c>
      <c r="AR225">
        <v>11801740</v>
      </c>
      <c r="AS225">
        <v>13490000</v>
      </c>
      <c r="AT225">
        <v>1688260</v>
      </c>
      <c r="AU225">
        <v>1251</v>
      </c>
    </row>
    <row r="226" spans="1:47" ht="13.5" customHeight="1" x14ac:dyDescent="0.3">
      <c r="A226" t="s">
        <v>5142</v>
      </c>
      <c r="B226" t="s">
        <v>5180</v>
      </c>
      <c r="C226">
        <v>0</v>
      </c>
      <c r="D226">
        <v>0</v>
      </c>
      <c r="E226" t="s">
        <v>3948</v>
      </c>
      <c r="F226" t="s">
        <v>3948</v>
      </c>
      <c r="G226" t="s">
        <v>3948</v>
      </c>
      <c r="H226" t="s">
        <v>3948</v>
      </c>
      <c r="I226" t="s">
        <v>8060</v>
      </c>
      <c r="J226" t="s">
        <v>3948</v>
      </c>
      <c r="K226" t="s">
        <v>8061</v>
      </c>
      <c r="L226" t="s">
        <v>180</v>
      </c>
      <c r="M226" t="s">
        <v>183</v>
      </c>
      <c r="N226" t="s">
        <v>184</v>
      </c>
      <c r="O226" t="s">
        <v>8062</v>
      </c>
      <c r="P226">
        <v>2013</v>
      </c>
      <c r="Q226">
        <v>160000</v>
      </c>
      <c r="R226" t="s">
        <v>8063</v>
      </c>
      <c r="S226" t="s">
        <v>185</v>
      </c>
      <c r="T226" t="s">
        <v>5145</v>
      </c>
      <c r="U226" t="s">
        <v>5270</v>
      </c>
      <c r="V226" t="s">
        <v>5147</v>
      </c>
      <c r="W226">
        <v>11490000</v>
      </c>
      <c r="X226" t="s">
        <v>5148</v>
      </c>
      <c r="Y226">
        <v>1560</v>
      </c>
      <c r="Z226" t="s">
        <v>63</v>
      </c>
      <c r="AA226" t="s">
        <v>5181</v>
      </c>
      <c r="AB226" t="s">
        <v>8064</v>
      </c>
      <c r="AC226" t="s">
        <v>8065</v>
      </c>
      <c r="AD226" t="s">
        <v>8061</v>
      </c>
      <c r="AE226" t="s">
        <v>8066</v>
      </c>
      <c r="AF226" t="s">
        <v>8067</v>
      </c>
      <c r="AG226">
        <v>1</v>
      </c>
      <c r="AH226" t="s">
        <v>8067</v>
      </c>
      <c r="AI226" t="s">
        <v>8068</v>
      </c>
      <c r="AJ226" t="s">
        <v>3948</v>
      </c>
      <c r="AK226">
        <v>0</v>
      </c>
      <c r="AL226">
        <v>0</v>
      </c>
      <c r="AM226" t="s">
        <v>3948</v>
      </c>
      <c r="AN226">
        <v>0</v>
      </c>
      <c r="AO226">
        <v>13800000</v>
      </c>
      <c r="AP226">
        <v>513046</v>
      </c>
      <c r="AQ226">
        <v>0</v>
      </c>
      <c r="AR226">
        <v>14313046</v>
      </c>
      <c r="AS226">
        <v>11490000</v>
      </c>
      <c r="AT226">
        <v>-2823046</v>
      </c>
      <c r="AU226">
        <v>-2457</v>
      </c>
    </row>
    <row r="227" spans="1:47" ht="13.5" customHeight="1" x14ac:dyDescent="0.3">
      <c r="A227" t="s">
        <v>5142</v>
      </c>
      <c r="B227" t="s">
        <v>5143</v>
      </c>
      <c r="C227">
        <v>0</v>
      </c>
      <c r="D227">
        <v>0</v>
      </c>
      <c r="E227" t="s">
        <v>3948</v>
      </c>
      <c r="F227" t="s">
        <v>3948</v>
      </c>
      <c r="G227" t="s">
        <v>3948</v>
      </c>
      <c r="H227" t="s">
        <v>3948</v>
      </c>
      <c r="I227" t="s">
        <v>10956</v>
      </c>
      <c r="J227" t="s">
        <v>3948</v>
      </c>
      <c r="K227" t="s">
        <v>10957</v>
      </c>
      <c r="L227" t="s">
        <v>86</v>
      </c>
      <c r="M227" t="s">
        <v>111</v>
      </c>
      <c r="N227" t="s">
        <v>10958</v>
      </c>
      <c r="O227" t="s">
        <v>10959</v>
      </c>
      <c r="P227">
        <v>2024</v>
      </c>
      <c r="Q227">
        <v>61400</v>
      </c>
      <c r="R227" t="s">
        <v>10960</v>
      </c>
      <c r="S227" t="s">
        <v>7497</v>
      </c>
      <c r="T227" t="s">
        <v>5145</v>
      </c>
      <c r="U227" t="s">
        <v>10282</v>
      </c>
      <c r="V227" t="s">
        <v>5147</v>
      </c>
      <c r="W227">
        <v>41290000</v>
      </c>
      <c r="X227" t="s">
        <v>5148</v>
      </c>
      <c r="Y227">
        <v>19</v>
      </c>
      <c r="Z227" t="s">
        <v>20</v>
      </c>
      <c r="AA227" t="s">
        <v>5149</v>
      </c>
      <c r="AB227" t="s">
        <v>3948</v>
      </c>
      <c r="AC227" t="s">
        <v>10961</v>
      </c>
      <c r="AD227" t="s">
        <v>10957</v>
      </c>
      <c r="AE227" t="s">
        <v>10962</v>
      </c>
      <c r="AF227" t="s">
        <v>10909</v>
      </c>
      <c r="AG227">
        <v>1</v>
      </c>
      <c r="AH227" t="s">
        <v>10909</v>
      </c>
      <c r="AI227" t="s">
        <v>10963</v>
      </c>
      <c r="AJ227" t="s">
        <v>3948</v>
      </c>
      <c r="AK227">
        <v>3</v>
      </c>
      <c r="AL227">
        <v>0</v>
      </c>
      <c r="AM227" t="s">
        <v>3948</v>
      </c>
      <c r="AN227">
        <v>0</v>
      </c>
      <c r="AO227">
        <v>34750000</v>
      </c>
      <c r="AP227">
        <v>650490</v>
      </c>
      <c r="AQ227">
        <v>0</v>
      </c>
      <c r="AR227">
        <v>35400490</v>
      </c>
      <c r="AS227">
        <v>41290000</v>
      </c>
      <c r="AT227">
        <v>5889510</v>
      </c>
      <c r="AU227">
        <v>1426</v>
      </c>
    </row>
    <row r="228" spans="1:47" ht="13.5" customHeight="1" x14ac:dyDescent="0.3">
      <c r="A228" t="s">
        <v>5142</v>
      </c>
      <c r="B228" t="s">
        <v>5143</v>
      </c>
      <c r="C228">
        <v>0</v>
      </c>
      <c r="D228">
        <v>0</v>
      </c>
      <c r="E228" t="s">
        <v>3948</v>
      </c>
      <c r="F228" t="s">
        <v>3948</v>
      </c>
      <c r="G228" t="s">
        <v>3948</v>
      </c>
      <c r="H228" t="s">
        <v>3948</v>
      </c>
      <c r="I228" t="s">
        <v>11666</v>
      </c>
      <c r="J228" t="s">
        <v>3948</v>
      </c>
      <c r="K228" t="s">
        <v>11667</v>
      </c>
      <c r="L228" t="s">
        <v>167</v>
      </c>
      <c r="M228" t="s">
        <v>170</v>
      </c>
      <c r="N228" t="s">
        <v>11668</v>
      </c>
      <c r="O228" t="s">
        <v>11669</v>
      </c>
      <c r="P228">
        <v>2023</v>
      </c>
      <c r="Q228">
        <v>54000</v>
      </c>
      <c r="R228" t="s">
        <v>11670</v>
      </c>
      <c r="S228" t="s">
        <v>11671</v>
      </c>
      <c r="T228" t="s">
        <v>5145</v>
      </c>
      <c r="U228" t="s">
        <v>5209</v>
      </c>
      <c r="V228" t="s">
        <v>5147</v>
      </c>
      <c r="W228">
        <v>11990000</v>
      </c>
      <c r="X228" t="s">
        <v>5148</v>
      </c>
      <c r="Y228">
        <v>1</v>
      </c>
      <c r="Z228" t="s">
        <v>16</v>
      </c>
      <c r="AA228" t="s">
        <v>5149</v>
      </c>
      <c r="AB228" t="s">
        <v>3948</v>
      </c>
      <c r="AC228" t="s">
        <v>11672</v>
      </c>
      <c r="AD228" t="s">
        <v>11673</v>
      </c>
      <c r="AE228" t="s">
        <v>11674</v>
      </c>
      <c r="AF228" t="s">
        <v>11520</v>
      </c>
      <c r="AG228">
        <v>1</v>
      </c>
      <c r="AH228" t="s">
        <v>11520</v>
      </c>
      <c r="AI228" t="s">
        <v>11675</v>
      </c>
      <c r="AJ228" t="s">
        <v>3948</v>
      </c>
      <c r="AK228">
        <v>4</v>
      </c>
      <c r="AL228">
        <v>0</v>
      </c>
      <c r="AM228" t="s">
        <v>3948</v>
      </c>
      <c r="AN228">
        <v>0</v>
      </c>
      <c r="AO228">
        <v>9750000</v>
      </c>
      <c r="AP228">
        <v>275490</v>
      </c>
      <c r="AQ228">
        <v>0</v>
      </c>
      <c r="AR228">
        <v>10025490</v>
      </c>
      <c r="AS228">
        <v>11990000</v>
      </c>
      <c r="AT228">
        <v>1964510</v>
      </c>
      <c r="AU228">
        <v>1638</v>
      </c>
    </row>
    <row r="229" spans="1:47" ht="13.5" customHeight="1" x14ac:dyDescent="0.3">
      <c r="A229" t="s">
        <v>5142</v>
      </c>
      <c r="B229" t="s">
        <v>5143</v>
      </c>
      <c r="C229">
        <v>0</v>
      </c>
      <c r="D229">
        <v>0</v>
      </c>
      <c r="E229" t="s">
        <v>3948</v>
      </c>
      <c r="F229" t="s">
        <v>3948</v>
      </c>
      <c r="G229" t="s">
        <v>3948</v>
      </c>
      <c r="H229" t="s">
        <v>3948</v>
      </c>
      <c r="I229" t="s">
        <v>11035</v>
      </c>
      <c r="J229" t="s">
        <v>3948</v>
      </c>
      <c r="K229" t="s">
        <v>11036</v>
      </c>
      <c r="L229" t="s">
        <v>220</v>
      </c>
      <c r="M229" t="s">
        <v>223</v>
      </c>
      <c r="N229" t="s">
        <v>4692</v>
      </c>
      <c r="O229" t="s">
        <v>11037</v>
      </c>
      <c r="P229">
        <v>2024</v>
      </c>
      <c r="Q229">
        <v>19000</v>
      </c>
      <c r="R229" t="s">
        <v>11038</v>
      </c>
      <c r="S229" t="s">
        <v>929</v>
      </c>
      <c r="T229" t="s">
        <v>5145</v>
      </c>
      <c r="U229" t="s">
        <v>5151</v>
      </c>
      <c r="V229" t="s">
        <v>5147</v>
      </c>
      <c r="W229">
        <v>19790000</v>
      </c>
      <c r="X229" t="s">
        <v>5148</v>
      </c>
      <c r="Y229">
        <v>26</v>
      </c>
      <c r="Z229" t="s">
        <v>26</v>
      </c>
      <c r="AA229" t="s">
        <v>5149</v>
      </c>
      <c r="AB229" t="s">
        <v>3948</v>
      </c>
      <c r="AC229" t="s">
        <v>11039</v>
      </c>
      <c r="AD229" t="s">
        <v>11036</v>
      </c>
      <c r="AE229" t="s">
        <v>5153</v>
      </c>
      <c r="AF229" t="s">
        <v>10999</v>
      </c>
      <c r="AG229">
        <v>1</v>
      </c>
      <c r="AH229" t="s">
        <v>10999</v>
      </c>
      <c r="AI229" t="s">
        <v>11040</v>
      </c>
      <c r="AJ229" t="s">
        <v>3948</v>
      </c>
      <c r="AK229">
        <v>3</v>
      </c>
      <c r="AL229">
        <v>0</v>
      </c>
      <c r="AM229" t="s">
        <v>3948</v>
      </c>
      <c r="AN229">
        <v>0</v>
      </c>
      <c r="AO229">
        <v>16700000</v>
      </c>
      <c r="AP229">
        <v>379740</v>
      </c>
      <c r="AQ229">
        <v>0</v>
      </c>
      <c r="AR229">
        <v>17079740</v>
      </c>
      <c r="AS229">
        <v>19790000</v>
      </c>
      <c r="AT229">
        <v>2710260</v>
      </c>
      <c r="AU229">
        <v>137</v>
      </c>
    </row>
    <row r="230" spans="1:47" ht="13.5" customHeight="1" x14ac:dyDescent="0.3">
      <c r="A230" t="s">
        <v>5142</v>
      </c>
      <c r="B230" t="s">
        <v>5161</v>
      </c>
      <c r="C230">
        <v>0</v>
      </c>
      <c r="D230">
        <v>0</v>
      </c>
      <c r="E230" t="s">
        <v>3948</v>
      </c>
      <c r="F230" t="s">
        <v>3948</v>
      </c>
      <c r="G230" t="s">
        <v>3948</v>
      </c>
      <c r="H230" t="s">
        <v>3948</v>
      </c>
      <c r="I230" t="s">
        <v>10135</v>
      </c>
      <c r="J230" t="s">
        <v>3948</v>
      </c>
      <c r="K230" t="s">
        <v>10136</v>
      </c>
      <c r="L230" t="s">
        <v>60</v>
      </c>
      <c r="M230" t="s">
        <v>61</v>
      </c>
      <c r="N230" t="s">
        <v>4109</v>
      </c>
      <c r="O230" t="s">
        <v>9790</v>
      </c>
      <c r="P230">
        <v>2024</v>
      </c>
      <c r="Q230">
        <v>16831</v>
      </c>
      <c r="R230" t="s">
        <v>10137</v>
      </c>
      <c r="S230" t="s">
        <v>9995</v>
      </c>
      <c r="T230" t="s">
        <v>5145</v>
      </c>
      <c r="U230" t="s">
        <v>10138</v>
      </c>
      <c r="V230" t="s">
        <v>5147</v>
      </c>
      <c r="W230">
        <v>8290000</v>
      </c>
      <c r="X230" t="s">
        <v>5148</v>
      </c>
      <c r="Y230">
        <v>50</v>
      </c>
      <c r="Z230" t="s">
        <v>16</v>
      </c>
      <c r="AA230" t="s">
        <v>5166</v>
      </c>
      <c r="AB230" t="s">
        <v>10139</v>
      </c>
      <c r="AC230" t="s">
        <v>10140</v>
      </c>
      <c r="AD230" t="s">
        <v>10141</v>
      </c>
      <c r="AE230" t="s">
        <v>10142</v>
      </c>
      <c r="AF230" t="s">
        <v>10143</v>
      </c>
      <c r="AG230">
        <v>1</v>
      </c>
      <c r="AH230" t="s">
        <v>10278</v>
      </c>
      <c r="AI230" t="s">
        <v>10278</v>
      </c>
      <c r="AJ230" t="s">
        <v>3948</v>
      </c>
      <c r="AK230">
        <v>1</v>
      </c>
      <c r="AL230">
        <v>0</v>
      </c>
      <c r="AM230" t="s">
        <v>3948</v>
      </c>
      <c r="AN230">
        <v>0</v>
      </c>
      <c r="AO230">
        <v>6650000</v>
      </c>
      <c r="AP230">
        <v>228990</v>
      </c>
      <c r="AQ230">
        <v>0</v>
      </c>
      <c r="AR230">
        <v>6878990</v>
      </c>
      <c r="AS230">
        <v>8290000</v>
      </c>
      <c r="AT230">
        <v>1411010</v>
      </c>
      <c r="AU230">
        <v>1702</v>
      </c>
    </row>
    <row r="231" spans="1:47" ht="13.5" customHeight="1" x14ac:dyDescent="0.3">
      <c r="A231" t="s">
        <v>5142</v>
      </c>
      <c r="B231" t="s">
        <v>5143</v>
      </c>
      <c r="C231">
        <v>0</v>
      </c>
      <c r="D231">
        <v>0</v>
      </c>
      <c r="E231" t="s">
        <v>3948</v>
      </c>
      <c r="F231" t="s">
        <v>3948</v>
      </c>
      <c r="G231" t="s">
        <v>3948</v>
      </c>
      <c r="H231" t="s">
        <v>3948</v>
      </c>
      <c r="I231" t="s">
        <v>11676</v>
      </c>
      <c r="J231" t="s">
        <v>3948</v>
      </c>
      <c r="K231" t="s">
        <v>11677</v>
      </c>
      <c r="L231" t="s">
        <v>86</v>
      </c>
      <c r="M231" t="s">
        <v>122</v>
      </c>
      <c r="N231" t="s">
        <v>11678</v>
      </c>
      <c r="O231" t="s">
        <v>11679</v>
      </c>
      <c r="P231">
        <v>2020</v>
      </c>
      <c r="Q231">
        <v>34289</v>
      </c>
      <c r="R231" t="s">
        <v>11680</v>
      </c>
      <c r="S231" t="s">
        <v>11681</v>
      </c>
      <c r="T231" t="s">
        <v>5145</v>
      </c>
      <c r="U231" t="s">
        <v>5369</v>
      </c>
      <c r="V231" t="s">
        <v>5147</v>
      </c>
      <c r="W231">
        <v>14590000</v>
      </c>
      <c r="X231" t="s">
        <v>5148</v>
      </c>
      <c r="Y231">
        <v>1</v>
      </c>
      <c r="Z231" t="s">
        <v>16</v>
      </c>
      <c r="AA231" t="s">
        <v>5149</v>
      </c>
      <c r="AB231" t="s">
        <v>3948</v>
      </c>
      <c r="AC231" t="s">
        <v>11682</v>
      </c>
      <c r="AD231" t="s">
        <v>11677</v>
      </c>
      <c r="AE231" t="s">
        <v>11683</v>
      </c>
      <c r="AF231" t="s">
        <v>11520</v>
      </c>
      <c r="AG231">
        <v>1</v>
      </c>
      <c r="AH231" t="s">
        <v>11520</v>
      </c>
      <c r="AI231" t="s">
        <v>11684</v>
      </c>
      <c r="AJ231" t="s">
        <v>3948</v>
      </c>
      <c r="AK231">
        <v>1</v>
      </c>
      <c r="AL231">
        <v>0</v>
      </c>
      <c r="AM231" t="s">
        <v>3948</v>
      </c>
      <c r="AN231">
        <v>0</v>
      </c>
      <c r="AO231">
        <v>11600000</v>
      </c>
      <c r="AP231">
        <v>303240</v>
      </c>
      <c r="AQ231">
        <v>0</v>
      </c>
      <c r="AR231">
        <v>11903240</v>
      </c>
      <c r="AS231">
        <v>14590000</v>
      </c>
      <c r="AT231">
        <v>2686760</v>
      </c>
      <c r="AU231">
        <v>1842</v>
      </c>
    </row>
    <row r="232" spans="1:47" ht="13.5" customHeight="1" x14ac:dyDescent="0.3">
      <c r="A232" t="s">
        <v>5142</v>
      </c>
      <c r="B232" t="s">
        <v>5143</v>
      </c>
      <c r="C232">
        <v>0</v>
      </c>
      <c r="D232">
        <v>0</v>
      </c>
      <c r="E232" t="s">
        <v>3948</v>
      </c>
      <c r="F232" t="s">
        <v>3948</v>
      </c>
      <c r="G232" t="s">
        <v>3948</v>
      </c>
      <c r="H232" t="s">
        <v>3948</v>
      </c>
      <c r="I232" t="s">
        <v>9808</v>
      </c>
      <c r="J232" t="s">
        <v>3948</v>
      </c>
      <c r="K232" t="s">
        <v>9809</v>
      </c>
      <c r="L232" t="s">
        <v>86</v>
      </c>
      <c r="M232" t="s">
        <v>98</v>
      </c>
      <c r="N232" t="s">
        <v>4207</v>
      </c>
      <c r="O232" t="s">
        <v>9810</v>
      </c>
      <c r="P232">
        <v>2018</v>
      </c>
      <c r="Q232">
        <v>66252</v>
      </c>
      <c r="R232" t="s">
        <v>9811</v>
      </c>
      <c r="S232" t="s">
        <v>3827</v>
      </c>
      <c r="T232" t="s">
        <v>5145</v>
      </c>
      <c r="U232" t="s">
        <v>5361</v>
      </c>
      <c r="V232" t="s">
        <v>5147</v>
      </c>
      <c r="W232">
        <v>10490000</v>
      </c>
      <c r="X232" t="s">
        <v>5148</v>
      </c>
      <c r="Y232">
        <v>108</v>
      </c>
      <c r="Z232" t="s">
        <v>116</v>
      </c>
      <c r="AA232" t="s">
        <v>5149</v>
      </c>
      <c r="AB232" t="s">
        <v>5150</v>
      </c>
      <c r="AC232" t="s">
        <v>9812</v>
      </c>
      <c r="AD232" t="s">
        <v>9809</v>
      </c>
      <c r="AE232" t="s">
        <v>9813</v>
      </c>
      <c r="AF232" t="s">
        <v>7825</v>
      </c>
      <c r="AG232">
        <v>1</v>
      </c>
      <c r="AH232" t="s">
        <v>7825</v>
      </c>
      <c r="AI232" t="s">
        <v>9814</v>
      </c>
      <c r="AJ232" t="s">
        <v>9815</v>
      </c>
      <c r="AK232">
        <v>1</v>
      </c>
      <c r="AL232">
        <v>0</v>
      </c>
      <c r="AM232" t="s">
        <v>3948</v>
      </c>
      <c r="AN232">
        <v>0</v>
      </c>
      <c r="AO232">
        <v>8600000</v>
      </c>
      <c r="AP232">
        <v>258240</v>
      </c>
      <c r="AQ232">
        <v>0</v>
      </c>
      <c r="AR232">
        <v>8858240</v>
      </c>
      <c r="AS232">
        <v>10490000</v>
      </c>
      <c r="AT232">
        <v>1631760</v>
      </c>
      <c r="AU232">
        <v>1556</v>
      </c>
    </row>
    <row r="233" spans="1:47" ht="13.5" customHeight="1" x14ac:dyDescent="0.3">
      <c r="A233" t="s">
        <v>5142</v>
      </c>
      <c r="B233" t="s">
        <v>5161</v>
      </c>
      <c r="C233">
        <v>0</v>
      </c>
      <c r="D233">
        <v>0</v>
      </c>
      <c r="E233" t="s">
        <v>3948</v>
      </c>
      <c r="F233" t="s">
        <v>3948</v>
      </c>
      <c r="G233" t="s">
        <v>3948</v>
      </c>
      <c r="H233" t="s">
        <v>3948</v>
      </c>
      <c r="I233" t="s">
        <v>11096</v>
      </c>
      <c r="J233" t="s">
        <v>3948</v>
      </c>
      <c r="K233" t="s">
        <v>11097</v>
      </c>
      <c r="L233" t="s">
        <v>317</v>
      </c>
      <c r="M233" t="s">
        <v>318</v>
      </c>
      <c r="N233" t="s">
        <v>11098</v>
      </c>
      <c r="O233" t="s">
        <v>11099</v>
      </c>
      <c r="P233">
        <v>2022</v>
      </c>
      <c r="Q233">
        <v>65000</v>
      </c>
      <c r="R233" t="s">
        <v>11100</v>
      </c>
      <c r="S233" t="s">
        <v>319</v>
      </c>
      <c r="T233" t="s">
        <v>5145</v>
      </c>
      <c r="U233" t="s">
        <v>5179</v>
      </c>
      <c r="V233" t="s">
        <v>5147</v>
      </c>
      <c r="W233">
        <v>13690000</v>
      </c>
      <c r="X233" t="s">
        <v>5148</v>
      </c>
      <c r="Y233">
        <v>162</v>
      </c>
      <c r="Z233" t="s">
        <v>63</v>
      </c>
      <c r="AA233" t="s">
        <v>5166</v>
      </c>
      <c r="AB233" t="s">
        <v>11101</v>
      </c>
      <c r="AC233" t="s">
        <v>11102</v>
      </c>
      <c r="AD233" t="s">
        <v>11097</v>
      </c>
      <c r="AE233" t="s">
        <v>11103</v>
      </c>
      <c r="AF233" t="s">
        <v>5480</v>
      </c>
      <c r="AG233">
        <v>1</v>
      </c>
      <c r="AH233" t="s">
        <v>5480</v>
      </c>
      <c r="AI233" t="s">
        <v>11104</v>
      </c>
      <c r="AJ233" t="s">
        <v>3948</v>
      </c>
      <c r="AK233">
        <v>1</v>
      </c>
      <c r="AL233">
        <v>0</v>
      </c>
      <c r="AM233" t="s">
        <v>3948</v>
      </c>
      <c r="AN233">
        <v>0</v>
      </c>
      <c r="AO233">
        <v>11500000</v>
      </c>
      <c r="AP233">
        <v>301740</v>
      </c>
      <c r="AQ233">
        <v>0</v>
      </c>
      <c r="AR233">
        <v>11801740</v>
      </c>
      <c r="AS233">
        <v>13690000</v>
      </c>
      <c r="AT233">
        <v>1888260</v>
      </c>
      <c r="AU233">
        <v>1379</v>
      </c>
    </row>
    <row r="234" spans="1:47" ht="13.5" customHeight="1" x14ac:dyDescent="0.3">
      <c r="A234" t="s">
        <v>5142</v>
      </c>
      <c r="B234" t="s">
        <v>5143</v>
      </c>
      <c r="C234">
        <v>0</v>
      </c>
      <c r="D234">
        <v>0</v>
      </c>
      <c r="E234" t="s">
        <v>3948</v>
      </c>
      <c r="F234" t="s">
        <v>3948</v>
      </c>
      <c r="G234" t="s">
        <v>3948</v>
      </c>
      <c r="H234" t="s">
        <v>3948</v>
      </c>
      <c r="I234" t="s">
        <v>11685</v>
      </c>
      <c r="J234" t="s">
        <v>3948</v>
      </c>
      <c r="K234" t="s">
        <v>11686</v>
      </c>
      <c r="L234" t="s">
        <v>86</v>
      </c>
      <c r="M234" t="s">
        <v>106</v>
      </c>
      <c r="N234" t="s">
        <v>8181</v>
      </c>
      <c r="O234" t="s">
        <v>8182</v>
      </c>
      <c r="P234">
        <v>2025</v>
      </c>
      <c r="Q234">
        <v>20600</v>
      </c>
      <c r="R234" t="s">
        <v>11687</v>
      </c>
      <c r="S234" t="s">
        <v>11688</v>
      </c>
      <c r="T234" t="s">
        <v>5145</v>
      </c>
      <c r="U234" t="s">
        <v>8739</v>
      </c>
      <c r="V234" t="s">
        <v>5147</v>
      </c>
      <c r="W234">
        <v>35590000</v>
      </c>
      <c r="X234" t="s">
        <v>5148</v>
      </c>
      <c r="Y234">
        <v>14</v>
      </c>
      <c r="Z234" t="s">
        <v>40</v>
      </c>
      <c r="AA234" t="s">
        <v>5149</v>
      </c>
      <c r="AB234" t="s">
        <v>5338</v>
      </c>
      <c r="AC234" t="s">
        <v>11689</v>
      </c>
      <c r="AD234" t="s">
        <v>11686</v>
      </c>
      <c r="AE234" t="s">
        <v>11690</v>
      </c>
      <c r="AF234" t="s">
        <v>11407</v>
      </c>
      <c r="AG234">
        <v>1</v>
      </c>
      <c r="AH234" t="s">
        <v>11407</v>
      </c>
      <c r="AI234" t="s">
        <v>11691</v>
      </c>
      <c r="AJ234" t="s">
        <v>3948</v>
      </c>
      <c r="AK234">
        <v>1</v>
      </c>
      <c r="AL234">
        <v>0</v>
      </c>
      <c r="AM234" t="s">
        <v>3948</v>
      </c>
      <c r="AN234">
        <v>0</v>
      </c>
      <c r="AO234">
        <v>30000000</v>
      </c>
      <c r="AP234">
        <v>579240</v>
      </c>
      <c r="AQ234">
        <v>0</v>
      </c>
      <c r="AR234">
        <v>30579240</v>
      </c>
      <c r="AS234">
        <v>35590000</v>
      </c>
      <c r="AT234">
        <v>5010760</v>
      </c>
      <c r="AU234">
        <v>1408</v>
      </c>
    </row>
    <row r="235" spans="1:47" ht="13.5" customHeight="1" x14ac:dyDescent="0.3">
      <c r="A235" t="s">
        <v>5142</v>
      </c>
      <c r="B235" t="s">
        <v>5143</v>
      </c>
      <c r="C235">
        <v>0</v>
      </c>
      <c r="D235">
        <v>0</v>
      </c>
      <c r="E235" t="s">
        <v>3948</v>
      </c>
      <c r="F235" t="s">
        <v>3948</v>
      </c>
      <c r="G235" t="s">
        <v>3948</v>
      </c>
      <c r="H235" t="s">
        <v>3948</v>
      </c>
      <c r="I235" t="s">
        <v>10177</v>
      </c>
      <c r="J235" t="s">
        <v>3948</v>
      </c>
      <c r="K235" t="s">
        <v>10178</v>
      </c>
      <c r="L235" t="s">
        <v>86</v>
      </c>
      <c r="M235" t="s">
        <v>134</v>
      </c>
      <c r="N235" t="s">
        <v>4281</v>
      </c>
      <c r="O235" t="s">
        <v>10179</v>
      </c>
      <c r="P235">
        <v>2025</v>
      </c>
      <c r="Q235">
        <v>19088</v>
      </c>
      <c r="R235" t="s">
        <v>10180</v>
      </c>
      <c r="S235" t="s">
        <v>3641</v>
      </c>
      <c r="T235" t="s">
        <v>5145</v>
      </c>
      <c r="U235" t="s">
        <v>10181</v>
      </c>
      <c r="V235" t="s">
        <v>5147</v>
      </c>
      <c r="W235">
        <v>18190000</v>
      </c>
      <c r="X235" t="s">
        <v>5148</v>
      </c>
      <c r="Y235">
        <v>46</v>
      </c>
      <c r="Z235" t="s">
        <v>20</v>
      </c>
      <c r="AA235" t="s">
        <v>5149</v>
      </c>
      <c r="AB235" t="s">
        <v>10182</v>
      </c>
      <c r="AC235" t="s">
        <v>10183</v>
      </c>
      <c r="AD235" t="s">
        <v>10178</v>
      </c>
      <c r="AE235" t="s">
        <v>10184</v>
      </c>
      <c r="AF235" t="s">
        <v>5633</v>
      </c>
      <c r="AG235">
        <v>1</v>
      </c>
      <c r="AH235" t="s">
        <v>5633</v>
      </c>
      <c r="AI235" t="s">
        <v>10185</v>
      </c>
      <c r="AJ235" t="s">
        <v>3948</v>
      </c>
      <c r="AK235">
        <v>1</v>
      </c>
      <c r="AL235">
        <v>0</v>
      </c>
      <c r="AM235" t="s">
        <v>3948</v>
      </c>
      <c r="AN235">
        <v>0</v>
      </c>
      <c r="AO235">
        <v>15000000</v>
      </c>
      <c r="AP235">
        <v>354240</v>
      </c>
      <c r="AQ235">
        <v>0</v>
      </c>
      <c r="AR235">
        <v>15354240</v>
      </c>
      <c r="AS235">
        <v>18190000</v>
      </c>
      <c r="AT235">
        <v>2835760</v>
      </c>
      <c r="AU235">
        <v>1559</v>
      </c>
    </row>
    <row r="236" spans="1:47" ht="13.5" customHeight="1" x14ac:dyDescent="0.3">
      <c r="A236" t="s">
        <v>5142</v>
      </c>
      <c r="B236" t="s">
        <v>5143</v>
      </c>
      <c r="C236">
        <v>0</v>
      </c>
      <c r="D236">
        <v>0</v>
      </c>
      <c r="E236" t="s">
        <v>3948</v>
      </c>
      <c r="F236" t="s">
        <v>3948</v>
      </c>
      <c r="G236" t="s">
        <v>3948</v>
      </c>
      <c r="H236" t="s">
        <v>3948</v>
      </c>
      <c r="I236" t="s">
        <v>11105</v>
      </c>
      <c r="J236" t="s">
        <v>3948</v>
      </c>
      <c r="K236" t="s">
        <v>11106</v>
      </c>
      <c r="L236" t="s">
        <v>86</v>
      </c>
      <c r="M236" t="s">
        <v>93</v>
      </c>
      <c r="N236" t="s">
        <v>4195</v>
      </c>
      <c r="O236" t="s">
        <v>11107</v>
      </c>
      <c r="P236">
        <v>2019</v>
      </c>
      <c r="Q236">
        <v>77179</v>
      </c>
      <c r="R236" t="s">
        <v>11108</v>
      </c>
      <c r="S236" t="s">
        <v>10754</v>
      </c>
      <c r="T236" t="s">
        <v>5145</v>
      </c>
      <c r="U236" t="s">
        <v>11109</v>
      </c>
      <c r="V236" t="s">
        <v>5147</v>
      </c>
      <c r="W236">
        <v>14790000</v>
      </c>
      <c r="X236" t="s">
        <v>5148</v>
      </c>
      <c r="Y236">
        <v>33</v>
      </c>
      <c r="Z236" t="s">
        <v>26</v>
      </c>
      <c r="AA236" t="s">
        <v>5149</v>
      </c>
      <c r="AB236" t="s">
        <v>3948</v>
      </c>
      <c r="AC236" t="s">
        <v>11110</v>
      </c>
      <c r="AD236" t="s">
        <v>11106</v>
      </c>
      <c r="AE236" t="s">
        <v>11111</v>
      </c>
      <c r="AF236" t="s">
        <v>11055</v>
      </c>
      <c r="AG236">
        <v>1</v>
      </c>
      <c r="AH236" t="s">
        <v>11055</v>
      </c>
      <c r="AI236" t="s">
        <v>11112</v>
      </c>
      <c r="AJ236" t="s">
        <v>3948</v>
      </c>
      <c r="AK236">
        <v>2</v>
      </c>
      <c r="AL236">
        <v>0</v>
      </c>
      <c r="AM236" t="s">
        <v>3948</v>
      </c>
      <c r="AN236">
        <v>0</v>
      </c>
      <c r="AO236">
        <v>12000000</v>
      </c>
      <c r="AP236">
        <v>309240</v>
      </c>
      <c r="AQ236">
        <v>0</v>
      </c>
      <c r="AR236">
        <v>12309240</v>
      </c>
      <c r="AS236">
        <v>14790000</v>
      </c>
      <c r="AT236">
        <v>2480760</v>
      </c>
      <c r="AU236">
        <v>1677</v>
      </c>
    </row>
    <row r="237" spans="1:47" ht="13.5" customHeight="1" x14ac:dyDescent="0.3">
      <c r="A237" t="s">
        <v>5142</v>
      </c>
      <c r="B237" t="s">
        <v>5143</v>
      </c>
      <c r="C237">
        <v>0</v>
      </c>
      <c r="D237">
        <v>0</v>
      </c>
      <c r="E237" t="s">
        <v>3948</v>
      </c>
      <c r="F237" t="s">
        <v>3948</v>
      </c>
      <c r="G237" t="s">
        <v>3948</v>
      </c>
      <c r="H237" t="s">
        <v>3948</v>
      </c>
      <c r="I237" t="s">
        <v>10028</v>
      </c>
      <c r="J237" t="s">
        <v>3948</v>
      </c>
      <c r="K237" t="s">
        <v>10029</v>
      </c>
      <c r="L237" t="s">
        <v>86</v>
      </c>
      <c r="M237" t="s">
        <v>122</v>
      </c>
      <c r="N237" t="s">
        <v>10030</v>
      </c>
      <c r="O237" t="s">
        <v>10031</v>
      </c>
      <c r="P237">
        <v>2024</v>
      </c>
      <c r="Q237">
        <v>45600</v>
      </c>
      <c r="R237" t="s">
        <v>10032</v>
      </c>
      <c r="S237" t="s">
        <v>3908</v>
      </c>
      <c r="T237" t="s">
        <v>5145</v>
      </c>
      <c r="U237" t="s">
        <v>5179</v>
      </c>
      <c r="V237" t="s">
        <v>5147</v>
      </c>
      <c r="W237">
        <v>19590000</v>
      </c>
      <c r="X237" t="s">
        <v>5148</v>
      </c>
      <c r="Y237">
        <v>55</v>
      </c>
      <c r="Z237" t="s">
        <v>16</v>
      </c>
      <c r="AA237" t="s">
        <v>5149</v>
      </c>
      <c r="AB237" t="s">
        <v>10033</v>
      </c>
      <c r="AC237" t="s">
        <v>10034</v>
      </c>
      <c r="AD237" t="s">
        <v>10029</v>
      </c>
      <c r="AE237" t="s">
        <v>10035</v>
      </c>
      <c r="AF237" t="s">
        <v>10026</v>
      </c>
      <c r="AG237">
        <v>1</v>
      </c>
      <c r="AH237" t="s">
        <v>10026</v>
      </c>
      <c r="AI237" t="s">
        <v>10036</v>
      </c>
      <c r="AJ237" t="s">
        <v>3948</v>
      </c>
      <c r="AK237">
        <v>1</v>
      </c>
      <c r="AL237">
        <v>0</v>
      </c>
      <c r="AM237" t="s">
        <v>3948</v>
      </c>
      <c r="AN237">
        <v>0</v>
      </c>
      <c r="AO237">
        <v>16350000</v>
      </c>
      <c r="AP237">
        <v>374490</v>
      </c>
      <c r="AQ237">
        <v>0</v>
      </c>
      <c r="AR237">
        <v>16724490</v>
      </c>
      <c r="AS237">
        <v>19590000</v>
      </c>
      <c r="AT237">
        <v>2865510</v>
      </c>
      <c r="AU237">
        <v>1463</v>
      </c>
    </row>
    <row r="238" spans="1:47" ht="13.5" customHeight="1" x14ac:dyDescent="0.3">
      <c r="A238" t="s">
        <v>5142</v>
      </c>
      <c r="B238" t="s">
        <v>8127</v>
      </c>
      <c r="C238">
        <v>0</v>
      </c>
      <c r="D238">
        <v>0</v>
      </c>
      <c r="E238" t="s">
        <v>3948</v>
      </c>
      <c r="F238" t="s">
        <v>3948</v>
      </c>
      <c r="G238" t="s">
        <v>3948</v>
      </c>
      <c r="H238" t="s">
        <v>3948</v>
      </c>
      <c r="I238" t="s">
        <v>8080</v>
      </c>
      <c r="J238" t="s">
        <v>3948</v>
      </c>
      <c r="K238" t="s">
        <v>8139</v>
      </c>
      <c r="L238" t="s">
        <v>186</v>
      </c>
      <c r="M238" t="s">
        <v>187</v>
      </c>
      <c r="N238" t="s">
        <v>8140</v>
      </c>
      <c r="O238" t="s">
        <v>8141</v>
      </c>
      <c r="P238">
        <v>2016</v>
      </c>
      <c r="Q238">
        <v>0</v>
      </c>
      <c r="R238" t="s">
        <v>8142</v>
      </c>
      <c r="S238" t="s">
        <v>8143</v>
      </c>
      <c r="T238" t="s">
        <v>5145</v>
      </c>
      <c r="U238" t="s">
        <v>5195</v>
      </c>
      <c r="V238" t="s">
        <v>8085</v>
      </c>
      <c r="W238">
        <v>14800000</v>
      </c>
      <c r="X238" t="s">
        <v>5148</v>
      </c>
      <c r="Y238">
        <v>3963</v>
      </c>
      <c r="Z238" t="s">
        <v>8134</v>
      </c>
      <c r="AA238" t="s">
        <v>8135</v>
      </c>
      <c r="AB238" t="s">
        <v>3948</v>
      </c>
      <c r="AC238" t="s">
        <v>8144</v>
      </c>
      <c r="AD238" t="s">
        <v>8139</v>
      </c>
      <c r="AE238" t="s">
        <v>8145</v>
      </c>
      <c r="AF238" t="s">
        <v>8146</v>
      </c>
      <c r="AG238">
        <v>23832</v>
      </c>
      <c r="AH238" t="s">
        <v>8147</v>
      </c>
      <c r="AI238" t="s">
        <v>8148</v>
      </c>
      <c r="AJ238" t="s">
        <v>8146</v>
      </c>
      <c r="AK238">
        <v>0</v>
      </c>
      <c r="AL238">
        <v>0</v>
      </c>
      <c r="AM238" t="s">
        <v>3948</v>
      </c>
      <c r="AN238">
        <v>0</v>
      </c>
      <c r="AO238">
        <v>323597</v>
      </c>
      <c r="AP238">
        <v>3165631</v>
      </c>
      <c r="AQ238">
        <v>0</v>
      </c>
      <c r="AR238">
        <v>3489228</v>
      </c>
      <c r="AS238">
        <v>14800000</v>
      </c>
      <c r="AT238">
        <v>11310772</v>
      </c>
      <c r="AU238">
        <v>7642</v>
      </c>
    </row>
    <row r="239" spans="1:47" ht="13.5" customHeight="1" x14ac:dyDescent="0.3">
      <c r="A239" t="s">
        <v>5142</v>
      </c>
      <c r="B239" t="s">
        <v>5143</v>
      </c>
      <c r="C239">
        <v>0</v>
      </c>
      <c r="D239">
        <v>0</v>
      </c>
      <c r="E239" t="s">
        <v>3948</v>
      </c>
      <c r="F239" t="s">
        <v>3948</v>
      </c>
      <c r="G239" t="s">
        <v>3948</v>
      </c>
      <c r="H239" t="s">
        <v>3948</v>
      </c>
      <c r="I239" t="s">
        <v>10252</v>
      </c>
      <c r="J239" t="s">
        <v>3948</v>
      </c>
      <c r="K239" t="s">
        <v>10253</v>
      </c>
      <c r="L239" t="s">
        <v>28</v>
      </c>
      <c r="M239" t="s">
        <v>10254</v>
      </c>
      <c r="N239" t="s">
        <v>10255</v>
      </c>
      <c r="O239" t="s">
        <v>10256</v>
      </c>
      <c r="P239">
        <v>2026</v>
      </c>
      <c r="Q239">
        <v>3500</v>
      </c>
      <c r="R239" t="s">
        <v>10257</v>
      </c>
      <c r="S239" t="s">
        <v>10009</v>
      </c>
      <c r="T239" t="s">
        <v>5145</v>
      </c>
      <c r="U239" t="s">
        <v>10258</v>
      </c>
      <c r="V239" t="s">
        <v>5147</v>
      </c>
      <c r="W239">
        <v>26990000</v>
      </c>
      <c r="X239" t="s">
        <v>5148</v>
      </c>
      <c r="Y239">
        <v>47</v>
      </c>
      <c r="Z239" t="s">
        <v>26</v>
      </c>
      <c r="AA239" t="s">
        <v>5149</v>
      </c>
      <c r="AB239" t="s">
        <v>5150</v>
      </c>
      <c r="AC239" t="s">
        <v>10259</v>
      </c>
      <c r="AD239" t="s">
        <v>10253</v>
      </c>
      <c r="AE239" t="s">
        <v>10260</v>
      </c>
      <c r="AF239" t="s">
        <v>10168</v>
      </c>
      <c r="AG239">
        <v>1</v>
      </c>
      <c r="AH239" t="s">
        <v>10168</v>
      </c>
      <c r="AI239" t="s">
        <v>10261</v>
      </c>
      <c r="AJ239" t="s">
        <v>3948</v>
      </c>
      <c r="AK239">
        <v>1</v>
      </c>
      <c r="AL239">
        <v>0</v>
      </c>
      <c r="AM239" t="s">
        <v>3948</v>
      </c>
      <c r="AN239">
        <v>0</v>
      </c>
      <c r="AO239">
        <v>22500000</v>
      </c>
      <c r="AP239">
        <v>466740</v>
      </c>
      <c r="AQ239">
        <v>0</v>
      </c>
      <c r="AR239">
        <v>22966740</v>
      </c>
      <c r="AS239">
        <v>26990000</v>
      </c>
      <c r="AT239">
        <v>4023260</v>
      </c>
      <c r="AU239">
        <v>1491</v>
      </c>
    </row>
    <row r="240" spans="1:47" ht="13.5" customHeight="1" x14ac:dyDescent="0.3">
      <c r="A240" t="s">
        <v>5142</v>
      </c>
      <c r="B240" t="s">
        <v>5170</v>
      </c>
      <c r="C240">
        <v>0</v>
      </c>
      <c r="D240">
        <v>0</v>
      </c>
      <c r="E240" t="s">
        <v>3948</v>
      </c>
      <c r="F240" t="s">
        <v>3948</v>
      </c>
      <c r="G240" t="s">
        <v>3948</v>
      </c>
      <c r="H240" t="s">
        <v>3948</v>
      </c>
      <c r="I240" t="s">
        <v>10068</v>
      </c>
      <c r="J240" t="s">
        <v>3948</v>
      </c>
      <c r="K240" t="s">
        <v>10069</v>
      </c>
      <c r="L240" t="s">
        <v>241</v>
      </c>
      <c r="M240" t="s">
        <v>4827</v>
      </c>
      <c r="N240" t="s">
        <v>10070</v>
      </c>
      <c r="O240" t="s">
        <v>10071</v>
      </c>
      <c r="P240">
        <v>2020</v>
      </c>
      <c r="Q240">
        <v>55000</v>
      </c>
      <c r="R240" t="s">
        <v>10072</v>
      </c>
      <c r="S240" t="s">
        <v>9702</v>
      </c>
      <c r="T240" t="s">
        <v>5145</v>
      </c>
      <c r="U240" t="s">
        <v>10073</v>
      </c>
      <c r="V240" t="s">
        <v>5147</v>
      </c>
      <c r="W240">
        <v>15990000</v>
      </c>
      <c r="X240" t="s">
        <v>5148</v>
      </c>
      <c r="Y240">
        <v>63</v>
      </c>
      <c r="Z240" t="s">
        <v>16</v>
      </c>
      <c r="AA240" t="s">
        <v>5175</v>
      </c>
      <c r="AB240" t="s">
        <v>10074</v>
      </c>
      <c r="AC240" t="s">
        <v>10075</v>
      </c>
      <c r="AD240" t="s">
        <v>10069</v>
      </c>
      <c r="AE240" t="s">
        <v>10076</v>
      </c>
      <c r="AF240" t="s">
        <v>10077</v>
      </c>
      <c r="AG240">
        <v>1</v>
      </c>
      <c r="AH240" t="s">
        <v>10245</v>
      </c>
      <c r="AI240" t="s">
        <v>10245</v>
      </c>
      <c r="AJ240" t="s">
        <v>3948</v>
      </c>
      <c r="AK240">
        <v>3</v>
      </c>
      <c r="AL240">
        <v>0</v>
      </c>
      <c r="AM240" t="s">
        <v>3948</v>
      </c>
      <c r="AN240">
        <v>0</v>
      </c>
      <c r="AO240">
        <v>12600000</v>
      </c>
      <c r="AP240">
        <v>318240</v>
      </c>
      <c r="AQ240">
        <v>0</v>
      </c>
      <c r="AR240">
        <v>12918240</v>
      </c>
      <c r="AS240">
        <v>15990000</v>
      </c>
      <c r="AT240">
        <v>3071760</v>
      </c>
      <c r="AU240">
        <v>1921</v>
      </c>
    </row>
    <row r="241" spans="1:47" ht="13.5" customHeight="1" x14ac:dyDescent="0.3">
      <c r="A241" t="s">
        <v>5142</v>
      </c>
      <c r="B241" t="s">
        <v>5161</v>
      </c>
      <c r="C241">
        <v>0</v>
      </c>
      <c r="D241">
        <v>0</v>
      </c>
      <c r="E241" t="s">
        <v>3948</v>
      </c>
      <c r="F241" t="s">
        <v>3948</v>
      </c>
      <c r="G241" t="s">
        <v>3948</v>
      </c>
      <c r="H241" t="s">
        <v>3948</v>
      </c>
      <c r="I241" t="s">
        <v>10943</v>
      </c>
      <c r="J241" t="s">
        <v>3948</v>
      </c>
      <c r="K241" t="s">
        <v>10944</v>
      </c>
      <c r="L241" t="s">
        <v>2545</v>
      </c>
      <c r="M241" t="s">
        <v>2856</v>
      </c>
      <c r="N241" t="s">
        <v>4930</v>
      </c>
      <c r="O241" t="s">
        <v>5553</v>
      </c>
      <c r="P241">
        <v>2023</v>
      </c>
      <c r="Q241">
        <v>48000</v>
      </c>
      <c r="R241" t="s">
        <v>10945</v>
      </c>
      <c r="S241" t="s">
        <v>7655</v>
      </c>
      <c r="T241" t="s">
        <v>5145</v>
      </c>
      <c r="U241" t="s">
        <v>5556</v>
      </c>
      <c r="V241" t="s">
        <v>5147</v>
      </c>
      <c r="W241">
        <v>22490000</v>
      </c>
      <c r="X241" t="s">
        <v>5148</v>
      </c>
      <c r="Y241">
        <v>19</v>
      </c>
      <c r="Z241" t="s">
        <v>16</v>
      </c>
      <c r="AA241" t="s">
        <v>5166</v>
      </c>
      <c r="AB241" t="s">
        <v>3948</v>
      </c>
      <c r="AC241" t="s">
        <v>10946</v>
      </c>
      <c r="AD241" t="s">
        <v>10944</v>
      </c>
      <c r="AE241" t="s">
        <v>10947</v>
      </c>
      <c r="AF241" t="s">
        <v>10909</v>
      </c>
      <c r="AG241">
        <v>1</v>
      </c>
      <c r="AH241" t="s">
        <v>10909</v>
      </c>
      <c r="AI241" t="s">
        <v>10948</v>
      </c>
      <c r="AJ241" t="s">
        <v>3948</v>
      </c>
      <c r="AK241">
        <v>1</v>
      </c>
      <c r="AL241">
        <v>0</v>
      </c>
      <c r="AM241" t="s">
        <v>3948</v>
      </c>
      <c r="AN241">
        <v>0</v>
      </c>
      <c r="AO241">
        <v>17000000</v>
      </c>
      <c r="AP241">
        <v>384240</v>
      </c>
      <c r="AQ241">
        <v>0</v>
      </c>
      <c r="AR241">
        <v>17384240</v>
      </c>
      <c r="AS241">
        <v>22490000</v>
      </c>
      <c r="AT241">
        <v>5105760</v>
      </c>
      <c r="AU241">
        <v>227</v>
      </c>
    </row>
    <row r="242" spans="1:47" ht="13.5" customHeight="1" x14ac:dyDescent="0.3">
      <c r="A242" t="s">
        <v>5142</v>
      </c>
      <c r="B242" t="s">
        <v>5143</v>
      </c>
      <c r="C242">
        <v>0</v>
      </c>
      <c r="D242">
        <v>0</v>
      </c>
      <c r="E242" t="s">
        <v>3948</v>
      </c>
      <c r="F242" t="s">
        <v>3948</v>
      </c>
      <c r="G242" t="s">
        <v>3948</v>
      </c>
      <c r="H242" t="s">
        <v>3948</v>
      </c>
      <c r="I242" t="s">
        <v>11692</v>
      </c>
      <c r="J242" t="s">
        <v>3948</v>
      </c>
      <c r="K242" t="s">
        <v>11693</v>
      </c>
      <c r="L242" t="s">
        <v>86</v>
      </c>
      <c r="M242" t="s">
        <v>98</v>
      </c>
      <c r="N242" t="s">
        <v>11694</v>
      </c>
      <c r="O242" t="s">
        <v>11695</v>
      </c>
      <c r="P242">
        <v>2024</v>
      </c>
      <c r="Q242">
        <v>27891</v>
      </c>
      <c r="R242" t="s">
        <v>11696</v>
      </c>
      <c r="S242" t="s">
        <v>8810</v>
      </c>
      <c r="T242" t="s">
        <v>5145</v>
      </c>
      <c r="U242" t="s">
        <v>5272</v>
      </c>
      <c r="V242" t="s">
        <v>5147</v>
      </c>
      <c r="W242">
        <v>21990000</v>
      </c>
      <c r="X242" t="s">
        <v>5148</v>
      </c>
      <c r="Y242">
        <v>62</v>
      </c>
      <c r="Z242" t="s">
        <v>26</v>
      </c>
      <c r="AA242" t="s">
        <v>5149</v>
      </c>
      <c r="AB242" t="s">
        <v>11697</v>
      </c>
      <c r="AC242" t="s">
        <v>11698</v>
      </c>
      <c r="AD242" t="s">
        <v>11693</v>
      </c>
      <c r="AE242" t="s">
        <v>11699</v>
      </c>
      <c r="AF242" t="s">
        <v>11700</v>
      </c>
      <c r="AG242">
        <v>1</v>
      </c>
      <c r="AH242" t="s">
        <v>11700</v>
      </c>
      <c r="AI242" t="s">
        <v>11701</v>
      </c>
      <c r="AJ242" t="s">
        <v>3948</v>
      </c>
      <c r="AK242">
        <v>1</v>
      </c>
      <c r="AL242">
        <v>0</v>
      </c>
      <c r="AM242" t="s">
        <v>3948</v>
      </c>
      <c r="AN242">
        <v>0</v>
      </c>
      <c r="AO242">
        <v>18750000</v>
      </c>
      <c r="AP242">
        <v>410490</v>
      </c>
      <c r="AQ242">
        <v>0</v>
      </c>
      <c r="AR242">
        <v>19160490</v>
      </c>
      <c r="AS242">
        <v>21990000</v>
      </c>
      <c r="AT242">
        <v>2829510</v>
      </c>
      <c r="AU242">
        <v>1287</v>
      </c>
    </row>
    <row r="243" spans="1:47" ht="13.5" customHeight="1" x14ac:dyDescent="0.3">
      <c r="A243" t="s">
        <v>5142</v>
      </c>
      <c r="B243" t="s">
        <v>5143</v>
      </c>
      <c r="C243">
        <v>0</v>
      </c>
      <c r="D243">
        <v>0</v>
      </c>
      <c r="E243" t="s">
        <v>3948</v>
      </c>
      <c r="F243" t="s">
        <v>3948</v>
      </c>
      <c r="G243" t="s">
        <v>3948</v>
      </c>
      <c r="H243" t="s">
        <v>3948</v>
      </c>
      <c r="I243" t="s">
        <v>5650</v>
      </c>
      <c r="J243" t="s">
        <v>3948</v>
      </c>
      <c r="K243" t="s">
        <v>5214</v>
      </c>
      <c r="L243" t="s">
        <v>28</v>
      </c>
      <c r="M243" t="s">
        <v>38</v>
      </c>
      <c r="N243" t="s">
        <v>39</v>
      </c>
      <c r="O243" t="s">
        <v>5215</v>
      </c>
      <c r="P243">
        <v>2022</v>
      </c>
      <c r="Q243">
        <v>56079</v>
      </c>
      <c r="R243" t="s">
        <v>5216</v>
      </c>
      <c r="S243" t="s">
        <v>41</v>
      </c>
      <c r="T243" t="s">
        <v>5145</v>
      </c>
      <c r="U243" t="s">
        <v>5217</v>
      </c>
      <c r="V243" t="s">
        <v>5147</v>
      </c>
      <c r="W243">
        <v>11990000</v>
      </c>
      <c r="X243" t="s">
        <v>5148</v>
      </c>
      <c r="Y243">
        <v>223</v>
      </c>
      <c r="Z243" t="s">
        <v>40</v>
      </c>
      <c r="AA243" t="s">
        <v>5149</v>
      </c>
      <c r="AB243" t="s">
        <v>5218</v>
      </c>
      <c r="AC243" t="s">
        <v>5219</v>
      </c>
      <c r="AD243" t="s">
        <v>5214</v>
      </c>
      <c r="AE243" t="s">
        <v>5220</v>
      </c>
      <c r="AF243" t="s">
        <v>5581</v>
      </c>
      <c r="AG243">
        <v>1</v>
      </c>
      <c r="AH243" t="s">
        <v>5651</v>
      </c>
      <c r="AI243" t="s">
        <v>5651</v>
      </c>
      <c r="AJ243" t="s">
        <v>5652</v>
      </c>
      <c r="AK243">
        <v>1</v>
      </c>
      <c r="AL243">
        <v>0</v>
      </c>
      <c r="AM243" t="s">
        <v>3948</v>
      </c>
      <c r="AN243">
        <v>1</v>
      </c>
      <c r="AO243">
        <v>10000000</v>
      </c>
      <c r="AP243">
        <v>276030</v>
      </c>
      <c r="AQ243">
        <v>0</v>
      </c>
      <c r="AR243">
        <v>10276030</v>
      </c>
      <c r="AS243">
        <v>11990000</v>
      </c>
      <c r="AT243">
        <v>1713970</v>
      </c>
      <c r="AU243">
        <v>1429</v>
      </c>
    </row>
    <row r="244" spans="1:47" ht="13.5" customHeight="1" x14ac:dyDescent="0.3">
      <c r="A244" t="s">
        <v>5142</v>
      </c>
      <c r="B244" t="s">
        <v>5180</v>
      </c>
      <c r="C244">
        <v>0</v>
      </c>
      <c r="D244">
        <v>0</v>
      </c>
      <c r="E244" t="s">
        <v>3948</v>
      </c>
      <c r="F244" t="s">
        <v>3948</v>
      </c>
      <c r="G244" t="s">
        <v>3948</v>
      </c>
      <c r="H244" t="s">
        <v>3948</v>
      </c>
      <c r="I244" t="s">
        <v>5531</v>
      </c>
      <c r="J244" t="s">
        <v>3948</v>
      </c>
      <c r="K244" t="s">
        <v>5206</v>
      </c>
      <c r="L244" t="s">
        <v>156</v>
      </c>
      <c r="M244" t="s">
        <v>156</v>
      </c>
      <c r="N244" t="s">
        <v>161</v>
      </c>
      <c r="O244" t="s">
        <v>5207</v>
      </c>
      <c r="P244">
        <v>2025</v>
      </c>
      <c r="Q244">
        <v>17000</v>
      </c>
      <c r="R244" t="s">
        <v>5208</v>
      </c>
      <c r="S244" t="s">
        <v>162</v>
      </c>
      <c r="T244" t="s">
        <v>5145</v>
      </c>
      <c r="U244" t="s">
        <v>5209</v>
      </c>
      <c r="V244" t="s">
        <v>5147</v>
      </c>
      <c r="W244">
        <v>29990000</v>
      </c>
      <c r="X244" t="s">
        <v>5148</v>
      </c>
      <c r="Y244">
        <v>347</v>
      </c>
      <c r="Z244" t="s">
        <v>26</v>
      </c>
      <c r="AA244" t="s">
        <v>5181</v>
      </c>
      <c r="AB244" t="s">
        <v>5210</v>
      </c>
      <c r="AC244" t="s">
        <v>5211</v>
      </c>
      <c r="AD244" t="s">
        <v>5212</v>
      </c>
      <c r="AE244" t="s">
        <v>5213</v>
      </c>
      <c r="AF244" t="s">
        <v>5532</v>
      </c>
      <c r="AG244">
        <v>1</v>
      </c>
      <c r="AH244" t="s">
        <v>5532</v>
      </c>
      <c r="AI244" t="s">
        <v>5533</v>
      </c>
      <c r="AJ244" t="s">
        <v>3948</v>
      </c>
      <c r="AK244">
        <v>2</v>
      </c>
      <c r="AL244">
        <v>0</v>
      </c>
      <c r="AM244" t="s">
        <v>3948</v>
      </c>
      <c r="AN244">
        <v>0</v>
      </c>
      <c r="AO244">
        <v>28700000</v>
      </c>
      <c r="AP244">
        <v>1053703</v>
      </c>
      <c r="AQ244">
        <v>0</v>
      </c>
      <c r="AR244">
        <v>29753703</v>
      </c>
      <c r="AS244">
        <v>29990000</v>
      </c>
      <c r="AT244">
        <v>236297</v>
      </c>
      <c r="AU244">
        <v>79</v>
      </c>
    </row>
    <row r="245" spans="1:47" ht="13.5" customHeight="1" x14ac:dyDescent="0.3">
      <c r="A245" t="s">
        <v>5142</v>
      </c>
      <c r="B245" t="s">
        <v>5143</v>
      </c>
      <c r="C245">
        <v>0</v>
      </c>
      <c r="D245">
        <v>0</v>
      </c>
      <c r="E245" t="s">
        <v>3948</v>
      </c>
      <c r="F245" t="s">
        <v>3948</v>
      </c>
      <c r="G245" t="s">
        <v>3948</v>
      </c>
      <c r="H245" t="s">
        <v>3948</v>
      </c>
      <c r="I245" t="s">
        <v>10186</v>
      </c>
      <c r="J245" t="s">
        <v>3948</v>
      </c>
      <c r="K245" t="s">
        <v>10187</v>
      </c>
      <c r="L245" t="s">
        <v>2608</v>
      </c>
      <c r="M245" t="s">
        <v>3951</v>
      </c>
      <c r="N245" t="s">
        <v>3952</v>
      </c>
      <c r="O245" t="s">
        <v>10188</v>
      </c>
      <c r="P245">
        <v>2023</v>
      </c>
      <c r="Q245">
        <v>58362</v>
      </c>
      <c r="R245" t="s">
        <v>10189</v>
      </c>
      <c r="S245" t="s">
        <v>1762</v>
      </c>
      <c r="T245" t="s">
        <v>5145</v>
      </c>
      <c r="U245" t="s">
        <v>10190</v>
      </c>
      <c r="V245" t="s">
        <v>5147</v>
      </c>
      <c r="W245">
        <v>20990000</v>
      </c>
      <c r="X245" t="s">
        <v>5148</v>
      </c>
      <c r="Y245">
        <v>47</v>
      </c>
      <c r="Z245" t="s">
        <v>26</v>
      </c>
      <c r="AA245" t="s">
        <v>5149</v>
      </c>
      <c r="AB245" t="s">
        <v>10191</v>
      </c>
      <c r="AC245" t="s">
        <v>10192</v>
      </c>
      <c r="AD245" t="s">
        <v>10193</v>
      </c>
      <c r="AE245" t="s">
        <v>10194</v>
      </c>
      <c r="AF245" t="s">
        <v>10168</v>
      </c>
      <c r="AG245">
        <v>1</v>
      </c>
      <c r="AH245" t="s">
        <v>10168</v>
      </c>
      <c r="AI245" t="s">
        <v>10195</v>
      </c>
      <c r="AJ245" t="s">
        <v>3948</v>
      </c>
      <c r="AK245">
        <v>3</v>
      </c>
      <c r="AL245">
        <v>0</v>
      </c>
      <c r="AM245" t="s">
        <v>3948</v>
      </c>
      <c r="AN245">
        <v>0</v>
      </c>
      <c r="AO245">
        <v>16500000</v>
      </c>
      <c r="AP245">
        <v>376740</v>
      </c>
      <c r="AQ245">
        <v>0</v>
      </c>
      <c r="AR245">
        <v>16876740</v>
      </c>
      <c r="AS245">
        <v>20990000</v>
      </c>
      <c r="AT245">
        <v>4113260</v>
      </c>
      <c r="AU245">
        <v>196</v>
      </c>
    </row>
    <row r="246" spans="1:47" ht="13.5" customHeight="1" x14ac:dyDescent="0.3">
      <c r="A246" t="s">
        <v>5142</v>
      </c>
      <c r="B246" t="s">
        <v>5170</v>
      </c>
      <c r="C246">
        <v>0</v>
      </c>
      <c r="D246">
        <v>0</v>
      </c>
      <c r="E246" t="s">
        <v>3948</v>
      </c>
      <c r="F246" t="s">
        <v>3948</v>
      </c>
      <c r="G246" t="s">
        <v>3948</v>
      </c>
      <c r="H246" t="s">
        <v>3948</v>
      </c>
      <c r="I246" t="s">
        <v>7826</v>
      </c>
      <c r="J246" t="s">
        <v>3948</v>
      </c>
      <c r="K246" t="s">
        <v>7827</v>
      </c>
      <c r="L246" t="s">
        <v>220</v>
      </c>
      <c r="M246" t="s">
        <v>4706</v>
      </c>
      <c r="N246" t="s">
        <v>4707</v>
      </c>
      <c r="O246" t="s">
        <v>7828</v>
      </c>
      <c r="P246">
        <v>2023</v>
      </c>
      <c r="Q246">
        <v>71248</v>
      </c>
      <c r="R246" t="s">
        <v>7829</v>
      </c>
      <c r="S246" t="s">
        <v>3357</v>
      </c>
      <c r="T246" t="s">
        <v>5145</v>
      </c>
      <c r="U246" t="s">
        <v>5179</v>
      </c>
      <c r="V246" t="s">
        <v>5147</v>
      </c>
      <c r="W246">
        <v>16490000</v>
      </c>
      <c r="X246" t="s">
        <v>5148</v>
      </c>
      <c r="Y246">
        <v>108</v>
      </c>
      <c r="Z246" t="s">
        <v>40</v>
      </c>
      <c r="AA246" t="s">
        <v>5175</v>
      </c>
      <c r="AB246" t="s">
        <v>7830</v>
      </c>
      <c r="AC246" t="s">
        <v>7831</v>
      </c>
      <c r="AD246" t="s">
        <v>7827</v>
      </c>
      <c r="AE246" t="s">
        <v>7832</v>
      </c>
      <c r="AF246" t="s">
        <v>7825</v>
      </c>
      <c r="AG246">
        <v>1</v>
      </c>
      <c r="AH246" t="s">
        <v>7825</v>
      </c>
      <c r="AI246" t="s">
        <v>7833</v>
      </c>
      <c r="AJ246" t="s">
        <v>7834</v>
      </c>
      <c r="AK246">
        <v>3</v>
      </c>
      <c r="AL246">
        <v>0</v>
      </c>
      <c r="AM246" t="s">
        <v>3948</v>
      </c>
      <c r="AN246">
        <v>0</v>
      </c>
      <c r="AO246">
        <v>15500000</v>
      </c>
      <c r="AP246">
        <v>361740</v>
      </c>
      <c r="AQ246">
        <v>0</v>
      </c>
      <c r="AR246">
        <v>15861740</v>
      </c>
      <c r="AS246">
        <v>16490000</v>
      </c>
      <c r="AT246">
        <v>628260</v>
      </c>
      <c r="AU246">
        <v>381</v>
      </c>
    </row>
    <row r="247" spans="1:47" ht="13.5" customHeight="1" x14ac:dyDescent="0.3">
      <c r="A247" t="s">
        <v>5142</v>
      </c>
      <c r="B247" t="s">
        <v>5143</v>
      </c>
      <c r="C247">
        <v>0</v>
      </c>
      <c r="D247">
        <v>0</v>
      </c>
      <c r="E247" t="s">
        <v>3948</v>
      </c>
      <c r="F247" t="s">
        <v>3948</v>
      </c>
      <c r="G247" t="s">
        <v>3948</v>
      </c>
      <c r="H247" t="s">
        <v>3948</v>
      </c>
      <c r="I247" t="s">
        <v>11702</v>
      </c>
      <c r="J247" t="s">
        <v>3948</v>
      </c>
      <c r="K247" t="s">
        <v>11703</v>
      </c>
      <c r="L247" t="s">
        <v>28</v>
      </c>
      <c r="M247" t="s">
        <v>2496</v>
      </c>
      <c r="N247" t="s">
        <v>4025</v>
      </c>
      <c r="O247" t="s">
        <v>11704</v>
      </c>
      <c r="P247">
        <v>2021</v>
      </c>
      <c r="Q247">
        <v>30197</v>
      </c>
      <c r="R247" t="s">
        <v>11705</v>
      </c>
      <c r="S247" t="s">
        <v>11706</v>
      </c>
      <c r="T247" t="s">
        <v>5145</v>
      </c>
      <c r="U247" t="s">
        <v>5270</v>
      </c>
      <c r="V247" t="s">
        <v>5147</v>
      </c>
      <c r="W247">
        <v>7290000</v>
      </c>
      <c r="X247" t="s">
        <v>5148</v>
      </c>
      <c r="Y247">
        <v>14</v>
      </c>
      <c r="Z247" t="s">
        <v>26</v>
      </c>
      <c r="AA247" t="s">
        <v>5149</v>
      </c>
      <c r="AB247" t="s">
        <v>11707</v>
      </c>
      <c r="AC247" t="s">
        <v>11708</v>
      </c>
      <c r="AD247" t="s">
        <v>11703</v>
      </c>
      <c r="AE247" t="s">
        <v>11709</v>
      </c>
      <c r="AF247" t="s">
        <v>11407</v>
      </c>
      <c r="AG247">
        <v>1</v>
      </c>
      <c r="AH247" t="s">
        <v>11407</v>
      </c>
      <c r="AI247" t="s">
        <v>11710</v>
      </c>
      <c r="AJ247" t="s">
        <v>3948</v>
      </c>
      <c r="AK247">
        <v>1</v>
      </c>
      <c r="AL247">
        <v>0</v>
      </c>
      <c r="AM247" t="s">
        <v>3948</v>
      </c>
      <c r="AN247">
        <v>0</v>
      </c>
      <c r="AO247">
        <v>6000000</v>
      </c>
      <c r="AP247">
        <v>219240</v>
      </c>
      <c r="AQ247">
        <v>0</v>
      </c>
      <c r="AR247">
        <v>6219240</v>
      </c>
      <c r="AS247">
        <v>7290000</v>
      </c>
      <c r="AT247">
        <v>1070760</v>
      </c>
      <c r="AU247">
        <v>1469</v>
      </c>
    </row>
    <row r="248" spans="1:47" ht="13.5" customHeight="1" x14ac:dyDescent="0.3">
      <c r="A248" t="s">
        <v>5142</v>
      </c>
      <c r="B248" t="s">
        <v>5161</v>
      </c>
      <c r="C248">
        <v>0</v>
      </c>
      <c r="D248">
        <v>0</v>
      </c>
      <c r="E248" t="s">
        <v>3948</v>
      </c>
      <c r="F248" t="s">
        <v>3948</v>
      </c>
      <c r="G248" t="s">
        <v>3948</v>
      </c>
      <c r="H248" t="s">
        <v>3948</v>
      </c>
      <c r="I248" t="s">
        <v>5511</v>
      </c>
      <c r="J248" t="s">
        <v>3948</v>
      </c>
      <c r="K248" t="s">
        <v>5162</v>
      </c>
      <c r="L248" t="s">
        <v>241</v>
      </c>
      <c r="M248" t="s">
        <v>4791</v>
      </c>
      <c r="N248" t="s">
        <v>245</v>
      </c>
      <c r="O248" t="s">
        <v>5163</v>
      </c>
      <c r="P248">
        <v>2018</v>
      </c>
      <c r="Q248">
        <v>95984</v>
      </c>
      <c r="R248" t="s">
        <v>5164</v>
      </c>
      <c r="S248" t="s">
        <v>246</v>
      </c>
      <c r="T248" t="s">
        <v>5145</v>
      </c>
      <c r="U248" t="s">
        <v>5165</v>
      </c>
      <c r="V248" t="s">
        <v>5147</v>
      </c>
      <c r="W248">
        <v>10490000</v>
      </c>
      <c r="X248" t="s">
        <v>5148</v>
      </c>
      <c r="Y248">
        <v>256</v>
      </c>
      <c r="Z248" t="s">
        <v>40</v>
      </c>
      <c r="AA248" t="s">
        <v>5166</v>
      </c>
      <c r="AB248" t="s">
        <v>5167</v>
      </c>
      <c r="AC248" t="s">
        <v>5168</v>
      </c>
      <c r="AD248" t="s">
        <v>5162</v>
      </c>
      <c r="AE248" t="s">
        <v>5169</v>
      </c>
      <c r="AF248" t="s">
        <v>5512</v>
      </c>
      <c r="AG248">
        <v>1</v>
      </c>
      <c r="AH248" t="s">
        <v>5513</v>
      </c>
      <c r="AI248" t="s">
        <v>5513</v>
      </c>
      <c r="AJ248" t="s">
        <v>5514</v>
      </c>
      <c r="AK248">
        <v>1</v>
      </c>
      <c r="AL248">
        <v>0</v>
      </c>
      <c r="AM248" t="s">
        <v>3948</v>
      </c>
      <c r="AN248">
        <v>0</v>
      </c>
      <c r="AO248">
        <v>8800000</v>
      </c>
      <c r="AP248">
        <v>258030</v>
      </c>
      <c r="AQ248">
        <v>0</v>
      </c>
      <c r="AR248">
        <v>9058030</v>
      </c>
      <c r="AS248">
        <v>10490000</v>
      </c>
      <c r="AT248">
        <v>1431970</v>
      </c>
      <c r="AU248">
        <v>1365</v>
      </c>
    </row>
    <row r="249" spans="1:47" ht="13.5" customHeight="1" x14ac:dyDescent="0.3">
      <c r="A249" t="s">
        <v>5142</v>
      </c>
      <c r="B249" t="s">
        <v>5170</v>
      </c>
      <c r="C249">
        <v>0</v>
      </c>
      <c r="D249">
        <v>0</v>
      </c>
      <c r="E249" t="s">
        <v>3948</v>
      </c>
      <c r="F249" t="s">
        <v>3948</v>
      </c>
      <c r="G249" t="s">
        <v>3948</v>
      </c>
      <c r="H249" t="s">
        <v>3948</v>
      </c>
      <c r="I249" t="s">
        <v>8069</v>
      </c>
      <c r="J249" t="s">
        <v>3948</v>
      </c>
      <c r="K249" t="s">
        <v>8070</v>
      </c>
      <c r="L249" t="s">
        <v>291</v>
      </c>
      <c r="M249" t="s">
        <v>295</v>
      </c>
      <c r="N249" t="s">
        <v>8071</v>
      </c>
      <c r="O249" t="s">
        <v>8072</v>
      </c>
      <c r="P249">
        <v>2015</v>
      </c>
      <c r="Q249">
        <v>169000</v>
      </c>
      <c r="R249" t="s">
        <v>8073</v>
      </c>
      <c r="S249" t="s">
        <v>296</v>
      </c>
      <c r="T249" t="s">
        <v>5145</v>
      </c>
      <c r="U249" t="s">
        <v>5254</v>
      </c>
      <c r="V249" t="s">
        <v>5147</v>
      </c>
      <c r="W249">
        <v>8490000</v>
      </c>
      <c r="X249" t="s">
        <v>5148</v>
      </c>
      <c r="Y249">
        <v>1645</v>
      </c>
      <c r="Z249" t="s">
        <v>63</v>
      </c>
      <c r="AA249" t="s">
        <v>5175</v>
      </c>
      <c r="AB249" t="s">
        <v>8074</v>
      </c>
      <c r="AC249" t="s">
        <v>8075</v>
      </c>
      <c r="AD249" t="s">
        <v>8070</v>
      </c>
      <c r="AE249" t="s">
        <v>8076</v>
      </c>
      <c r="AF249" t="s">
        <v>8077</v>
      </c>
      <c r="AG249">
        <v>1</v>
      </c>
      <c r="AH249" t="s">
        <v>8077</v>
      </c>
      <c r="AI249" t="s">
        <v>8078</v>
      </c>
      <c r="AJ249" t="s">
        <v>3948</v>
      </c>
      <c r="AK249">
        <v>0</v>
      </c>
      <c r="AL249">
        <v>0</v>
      </c>
      <c r="AM249" t="s">
        <v>3948</v>
      </c>
      <c r="AN249">
        <v>0</v>
      </c>
      <c r="AO249">
        <v>10500000</v>
      </c>
      <c r="AP249">
        <v>461694</v>
      </c>
      <c r="AQ249">
        <v>0</v>
      </c>
      <c r="AR249">
        <v>10961694</v>
      </c>
      <c r="AS249">
        <v>8490000</v>
      </c>
      <c r="AT249">
        <v>-2471694</v>
      </c>
      <c r="AU249">
        <v>-2911</v>
      </c>
    </row>
    <row r="250" spans="1:47" ht="13.5" customHeight="1" x14ac:dyDescent="0.3">
      <c r="A250" t="s">
        <v>8491</v>
      </c>
      <c r="B250" t="s">
        <v>5143</v>
      </c>
      <c r="C250">
        <v>0</v>
      </c>
      <c r="D250">
        <v>0</v>
      </c>
      <c r="E250" t="s">
        <v>3948</v>
      </c>
      <c r="F250" t="s">
        <v>3948</v>
      </c>
      <c r="G250" t="s">
        <v>3948</v>
      </c>
      <c r="H250" t="s">
        <v>3948</v>
      </c>
      <c r="I250" t="s">
        <v>11711</v>
      </c>
      <c r="J250" t="s">
        <v>3948</v>
      </c>
      <c r="K250" t="s">
        <v>11712</v>
      </c>
      <c r="L250" t="s">
        <v>173</v>
      </c>
      <c r="M250" t="s">
        <v>4423</v>
      </c>
      <c r="N250" t="s">
        <v>11713</v>
      </c>
      <c r="O250" t="s">
        <v>11714</v>
      </c>
      <c r="P250">
        <v>2026</v>
      </c>
      <c r="Q250">
        <v>750</v>
      </c>
      <c r="R250" t="s">
        <v>11715</v>
      </c>
      <c r="S250" t="s">
        <v>10862</v>
      </c>
      <c r="T250" t="s">
        <v>8158</v>
      </c>
      <c r="U250" t="s">
        <v>11716</v>
      </c>
      <c r="V250" t="s">
        <v>5147</v>
      </c>
      <c r="W250">
        <v>23690000</v>
      </c>
      <c r="X250" t="s">
        <v>5148</v>
      </c>
      <c r="Y250">
        <v>231</v>
      </c>
      <c r="Z250" t="s">
        <v>16</v>
      </c>
      <c r="AA250" t="s">
        <v>8519</v>
      </c>
      <c r="AB250" t="s">
        <v>3948</v>
      </c>
      <c r="AC250" t="s">
        <v>11717</v>
      </c>
      <c r="AD250" t="s">
        <v>11712</v>
      </c>
      <c r="AE250" t="s">
        <v>8149</v>
      </c>
      <c r="AF250" t="s">
        <v>11718</v>
      </c>
      <c r="AG250">
        <v>322028</v>
      </c>
      <c r="AH250" t="s">
        <v>8655</v>
      </c>
      <c r="AI250" t="s">
        <v>11719</v>
      </c>
      <c r="AJ250" t="s">
        <v>3948</v>
      </c>
      <c r="AK250">
        <v>0</v>
      </c>
      <c r="AL250">
        <v>0</v>
      </c>
      <c r="AM250" t="s">
        <v>3948</v>
      </c>
      <c r="AN250">
        <v>0</v>
      </c>
      <c r="AO250">
        <v>22454454</v>
      </c>
      <c r="AP250">
        <v>561067</v>
      </c>
      <c r="AQ250">
        <v>0</v>
      </c>
      <c r="AR250">
        <v>23015521</v>
      </c>
      <c r="AS250">
        <v>23690000</v>
      </c>
      <c r="AT250">
        <v>674479</v>
      </c>
      <c r="AU250">
        <v>285</v>
      </c>
    </row>
    <row r="251" spans="1:47" ht="13.5" customHeight="1" x14ac:dyDescent="0.3">
      <c r="A251" t="s">
        <v>8491</v>
      </c>
      <c r="B251" t="s">
        <v>8246</v>
      </c>
      <c r="C251">
        <v>0</v>
      </c>
      <c r="D251">
        <v>0</v>
      </c>
      <c r="E251" t="s">
        <v>3948</v>
      </c>
      <c r="F251" t="s">
        <v>3948</v>
      </c>
      <c r="G251" t="s">
        <v>3948</v>
      </c>
      <c r="H251" t="s">
        <v>3948</v>
      </c>
      <c r="I251" t="s">
        <v>11720</v>
      </c>
      <c r="J251" t="s">
        <v>3948</v>
      </c>
      <c r="K251" t="s">
        <v>10846</v>
      </c>
      <c r="L251" t="s">
        <v>140</v>
      </c>
      <c r="M251" t="s">
        <v>4292</v>
      </c>
      <c r="N251" t="s">
        <v>10847</v>
      </c>
      <c r="O251" t="s">
        <v>10848</v>
      </c>
      <c r="P251">
        <v>2025</v>
      </c>
      <c r="Q251">
        <v>0</v>
      </c>
      <c r="R251" t="s">
        <v>10849</v>
      </c>
      <c r="S251" t="s">
        <v>10850</v>
      </c>
      <c r="T251" t="s">
        <v>8158</v>
      </c>
      <c r="U251" t="s">
        <v>8548</v>
      </c>
      <c r="V251" t="s">
        <v>5147</v>
      </c>
      <c r="W251">
        <v>19990000</v>
      </c>
      <c r="X251" t="s">
        <v>5148</v>
      </c>
      <c r="Y251">
        <v>718</v>
      </c>
      <c r="Z251" t="s">
        <v>16</v>
      </c>
      <c r="AA251" t="s">
        <v>8492</v>
      </c>
      <c r="AB251" t="s">
        <v>3948</v>
      </c>
      <c r="AC251" t="s">
        <v>10851</v>
      </c>
      <c r="AD251" t="s">
        <v>10846</v>
      </c>
      <c r="AE251" t="s">
        <v>8493</v>
      </c>
      <c r="AF251" t="s">
        <v>11721</v>
      </c>
      <c r="AG251">
        <v>352208</v>
      </c>
      <c r="AH251" t="s">
        <v>11722</v>
      </c>
      <c r="AI251" t="s">
        <v>11723</v>
      </c>
      <c r="AJ251" t="s">
        <v>3948</v>
      </c>
      <c r="AK251">
        <v>0</v>
      </c>
      <c r="AL251">
        <v>0</v>
      </c>
      <c r="AM251" t="s">
        <v>3948</v>
      </c>
      <c r="AN251">
        <v>0</v>
      </c>
      <c r="AO251">
        <v>15454453</v>
      </c>
      <c r="AP251">
        <v>1405310</v>
      </c>
      <c r="AQ251">
        <v>0</v>
      </c>
      <c r="AR251">
        <v>16859763</v>
      </c>
      <c r="AS251">
        <v>16798319</v>
      </c>
      <c r="AT251">
        <v>-61444</v>
      </c>
      <c r="AU251">
        <v>-37</v>
      </c>
    </row>
    <row r="252" spans="1:47" ht="13.5" customHeight="1" x14ac:dyDescent="0.3">
      <c r="A252" t="s">
        <v>8491</v>
      </c>
      <c r="B252" t="s">
        <v>8557</v>
      </c>
      <c r="C252">
        <v>0</v>
      </c>
      <c r="D252">
        <v>0</v>
      </c>
      <c r="E252" t="s">
        <v>3948</v>
      </c>
      <c r="F252" t="s">
        <v>3948</v>
      </c>
      <c r="G252" t="s">
        <v>3948</v>
      </c>
      <c r="H252" t="s">
        <v>3948</v>
      </c>
      <c r="I252" t="s">
        <v>11724</v>
      </c>
      <c r="J252" t="s">
        <v>3948</v>
      </c>
      <c r="K252" t="s">
        <v>9889</v>
      </c>
      <c r="L252" t="s">
        <v>18</v>
      </c>
      <c r="M252" t="s">
        <v>9890</v>
      </c>
      <c r="N252" t="s">
        <v>9891</v>
      </c>
      <c r="O252" t="s">
        <v>9892</v>
      </c>
      <c r="P252">
        <v>2024</v>
      </c>
      <c r="Q252">
        <v>15100</v>
      </c>
      <c r="R252" t="s">
        <v>9893</v>
      </c>
      <c r="S252" t="s">
        <v>9894</v>
      </c>
      <c r="T252" t="s">
        <v>8158</v>
      </c>
      <c r="U252" t="s">
        <v>5296</v>
      </c>
      <c r="V252" t="s">
        <v>5147</v>
      </c>
      <c r="W252">
        <v>19790000</v>
      </c>
      <c r="X252" t="s">
        <v>5148</v>
      </c>
      <c r="Y252">
        <v>960</v>
      </c>
      <c r="Z252" t="s">
        <v>8159</v>
      </c>
      <c r="AA252" t="s">
        <v>8301</v>
      </c>
      <c r="AB252" t="s">
        <v>3948</v>
      </c>
      <c r="AC252" t="s">
        <v>9895</v>
      </c>
      <c r="AD252" t="s">
        <v>9889</v>
      </c>
      <c r="AE252" t="s">
        <v>8493</v>
      </c>
      <c r="AF252" t="s">
        <v>11725</v>
      </c>
      <c r="AG252">
        <v>0</v>
      </c>
      <c r="AH252" t="s">
        <v>3948</v>
      </c>
      <c r="AI252" t="s">
        <v>3948</v>
      </c>
      <c r="AJ252" t="s">
        <v>3948</v>
      </c>
      <c r="AK252">
        <v>0</v>
      </c>
      <c r="AL252">
        <v>0</v>
      </c>
      <c r="AM252" t="s">
        <v>3948</v>
      </c>
      <c r="AN252">
        <v>0</v>
      </c>
      <c r="AO252">
        <v>30243697</v>
      </c>
      <c r="AP252">
        <v>847880</v>
      </c>
      <c r="AQ252">
        <v>0</v>
      </c>
      <c r="AR252">
        <v>31091577</v>
      </c>
      <c r="AS252">
        <v>19790000</v>
      </c>
      <c r="AT252">
        <v>-11301577</v>
      </c>
      <c r="AU252">
        <v>-5711</v>
      </c>
    </row>
    <row r="253" spans="1:47" ht="13.5" customHeight="1" x14ac:dyDescent="0.3">
      <c r="A253" t="s">
        <v>8491</v>
      </c>
      <c r="B253" t="s">
        <v>5143</v>
      </c>
      <c r="C253">
        <v>0</v>
      </c>
      <c r="D253">
        <v>0</v>
      </c>
      <c r="E253" t="s">
        <v>3948</v>
      </c>
      <c r="F253" t="s">
        <v>3948</v>
      </c>
      <c r="G253" t="s">
        <v>3948</v>
      </c>
      <c r="H253" t="s">
        <v>3948</v>
      </c>
      <c r="I253" t="s">
        <v>11726</v>
      </c>
      <c r="J253" t="s">
        <v>3948</v>
      </c>
      <c r="K253" t="s">
        <v>9576</v>
      </c>
      <c r="L253" t="s">
        <v>173</v>
      </c>
      <c r="M253" t="s">
        <v>4423</v>
      </c>
      <c r="N253" t="s">
        <v>9577</v>
      </c>
      <c r="O253" t="s">
        <v>9578</v>
      </c>
      <c r="P253">
        <v>2025</v>
      </c>
      <c r="Q253">
        <v>0</v>
      </c>
      <c r="R253" t="s">
        <v>9579</v>
      </c>
      <c r="S253" t="s">
        <v>8808</v>
      </c>
      <c r="T253" t="s">
        <v>8158</v>
      </c>
      <c r="U253" t="s">
        <v>9580</v>
      </c>
      <c r="V253" t="s">
        <v>5147</v>
      </c>
      <c r="W253">
        <v>21490000</v>
      </c>
      <c r="X253" t="s">
        <v>5148</v>
      </c>
      <c r="Y253">
        <v>378</v>
      </c>
      <c r="Z253" t="s">
        <v>8159</v>
      </c>
      <c r="AA253" t="s">
        <v>8519</v>
      </c>
      <c r="AB253" t="s">
        <v>3948</v>
      </c>
      <c r="AC253" t="s">
        <v>9581</v>
      </c>
      <c r="AD253" t="s">
        <v>9576</v>
      </c>
      <c r="AE253" t="s">
        <v>8149</v>
      </c>
      <c r="AF253" t="s">
        <v>11727</v>
      </c>
      <c r="AG253">
        <v>301777</v>
      </c>
      <c r="AH253" t="s">
        <v>11728</v>
      </c>
      <c r="AI253" t="s">
        <v>11729</v>
      </c>
      <c r="AJ253" t="s">
        <v>3948</v>
      </c>
      <c r="AK253">
        <v>0</v>
      </c>
      <c r="AL253">
        <v>0</v>
      </c>
      <c r="AM253" t="s">
        <v>3948</v>
      </c>
      <c r="AN253">
        <v>0</v>
      </c>
      <c r="AO253">
        <v>23227563</v>
      </c>
      <c r="AP253">
        <v>0</v>
      </c>
      <c r="AQ253">
        <v>0</v>
      </c>
      <c r="AR253">
        <v>23227563</v>
      </c>
      <c r="AS253">
        <v>21490000</v>
      </c>
      <c r="AT253">
        <v>-1737563</v>
      </c>
      <c r="AU253">
        <v>-809</v>
      </c>
    </row>
    <row r="254" spans="1:47" ht="13.5" customHeight="1" x14ac:dyDescent="0.3">
      <c r="A254" t="s">
        <v>8491</v>
      </c>
      <c r="B254" t="s">
        <v>5161</v>
      </c>
      <c r="C254">
        <v>0</v>
      </c>
      <c r="D254">
        <v>0</v>
      </c>
      <c r="E254" t="s">
        <v>3948</v>
      </c>
      <c r="F254" t="s">
        <v>3948</v>
      </c>
      <c r="G254" t="s">
        <v>3948</v>
      </c>
      <c r="H254" t="s">
        <v>3948</v>
      </c>
      <c r="I254" t="s">
        <v>11730</v>
      </c>
      <c r="J254" t="s">
        <v>3948</v>
      </c>
      <c r="K254" t="s">
        <v>8527</v>
      </c>
      <c r="L254" t="s">
        <v>28</v>
      </c>
      <c r="M254" t="s">
        <v>35</v>
      </c>
      <c r="N254" t="s">
        <v>8528</v>
      </c>
      <c r="O254" t="s">
        <v>8529</v>
      </c>
      <c r="P254">
        <v>2024</v>
      </c>
      <c r="Q254">
        <v>0</v>
      </c>
      <c r="R254" t="s">
        <v>8530</v>
      </c>
      <c r="S254" t="s">
        <v>544</v>
      </c>
      <c r="T254" t="s">
        <v>5145</v>
      </c>
      <c r="U254" t="s">
        <v>8531</v>
      </c>
      <c r="V254" t="s">
        <v>5147</v>
      </c>
      <c r="W254">
        <v>11990000</v>
      </c>
      <c r="X254" t="s">
        <v>5148</v>
      </c>
      <c r="Y254">
        <v>378</v>
      </c>
      <c r="Z254" t="s">
        <v>26</v>
      </c>
      <c r="AA254" t="s">
        <v>8228</v>
      </c>
      <c r="AB254" t="s">
        <v>3948</v>
      </c>
      <c r="AC254" t="s">
        <v>8532</v>
      </c>
      <c r="AD254" t="s">
        <v>8527</v>
      </c>
      <c r="AE254" t="s">
        <v>8533</v>
      </c>
      <c r="AF254" t="s">
        <v>11727</v>
      </c>
      <c r="AG254">
        <v>1</v>
      </c>
      <c r="AH254" t="s">
        <v>11727</v>
      </c>
      <c r="AI254" t="s">
        <v>11731</v>
      </c>
      <c r="AJ254" t="s">
        <v>3948</v>
      </c>
      <c r="AK254">
        <v>0</v>
      </c>
      <c r="AL254">
        <v>0</v>
      </c>
      <c r="AM254" t="s">
        <v>3948</v>
      </c>
      <c r="AN254">
        <v>0</v>
      </c>
      <c r="AO254">
        <v>11990000</v>
      </c>
      <c r="AP254">
        <v>0</v>
      </c>
      <c r="AQ254">
        <v>0</v>
      </c>
      <c r="AR254">
        <v>11990000</v>
      </c>
      <c r="AS254">
        <v>11990000</v>
      </c>
      <c r="AT254">
        <v>0</v>
      </c>
      <c r="AU254">
        <v>0</v>
      </c>
    </row>
    <row r="255" spans="1:47" ht="13.5" customHeight="1" x14ac:dyDescent="0.3">
      <c r="A255" t="s">
        <v>8491</v>
      </c>
      <c r="B255" t="s">
        <v>8557</v>
      </c>
      <c r="C255">
        <v>0</v>
      </c>
      <c r="D255">
        <v>0</v>
      </c>
      <c r="E255" t="s">
        <v>3948</v>
      </c>
      <c r="F255" t="s">
        <v>3948</v>
      </c>
      <c r="G255" t="s">
        <v>3948</v>
      </c>
      <c r="H255" t="s">
        <v>3948</v>
      </c>
      <c r="I255" t="s">
        <v>11732</v>
      </c>
      <c r="J255" t="s">
        <v>3948</v>
      </c>
      <c r="K255" t="s">
        <v>8558</v>
      </c>
      <c r="L255" t="s">
        <v>291</v>
      </c>
      <c r="M255" t="s">
        <v>292</v>
      </c>
      <c r="N255" t="s">
        <v>8559</v>
      </c>
      <c r="O255" t="s">
        <v>8560</v>
      </c>
      <c r="P255">
        <v>2023</v>
      </c>
      <c r="Q255">
        <v>0</v>
      </c>
      <c r="R255" t="s">
        <v>8561</v>
      </c>
      <c r="S255" t="s">
        <v>8562</v>
      </c>
      <c r="T255" t="s">
        <v>5145</v>
      </c>
      <c r="U255" t="s">
        <v>8563</v>
      </c>
      <c r="V255" t="s">
        <v>5147</v>
      </c>
      <c r="W255">
        <v>22563664</v>
      </c>
      <c r="X255" t="s">
        <v>5148</v>
      </c>
      <c r="Y255">
        <v>343</v>
      </c>
      <c r="Z255" t="s">
        <v>40</v>
      </c>
      <c r="AA255" t="s">
        <v>8564</v>
      </c>
      <c r="AB255" t="s">
        <v>3948</v>
      </c>
      <c r="AC255" t="s">
        <v>11733</v>
      </c>
      <c r="AD255" t="s">
        <v>8558</v>
      </c>
      <c r="AE255" t="s">
        <v>8565</v>
      </c>
      <c r="AF255" t="s">
        <v>11734</v>
      </c>
      <c r="AG255">
        <v>1</v>
      </c>
      <c r="AH255" t="s">
        <v>11734</v>
      </c>
      <c r="AI255" t="s">
        <v>11735</v>
      </c>
      <c r="AJ255" t="s">
        <v>3948</v>
      </c>
      <c r="AK255">
        <v>0</v>
      </c>
      <c r="AL255">
        <v>0</v>
      </c>
      <c r="AM255" t="s">
        <v>3948</v>
      </c>
      <c r="AN255">
        <v>0</v>
      </c>
      <c r="AO255">
        <v>22563664</v>
      </c>
      <c r="AP255">
        <v>0</v>
      </c>
      <c r="AQ255">
        <v>0</v>
      </c>
      <c r="AR255">
        <v>22563664</v>
      </c>
      <c r="AS255">
        <v>22563664</v>
      </c>
      <c r="AT255">
        <v>0</v>
      </c>
      <c r="AU255">
        <v>0</v>
      </c>
    </row>
    <row r="256" spans="1:47" ht="13.5" customHeight="1" x14ac:dyDescent="0.3">
      <c r="A256" t="s">
        <v>8491</v>
      </c>
      <c r="B256" t="s">
        <v>8356</v>
      </c>
      <c r="C256">
        <v>0</v>
      </c>
      <c r="D256">
        <v>0</v>
      </c>
      <c r="E256" t="s">
        <v>3948</v>
      </c>
      <c r="F256" t="s">
        <v>3948</v>
      </c>
      <c r="G256" t="s">
        <v>3948</v>
      </c>
      <c r="H256" t="s">
        <v>3948</v>
      </c>
      <c r="I256" t="s">
        <v>11736</v>
      </c>
      <c r="J256" t="s">
        <v>3948</v>
      </c>
      <c r="K256" t="s">
        <v>8538</v>
      </c>
      <c r="L256" t="s">
        <v>156</v>
      </c>
      <c r="M256" t="s">
        <v>8539</v>
      </c>
      <c r="N256" t="s">
        <v>8540</v>
      </c>
      <c r="O256" t="s">
        <v>8541</v>
      </c>
      <c r="P256">
        <v>2017</v>
      </c>
      <c r="Q256">
        <v>200000</v>
      </c>
      <c r="R256" t="s">
        <v>8542</v>
      </c>
      <c r="S256" t="s">
        <v>582</v>
      </c>
      <c r="T256" t="s">
        <v>5145</v>
      </c>
      <c r="U256" t="s">
        <v>5179</v>
      </c>
      <c r="V256" t="s">
        <v>5147</v>
      </c>
      <c r="W256">
        <v>17690000</v>
      </c>
      <c r="X256" t="s">
        <v>5148</v>
      </c>
      <c r="Y256">
        <v>294</v>
      </c>
      <c r="Z256" t="s">
        <v>40</v>
      </c>
      <c r="AA256" t="s">
        <v>8363</v>
      </c>
      <c r="AB256" t="s">
        <v>3948</v>
      </c>
      <c r="AC256" t="s">
        <v>8543</v>
      </c>
      <c r="AD256" t="s">
        <v>8538</v>
      </c>
      <c r="AE256" t="s">
        <v>5465</v>
      </c>
      <c r="AF256" t="s">
        <v>8169</v>
      </c>
      <c r="AG256">
        <v>3384</v>
      </c>
      <c r="AH256" t="s">
        <v>5509</v>
      </c>
      <c r="AI256" t="s">
        <v>11737</v>
      </c>
      <c r="AJ256" t="s">
        <v>3948</v>
      </c>
      <c r="AK256">
        <v>0</v>
      </c>
      <c r="AL256">
        <v>0</v>
      </c>
      <c r="AM256" t="s">
        <v>3948</v>
      </c>
      <c r="AN256">
        <v>0</v>
      </c>
      <c r="AO256">
        <v>12605042</v>
      </c>
      <c r="AP256">
        <v>0</v>
      </c>
      <c r="AQ256">
        <v>0</v>
      </c>
      <c r="AR256">
        <v>12605042</v>
      </c>
      <c r="AS256">
        <v>17690000</v>
      </c>
      <c r="AT256">
        <v>5084958</v>
      </c>
      <c r="AU256">
        <v>2874</v>
      </c>
    </row>
    <row r="257" spans="1:47" ht="13.5" customHeight="1" x14ac:dyDescent="0.3">
      <c r="A257" t="s">
        <v>8491</v>
      </c>
      <c r="B257" t="s">
        <v>8135</v>
      </c>
      <c r="C257">
        <v>0</v>
      </c>
      <c r="D257">
        <v>0</v>
      </c>
      <c r="E257" t="s">
        <v>3948</v>
      </c>
      <c r="F257" t="s">
        <v>3948</v>
      </c>
      <c r="G257" t="s">
        <v>3948</v>
      </c>
      <c r="H257" t="s">
        <v>3948</v>
      </c>
      <c r="I257" t="s">
        <v>11738</v>
      </c>
      <c r="J257" t="s">
        <v>3948</v>
      </c>
      <c r="K257" t="s">
        <v>8544</v>
      </c>
      <c r="L257" t="s">
        <v>18</v>
      </c>
      <c r="M257" t="s">
        <v>24</v>
      </c>
      <c r="N257" t="s">
        <v>8545</v>
      </c>
      <c r="O257" t="s">
        <v>8546</v>
      </c>
      <c r="P257">
        <v>2024</v>
      </c>
      <c r="Q257">
        <v>19482</v>
      </c>
      <c r="R257" t="s">
        <v>8547</v>
      </c>
      <c r="S257" t="s">
        <v>2642</v>
      </c>
      <c r="T257" t="s">
        <v>8158</v>
      </c>
      <c r="U257" t="s">
        <v>8548</v>
      </c>
      <c r="V257" t="s">
        <v>5147</v>
      </c>
      <c r="W257">
        <v>28990000</v>
      </c>
      <c r="X257" t="s">
        <v>5148</v>
      </c>
      <c r="Y257">
        <v>403</v>
      </c>
      <c r="Z257" t="s">
        <v>8159</v>
      </c>
      <c r="AA257" t="s">
        <v>8135</v>
      </c>
      <c r="AB257" t="s">
        <v>3948</v>
      </c>
      <c r="AC257" t="s">
        <v>8549</v>
      </c>
      <c r="AD257" t="s">
        <v>8544</v>
      </c>
      <c r="AE257" t="s">
        <v>8493</v>
      </c>
      <c r="AF257" t="s">
        <v>11739</v>
      </c>
      <c r="AG257">
        <v>0</v>
      </c>
      <c r="AH257" t="s">
        <v>3948</v>
      </c>
      <c r="AI257" t="s">
        <v>3948</v>
      </c>
      <c r="AJ257" t="s">
        <v>3948</v>
      </c>
      <c r="AK257">
        <v>0</v>
      </c>
      <c r="AL257">
        <v>0</v>
      </c>
      <c r="AM257" t="s">
        <v>3948</v>
      </c>
      <c r="AN257">
        <v>0</v>
      </c>
      <c r="AO257">
        <v>29403361</v>
      </c>
      <c r="AP257">
        <v>1237255</v>
      </c>
      <c r="AQ257">
        <v>0</v>
      </c>
      <c r="AR257">
        <v>30640616</v>
      </c>
      <c r="AS257">
        <v>28990000</v>
      </c>
      <c r="AT257">
        <v>-1650616</v>
      </c>
      <c r="AU257">
        <v>-569</v>
      </c>
    </row>
    <row r="258" spans="1:47" ht="13.5" customHeight="1" x14ac:dyDescent="0.3">
      <c r="A258" t="s">
        <v>8491</v>
      </c>
      <c r="B258" t="s">
        <v>5161</v>
      </c>
      <c r="C258">
        <v>0</v>
      </c>
      <c r="D258">
        <v>0</v>
      </c>
      <c r="E258" t="s">
        <v>3948</v>
      </c>
      <c r="F258" t="s">
        <v>3948</v>
      </c>
      <c r="G258" t="s">
        <v>3948</v>
      </c>
      <c r="H258" t="s">
        <v>3948</v>
      </c>
      <c r="I258" t="s">
        <v>11740</v>
      </c>
      <c r="J258" t="s">
        <v>3948</v>
      </c>
      <c r="K258" t="s">
        <v>11741</v>
      </c>
      <c r="L258" t="s">
        <v>237</v>
      </c>
      <c r="M258" t="s">
        <v>3170</v>
      </c>
      <c r="N258" t="s">
        <v>11742</v>
      </c>
      <c r="O258" t="s">
        <v>11743</v>
      </c>
      <c r="P258">
        <v>2026</v>
      </c>
      <c r="Q258">
        <v>4000</v>
      </c>
      <c r="R258" t="s">
        <v>11744</v>
      </c>
      <c r="S258" t="s">
        <v>10868</v>
      </c>
      <c r="T258" t="s">
        <v>8158</v>
      </c>
      <c r="U258" t="s">
        <v>8197</v>
      </c>
      <c r="V258" t="s">
        <v>5147</v>
      </c>
      <c r="W258">
        <v>19390000</v>
      </c>
      <c r="X258" t="s">
        <v>5148</v>
      </c>
      <c r="Y258">
        <v>231</v>
      </c>
      <c r="Z258" t="s">
        <v>16</v>
      </c>
      <c r="AA258" t="s">
        <v>8228</v>
      </c>
      <c r="AB258" t="s">
        <v>3948</v>
      </c>
      <c r="AC258" t="s">
        <v>11745</v>
      </c>
      <c r="AD258" t="s">
        <v>11741</v>
      </c>
      <c r="AE258" t="s">
        <v>8149</v>
      </c>
      <c r="AF258" t="s">
        <v>11718</v>
      </c>
      <c r="AG258">
        <v>322031</v>
      </c>
      <c r="AH258" t="s">
        <v>8655</v>
      </c>
      <c r="AI258" t="s">
        <v>11746</v>
      </c>
      <c r="AJ258" t="s">
        <v>3948</v>
      </c>
      <c r="AK258">
        <v>0</v>
      </c>
      <c r="AL258">
        <v>0</v>
      </c>
      <c r="AM258" t="s">
        <v>3948</v>
      </c>
      <c r="AN258">
        <v>0</v>
      </c>
      <c r="AO258">
        <v>19572017</v>
      </c>
      <c r="AP258">
        <v>753984</v>
      </c>
      <c r="AQ258">
        <v>0</v>
      </c>
      <c r="AR258">
        <v>20326001</v>
      </c>
      <c r="AS258">
        <v>19390000</v>
      </c>
      <c r="AT258">
        <v>-936001</v>
      </c>
      <c r="AU258">
        <v>-483</v>
      </c>
    </row>
    <row r="259" spans="1:47" ht="13.5" customHeight="1" x14ac:dyDescent="0.3">
      <c r="A259" t="s">
        <v>8491</v>
      </c>
      <c r="B259" t="s">
        <v>8270</v>
      </c>
      <c r="C259">
        <v>0</v>
      </c>
      <c r="D259">
        <v>0</v>
      </c>
      <c r="E259" t="s">
        <v>3948</v>
      </c>
      <c r="F259" t="s">
        <v>3948</v>
      </c>
      <c r="G259" t="s">
        <v>3948</v>
      </c>
      <c r="H259" t="s">
        <v>3948</v>
      </c>
      <c r="I259" t="s">
        <v>11747</v>
      </c>
      <c r="J259" t="s">
        <v>3948</v>
      </c>
      <c r="K259" t="s">
        <v>8572</v>
      </c>
      <c r="L259" t="s">
        <v>156</v>
      </c>
      <c r="M259" t="s">
        <v>8573</v>
      </c>
      <c r="N259" t="s">
        <v>8574</v>
      </c>
      <c r="O259" t="s">
        <v>8575</v>
      </c>
      <c r="P259">
        <v>2022</v>
      </c>
      <c r="Q259">
        <v>0</v>
      </c>
      <c r="R259" t="s">
        <v>8576</v>
      </c>
      <c r="S259" t="s">
        <v>8577</v>
      </c>
      <c r="T259" t="s">
        <v>5145</v>
      </c>
      <c r="U259" t="s">
        <v>5179</v>
      </c>
      <c r="V259" t="s">
        <v>5147</v>
      </c>
      <c r="W259">
        <v>37000000</v>
      </c>
      <c r="X259" t="s">
        <v>5148</v>
      </c>
      <c r="Y259">
        <v>418</v>
      </c>
      <c r="Z259" t="s">
        <v>40</v>
      </c>
      <c r="AA259" t="s">
        <v>8276</v>
      </c>
      <c r="AB259" t="s">
        <v>3948</v>
      </c>
      <c r="AC259" t="s">
        <v>8578</v>
      </c>
      <c r="AD259" t="s">
        <v>8572</v>
      </c>
      <c r="AE259" t="s">
        <v>8579</v>
      </c>
      <c r="AF259" t="s">
        <v>11748</v>
      </c>
      <c r="AG259">
        <v>885</v>
      </c>
      <c r="AH259" t="s">
        <v>11749</v>
      </c>
      <c r="AI259" t="s">
        <v>11750</v>
      </c>
      <c r="AJ259" t="s">
        <v>3948</v>
      </c>
      <c r="AK259">
        <v>0</v>
      </c>
      <c r="AL259">
        <v>0</v>
      </c>
      <c r="AM259" t="s">
        <v>3948</v>
      </c>
      <c r="AN259">
        <v>0</v>
      </c>
      <c r="AO259">
        <v>31092437</v>
      </c>
      <c r="AP259">
        <v>0</v>
      </c>
      <c r="AQ259">
        <v>0</v>
      </c>
      <c r="AR259">
        <v>31092437</v>
      </c>
      <c r="AS259">
        <v>37000000</v>
      </c>
      <c r="AT259">
        <v>5907563</v>
      </c>
      <c r="AU259">
        <v>1597</v>
      </c>
    </row>
    <row r="260" spans="1:47" ht="13.5" customHeight="1" x14ac:dyDescent="0.3">
      <c r="A260" t="s">
        <v>8491</v>
      </c>
      <c r="B260" t="s">
        <v>5161</v>
      </c>
      <c r="C260">
        <v>0</v>
      </c>
      <c r="D260">
        <v>0</v>
      </c>
      <c r="E260" t="s">
        <v>3948</v>
      </c>
      <c r="F260" t="s">
        <v>3948</v>
      </c>
      <c r="G260" t="s">
        <v>3948</v>
      </c>
      <c r="H260" t="s">
        <v>3948</v>
      </c>
      <c r="I260" t="s">
        <v>11751</v>
      </c>
      <c r="J260" t="s">
        <v>3948</v>
      </c>
      <c r="K260" t="s">
        <v>8509</v>
      </c>
      <c r="L260" t="s">
        <v>2992</v>
      </c>
      <c r="M260" t="s">
        <v>8510</v>
      </c>
      <c r="N260" t="s">
        <v>8511</v>
      </c>
      <c r="O260" t="s">
        <v>364</v>
      </c>
      <c r="P260">
        <v>2026</v>
      </c>
      <c r="Q260">
        <v>748</v>
      </c>
      <c r="R260" t="s">
        <v>8512</v>
      </c>
      <c r="S260" t="s">
        <v>364</v>
      </c>
      <c r="T260" t="s">
        <v>5145</v>
      </c>
      <c r="U260" t="s">
        <v>5179</v>
      </c>
      <c r="V260" t="s">
        <v>5147</v>
      </c>
      <c r="W260">
        <v>14990000</v>
      </c>
      <c r="X260" t="s">
        <v>5148</v>
      </c>
      <c r="Y260">
        <v>176</v>
      </c>
      <c r="Z260" t="s">
        <v>20</v>
      </c>
      <c r="AA260" t="s">
        <v>8228</v>
      </c>
      <c r="AB260" t="s">
        <v>3948</v>
      </c>
      <c r="AC260" t="s">
        <v>8513</v>
      </c>
      <c r="AD260" t="s">
        <v>8509</v>
      </c>
      <c r="AE260" t="s">
        <v>8514</v>
      </c>
      <c r="AF260" t="s">
        <v>11752</v>
      </c>
      <c r="AG260">
        <v>1</v>
      </c>
      <c r="AH260" t="s">
        <v>11752</v>
      </c>
      <c r="AI260" t="s">
        <v>11753</v>
      </c>
      <c r="AJ260" t="s">
        <v>3948</v>
      </c>
      <c r="AK260">
        <v>0</v>
      </c>
      <c r="AL260">
        <v>0</v>
      </c>
      <c r="AM260" t="s">
        <v>3948</v>
      </c>
      <c r="AN260">
        <v>0</v>
      </c>
      <c r="AO260">
        <v>14500000</v>
      </c>
      <c r="AP260">
        <v>0</v>
      </c>
      <c r="AQ260">
        <v>0</v>
      </c>
      <c r="AR260">
        <v>14500000</v>
      </c>
      <c r="AS260">
        <v>14990000</v>
      </c>
      <c r="AT260">
        <v>490000</v>
      </c>
      <c r="AU260">
        <v>327</v>
      </c>
    </row>
    <row r="261" spans="1:47" ht="13.5" customHeight="1" x14ac:dyDescent="0.3">
      <c r="A261" t="s">
        <v>8491</v>
      </c>
      <c r="B261" t="s">
        <v>8246</v>
      </c>
      <c r="C261">
        <v>0</v>
      </c>
      <c r="D261">
        <v>0</v>
      </c>
      <c r="E261" t="s">
        <v>3948</v>
      </c>
      <c r="F261" t="s">
        <v>3948</v>
      </c>
      <c r="G261" t="s">
        <v>3948</v>
      </c>
      <c r="H261" t="s">
        <v>3948</v>
      </c>
      <c r="I261" t="s">
        <v>11754</v>
      </c>
      <c r="J261" t="s">
        <v>3948</v>
      </c>
      <c r="K261" t="s">
        <v>8494</v>
      </c>
      <c r="L261" t="s">
        <v>278</v>
      </c>
      <c r="M261" t="s">
        <v>4876</v>
      </c>
      <c r="N261" t="s">
        <v>8495</v>
      </c>
      <c r="O261" t="s">
        <v>8496</v>
      </c>
      <c r="P261">
        <v>2020</v>
      </c>
      <c r="Q261">
        <v>0</v>
      </c>
      <c r="R261" t="s">
        <v>8497</v>
      </c>
      <c r="S261" t="s">
        <v>8498</v>
      </c>
      <c r="T261" t="s">
        <v>8158</v>
      </c>
      <c r="U261" t="s">
        <v>8499</v>
      </c>
      <c r="V261" t="s">
        <v>5147</v>
      </c>
      <c r="W261">
        <v>14863100</v>
      </c>
      <c r="X261" t="s">
        <v>5148</v>
      </c>
      <c r="Y261">
        <v>2390</v>
      </c>
      <c r="Z261" t="s">
        <v>8086</v>
      </c>
      <c r="AA261" t="s">
        <v>8492</v>
      </c>
      <c r="AB261" t="s">
        <v>3948</v>
      </c>
      <c r="AC261" t="s">
        <v>11755</v>
      </c>
      <c r="AD261" t="s">
        <v>8494</v>
      </c>
      <c r="AE261" t="s">
        <v>8145</v>
      </c>
      <c r="AF261" t="s">
        <v>11756</v>
      </c>
      <c r="AG261">
        <v>165313</v>
      </c>
      <c r="AH261" t="s">
        <v>11757</v>
      </c>
      <c r="AI261" t="s">
        <v>11758</v>
      </c>
      <c r="AJ261" t="s">
        <v>3948</v>
      </c>
      <c r="AK261">
        <v>0</v>
      </c>
      <c r="AL261">
        <v>0</v>
      </c>
      <c r="AM261" t="s">
        <v>3948</v>
      </c>
      <c r="AN261">
        <v>0</v>
      </c>
      <c r="AO261">
        <v>6854706</v>
      </c>
      <c r="AP261">
        <v>2676883</v>
      </c>
      <c r="AQ261">
        <v>0</v>
      </c>
      <c r="AR261">
        <v>9531589</v>
      </c>
      <c r="AS261">
        <v>12490000</v>
      </c>
      <c r="AT261">
        <v>2958411</v>
      </c>
      <c r="AU261">
        <v>2369</v>
      </c>
    </row>
    <row r="262" spans="1:47" ht="13.5" customHeight="1" x14ac:dyDescent="0.3">
      <c r="A262" t="s">
        <v>8491</v>
      </c>
      <c r="B262" t="s">
        <v>5170</v>
      </c>
      <c r="C262">
        <v>0</v>
      </c>
      <c r="D262">
        <v>0</v>
      </c>
      <c r="E262" t="s">
        <v>3948</v>
      </c>
      <c r="F262" t="s">
        <v>3948</v>
      </c>
      <c r="G262" t="s">
        <v>3948</v>
      </c>
      <c r="H262" t="s">
        <v>3948</v>
      </c>
      <c r="I262" t="s">
        <v>11759</v>
      </c>
      <c r="J262" t="s">
        <v>3948</v>
      </c>
      <c r="K262" t="s">
        <v>11760</v>
      </c>
      <c r="L262" t="s">
        <v>237</v>
      </c>
      <c r="M262" t="s">
        <v>65</v>
      </c>
      <c r="N262" t="s">
        <v>11761</v>
      </c>
      <c r="O262" t="s">
        <v>11762</v>
      </c>
      <c r="P262">
        <v>2026</v>
      </c>
      <c r="Q262">
        <v>4200</v>
      </c>
      <c r="R262" t="s">
        <v>11763</v>
      </c>
      <c r="S262" t="s">
        <v>10870</v>
      </c>
      <c r="T262" t="s">
        <v>8158</v>
      </c>
      <c r="U262" t="s">
        <v>5296</v>
      </c>
      <c r="V262" t="s">
        <v>5147</v>
      </c>
      <c r="W262">
        <v>15490000</v>
      </c>
      <c r="X262" t="s">
        <v>5148</v>
      </c>
      <c r="Y262">
        <v>231</v>
      </c>
      <c r="Z262" t="s">
        <v>16</v>
      </c>
      <c r="AA262" t="s">
        <v>11764</v>
      </c>
      <c r="AB262" t="s">
        <v>3948</v>
      </c>
      <c r="AC262" t="s">
        <v>11765</v>
      </c>
      <c r="AD262" t="s">
        <v>11760</v>
      </c>
      <c r="AE262" t="s">
        <v>8149</v>
      </c>
      <c r="AF262" t="s">
        <v>11718</v>
      </c>
      <c r="AG262">
        <v>322032</v>
      </c>
      <c r="AH262" t="s">
        <v>8655</v>
      </c>
      <c r="AI262" t="s">
        <v>11766</v>
      </c>
      <c r="AJ262" t="s">
        <v>3948</v>
      </c>
      <c r="AK262">
        <v>0</v>
      </c>
      <c r="AL262">
        <v>0</v>
      </c>
      <c r="AM262" t="s">
        <v>3948</v>
      </c>
      <c r="AN262">
        <v>0</v>
      </c>
      <c r="AO262">
        <v>15109916</v>
      </c>
      <c r="AP262">
        <v>737158</v>
      </c>
      <c r="AQ262">
        <v>0</v>
      </c>
      <c r="AR262">
        <v>15847074</v>
      </c>
      <c r="AS262">
        <v>15490000</v>
      </c>
      <c r="AT262">
        <v>-357074</v>
      </c>
      <c r="AU262">
        <v>-231</v>
      </c>
    </row>
    <row r="263" spans="1:47" ht="13.5" customHeight="1" x14ac:dyDescent="0.3">
      <c r="A263" t="s">
        <v>8491</v>
      </c>
      <c r="B263" t="s">
        <v>8246</v>
      </c>
      <c r="C263">
        <v>0</v>
      </c>
      <c r="D263">
        <v>0</v>
      </c>
      <c r="E263" t="s">
        <v>3948</v>
      </c>
      <c r="F263" t="s">
        <v>3948</v>
      </c>
      <c r="G263" t="s">
        <v>3948</v>
      </c>
      <c r="H263" t="s">
        <v>3948</v>
      </c>
      <c r="I263" t="s">
        <v>11767</v>
      </c>
      <c r="J263" t="s">
        <v>3948</v>
      </c>
      <c r="K263" t="s">
        <v>8521</v>
      </c>
      <c r="L263" t="s">
        <v>278</v>
      </c>
      <c r="M263" t="s">
        <v>279</v>
      </c>
      <c r="N263" t="s">
        <v>4858</v>
      </c>
      <c r="O263" t="s">
        <v>8522</v>
      </c>
      <c r="P263">
        <v>2025</v>
      </c>
      <c r="Q263">
        <v>0</v>
      </c>
      <c r="R263" t="s">
        <v>8523</v>
      </c>
      <c r="S263" t="s">
        <v>8524</v>
      </c>
      <c r="T263" t="s">
        <v>5145</v>
      </c>
      <c r="U263" t="s">
        <v>5373</v>
      </c>
      <c r="V263" t="s">
        <v>5147</v>
      </c>
      <c r="W263">
        <v>65150753</v>
      </c>
      <c r="X263" t="s">
        <v>5148</v>
      </c>
      <c r="Y263">
        <v>168</v>
      </c>
      <c r="Z263" t="s">
        <v>40</v>
      </c>
      <c r="AA263" t="s">
        <v>8492</v>
      </c>
      <c r="AB263" t="s">
        <v>3948</v>
      </c>
      <c r="AC263" t="s">
        <v>8525</v>
      </c>
      <c r="AD263" t="s">
        <v>8521</v>
      </c>
      <c r="AE263" t="s">
        <v>8526</v>
      </c>
      <c r="AF263" t="s">
        <v>11768</v>
      </c>
      <c r="AG263">
        <v>1</v>
      </c>
      <c r="AH263" t="s">
        <v>11768</v>
      </c>
      <c r="AI263" t="s">
        <v>11769</v>
      </c>
      <c r="AJ263" t="s">
        <v>3948</v>
      </c>
      <c r="AK263">
        <v>0</v>
      </c>
      <c r="AL263">
        <v>0</v>
      </c>
      <c r="AM263" t="s">
        <v>3948</v>
      </c>
      <c r="AN263">
        <v>0</v>
      </c>
      <c r="AO263">
        <v>65150753</v>
      </c>
      <c r="AP263">
        <v>0</v>
      </c>
      <c r="AQ263">
        <v>0</v>
      </c>
      <c r="AR263">
        <v>65150753</v>
      </c>
      <c r="AS263">
        <v>65150753</v>
      </c>
      <c r="AT263">
        <v>0</v>
      </c>
      <c r="AU263">
        <v>0</v>
      </c>
    </row>
    <row r="264" spans="1:47" ht="13.5" customHeight="1" x14ac:dyDescent="0.3">
      <c r="A264" t="s">
        <v>8491</v>
      </c>
      <c r="B264" t="s">
        <v>5161</v>
      </c>
      <c r="C264">
        <v>0</v>
      </c>
      <c r="D264">
        <v>0</v>
      </c>
      <c r="E264" t="s">
        <v>3948</v>
      </c>
      <c r="F264" t="s">
        <v>3948</v>
      </c>
      <c r="G264" t="s">
        <v>3948</v>
      </c>
      <c r="H264" t="s">
        <v>3948</v>
      </c>
      <c r="I264" t="s">
        <v>11770</v>
      </c>
      <c r="J264" t="s">
        <v>3948</v>
      </c>
      <c r="K264" t="s">
        <v>8566</v>
      </c>
      <c r="L264" t="s">
        <v>291</v>
      </c>
      <c r="M264" t="s">
        <v>292</v>
      </c>
      <c r="N264" t="s">
        <v>8567</v>
      </c>
      <c r="O264" t="s">
        <v>8568</v>
      </c>
      <c r="P264">
        <v>2024</v>
      </c>
      <c r="Q264">
        <v>0</v>
      </c>
      <c r="R264" t="s">
        <v>8569</v>
      </c>
      <c r="S264" t="s">
        <v>8570</v>
      </c>
      <c r="T264" t="s">
        <v>5145</v>
      </c>
      <c r="U264" t="s">
        <v>8563</v>
      </c>
      <c r="V264" t="s">
        <v>5147</v>
      </c>
      <c r="W264">
        <v>24957854</v>
      </c>
      <c r="X264" t="s">
        <v>5148</v>
      </c>
      <c r="Y264">
        <v>573</v>
      </c>
      <c r="Z264" t="s">
        <v>40</v>
      </c>
      <c r="AA264" t="s">
        <v>8228</v>
      </c>
      <c r="AB264" t="s">
        <v>3948</v>
      </c>
      <c r="AC264" t="s">
        <v>11771</v>
      </c>
      <c r="AD264" t="s">
        <v>8566</v>
      </c>
      <c r="AE264" t="s">
        <v>8571</v>
      </c>
      <c r="AF264" t="s">
        <v>11772</v>
      </c>
      <c r="AG264">
        <v>190225</v>
      </c>
      <c r="AH264" t="s">
        <v>11773</v>
      </c>
      <c r="AI264" t="s">
        <v>11774</v>
      </c>
      <c r="AJ264" t="s">
        <v>3948</v>
      </c>
      <c r="AK264">
        <v>0</v>
      </c>
      <c r="AL264">
        <v>0</v>
      </c>
      <c r="AM264" t="s">
        <v>3948</v>
      </c>
      <c r="AN264">
        <v>0</v>
      </c>
      <c r="AO264">
        <v>24957854</v>
      </c>
      <c r="AP264">
        <v>0</v>
      </c>
      <c r="AQ264">
        <v>0</v>
      </c>
      <c r="AR264">
        <v>24957854</v>
      </c>
      <c r="AS264">
        <v>24957854</v>
      </c>
      <c r="AT264">
        <v>0</v>
      </c>
      <c r="AU264">
        <v>0</v>
      </c>
    </row>
    <row r="265" spans="1:47" ht="13.5" customHeight="1" x14ac:dyDescent="0.3">
      <c r="A265" t="s">
        <v>8491</v>
      </c>
      <c r="B265" t="s">
        <v>5143</v>
      </c>
      <c r="C265">
        <v>0</v>
      </c>
      <c r="D265">
        <v>0</v>
      </c>
      <c r="E265" t="s">
        <v>3948</v>
      </c>
      <c r="F265" t="s">
        <v>3948</v>
      </c>
      <c r="G265" t="s">
        <v>3948</v>
      </c>
      <c r="H265" t="s">
        <v>3948</v>
      </c>
      <c r="I265" t="s">
        <v>11775</v>
      </c>
      <c r="J265" t="s">
        <v>3948</v>
      </c>
      <c r="K265" t="s">
        <v>8515</v>
      </c>
      <c r="L265" t="s">
        <v>173</v>
      </c>
      <c r="M265" t="s">
        <v>4423</v>
      </c>
      <c r="N265" t="s">
        <v>8516</v>
      </c>
      <c r="O265" t="s">
        <v>8517</v>
      </c>
      <c r="P265">
        <v>2025</v>
      </c>
      <c r="Q265">
        <v>8508</v>
      </c>
      <c r="R265" t="s">
        <v>8518</v>
      </c>
      <c r="S265" t="s">
        <v>2640</v>
      </c>
      <c r="T265" t="s">
        <v>8158</v>
      </c>
      <c r="U265" t="s">
        <v>5179</v>
      </c>
      <c r="V265" t="s">
        <v>5147</v>
      </c>
      <c r="W265">
        <v>17990000</v>
      </c>
      <c r="X265" t="s">
        <v>5148</v>
      </c>
      <c r="Y265">
        <v>393</v>
      </c>
      <c r="Z265" t="s">
        <v>8159</v>
      </c>
      <c r="AA265" t="s">
        <v>8519</v>
      </c>
      <c r="AB265" t="s">
        <v>3948</v>
      </c>
      <c r="AC265" t="s">
        <v>8520</v>
      </c>
      <c r="AD265" t="s">
        <v>8515</v>
      </c>
      <c r="AE265" t="s">
        <v>8149</v>
      </c>
      <c r="AF265" t="s">
        <v>8366</v>
      </c>
      <c r="AG265">
        <v>290264</v>
      </c>
      <c r="AH265" t="s">
        <v>11776</v>
      </c>
      <c r="AI265" t="s">
        <v>11777</v>
      </c>
      <c r="AJ265" t="s">
        <v>3948</v>
      </c>
      <c r="AK265">
        <v>0</v>
      </c>
      <c r="AL265">
        <v>0</v>
      </c>
      <c r="AM265" t="s">
        <v>3948</v>
      </c>
      <c r="AN265">
        <v>0</v>
      </c>
      <c r="AO265">
        <v>17732643</v>
      </c>
      <c r="AP265">
        <v>1035113</v>
      </c>
      <c r="AQ265">
        <v>0</v>
      </c>
      <c r="AR265">
        <v>18767756</v>
      </c>
      <c r="AS265">
        <v>17990000</v>
      </c>
      <c r="AT265">
        <v>-777756</v>
      </c>
      <c r="AU265">
        <v>-432</v>
      </c>
    </row>
    <row r="266" spans="1:47" ht="13.5" customHeight="1" x14ac:dyDescent="0.3">
      <c r="A266" t="s">
        <v>8491</v>
      </c>
      <c r="B266" t="s">
        <v>8270</v>
      </c>
      <c r="C266">
        <v>0</v>
      </c>
      <c r="D266">
        <v>0</v>
      </c>
      <c r="E266" t="s">
        <v>3948</v>
      </c>
      <c r="F266" t="s">
        <v>3948</v>
      </c>
      <c r="G266" t="s">
        <v>3948</v>
      </c>
      <c r="H266" t="s">
        <v>3948</v>
      </c>
      <c r="I266" t="s">
        <v>11778</v>
      </c>
      <c r="J266" t="s">
        <v>3948</v>
      </c>
      <c r="K266" t="s">
        <v>8580</v>
      </c>
      <c r="L266" t="s">
        <v>8581</v>
      </c>
      <c r="M266" t="s">
        <v>8582</v>
      </c>
      <c r="N266" t="s">
        <v>8583</v>
      </c>
      <c r="O266" t="s">
        <v>8584</v>
      </c>
      <c r="P266">
        <v>2025</v>
      </c>
      <c r="Q266">
        <v>0</v>
      </c>
      <c r="R266" t="s">
        <v>8585</v>
      </c>
      <c r="S266" t="s">
        <v>489</v>
      </c>
      <c r="T266" t="s">
        <v>5145</v>
      </c>
      <c r="U266" t="s">
        <v>5179</v>
      </c>
      <c r="V266" t="s">
        <v>5147</v>
      </c>
      <c r="W266">
        <v>38000000</v>
      </c>
      <c r="X266" t="s">
        <v>5148</v>
      </c>
      <c r="Y266">
        <v>246</v>
      </c>
      <c r="Z266" t="s">
        <v>8221</v>
      </c>
      <c r="AA266" t="s">
        <v>8276</v>
      </c>
      <c r="AB266" t="s">
        <v>3948</v>
      </c>
      <c r="AC266" t="s">
        <v>8586</v>
      </c>
      <c r="AD266" t="s">
        <v>8580</v>
      </c>
      <c r="AE266" t="s">
        <v>8587</v>
      </c>
      <c r="AF266" t="s">
        <v>11779</v>
      </c>
      <c r="AG266">
        <v>8134</v>
      </c>
      <c r="AH266" t="s">
        <v>11780</v>
      </c>
      <c r="AI266" t="s">
        <v>11781</v>
      </c>
      <c r="AJ266" t="s">
        <v>3948</v>
      </c>
      <c r="AK266">
        <v>0</v>
      </c>
      <c r="AL266">
        <v>0</v>
      </c>
      <c r="AM266" t="s">
        <v>3948</v>
      </c>
      <c r="AN266">
        <v>0</v>
      </c>
      <c r="AO266">
        <v>37656800</v>
      </c>
      <c r="AP266">
        <v>0</v>
      </c>
      <c r="AQ266">
        <v>0</v>
      </c>
      <c r="AR266">
        <v>37656800</v>
      </c>
      <c r="AS266">
        <v>38000000</v>
      </c>
      <c r="AT266">
        <v>343200</v>
      </c>
      <c r="AU266">
        <v>9</v>
      </c>
    </row>
    <row r="267" spans="1:47" ht="13.5" customHeight="1" x14ac:dyDescent="0.3">
      <c r="A267" t="s">
        <v>8491</v>
      </c>
      <c r="B267" t="s">
        <v>5143</v>
      </c>
      <c r="C267">
        <v>0</v>
      </c>
      <c r="D267">
        <v>0</v>
      </c>
      <c r="E267" t="s">
        <v>3948</v>
      </c>
      <c r="F267" t="s">
        <v>3948</v>
      </c>
      <c r="G267" t="s">
        <v>3948</v>
      </c>
      <c r="H267" t="s">
        <v>3948</v>
      </c>
      <c r="I267" t="s">
        <v>11782</v>
      </c>
      <c r="J267" t="s">
        <v>3948</v>
      </c>
      <c r="K267" t="s">
        <v>8534</v>
      </c>
      <c r="L267" t="s">
        <v>173</v>
      </c>
      <c r="M267" t="s">
        <v>4423</v>
      </c>
      <c r="N267" t="s">
        <v>8516</v>
      </c>
      <c r="O267" t="s">
        <v>8535</v>
      </c>
      <c r="P267">
        <v>2024</v>
      </c>
      <c r="Q267">
        <v>10171</v>
      </c>
      <c r="R267" t="s">
        <v>8536</v>
      </c>
      <c r="S267" t="s">
        <v>3034</v>
      </c>
      <c r="T267" t="s">
        <v>8158</v>
      </c>
      <c r="U267" t="s">
        <v>5179</v>
      </c>
      <c r="V267" t="s">
        <v>5147</v>
      </c>
      <c r="W267">
        <v>18090000</v>
      </c>
      <c r="X267" t="s">
        <v>5148</v>
      </c>
      <c r="Y267">
        <v>393</v>
      </c>
      <c r="Z267" t="s">
        <v>26</v>
      </c>
      <c r="AA267" t="s">
        <v>8519</v>
      </c>
      <c r="AB267" t="s">
        <v>3948</v>
      </c>
      <c r="AC267" t="s">
        <v>8537</v>
      </c>
      <c r="AD267" t="s">
        <v>8534</v>
      </c>
      <c r="AE267" t="s">
        <v>8149</v>
      </c>
      <c r="AF267" t="s">
        <v>8366</v>
      </c>
      <c r="AG267">
        <v>277781</v>
      </c>
      <c r="AH267" t="s">
        <v>11783</v>
      </c>
      <c r="AI267" t="s">
        <v>11784</v>
      </c>
      <c r="AJ267" t="s">
        <v>3948</v>
      </c>
      <c r="AK267">
        <v>0</v>
      </c>
      <c r="AL267">
        <v>0</v>
      </c>
      <c r="AM267" t="s">
        <v>3948</v>
      </c>
      <c r="AN267">
        <v>0</v>
      </c>
      <c r="AO267">
        <v>17583866</v>
      </c>
      <c r="AP267">
        <v>1418899</v>
      </c>
      <c r="AQ267">
        <v>0</v>
      </c>
      <c r="AR267">
        <v>19002765</v>
      </c>
      <c r="AS267">
        <v>18090000</v>
      </c>
      <c r="AT267">
        <v>-912765</v>
      </c>
      <c r="AU267">
        <v>-505</v>
      </c>
    </row>
    <row r="268" spans="1:47" ht="13.5" customHeight="1" x14ac:dyDescent="0.3">
      <c r="A268" t="s">
        <v>8491</v>
      </c>
      <c r="B268" t="s">
        <v>5170</v>
      </c>
      <c r="C268">
        <v>0</v>
      </c>
      <c r="D268">
        <v>0</v>
      </c>
      <c r="E268" t="s">
        <v>3948</v>
      </c>
      <c r="F268" t="s">
        <v>3948</v>
      </c>
      <c r="G268" t="s">
        <v>3948</v>
      </c>
      <c r="H268" t="s">
        <v>3948</v>
      </c>
      <c r="I268" t="s">
        <v>11785</v>
      </c>
      <c r="J268" t="s">
        <v>3948</v>
      </c>
      <c r="K268" t="s">
        <v>9514</v>
      </c>
      <c r="L268" t="s">
        <v>167</v>
      </c>
      <c r="M268" t="s">
        <v>170</v>
      </c>
      <c r="N268" t="s">
        <v>9515</v>
      </c>
      <c r="O268" t="s">
        <v>9516</v>
      </c>
      <c r="P268">
        <v>2025</v>
      </c>
      <c r="Q268">
        <v>12507</v>
      </c>
      <c r="R268" t="s">
        <v>9517</v>
      </c>
      <c r="S268" t="s">
        <v>3732</v>
      </c>
      <c r="T268" t="s">
        <v>8158</v>
      </c>
      <c r="U268" t="s">
        <v>5179</v>
      </c>
      <c r="V268" t="s">
        <v>5147</v>
      </c>
      <c r="W268">
        <v>18990000</v>
      </c>
      <c r="X268" t="s">
        <v>5148</v>
      </c>
      <c r="Y268">
        <v>144</v>
      </c>
      <c r="Z268" t="s">
        <v>16</v>
      </c>
      <c r="AA268" t="s">
        <v>8506</v>
      </c>
      <c r="AB268" t="s">
        <v>3948</v>
      </c>
      <c r="AC268" t="s">
        <v>9518</v>
      </c>
      <c r="AD268" t="s">
        <v>9514</v>
      </c>
      <c r="AE268" t="s">
        <v>8234</v>
      </c>
      <c r="AF268" t="s">
        <v>5546</v>
      </c>
      <c r="AG268">
        <v>850048</v>
      </c>
      <c r="AH268" t="s">
        <v>11786</v>
      </c>
      <c r="AI268" t="s">
        <v>11787</v>
      </c>
      <c r="AJ268" t="s">
        <v>3948</v>
      </c>
      <c r="AK268">
        <v>0</v>
      </c>
      <c r="AL268">
        <v>0</v>
      </c>
      <c r="AM268" t="s">
        <v>3948</v>
      </c>
      <c r="AN268">
        <v>0</v>
      </c>
      <c r="AO268">
        <v>13434000</v>
      </c>
      <c r="AP268">
        <v>630975</v>
      </c>
      <c r="AQ268">
        <v>0</v>
      </c>
      <c r="AR268">
        <v>14064975</v>
      </c>
      <c r="AS268">
        <v>18990000</v>
      </c>
      <c r="AT268">
        <v>4925025</v>
      </c>
      <c r="AU268">
        <v>2593</v>
      </c>
    </row>
    <row r="269" spans="1:47" ht="13.5" customHeight="1" x14ac:dyDescent="0.3">
      <c r="A269" t="s">
        <v>8491</v>
      </c>
      <c r="B269" t="s">
        <v>5143</v>
      </c>
      <c r="C269">
        <v>0</v>
      </c>
      <c r="D269">
        <v>0</v>
      </c>
      <c r="E269" t="s">
        <v>3948</v>
      </c>
      <c r="F269" t="s">
        <v>3948</v>
      </c>
      <c r="G269" t="s">
        <v>3948</v>
      </c>
      <c r="H269" t="s">
        <v>3948</v>
      </c>
      <c r="I269" t="s">
        <v>11788</v>
      </c>
      <c r="J269" t="s">
        <v>3948</v>
      </c>
      <c r="K269" t="s">
        <v>8588</v>
      </c>
      <c r="L269" t="s">
        <v>237</v>
      </c>
      <c r="M269" t="s">
        <v>65</v>
      </c>
      <c r="N269" t="s">
        <v>8589</v>
      </c>
      <c r="O269" t="s">
        <v>8590</v>
      </c>
      <c r="P269">
        <v>2025</v>
      </c>
      <c r="Q269">
        <v>9892</v>
      </c>
      <c r="R269" t="s">
        <v>8591</v>
      </c>
      <c r="S269" t="s">
        <v>7812</v>
      </c>
      <c r="T269" t="s">
        <v>8158</v>
      </c>
      <c r="U269" t="s">
        <v>5254</v>
      </c>
      <c r="V269" t="s">
        <v>5147</v>
      </c>
      <c r="W269">
        <v>15990000</v>
      </c>
      <c r="X269" t="s">
        <v>5148</v>
      </c>
      <c r="Y269">
        <v>393</v>
      </c>
      <c r="Z269" t="s">
        <v>8159</v>
      </c>
      <c r="AA269" t="s">
        <v>8519</v>
      </c>
      <c r="AB269" t="s">
        <v>3948</v>
      </c>
      <c r="AC269" t="s">
        <v>8592</v>
      </c>
      <c r="AD269" t="s">
        <v>8588</v>
      </c>
      <c r="AE269" t="s">
        <v>8149</v>
      </c>
      <c r="AF269" t="s">
        <v>8366</v>
      </c>
      <c r="AG269">
        <v>285230</v>
      </c>
      <c r="AH269" t="s">
        <v>11789</v>
      </c>
      <c r="AI269" t="s">
        <v>11790</v>
      </c>
      <c r="AJ269" t="s">
        <v>3948</v>
      </c>
      <c r="AK269">
        <v>0</v>
      </c>
      <c r="AL269">
        <v>0</v>
      </c>
      <c r="AM269" t="s">
        <v>3948</v>
      </c>
      <c r="AN269">
        <v>0</v>
      </c>
      <c r="AO269">
        <v>13950252</v>
      </c>
      <c r="AP269">
        <v>1098407</v>
      </c>
      <c r="AQ269">
        <v>0</v>
      </c>
      <c r="AR269">
        <v>15048659</v>
      </c>
      <c r="AS269">
        <v>15990000</v>
      </c>
      <c r="AT269">
        <v>941341</v>
      </c>
      <c r="AU269">
        <v>589</v>
      </c>
    </row>
    <row r="270" spans="1:47" ht="13.5" customHeight="1" x14ac:dyDescent="0.3">
      <c r="A270" t="s">
        <v>8491</v>
      </c>
      <c r="B270" t="s">
        <v>5170</v>
      </c>
      <c r="C270">
        <v>0</v>
      </c>
      <c r="D270">
        <v>0</v>
      </c>
      <c r="E270" t="s">
        <v>3948</v>
      </c>
      <c r="F270" t="s">
        <v>3948</v>
      </c>
      <c r="G270" t="s">
        <v>3948</v>
      </c>
      <c r="H270" t="s">
        <v>3948</v>
      </c>
      <c r="I270" t="s">
        <v>11791</v>
      </c>
      <c r="J270" t="s">
        <v>3948</v>
      </c>
      <c r="K270" t="s">
        <v>8501</v>
      </c>
      <c r="L270" t="s">
        <v>140</v>
      </c>
      <c r="M270" t="s">
        <v>4300</v>
      </c>
      <c r="N270" t="s">
        <v>4294</v>
      </c>
      <c r="O270" t="s">
        <v>8502</v>
      </c>
      <c r="P270">
        <v>2023</v>
      </c>
      <c r="Q270">
        <v>3400</v>
      </c>
      <c r="R270" t="s">
        <v>8503</v>
      </c>
      <c r="S270" t="s">
        <v>8504</v>
      </c>
      <c r="T270" t="s">
        <v>5145</v>
      </c>
      <c r="U270" t="s">
        <v>5270</v>
      </c>
      <c r="V270" t="s">
        <v>5147</v>
      </c>
      <c r="W270">
        <v>21408969</v>
      </c>
      <c r="X270" t="s">
        <v>5148</v>
      </c>
      <c r="Y270">
        <v>890</v>
      </c>
      <c r="Z270" t="s">
        <v>8505</v>
      </c>
      <c r="AA270" t="s">
        <v>8506</v>
      </c>
      <c r="AB270" t="s">
        <v>3948</v>
      </c>
      <c r="AC270" t="s">
        <v>8507</v>
      </c>
      <c r="AD270" t="s">
        <v>8501</v>
      </c>
      <c r="AE270" t="s">
        <v>8508</v>
      </c>
      <c r="AF270" t="s">
        <v>11792</v>
      </c>
      <c r="AG270">
        <v>1</v>
      </c>
      <c r="AH270" t="s">
        <v>11792</v>
      </c>
      <c r="AI270" t="s">
        <v>11793</v>
      </c>
      <c r="AJ270" t="s">
        <v>3948</v>
      </c>
      <c r="AK270">
        <v>0</v>
      </c>
      <c r="AL270">
        <v>0</v>
      </c>
      <c r="AM270" t="s">
        <v>3948</v>
      </c>
      <c r="AN270">
        <v>0</v>
      </c>
      <c r="AO270">
        <v>21408968</v>
      </c>
      <c r="AP270">
        <v>367754</v>
      </c>
      <c r="AQ270">
        <v>0</v>
      </c>
      <c r="AR270">
        <v>21776722</v>
      </c>
      <c r="AS270">
        <v>21408969</v>
      </c>
      <c r="AT270">
        <v>-367753</v>
      </c>
      <c r="AU270">
        <v>-172</v>
      </c>
    </row>
    <row r="271" spans="1:47" ht="13.5" customHeight="1" x14ac:dyDescent="0.3">
      <c r="A271" t="s">
        <v>8491</v>
      </c>
      <c r="B271" t="s">
        <v>5170</v>
      </c>
      <c r="C271">
        <v>0</v>
      </c>
      <c r="D271">
        <v>0</v>
      </c>
      <c r="E271" t="s">
        <v>3948</v>
      </c>
      <c r="F271" t="s">
        <v>3948</v>
      </c>
      <c r="G271" t="s">
        <v>3948</v>
      </c>
      <c r="H271" t="s">
        <v>3948</v>
      </c>
      <c r="I271" t="s">
        <v>11794</v>
      </c>
      <c r="J271" t="s">
        <v>3948</v>
      </c>
      <c r="K271" t="s">
        <v>8550</v>
      </c>
      <c r="L271" t="s">
        <v>2533</v>
      </c>
      <c r="M271" t="s">
        <v>2533</v>
      </c>
      <c r="N271" t="s">
        <v>8551</v>
      </c>
      <c r="O271" t="s">
        <v>8552</v>
      </c>
      <c r="P271">
        <v>2020</v>
      </c>
      <c r="Q271">
        <v>10500</v>
      </c>
      <c r="R271" t="s">
        <v>8553</v>
      </c>
      <c r="S271" t="s">
        <v>8554</v>
      </c>
      <c r="T271" t="s">
        <v>5145</v>
      </c>
      <c r="U271" t="s">
        <v>5283</v>
      </c>
      <c r="V271" t="s">
        <v>5147</v>
      </c>
      <c r="W271">
        <v>8990000</v>
      </c>
      <c r="X271" t="s">
        <v>5148</v>
      </c>
      <c r="Y271">
        <v>1240</v>
      </c>
      <c r="Z271" t="s">
        <v>63</v>
      </c>
      <c r="AA271" t="s">
        <v>8506</v>
      </c>
      <c r="AB271" t="s">
        <v>3948</v>
      </c>
      <c r="AC271" t="s">
        <v>8555</v>
      </c>
      <c r="AD271" t="s">
        <v>8550</v>
      </c>
      <c r="AE271" t="s">
        <v>8556</v>
      </c>
      <c r="AF271" t="s">
        <v>11795</v>
      </c>
      <c r="AG271">
        <v>1</v>
      </c>
      <c r="AH271" t="s">
        <v>11795</v>
      </c>
      <c r="AI271" t="s">
        <v>11796</v>
      </c>
      <c r="AJ271" t="s">
        <v>3948</v>
      </c>
      <c r="AK271">
        <v>0</v>
      </c>
      <c r="AL271">
        <v>0</v>
      </c>
      <c r="AM271" t="s">
        <v>3948</v>
      </c>
      <c r="AN271">
        <v>0</v>
      </c>
      <c r="AO271">
        <v>10356480</v>
      </c>
      <c r="AP271">
        <v>72666</v>
      </c>
      <c r="AQ271">
        <v>0</v>
      </c>
      <c r="AR271">
        <v>10429146</v>
      </c>
      <c r="AS271">
        <v>8990000</v>
      </c>
      <c r="AT271">
        <v>-1439146</v>
      </c>
      <c r="AU271">
        <v>-1601</v>
      </c>
    </row>
    <row r="272" spans="1:47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</sheetData>
  <autoFilter ref="A1:AU226" xr:uid="{00000000-0001-0000-0400-000000000000}">
    <sortState xmlns:xlrd2="http://schemas.microsoft.com/office/spreadsheetml/2017/richdata2" ref="A2:AU236">
      <sortCondition ref="A1:A226"/>
    </sortState>
  </autoFilter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BBDD2</vt:lpstr>
      <vt:lpstr>PRECIO TOMA HISTORICO </vt:lpstr>
      <vt:lpstr>PRECIO MERCADO</vt:lpstr>
      <vt:lpstr>INFORME VENTAS</vt:lpstr>
      <vt:lpstr>Hoja1</vt:lpstr>
      <vt:lpstr>BBDD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Ext</cp:lastModifiedBy>
  <dcterms:modified xsi:type="dcterms:W3CDTF">2026-09-15T12:43:00Z</dcterms:modified>
</cp:coreProperties>
</file>