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15D9F1AB-874A-499E-AF51-E9DE42DC48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3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7" i="1" l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<sst xmlns="http://schemas.openxmlformats.org/spreadsheetml/2006/main" count="24457" uniqueCount="8696">
  <si>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</si>
  <si>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</si>
  <si>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</si>
  <si>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</si>
  <si>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</si>
  <si>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</si>
  <si>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</si>
  <si>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</si>
  <si>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</si>
  <si>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</si>
  <si>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</si>
  <si>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</si>
  <si>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</si>
  <si>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</si>
  <si>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</si>
  <si>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</si>
  <si>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</si>
  <si>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</si>
  <si>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</si>
  <si>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</si>
  <si>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</si>
  <si>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</si>
  <si>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</si>
  <si>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</si>
  <si>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</si>
  <si>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</si>
  <si>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</si>
  <si>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</si>
  <si>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</si>
  <si>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</si>
  <si>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</si>
  <si>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</si>
  <si>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</si>
  <si>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</si>
  <si>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</si>
  <si>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</si>
  <si>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</si>
  <si>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</si>
  <si>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</si>
  <si>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</si>
  <si>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</si>
  <si>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</si>
  <si>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</si>
  <si>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</si>
  <si>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</si>
  <si>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</si>
  <si>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</si>
  <si>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</si>
  <si>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</si>
  <si>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</si>
  <si>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</si>
  <si>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</si>
  <si>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</si>
  <si>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</si>
  <si>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</si>
  <si>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</si>
  <si>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</si>
  <si>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</si>
  <si>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</si>
  <si>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</si>
  <si>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</si>
  <si>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</si>
  <si>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</si>
  <si>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</si>
  <si>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</si>
  <si>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</si>
  <si>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</si>
  <si>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</si>
  <si>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</si>
  <si>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</si>
  <si>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</si>
  <si>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</si>
  <si>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</si>
  <si>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</si>
  <si>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</si>
  <si>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</si>
  <si>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</si>
  <si>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</si>
  <si>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</si>
  <si>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</si>
  <si>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</si>
  <si>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</si>
  <si>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</si>
  <si>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</si>
  <si>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</si>
  <si>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</si>
  <si>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</si>
  <si>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</si>
  <si>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</si>
  <si>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</si>
  <si>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</si>
  <si>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</si>
  <si>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</si>
  <si>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</si>
  <si>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</si>
  <si>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</si>
  <si>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</si>
  <si>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</si>
  <si>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</si>
  <si>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</si>
  <si>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</si>
  <si>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</si>
  <si>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</si>
  <si>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</si>
  <si>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</si>
  <si>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</si>
  <si>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</si>
  <si>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</si>
  <si>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</si>
  <si>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</si>
  <si>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</si>
  <si>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</si>
  <si>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</si>
  <si>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</si>
  <si>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</si>
  <si>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</si>
  <si>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</si>
  <si>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</si>
  <si>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</si>
  <si>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</si>
  <si>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</si>
  <si>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</si>
  <si>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</si>
  <si>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</si>
  <si>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</si>
  <si>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</si>
  <si>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</si>
  <si>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</si>
  <si>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</si>
  <si>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</si>
  <si>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</si>
  <si>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</si>
  <si>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</si>
  <si>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</si>
  <si>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</si>
  <si>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</si>
  <si>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</si>
  <si>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</si>
  <si>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</si>
  <si>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</si>
  <si>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</si>
  <si>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</si>
  <si>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</si>
  <si>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</si>
  <si>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</si>
  <si>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</si>
  <si>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</si>
  <si>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</si>
  <si>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</si>
  <si>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</si>
  <si>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</si>
  <si>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</si>
  <si>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</si>
  <si>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</si>
  <si>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</si>
  <si>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</si>
  <si>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</si>
  <si>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</si>
  <si>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</si>
  <si>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</si>
  <si>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</si>
  <si>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</si>
  <si>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</si>
  <si>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</si>
  <si>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</si>
  <si>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</si>
  <si>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</si>
  <si>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</si>
  <si>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</si>
  <si>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</si>
  <si>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</si>
  <si>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</si>
  <si>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</si>
  <si>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</si>
  <si>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</si>
  <si>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</si>
  <si>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</si>
  <si>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</si>
  <si>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</si>
  <si>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</si>
  <si>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</si>
  <si>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</si>
  <si>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</si>
  <si>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</si>
  <si>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</si>
  <si>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</si>
  <si>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</si>
  <si>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</si>
  <si>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</si>
  <si>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</si>
  <si>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</si>
  <si>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</si>
  <si>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</si>
  <si>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</si>
  <si>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</si>
  <si>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</si>
  <si>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</si>
  <si>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</si>
  <si>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</si>
  <si>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</si>
  <si>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</si>
  <si>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</si>
  <si>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</si>
  <si>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</si>
  <si>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</si>
  <si>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</si>
  <si>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</si>
  <si>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</si>
  <si>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</si>
  <si>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</si>
  <si>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</si>
  <si>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</si>
  <si>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</si>
  <si>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</si>
  <si>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</si>
  <si>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</si>
  <si>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</si>
  <si>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</si>
  <si>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</si>
  <si>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</si>
  <si>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</si>
  <si>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</si>
  <si>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</si>
  <si>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</si>
  <si>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</si>
  <si>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</si>
  <si>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</si>
  <si>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</si>
  <si>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</si>
  <si>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</si>
  <si>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</si>
  <si>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</si>
  <si>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</si>
  <si>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</si>
  <si>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</si>
  <si>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</si>
  <si>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</si>
  <si>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</si>
  <si>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</si>
  <si>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</si>
  <si>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</si>
  <si>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</si>
  <si>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</si>
  <si>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</si>
  <si>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</si>
  <si>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</si>
  <si>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</si>
  <si>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</si>
  <si>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</si>
  <si>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</si>
  <si>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</si>
  <si>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</si>
  <si>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</si>
  <si>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</si>
  <si>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</si>
  <si>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</si>
  <si>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</si>
  <si>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</si>
  <si>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</si>
  <si>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</si>
  <si>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</si>
  <si>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</si>
  <si>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</si>
  <si>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</si>
  <si>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</si>
  <si>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</si>
  <si>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</si>
  <si>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</si>
  <si>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</si>
  <si>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</si>
  <si>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</si>
  <si>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</si>
  <si>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</si>
  <si>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</si>
  <si>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</si>
  <si>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</si>
  <si>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</si>
  <si>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</si>
  <si>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</si>
  <si>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</si>
  <si>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</si>
  <si>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</si>
  <si>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</si>
  <si>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</si>
  <si>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</si>
  <si>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</si>
  <si>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</si>
  <si>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</si>
  <si>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</si>
  <si>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</si>
  <si>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</si>
  <si>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</si>
  <si>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</si>
  <si>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</si>
  <si>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</si>
  <si>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</si>
  <si>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</si>
  <si>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</si>
  <si>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</si>
  <si>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</si>
  <si>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</si>
  <si>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</si>
  <si>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</si>
  <si>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</si>
  <si>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</si>
  <si>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</si>
  <si>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</si>
  <si>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</si>
  <si>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</si>
  <si>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</si>
  <si>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</si>
  <si>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</si>
  <si>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</si>
  <si>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</si>
  <si>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</si>
  <si>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</si>
  <si>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</si>
  <si>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</si>
  <si>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</si>
  <si>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</si>
  <si>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</si>
  <si>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</si>
  <si>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</si>
  <si>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</si>
  <si>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</si>
  <si>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</si>
  <si>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</si>
  <si>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</si>
  <si>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</si>
  <si>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</si>
  <si>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</si>
  <si>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</si>
  <si>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</si>
  <si>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</si>
  <si>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</si>
  <si>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</si>
  <si>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</si>
  <si>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</si>
  <si>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</si>
  <si>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</si>
  <si>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</si>
  <si>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</si>
  <si>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</si>
  <si>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</si>
  <si>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</si>
  <si>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</si>
  <si>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</si>
  <si>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</si>
  <si>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</si>
  <si>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</si>
  <si>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</si>
  <si>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</si>
  <si>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</si>
  <si>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</si>
  <si>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</si>
  <si>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</si>
  <si>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</si>
  <si>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</si>
  <si>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</si>
  <si>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</si>
  <si>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</si>
  <si>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</si>
  <si>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</si>
  <si>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</si>
  <si>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</si>
  <si>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</si>
  <si>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</si>
  <si>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</si>
  <si>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</si>
  <si>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</si>
  <si>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</si>
  <si>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</si>
  <si>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</si>
  <si>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</si>
  <si>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</si>
  <si>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</si>
  <si>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</si>
  <si>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</si>
  <si>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</si>
  <si>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</si>
  <si>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</si>
  <si>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</si>
  <si>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</si>
  <si>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</si>
  <si>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</si>
  <si>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</si>
  <si>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</si>
  <si>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</si>
  <si>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</si>
  <si>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</si>
  <si>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</si>
  <si>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</si>
  <si>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</si>
  <si>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</si>
  <si>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</si>
  <si>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</si>
  <si>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</si>
  <si>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</si>
  <si>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</si>
  <si>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</si>
  <si>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</si>
  <si>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</si>
  <si>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</si>
  <si>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</si>
  <si>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</si>
  <si>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</si>
  <si>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</si>
  <si>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</si>
  <si>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</si>
  <si>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</si>
  <si>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</si>
  <si>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</si>
  <si>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</si>
  <si>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</si>
  <si>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</si>
  <si>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</si>
  <si>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</si>
  <si>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</si>
  <si>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</si>
  <si>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</si>
  <si>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</si>
  <si>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</si>
  <si>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</si>
  <si>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</si>
  <si>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</si>
  <si>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</si>
  <si>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</si>
  <si>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</si>
  <si>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</si>
  <si>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</si>
  <si>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</si>
  <si>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</si>
  <si>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</si>
  <si>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</si>
  <si>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</si>
  <si>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</si>
  <si>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</si>
  <si>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</si>
  <si>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</si>
  <si>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</si>
  <si>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</si>
  <si>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</si>
  <si>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</si>
  <si>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</si>
  <si>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</si>
  <si>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</si>
  <si>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</si>
  <si>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</si>
  <si>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</si>
  <si>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</si>
  <si>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</si>
  <si>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</si>
  <si>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</si>
  <si>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</si>
  <si>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</si>
  <si>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</si>
  <si>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</si>
  <si>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</si>
  <si>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</si>
  <si>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</si>
  <si>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</si>
  <si>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</si>
  <si>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</si>
  <si>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</si>
  <si>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</si>
  <si>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</si>
  <si>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</si>
  <si>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</si>
  <si>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</si>
  <si>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</si>
  <si>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</si>
  <si>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</si>
  <si>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</si>
  <si>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</si>
  <si>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</si>
  <si>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</si>
  <si>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</si>
  <si>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</si>
  <si>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</si>
  <si>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</si>
  <si>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</si>
  <si>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</si>
  <si>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</si>
  <si>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</si>
  <si>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</si>
  <si>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</si>
  <si>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</si>
  <si>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</si>
  <si>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</si>
  <si>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</si>
  <si>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</si>
  <si>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</si>
  <si>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</si>
  <si>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</si>
  <si>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</si>
  <si>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</si>
  <si>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</si>
  <si>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</si>
  <si>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</si>
  <si>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</si>
  <si>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</si>
  <si>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</si>
  <si>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</si>
  <si>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</si>
  <si>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</si>
  <si>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</si>
  <si>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</si>
  <si>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</si>
  <si>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</si>
  <si>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</si>
  <si>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</si>
  <si>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</si>
  <si>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</si>
  <si>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</si>
  <si>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</si>
  <si>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</si>
  <si>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</si>
  <si>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</si>
  <si>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</si>
  <si>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</si>
  <si>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</si>
  <si>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</si>
  <si>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</si>
  <si>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</si>
  <si>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</si>
  <si>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</si>
  <si>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</si>
  <si>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</si>
  <si>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</si>
  <si>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</si>
  <si>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</si>
  <si>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</si>
  <si>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</si>
  <si>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</si>
  <si>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</si>
  <si>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</si>
  <si>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</si>
  <si>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</si>
  <si>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</si>
  <si>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</si>
  <si>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</si>
  <si>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</si>
  <si>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</si>
  <si>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</si>
  <si>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</si>
  <si>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</si>
  <si>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</si>
  <si>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</si>
  <si>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</si>
  <si>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</si>
  <si>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</si>
  <si>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</si>
  <si>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</si>
  <si>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</si>
  <si>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</si>
  <si>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</si>
  <si>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</si>
  <si>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</si>
  <si>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</si>
  <si>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</si>
  <si>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</si>
  <si>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</si>
  <si>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</si>
  <si>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</si>
  <si>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</si>
  <si>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</si>
  <si>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</si>
  <si>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</si>
  <si>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</si>
  <si>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</si>
  <si>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</si>
  <si>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</si>
  <si>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</si>
  <si>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</si>
  <si>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</si>
  <si>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</si>
  <si>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</si>
  <si>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</si>
  <si>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</si>
  <si>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</si>
  <si>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</si>
  <si>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</si>
  <si>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</si>
  <si>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</si>
  <si>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</si>
  <si>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</si>
  <si>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</si>
  <si>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</si>
  <si>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</si>
  <si>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</si>
  <si>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</si>
  <si>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</si>
  <si>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</si>
  <si>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</si>
  <si>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</si>
  <si>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</si>
  <si>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</si>
  <si>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</si>
  <si>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</si>
  <si>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</si>
  <si>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</si>
  <si>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</si>
  <si>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</si>
  <si>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</si>
  <si>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</si>
  <si>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</si>
  <si>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</si>
  <si>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</si>
  <si>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</si>
  <si>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</si>
  <si>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</si>
  <si>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</si>
  <si>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</si>
  <si>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</si>
  <si>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</si>
  <si>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</si>
  <si>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</si>
  <si>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</si>
  <si>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</si>
  <si>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</si>
  <si>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</si>
  <si>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</si>
  <si>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</si>
  <si>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</si>
  <si>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</si>
  <si>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</si>
  <si>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</si>
  <si>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</si>
  <si>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</si>
  <si>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</si>
  <si>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</si>
  <si>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</si>
  <si>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</si>
  <si>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</si>
  <si>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</si>
  <si>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</si>
  <si>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</si>
  <si>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</si>
  <si>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</si>
  <si>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</si>
  <si>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</si>
  <si>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</si>
  <si>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</si>
  <si>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</si>
  <si>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</si>
  <si>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</si>
  <si>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</si>
  <si>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</si>
  <si>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</si>
  <si>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</si>
  <si>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</si>
  <si>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</si>
  <si>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</si>
  <si>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</si>
  <si>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</si>
  <si>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</si>
  <si>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</si>
  <si>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</si>
  <si>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</si>
  <si>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</si>
  <si>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</si>
  <si>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</si>
  <si>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</si>
  <si>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</si>
  <si>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</si>
  <si>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</si>
  <si>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</si>
  <si>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</si>
  <si>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</si>
  <si>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</si>
  <si>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</si>
  <si>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</si>
  <si>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</si>
  <si>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</si>
  <si>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</si>
  <si>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</si>
  <si>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</si>
  <si>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</si>
  <si>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</si>
  <si>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</si>
  <si>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</si>
  <si>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</si>
  <si>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</si>
  <si>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</si>
  <si>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</si>
  <si>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</si>
  <si>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</si>
  <si>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</si>
  <si>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</si>
  <si>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</si>
  <si>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</si>
  <si>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</si>
  <si>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</si>
  <si>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</si>
  <si>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</si>
  <si>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</si>
  <si>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</si>
  <si>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</si>
  <si>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</si>
  <si>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</si>
  <si>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</si>
  <si>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</si>
  <si>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</si>
  <si>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</si>
  <si>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</si>
  <si>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</si>
  <si>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</si>
  <si>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</si>
  <si>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</si>
  <si>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</si>
  <si>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</si>
  <si>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</si>
  <si>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</si>
  <si>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</si>
  <si>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</si>
  <si>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</si>
  <si>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</si>
  <si>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</si>
  <si>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</si>
  <si>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</si>
  <si>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</si>
  <si>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</si>
  <si>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</si>
  <si>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</si>
  <si>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</si>
  <si>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</si>
  <si>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</si>
  <si>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</si>
  <si>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</si>
  <si>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</si>
  <si>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</si>
  <si>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</si>
  <si>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</si>
  <si>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</si>
  <si>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</si>
  <si>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</si>
  <si>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</si>
  <si>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</si>
  <si>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</si>
  <si>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</si>
  <si>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</si>
  <si>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</si>
  <si>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</si>
  <si>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</si>
  <si>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</si>
  <si>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</si>
  <si>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</si>
  <si>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</si>
  <si>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</si>
  <si>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</si>
  <si>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</si>
  <si>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</si>
  <si>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</si>
  <si>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</si>
  <si>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</si>
  <si>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</si>
  <si>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</si>
  <si>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</si>
  <si>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</si>
  <si>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</si>
  <si>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</si>
  <si>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</si>
  <si>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</si>
  <si>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</si>
  <si>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</si>
  <si>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</si>
  <si>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</si>
  <si>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</si>
  <si>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</si>
  <si>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</si>
  <si>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</si>
  <si>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</si>
  <si>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</si>
  <si>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</si>
  <si>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</si>
  <si>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</si>
  <si>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</si>
  <si>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</si>
  <si>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</si>
  <si>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</si>
  <si>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</si>
  <si>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</si>
  <si>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</si>
  <si>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</si>
  <si>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</si>
  <si>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</si>
  <si>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</si>
  <si>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</si>
  <si>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</si>
  <si>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</si>
  <si>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</si>
  <si>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</si>
  <si>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</si>
  <si>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</si>
  <si>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</si>
  <si>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</si>
  <si>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</si>
  <si>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</si>
  <si>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</si>
  <si>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</si>
  <si>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</si>
  <si>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</si>
  <si>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</si>
  <si>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</si>
  <si>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</si>
  <si>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</si>
  <si>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</si>
  <si>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</si>
  <si>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</si>
  <si>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</si>
  <si>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</si>
  <si>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</si>
  <si>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</si>
  <si>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</si>
  <si>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</si>
  <si>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</si>
  <si>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</si>
  <si>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</si>
  <si>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</si>
  <si>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</si>
  <si>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</si>
  <si>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</si>
  <si>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</si>
  <si>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</si>
  <si>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</si>
  <si>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</si>
  <si>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</si>
  <si>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</si>
  <si>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</si>
  <si>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</si>
  <si>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</si>
  <si>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</si>
  <si>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</si>
  <si>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</si>
  <si>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</si>
  <si>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</si>
  <si>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</si>
  <si>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</si>
  <si>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</si>
  <si>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</si>
  <si>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</si>
  <si>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</si>
  <si>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</si>
  <si>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</si>
  <si>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</si>
  <si>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</si>
  <si>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</si>
  <si>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</si>
  <si>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</si>
  <si>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</si>
  <si>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</si>
  <si>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</si>
  <si>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</si>
  <si>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</si>
  <si>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</si>
  <si>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</si>
  <si>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</si>
  <si>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</si>
  <si>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</si>
  <si>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</si>
  <si>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</si>
  <si>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</si>
  <si>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</si>
  <si>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</si>
  <si>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</si>
  <si>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</si>
  <si>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</si>
  <si>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</si>
  <si>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</si>
  <si>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</si>
  <si>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</si>
  <si>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</si>
  <si>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</si>
  <si>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</si>
  <si>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</si>
  <si>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</si>
  <si>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</si>
  <si>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</si>
  <si>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</si>
  <si>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</si>
  <si>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</si>
  <si>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</si>
  <si>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</si>
  <si>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</si>
  <si>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</si>
  <si>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</si>
  <si>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</si>
  <si>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</si>
  <si>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</si>
  <si>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</si>
  <si>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</si>
  <si>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</si>
  <si>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</si>
  <si>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</si>
  <si>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</si>
  <si>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</si>
  <si>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</si>
  <si>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</si>
  <si>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</si>
  <si>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</si>
  <si>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</si>
  <si>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</si>
  <si>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</si>
  <si>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</si>
  <si>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</si>
  <si>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</si>
  <si>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</si>
  <si>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</si>
  <si>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</si>
  <si>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</si>
  <si>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</si>
  <si>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</si>
  <si>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</si>
  <si>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</si>
  <si>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</si>
  <si>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</si>
  <si>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</si>
  <si>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</si>
  <si>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</si>
  <si>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</si>
  <si>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</si>
  <si>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</si>
  <si>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</si>
  <si>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</si>
  <si>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</si>
  <si>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</si>
  <si>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</si>
  <si>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</si>
  <si>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</si>
  <si>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</si>
  <si>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</si>
  <si>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</si>
  <si>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</si>
  <si>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</si>
  <si>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</si>
  <si>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</si>
  <si>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</si>
  <si>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</si>
  <si>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</si>
  <si>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</si>
  <si>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</si>
  <si>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</si>
  <si>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</si>
  <si>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</si>
  <si>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</si>
  <si>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</si>
  <si>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</si>
  <si>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</si>
  <si>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</si>
  <si>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</si>
  <si>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</si>
  <si>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</si>
  <si>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</si>
  <si>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</si>
  <si>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</si>
  <si>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</si>
  <si>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</si>
  <si>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</si>
  <si>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</si>
  <si>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</si>
  <si>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</si>
  <si>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</si>
  <si>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</si>
  <si>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</si>
  <si>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</si>
  <si>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</si>
  <si>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</si>
  <si>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</si>
  <si>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</si>
  <si>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</si>
  <si>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</si>
  <si>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</si>
  <si>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</si>
  <si>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</si>
  <si>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</si>
  <si>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</si>
  <si>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</si>
  <si>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</si>
  <si>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</si>
  <si>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</si>
  <si>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</si>
  <si>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</si>
  <si>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</si>
  <si>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</si>
  <si>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</si>
  <si>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</si>
  <si>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</si>
  <si>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</si>
  <si>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</si>
  <si>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</si>
  <si>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</si>
  <si>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</si>
  <si>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</si>
  <si>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</si>
  <si>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</si>
  <si>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</si>
  <si>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</si>
  <si>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</si>
  <si>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</si>
  <si>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</si>
  <si>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</si>
  <si>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</si>
  <si>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</si>
  <si>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</si>
  <si>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</si>
  <si>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</si>
  <si>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</si>
  <si>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</si>
  <si>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</si>
  <si>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</si>
  <si>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</si>
  <si>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</si>
  <si>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</si>
  <si>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</si>
  <si>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</si>
  <si>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</si>
  <si>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</si>
  <si>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</si>
  <si>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</si>
  <si>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</si>
  <si>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</si>
  <si>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</si>
  <si>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</si>
  <si>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</si>
  <si>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</si>
  <si>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</si>
  <si>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</si>
  <si>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</si>
  <si>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</si>
  <si>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</si>
  <si>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</si>
  <si>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</si>
  <si>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</si>
  <si>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</si>
  <si>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</si>
  <si>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</si>
  <si>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</si>
  <si>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</si>
  <si>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</si>
  <si>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</si>
  <si>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</si>
  <si>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</si>
  <si>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</si>
  <si>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</si>
  <si>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</si>
  <si>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</si>
  <si>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</si>
  <si>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</si>
  <si>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</si>
  <si>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</si>
  <si>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</si>
  <si>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</si>
  <si>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</si>
  <si>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</si>
  <si>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</si>
  <si>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</si>
  <si>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</si>
  <si>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</si>
  <si>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</si>
  <si>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</si>
  <si>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</si>
  <si>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</si>
  <si>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</si>
  <si>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</si>
  <si>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</si>
  <si>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</si>
  <si>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</si>
  <si>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</si>
  <si>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</si>
  <si>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</si>
  <si>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</si>
  <si>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</si>
  <si>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</si>
  <si>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</si>
  <si>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</si>
  <si>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</si>
  <si>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</si>
  <si>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</si>
  <si>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</si>
  <si>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</si>
  <si>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</si>
  <si>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</si>
  <si>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</si>
  <si>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</si>
  <si>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</si>
  <si>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</si>
  <si>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</si>
  <si>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</si>
  <si>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</si>
  <si>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</si>
  <si>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</si>
  <si>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</si>
  <si>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</si>
  <si>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</si>
  <si>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</si>
  <si>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</si>
  <si>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</si>
  <si>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</si>
  <si>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</si>
  <si>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</si>
  <si>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</si>
  <si>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</si>
  <si>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</si>
  <si>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</si>
  <si>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</si>
  <si>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</si>
  <si>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</si>
  <si>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</si>
  <si>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</si>
  <si>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</si>
  <si>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</si>
  <si>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</si>
  <si>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</si>
  <si>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</si>
  <si>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</si>
  <si>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</si>
  <si>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</si>
  <si>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</si>
  <si>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</si>
  <si>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</si>
  <si>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</si>
  <si>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</si>
  <si>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</si>
  <si>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</si>
  <si>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</si>
  <si>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</si>
  <si>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</si>
  <si>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</si>
  <si>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</si>
  <si>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</si>
  <si>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</si>
  <si>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</si>
  <si>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</si>
  <si>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</si>
  <si>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</si>
  <si>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</si>
  <si>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</si>
  <si>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</si>
  <si>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</si>
  <si>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</si>
  <si>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</si>
  <si>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</si>
  <si>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</si>
  <si>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</si>
  <si>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</si>
  <si>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</si>
  <si>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</si>
  <si>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</si>
  <si>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</si>
  <si>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</si>
  <si>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</si>
  <si>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</si>
  <si>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</si>
  <si>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</si>
  <si>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</si>
  <si>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</si>
  <si>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</si>
  <si>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</si>
  <si>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</si>
  <si>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</si>
  <si>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</si>
  <si>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</si>
  <si>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</si>
  <si>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</si>
  <si>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</si>
  <si>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</si>
  <si>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</si>
  <si>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</si>
  <si>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</si>
  <si>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</si>
  <si>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</si>
  <si>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</si>
  <si>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</si>
  <si>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</si>
  <si>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</si>
  <si>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</si>
  <si>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</si>
  <si>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</si>
  <si>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</si>
  <si>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</si>
  <si>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</si>
  <si>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</si>
  <si>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</si>
  <si>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</si>
  <si>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</si>
  <si>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</si>
  <si>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</si>
  <si>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</si>
  <si>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</si>
  <si>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</si>
  <si>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</si>
  <si>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</si>
  <si>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</si>
  <si>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</si>
  <si>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</si>
  <si>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</si>
  <si>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</si>
  <si>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</si>
  <si>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</si>
  <si>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</si>
  <si>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</si>
  <si>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</si>
  <si>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</si>
  <si>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</si>
  <si>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</si>
  <si>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</si>
  <si>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</si>
  <si>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</si>
  <si>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</si>
  <si>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</si>
  <si>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</si>
  <si>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</si>
  <si>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</si>
  <si>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</si>
  <si>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</si>
  <si>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</si>
  <si>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</si>
  <si>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</si>
  <si>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</si>
  <si>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</si>
  <si>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</si>
  <si>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</si>
  <si>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</si>
  <si>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</si>
  <si>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</si>
  <si>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</si>
  <si>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</si>
  <si>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</si>
  <si>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</si>
  <si>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</si>
  <si>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</si>
  <si>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</si>
  <si>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</si>
  <si>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</si>
  <si>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</si>
  <si>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</si>
  <si>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</si>
  <si>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</si>
  <si>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</si>
  <si>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</si>
  <si>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</si>
  <si>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</si>
  <si>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</si>
  <si>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</si>
  <si>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</si>
  <si>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</si>
  <si>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</si>
  <si>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</si>
  <si>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</si>
  <si>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</si>
  <si>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</si>
  <si>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</si>
  <si>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</si>
  <si>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</si>
  <si>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</si>
  <si>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</si>
  <si>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</si>
  <si>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</si>
  <si>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</si>
  <si>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</si>
  <si>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</si>
  <si>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</si>
  <si>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</si>
  <si>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</si>
  <si>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</si>
  <si>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</si>
  <si>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</si>
  <si>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</si>
  <si>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</si>
  <si>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</si>
  <si>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</si>
  <si>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</si>
  <si>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</si>
  <si>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</si>
  <si>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</si>
  <si>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</si>
  <si>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</si>
  <si>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</si>
  <si>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</si>
  <si>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</si>
  <si>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</si>
  <si>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</si>
  <si>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</si>
  <si>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</si>
  <si>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</si>
  <si>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</si>
  <si>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</si>
  <si>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</si>
  <si>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</si>
  <si>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</si>
  <si>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</si>
  <si>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</si>
  <si>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</si>
  <si>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</si>
  <si>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</si>
  <si>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</si>
  <si>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</si>
  <si>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</si>
  <si>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</si>
  <si>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</si>
  <si>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</si>
  <si>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</si>
  <si>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</si>
  <si>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</si>
  <si>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</si>
  <si>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</si>
  <si>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</si>
  <si>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</si>
  <si>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</si>
  <si>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</si>
  <si>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</si>
  <si>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</si>
  <si>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</si>
  <si>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</si>
  <si>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</si>
  <si>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</si>
  <si>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</si>
  <si>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</si>
  <si>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</si>
  <si>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</si>
  <si>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</si>
  <si>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</si>
  <si>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</si>
  <si>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</si>
  <si>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</si>
  <si>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</si>
  <si>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</si>
  <si>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</si>
  <si>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</si>
  <si>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</si>
  <si>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</si>
  <si>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</si>
  <si>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</si>
  <si>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</si>
  <si>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</si>
  <si>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</si>
  <si>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</si>
  <si>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</si>
  <si>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</si>
  <si>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</si>
  <si>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</si>
  <si>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</si>
  <si>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</si>
  <si>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</si>
  <si>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</si>
  <si>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</si>
  <si>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</si>
  <si>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</si>
  <si>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</si>
  <si>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</si>
  <si>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</si>
  <si>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</si>
  <si>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</si>
  <si>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</si>
  <si>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</si>
  <si>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</si>
  <si>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</si>
  <si>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</si>
  <si>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</si>
  <si>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</si>
  <si>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</si>
  <si>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</si>
  <si>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</si>
  <si>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</si>
  <si>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</si>
  <si>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</si>
  <si>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</si>
  <si>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</si>
  <si>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</si>
  <si>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</si>
  <si>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</si>
  <si>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</si>
  <si>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</si>
  <si>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</si>
  <si>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</si>
  <si>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</si>
  <si>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</si>
  <si>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</si>
  <si>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</si>
  <si>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</si>
  <si>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</si>
  <si>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</si>
  <si>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</si>
  <si>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</si>
  <si>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</si>
  <si>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</si>
  <si>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</si>
  <si>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</si>
  <si>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</si>
  <si>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</si>
  <si>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</si>
  <si>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</si>
  <si>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</si>
  <si>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</si>
  <si>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</si>
  <si>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</si>
  <si>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</si>
  <si>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</si>
  <si>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</si>
  <si>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</si>
  <si>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</si>
  <si>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</si>
  <si>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</si>
  <si>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</si>
  <si>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</si>
  <si>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</si>
  <si>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</si>
  <si>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</si>
  <si>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</si>
  <si>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</si>
  <si>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</si>
  <si>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</si>
  <si>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</si>
  <si>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</si>
  <si>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</si>
  <si>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</si>
  <si>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</si>
  <si>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</si>
  <si>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</si>
  <si>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</si>
  <si>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</si>
  <si>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</si>
  <si>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</si>
  <si>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</si>
  <si>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</si>
  <si>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</si>
  <si>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</si>
  <si>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</si>
  <si>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</si>
  <si>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</si>
  <si>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</si>
  <si>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</si>
  <si>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</si>
  <si>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</si>
  <si>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</si>
  <si>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</si>
  <si>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</si>
  <si>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</si>
  <si>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</si>
  <si>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</si>
  <si>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</si>
  <si>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</si>
  <si>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</si>
  <si>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</si>
  <si>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</si>
  <si>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</si>
  <si>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</si>
  <si>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</si>
  <si>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</si>
  <si>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</si>
  <si>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</si>
  <si>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</si>
  <si>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</si>
  <si>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</si>
  <si>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</si>
  <si>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</si>
  <si>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</si>
  <si>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</si>
  <si>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</si>
  <si>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</si>
  <si>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</si>
  <si>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</si>
  <si>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</si>
  <si>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</si>
  <si>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</si>
  <si>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</si>
  <si>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</si>
  <si>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</si>
  <si>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</si>
  <si>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</si>
  <si>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</si>
  <si>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</si>
  <si>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</si>
  <si>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</si>
  <si>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</si>
  <si>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</si>
  <si>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</si>
  <si>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</si>
  <si>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</si>
  <si>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</si>
  <si>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</si>
  <si>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</si>
  <si>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</si>
  <si>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</si>
  <si>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</si>
  <si>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</si>
  <si>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</si>
  <si>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</si>
  <si>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</si>
  <si>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</si>
  <si>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</si>
  <si>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</si>
  <si>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</si>
  <si>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</si>
  <si>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</si>
  <si>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</si>
  <si>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</si>
  <si>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</si>
  <si>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</si>
  <si>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</si>
  <si>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</si>
  <si>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</si>
  <si>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</si>
  <si>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</si>
  <si>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</si>
  <si>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</si>
  <si>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</si>
  <si>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</si>
  <si>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</si>
  <si>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</si>
  <si>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</si>
  <si>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</si>
  <si>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</si>
  <si>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</si>
  <si>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</si>
  <si>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</si>
  <si>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</si>
  <si>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</si>
  <si>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</si>
  <si>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</si>
  <si>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</si>
  <si>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</si>
  <si>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</si>
  <si>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</si>
  <si>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</si>
  <si>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</si>
  <si>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</si>
  <si>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</si>
  <si>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</si>
  <si>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</si>
  <si>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</si>
  <si>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</si>
  <si>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</si>
  <si>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</si>
  <si>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</si>
  <si>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</si>
  <si>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</si>
  <si>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</si>
  <si>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</si>
  <si>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</si>
  <si>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</si>
  <si>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</si>
  <si>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</si>
  <si>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</si>
  <si>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</si>
  <si>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</si>
  <si>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</si>
  <si>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</si>
  <si>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</si>
  <si>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</si>
  <si>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</si>
  <si>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</si>
  <si>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</si>
  <si>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</si>
  <si>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</si>
  <si>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</si>
  <si>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</si>
  <si>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</si>
  <si>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</si>
  <si>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</si>
  <si>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</si>
  <si>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</si>
  <si>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</si>
  <si>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</si>
  <si>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</si>
  <si>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</si>
  <si>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</si>
  <si>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</si>
  <si>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</si>
  <si>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</si>
  <si>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</si>
  <si>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</si>
  <si>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</si>
  <si>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</si>
  <si>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</si>
  <si>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</si>
  <si>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</si>
  <si>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</si>
  <si>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</si>
  <si>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</si>
  <si>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</si>
  <si>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</si>
  <si>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</si>
  <si>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</si>
  <si>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</si>
  <si>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</si>
  <si>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</si>
  <si>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</si>
  <si>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</si>
  <si>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</si>
  <si>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</si>
  <si>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</si>
  <si>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</si>
  <si>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</si>
  <si>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</si>
  <si>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</si>
  <si>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</si>
  <si>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</si>
  <si>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</si>
  <si>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</si>
  <si>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</si>
  <si>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</si>
  <si>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</si>
  <si>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</si>
  <si>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</si>
  <si>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</si>
  <si>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</si>
  <si>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</si>
  <si>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</si>
  <si>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</si>
  <si>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</si>
  <si>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</si>
  <si>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</si>
  <si>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</si>
  <si>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</si>
  <si>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</si>
  <si>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</si>
  <si>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</si>
  <si>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</si>
  <si>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</si>
  <si>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</si>
  <si>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</si>
  <si>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</si>
  <si>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</si>
  <si>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</si>
  <si>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</si>
  <si>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</si>
  <si>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</si>
  <si>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</si>
  <si>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</si>
  <si>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</si>
  <si>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</si>
  <si>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</si>
  <si>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</si>
  <si>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</si>
  <si>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</si>
  <si>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</si>
  <si>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</si>
  <si>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</si>
  <si>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</si>
  <si>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</si>
  <si>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</si>
  <si>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</si>
  <si>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</si>
  <si>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</si>
  <si>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</si>
  <si>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</si>
  <si>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</si>
  <si>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</si>
  <si>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</si>
  <si>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</si>
  <si>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</si>
  <si>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</si>
  <si>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</si>
  <si>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</si>
  <si>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</si>
  <si>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</si>
  <si>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</si>
  <si>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</si>
  <si>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</si>
  <si>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</si>
  <si>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</si>
  <si>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</si>
  <si>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</si>
  <si>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</si>
  <si>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</si>
  <si>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</si>
  <si>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</si>
  <si>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</si>
  <si>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</si>
  <si>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</si>
  <si>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</si>
  <si>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</si>
  <si>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</si>
  <si>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</si>
  <si>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</si>
  <si>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</si>
  <si>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</si>
  <si>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</si>
  <si>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</si>
  <si>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</si>
  <si>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</si>
  <si>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</si>
  <si>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</si>
  <si>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</si>
  <si>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</si>
  <si>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</si>
  <si>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</si>
  <si>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</si>
  <si>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</si>
  <si>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</si>
  <si>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</si>
  <si>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</si>
  <si>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</si>
  <si>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</si>
  <si>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</si>
  <si>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</si>
  <si>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</si>
  <si>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</si>
  <si>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</si>
  <si>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</si>
  <si>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</si>
  <si>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</si>
  <si>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</si>
  <si>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</si>
  <si>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</si>
  <si>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</si>
  <si>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</si>
  <si>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</si>
  <si>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</si>
  <si>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</si>
  <si>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</si>
  <si>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</si>
  <si>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</si>
  <si>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</si>
  <si>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</si>
  <si>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</si>
  <si>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</si>
  <si>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</si>
  <si>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</si>
  <si>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</si>
  <si>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</si>
  <si>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</si>
  <si>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</si>
  <si>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</si>
  <si>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</si>
  <si>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</si>
  <si>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</si>
  <si>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</si>
  <si>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</si>
  <si>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</si>
  <si>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</si>
  <si>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</si>
  <si>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</si>
  <si>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</si>
  <si>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</si>
  <si>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</si>
  <si>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</si>
  <si>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</si>
  <si>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</si>
  <si>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</si>
  <si>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</si>
  <si>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</si>
  <si>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</si>
  <si>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</si>
  <si>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</si>
  <si>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</si>
  <si>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</si>
  <si>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</si>
  <si>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</si>
  <si>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</si>
  <si>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</si>
  <si>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</si>
  <si>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</si>
  <si>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</si>
  <si>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</si>
  <si>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</si>
  <si>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</si>
  <si>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</si>
  <si>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</si>
  <si>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</si>
  <si>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</si>
  <si>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</si>
  <si>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</si>
  <si>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</si>
  <si>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</si>
  <si>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</si>
  <si>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</si>
  <si>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</si>
  <si>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</si>
  <si>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</si>
  <si>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</si>
  <si>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</si>
  <si>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</si>
  <si>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</si>
  <si>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</si>
  <si>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</si>
  <si>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</si>
  <si>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</si>
  <si>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</si>
  <si>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</si>
  <si>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</si>
  <si>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</si>
  <si>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</si>
  <si>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</si>
  <si>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</si>
  <si>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</si>
  <si>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</si>
  <si>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</si>
  <si>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</si>
  <si>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</si>
  <si>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</si>
  <si>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</si>
  <si>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</si>
  <si>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</si>
  <si>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</si>
  <si>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</si>
  <si>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</si>
  <si>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</si>
  <si>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</si>
  <si>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</si>
  <si>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</si>
  <si>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</si>
  <si>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</si>
  <si>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</si>
  <si>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</si>
  <si>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</si>
  <si>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</si>
  <si>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</si>
  <si>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</si>
  <si>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</si>
  <si>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</si>
  <si>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</si>
  <si>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</si>
  <si>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</si>
  <si>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</si>
  <si>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</si>
  <si>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</si>
  <si>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</si>
  <si>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</si>
  <si>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</si>
  <si>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</si>
  <si>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</si>
  <si>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</si>
  <si>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</si>
  <si>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</si>
  <si>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</si>
  <si>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</si>
  <si>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</si>
  <si>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</si>
  <si>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</si>
  <si>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</si>
  <si>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</si>
  <si>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</si>
  <si>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</si>
  <si>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</si>
  <si>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</si>
  <si>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</si>
  <si>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</si>
  <si>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</si>
  <si>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</si>
  <si>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</si>
  <si>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</si>
  <si>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</si>
  <si>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</si>
  <si>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</si>
  <si>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</si>
  <si>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</si>
  <si>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</si>
  <si>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</si>
  <si>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</si>
  <si>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</si>
  <si>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</si>
  <si>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</si>
  <si>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</si>
  <si>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</si>
  <si>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</si>
  <si>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</si>
  <si>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</si>
  <si>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</si>
  <si>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</si>
  <si>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</si>
  <si>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</si>
  <si>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</si>
  <si>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</si>
  <si>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</si>
  <si>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</si>
  <si>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</si>
  <si>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</si>
  <si>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</si>
  <si>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</si>
  <si>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</si>
  <si>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</si>
  <si>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</si>
  <si>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</si>
  <si>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</si>
  <si>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</si>
  <si>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</si>
  <si>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</si>
  <si>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</si>
  <si>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</si>
  <si>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</si>
  <si>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</si>
  <si>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</si>
  <si>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</si>
  <si>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</si>
  <si>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</si>
  <si>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</si>
  <si>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</si>
  <si>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</si>
  <si>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</si>
  <si>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</si>
  <si>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</si>
  <si>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</si>
  <si>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</si>
  <si>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</si>
  <si>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</si>
  <si>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</si>
  <si>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</si>
  <si>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</si>
  <si>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</si>
  <si>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</si>
  <si>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</si>
  <si>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</si>
  <si>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</si>
  <si>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</si>
  <si>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</si>
  <si>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</si>
  <si>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</si>
  <si>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</si>
  <si>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</si>
  <si>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</si>
  <si>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</si>
  <si>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</si>
  <si>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</si>
  <si>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</si>
  <si>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</si>
  <si>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</si>
  <si>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</si>
  <si>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</si>
  <si>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</si>
  <si>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</si>
  <si>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</si>
  <si>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</si>
  <si>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</si>
  <si>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</si>
  <si>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</si>
  <si>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</si>
  <si>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</si>
  <si>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</si>
  <si>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</si>
  <si>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</si>
  <si>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</si>
  <si>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</si>
  <si>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</si>
  <si>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</si>
  <si>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</si>
  <si>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</si>
  <si>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</si>
  <si>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</si>
  <si>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</si>
  <si>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</si>
  <si>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</si>
  <si>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</si>
  <si>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</si>
  <si>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</si>
  <si>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</si>
  <si>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</si>
  <si>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</si>
  <si>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</si>
  <si>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</si>
  <si>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</si>
  <si>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</si>
  <si>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</si>
  <si>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</si>
  <si>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</si>
  <si>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</si>
  <si>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</si>
  <si>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</si>
  <si>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</si>
  <si>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</si>
  <si>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</si>
  <si>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</si>
  <si>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</si>
  <si>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</si>
  <si>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</si>
  <si>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</si>
  <si>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</si>
  <si>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</si>
  <si>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</si>
  <si>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</si>
  <si>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</si>
  <si>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</si>
  <si>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</si>
  <si>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</si>
  <si>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</si>
  <si>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</si>
  <si>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</si>
  <si>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</si>
  <si>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</si>
  <si>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</si>
  <si>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</si>
  <si>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</si>
  <si>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</si>
  <si>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</si>
  <si>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</si>
  <si>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</si>
  <si>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</si>
  <si>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</si>
  <si>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</si>
  <si>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</si>
  <si>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</si>
  <si>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</si>
  <si>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</si>
  <si>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</si>
  <si>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</si>
  <si>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</si>
  <si>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</si>
  <si>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</si>
  <si>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</si>
  <si>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</si>
  <si>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</si>
  <si>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</si>
  <si>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</si>
  <si>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</si>
  <si>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</si>
  <si>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</si>
  <si>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</si>
  <si>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</si>
  <si>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</si>
  <si>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</si>
  <si>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</si>
  <si>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</si>
  <si>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</si>
  <si>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</si>
  <si>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</si>
  <si>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</si>
  <si>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</si>
  <si>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</si>
  <si>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</si>
  <si>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</si>
  <si>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</si>
  <si>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</si>
  <si>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</si>
  <si>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</si>
  <si>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</si>
  <si>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</si>
  <si>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</si>
  <si>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</si>
  <si>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</si>
  <si>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</si>
  <si>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</si>
  <si>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</si>
  <si>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</si>
  <si>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</si>
  <si>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</si>
  <si>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</si>
  <si>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</si>
  <si>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</si>
  <si>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</si>
  <si>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</si>
  <si>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</si>
  <si>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</si>
  <si>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</si>
  <si>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</si>
  <si>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</si>
  <si>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</si>
  <si>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</si>
  <si>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</si>
  <si>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</si>
  <si>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</si>
  <si>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</si>
  <si>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</si>
  <si>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</si>
  <si>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</si>
  <si>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</si>
  <si>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</si>
  <si>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</si>
  <si>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</si>
  <si>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</si>
  <si>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</si>
  <si>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</si>
  <si>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</si>
  <si>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</si>
  <si>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</si>
  <si>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</si>
  <si>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</si>
  <si>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</si>
  <si>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</si>
  <si>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</si>
  <si>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</si>
  <si>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</si>
  <si>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</si>
  <si>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</si>
  <si>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</si>
  <si>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</si>
  <si>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</si>
  <si>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</si>
  <si>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</si>
  <si>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</si>
  <si>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</si>
  <si>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</si>
  <si>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</si>
  <si>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</si>
  <si>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</si>
  <si>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</si>
  <si>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</si>
  <si>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</si>
  <si>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</si>
  <si>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</si>
  <si>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</si>
  <si>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</si>
  <si>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</si>
  <si>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</si>
  <si>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</si>
  <si>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</si>
  <si>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</si>
  <si>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</si>
  <si>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</si>
  <si>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</si>
  <si>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</si>
  <si>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</si>
  <si>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</si>
  <si>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</si>
  <si>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</si>
  <si>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</si>
  <si>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</si>
  <si>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</si>
  <si>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</si>
  <si>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</si>
  <si>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</si>
  <si>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</si>
  <si>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</si>
  <si>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</si>
  <si>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</si>
  <si>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</si>
  <si>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</si>
  <si>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</si>
  <si>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</si>
  <si>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</si>
  <si>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</si>
  <si>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</si>
  <si>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</si>
  <si>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</si>
  <si>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</si>
  <si>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</si>
  <si>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</si>
  <si>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</si>
  <si>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</si>
  <si>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</si>
  <si>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</si>
  <si>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</si>
  <si>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</si>
  <si>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</si>
  <si>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</si>
  <si>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</si>
  <si>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</si>
  <si>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</si>
  <si>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</si>
  <si>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</si>
  <si>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</si>
  <si>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</si>
  <si>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</si>
  <si>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</si>
  <si>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</si>
  <si>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</si>
  <si>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</si>
  <si>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</si>
  <si>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</si>
  <si>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</si>
  <si>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</si>
  <si>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</si>
  <si>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</si>
  <si>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</si>
  <si>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</si>
  <si>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</si>
  <si>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</si>
  <si>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</si>
  <si>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</si>
  <si>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</si>
  <si>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</si>
  <si>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</si>
  <si>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</si>
  <si>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</si>
  <si>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</si>
  <si>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</si>
  <si>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</si>
  <si>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</si>
  <si>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</si>
  <si>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</si>
  <si>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</si>
  <si>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</si>
  <si>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</si>
  <si>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</si>
  <si>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</si>
  <si>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</si>
  <si>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</si>
  <si>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</si>
  <si>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</si>
  <si>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</si>
  <si>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</si>
  <si>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</si>
  <si>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</si>
  <si>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</si>
  <si>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</si>
  <si>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</si>
  <si>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</si>
  <si>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</si>
  <si>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</si>
  <si>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</si>
  <si>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</si>
  <si>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</si>
  <si>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</si>
  <si>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</si>
  <si>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</si>
  <si>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</si>
  <si>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</si>
  <si>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</si>
  <si>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</si>
  <si>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</si>
  <si>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</si>
  <si>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</si>
  <si>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</si>
  <si>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</si>
  <si>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</si>
  <si>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</si>
  <si>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</si>
  <si>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</si>
  <si>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</si>
  <si>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</si>
  <si>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</si>
  <si>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</si>
  <si>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</si>
  <si>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</si>
  <si>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</si>
  <si>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</si>
  <si>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</si>
  <si>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</si>
  <si>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</si>
  <si>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</si>
  <si>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</si>
  <si>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</si>
  <si>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</si>
  <si>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</si>
  <si>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</si>
  <si>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</si>
  <si>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</si>
  <si>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</si>
  <si>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</si>
  <si>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</si>
  <si>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</si>
  <si>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</si>
  <si>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</si>
  <si>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</si>
  <si>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</si>
  <si>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</si>
  <si>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</si>
  <si>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</si>
  <si>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</si>
  <si>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</si>
  <si>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</si>
  <si>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</si>
  <si>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</si>
  <si>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</si>
  <si>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</si>
  <si>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</si>
  <si>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</si>
  <si>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</si>
  <si>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</si>
  <si>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</si>
  <si>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</si>
  <si>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</si>
  <si>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</si>
  <si>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</si>
  <si>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</si>
  <si>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</si>
  <si>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</si>
  <si>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</si>
  <si>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</si>
  <si>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</si>
  <si>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</si>
  <si>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</si>
  <si>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</si>
  <si>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</si>
  <si>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</si>
  <si>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</si>
  <si>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</si>
  <si>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</si>
  <si>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</si>
  <si>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</si>
  <si>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</si>
  <si>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</si>
  <si>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</si>
  <si>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</si>
  <si>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</si>
  <si>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</si>
  <si>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</si>
  <si>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</si>
  <si>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</si>
  <si>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</si>
  <si>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</si>
  <si>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</si>
  <si>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</si>
  <si>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</si>
  <si>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</si>
  <si>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</si>
  <si>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</si>
  <si>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</si>
  <si>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</si>
  <si>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</si>
  <si>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</si>
  <si>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</si>
  <si>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</si>
  <si>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</si>
  <si>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</si>
  <si>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</si>
  <si>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</si>
  <si>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</si>
  <si>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</si>
  <si>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</si>
  <si>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</si>
  <si>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</si>
  <si>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</si>
  <si>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</si>
  <si>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</si>
  <si>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</si>
  <si>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</si>
  <si>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</si>
  <si>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</si>
  <si>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</si>
  <si>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</si>
  <si>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</si>
  <si>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</si>
  <si>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</si>
  <si>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</si>
  <si>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</si>
  <si>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</si>
  <si>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</si>
  <si>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</si>
  <si>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</si>
  <si>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</si>
  <si>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</si>
  <si>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</si>
  <si>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</si>
  <si>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</si>
  <si>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</si>
  <si>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</si>
  <si>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</si>
  <si>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</si>
  <si>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</si>
  <si>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</si>
  <si>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</si>
  <si>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</si>
  <si>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</si>
  <si>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</si>
  <si>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</si>
  <si>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</si>
  <si>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</si>
  <si>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</si>
  <si>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</si>
  <si>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</si>
  <si>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</si>
  <si>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</si>
  <si>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</si>
  <si>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</si>
  <si>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</si>
  <si>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</si>
  <si>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</si>
  <si>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</si>
  <si>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</si>
  <si>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</si>
  <si>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</si>
  <si>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</si>
  <si>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</si>
  <si>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</si>
  <si>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</si>
  <si>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</si>
  <si>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</si>
  <si>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</si>
  <si>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</si>
  <si>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</si>
  <si>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</si>
  <si>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</si>
  <si>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</si>
  <si>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</si>
  <si>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</si>
  <si>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</si>
  <si>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</si>
  <si>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</si>
  <si>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</si>
  <si>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</si>
  <si>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</si>
  <si>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</si>
  <si>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</si>
  <si>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</si>
  <si>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</si>
  <si>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</si>
  <si>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</si>
  <si>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</si>
  <si>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</si>
  <si>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</si>
  <si>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</si>
  <si>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</si>
  <si>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</si>
  <si>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</si>
  <si>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</si>
  <si>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</si>
  <si>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</si>
  <si>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</si>
  <si>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</si>
  <si>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</si>
  <si>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</si>
  <si>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</si>
  <si>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</si>
  <si>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</si>
  <si>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</si>
  <si>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</si>
  <si>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</si>
  <si>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</si>
  <si>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</si>
  <si>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</si>
  <si>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</si>
  <si>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</si>
  <si>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</si>
  <si>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</si>
  <si>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</si>
  <si>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</si>
  <si>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</si>
  <si>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</si>
  <si>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</si>
  <si>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</si>
  <si>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</si>
  <si>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</si>
  <si>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</si>
  <si>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</si>
  <si>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</si>
  <si>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</si>
  <si>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</si>
  <si>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</si>
  <si>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</si>
  <si>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</si>
  <si>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</si>
  <si>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</si>
  <si>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</si>
  <si>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</si>
  <si>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</si>
  <si>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</si>
  <si>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</si>
  <si>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</si>
  <si>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</si>
  <si>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</si>
  <si>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</si>
  <si>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</si>
  <si>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</si>
  <si>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</si>
  <si>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</si>
  <si>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</si>
  <si>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</si>
  <si>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</si>
  <si>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</si>
  <si>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</si>
  <si>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</si>
  <si>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</si>
  <si>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</si>
  <si>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</si>
  <si>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</si>
  <si>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</si>
  <si>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</si>
  <si>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</si>
  <si>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</si>
  <si>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</si>
  <si>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</si>
  <si>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</si>
  <si>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</si>
  <si>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</si>
  <si>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</si>
  <si>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</si>
  <si>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</si>
  <si>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</si>
  <si>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</si>
  <si>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</si>
  <si>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</si>
  <si>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</si>
  <si>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</si>
  <si>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</si>
  <si>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</si>
  <si>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</si>
  <si>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</si>
  <si>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</si>
  <si>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</si>
  <si>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</si>
  <si>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</si>
  <si>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</si>
  <si>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</si>
  <si>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</si>
  <si>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</si>
  <si>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</si>
  <si>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</si>
  <si>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</si>
  <si>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</si>
  <si>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</si>
  <si>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</si>
  <si>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</si>
  <si>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</si>
  <si>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</si>
  <si>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</si>
  <si>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</si>
  <si>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</si>
  <si>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</si>
  <si>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</si>
  <si>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</si>
  <si>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</si>
  <si>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</si>
  <si>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</si>
  <si>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</si>
  <si>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</si>
  <si>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</si>
  <si>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</si>
  <si>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</si>
  <si>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</si>
  <si>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</si>
  <si>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</si>
  <si>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</si>
  <si>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</si>
  <si>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</si>
  <si>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</si>
  <si>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</si>
  <si>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</si>
  <si>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</si>
  <si>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</si>
  <si>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</si>
  <si>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</si>
  <si>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</si>
  <si>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</si>
  <si>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</si>
  <si>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</si>
  <si>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</si>
  <si>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</si>
  <si>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</si>
  <si>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</si>
  <si>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</si>
  <si>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</si>
  <si>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</si>
  <si>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</si>
  <si>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</si>
  <si>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</si>
  <si>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</si>
  <si>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</si>
  <si>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</si>
  <si>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</si>
  <si>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</si>
  <si>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</si>
  <si>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</si>
  <si>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</si>
  <si>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</si>
  <si>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</si>
  <si>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</si>
  <si>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</si>
  <si>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</si>
  <si>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</si>
  <si>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</si>
  <si>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</si>
  <si>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</si>
  <si>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</si>
  <si>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</si>
  <si>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</si>
  <si>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</si>
  <si>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</si>
  <si>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</si>
  <si>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</si>
  <si>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</si>
  <si>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</si>
  <si>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</si>
  <si>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</si>
  <si>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</si>
  <si>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</si>
  <si>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</si>
  <si>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</si>
  <si>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</si>
  <si>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</si>
  <si>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</si>
  <si>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</si>
  <si>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</si>
  <si>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</si>
  <si>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</si>
  <si>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</si>
  <si>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</si>
  <si>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</si>
  <si>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</si>
  <si>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</si>
  <si>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</si>
  <si>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</si>
  <si>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</si>
  <si>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</si>
  <si>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</si>
  <si>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</si>
  <si>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</si>
  <si>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</si>
  <si>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</si>
  <si>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</si>
  <si>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</si>
  <si>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</si>
  <si>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</si>
  <si>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</si>
  <si>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</si>
  <si>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</si>
  <si>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</si>
  <si>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</si>
  <si>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</si>
  <si>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</si>
  <si>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</si>
  <si>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</si>
  <si>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</si>
  <si>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</si>
  <si>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</si>
  <si>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</si>
  <si>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</si>
  <si>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</si>
  <si>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</si>
  <si>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</si>
  <si>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</si>
  <si>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</si>
  <si>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</si>
  <si>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</si>
  <si>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</si>
  <si>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</si>
  <si>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</si>
  <si>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</si>
  <si>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</si>
  <si>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</si>
  <si>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</si>
  <si>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</si>
  <si>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</si>
  <si>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</si>
  <si>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</si>
  <si>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</si>
  <si>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</si>
  <si>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</si>
  <si>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</si>
  <si>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</si>
  <si>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</si>
  <si>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</si>
  <si>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</si>
  <si>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</si>
  <si>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</si>
  <si>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</si>
  <si>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</si>
  <si>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</si>
  <si>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</si>
  <si>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</si>
  <si>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</si>
  <si>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</si>
  <si>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</si>
  <si>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</si>
  <si>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</si>
  <si>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</si>
  <si>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</si>
  <si>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</si>
  <si>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</si>
  <si>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</si>
  <si>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</si>
  <si>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</si>
  <si>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</si>
  <si>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</si>
  <si>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</si>
  <si>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</si>
  <si>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</si>
  <si>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</si>
  <si>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</si>
  <si>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</si>
  <si>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</si>
  <si>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</si>
  <si>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</si>
  <si>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</si>
  <si>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</si>
  <si>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</si>
  <si>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</si>
  <si>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</si>
  <si>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</si>
  <si>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</si>
  <si>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</si>
  <si>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</si>
  <si>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</si>
  <si>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</si>
  <si>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</si>
  <si>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</si>
  <si>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</si>
  <si>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</si>
  <si>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</si>
  <si>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</si>
  <si>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</si>
  <si>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</si>
  <si>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</si>
  <si>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</si>
  <si>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</si>
  <si>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</si>
  <si>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</si>
  <si>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</si>
  <si>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</si>
  <si>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</si>
  <si>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</si>
  <si>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</si>
  <si>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</si>
  <si>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</si>
  <si>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</si>
  <si>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</si>
  <si>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</si>
  <si>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</si>
  <si>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</si>
  <si>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</si>
  <si>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</si>
  <si>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</si>
  <si>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</si>
  <si>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</si>
  <si>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</si>
  <si>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</si>
  <si>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</si>
  <si>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</si>
  <si>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</si>
  <si>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</si>
  <si>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</si>
  <si>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</si>
  <si>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</si>
  <si>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</si>
  <si>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</si>
  <si>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</si>
  <si>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</si>
  <si>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</si>
  <si>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</si>
  <si>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</si>
  <si>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</si>
  <si>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</si>
  <si>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</si>
  <si>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</si>
  <si>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</si>
  <si>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</si>
  <si>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</si>
  <si>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</si>
  <si>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</si>
  <si>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</si>
  <si>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</si>
  <si>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</si>
  <si>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</si>
  <si>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</si>
  <si>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</si>
  <si>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</si>
  <si>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</si>
  <si>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</si>
  <si>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</si>
  <si>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</si>
  <si>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</si>
  <si>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</si>
  <si>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</si>
  <si>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</si>
  <si>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</si>
  <si>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</si>
  <si>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</si>
  <si>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</si>
  <si>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</si>
  <si>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</si>
  <si>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</si>
  <si>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</si>
  <si>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</si>
  <si>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</si>
  <si>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</si>
  <si>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</si>
  <si>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</si>
  <si>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</si>
  <si>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</si>
  <si>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</si>
  <si>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</si>
  <si>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</si>
  <si>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</si>
  <si>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</si>
  <si>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</si>
  <si>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</si>
  <si>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</si>
  <si>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</si>
  <si>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</si>
  <si>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</si>
  <si>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</si>
  <si>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</si>
  <si>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</si>
  <si>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</si>
  <si>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</si>
  <si>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</si>
  <si>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</si>
  <si>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</si>
  <si>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</si>
  <si>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</si>
  <si>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</si>
  <si>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</si>
  <si>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</si>
  <si>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</si>
  <si>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</si>
  <si>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</si>
  <si>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</si>
  <si>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</si>
  <si>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</si>
  <si>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</si>
  <si>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</si>
  <si>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</si>
  <si>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</si>
  <si>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</si>
  <si>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</si>
  <si>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</si>
  <si>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</si>
  <si>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</si>
  <si>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</si>
  <si>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</si>
  <si>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</si>
  <si>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</si>
  <si>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</si>
  <si>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</si>
  <si>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</si>
  <si>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</si>
  <si>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</si>
  <si>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</si>
  <si>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</si>
  <si>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</si>
  <si>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</si>
  <si>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</si>
  <si>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</si>
  <si>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</si>
  <si>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</si>
  <si>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</si>
  <si>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</si>
  <si>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</si>
  <si>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</si>
  <si>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</si>
  <si>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</si>
  <si>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</si>
  <si>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</si>
  <si>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</si>
  <si>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</si>
  <si>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</si>
  <si>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</si>
  <si>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</si>
  <si>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</si>
  <si>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</si>
  <si>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</si>
  <si>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</si>
  <si>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</si>
  <si>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</si>
  <si>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</si>
  <si>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</si>
  <si>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</si>
  <si>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</si>
  <si>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</si>
  <si>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</si>
  <si>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</si>
  <si>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</si>
  <si>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</si>
  <si>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</si>
  <si>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</si>
  <si>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</si>
  <si>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</si>
  <si>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</si>
  <si>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</si>
  <si>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</si>
  <si>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</si>
  <si>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</si>
  <si>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</si>
  <si>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</si>
  <si>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</si>
  <si>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</si>
  <si>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</si>
  <si>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</si>
  <si>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</si>
  <si>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</si>
  <si>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</si>
  <si>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</si>
  <si>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</si>
  <si>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</si>
  <si>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</si>
  <si>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</si>
  <si>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</si>
  <si>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</si>
  <si>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</si>
  <si>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</si>
  <si>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</si>
  <si>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</si>
  <si>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</si>
  <si>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</si>
  <si>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</si>
  <si>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</si>
  <si>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</si>
  <si>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</si>
  <si>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</si>
  <si>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</si>
  <si>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</si>
  <si>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</si>
  <si>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</si>
  <si>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</si>
  <si>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</si>
  <si>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</si>
  <si>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</si>
  <si>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</si>
  <si>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</si>
  <si>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</si>
  <si>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</si>
  <si>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</si>
  <si>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</si>
  <si>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</si>
  <si>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</si>
  <si>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</si>
  <si>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</si>
  <si>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</si>
  <si>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</si>
  <si>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</si>
  <si>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</si>
  <si>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</si>
  <si>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</si>
  <si>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</si>
  <si>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</si>
  <si>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</si>
  <si>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</si>
  <si>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</si>
  <si>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</si>
  <si>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</si>
  <si>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</si>
  <si>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</si>
  <si>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</si>
  <si>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</si>
  <si>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</si>
  <si>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</si>
  <si>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</si>
  <si>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</si>
  <si>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</si>
  <si>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</si>
  <si>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</si>
  <si>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</si>
  <si>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</si>
  <si>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</si>
  <si>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</si>
  <si>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</si>
  <si>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</si>
  <si>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</si>
  <si>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</si>
  <si>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</si>
  <si>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</si>
  <si>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</si>
  <si>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</si>
  <si>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</si>
  <si>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</si>
  <si>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</si>
  <si>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</si>
  <si>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</si>
  <si>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</si>
  <si>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</si>
  <si>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</si>
  <si>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</si>
  <si>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</si>
  <si>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</si>
  <si>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</si>
  <si>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</si>
  <si>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</si>
  <si>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</si>
  <si>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</si>
  <si>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</si>
  <si>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</si>
  <si>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</si>
  <si>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</si>
  <si>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</si>
  <si>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</si>
  <si>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</si>
  <si>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</si>
  <si>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</si>
  <si>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</si>
  <si>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</si>
  <si>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</si>
  <si>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</si>
  <si>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</si>
  <si>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</si>
  <si>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</si>
  <si>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</si>
  <si>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</si>
  <si>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</si>
  <si>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</si>
  <si>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</si>
  <si>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</si>
  <si>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</si>
  <si>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</si>
  <si>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</si>
  <si>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</si>
  <si>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</si>
  <si>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</si>
  <si>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</si>
  <si>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</si>
  <si>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</si>
  <si>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</si>
  <si>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</si>
  <si>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</si>
  <si>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</si>
  <si>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</si>
  <si>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</si>
  <si>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</si>
  <si>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</si>
  <si>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</si>
  <si>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</si>
  <si>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</si>
  <si>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</si>
  <si>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</si>
  <si>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</si>
  <si>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</si>
  <si>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</si>
  <si>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</si>
  <si>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</si>
  <si>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</si>
  <si>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</si>
  <si>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</si>
  <si>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</si>
  <si>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</si>
  <si>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</si>
  <si>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</si>
  <si>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</si>
  <si>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</si>
  <si>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</si>
  <si>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</si>
  <si>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</si>
  <si>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</si>
  <si>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</si>
  <si>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</si>
  <si>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</si>
  <si>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</si>
  <si>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</si>
  <si>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</si>
  <si>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</si>
  <si>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</si>
  <si>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</si>
  <si>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</si>
  <si>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</si>
  <si>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</si>
  <si>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</si>
  <si>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</si>
  <si>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</si>
  <si>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</si>
  <si>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</si>
  <si>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</si>
  <si>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</si>
  <si>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</si>
  <si>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</si>
  <si>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</si>
  <si>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</si>
  <si>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</si>
  <si>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</si>
  <si>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</si>
  <si>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</si>
  <si>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</si>
  <si>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</si>
  <si>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</si>
  <si>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</si>
  <si>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</si>
  <si>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</si>
  <si>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</si>
  <si>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</si>
  <si>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</si>
  <si>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</si>
  <si>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</si>
  <si>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</si>
  <si>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</si>
  <si>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</si>
  <si>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</si>
  <si>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</si>
  <si>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</si>
  <si>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</si>
  <si>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</si>
  <si>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</si>
  <si>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</si>
  <si>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</si>
  <si>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</si>
  <si>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</si>
  <si>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</si>
  <si>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</si>
  <si>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</si>
  <si>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</si>
  <si>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</si>
  <si>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</si>
  <si>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</si>
  <si>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</si>
  <si>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</si>
  <si>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</si>
  <si>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</si>
  <si>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</si>
  <si>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</si>
  <si>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</si>
  <si>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</si>
  <si>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</si>
  <si>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</si>
  <si>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</si>
  <si>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</si>
  <si>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</si>
  <si>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</si>
  <si>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</si>
  <si>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</si>
  <si>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</si>
  <si>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</si>
  <si>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</si>
  <si>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</si>
  <si>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</si>
  <si>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</si>
  <si>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</si>
  <si>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</si>
  <si>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</si>
  <si>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</si>
  <si>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</si>
  <si>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</si>
  <si>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</si>
  <si>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</si>
  <si>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</si>
  <si>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</si>
  <si>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</si>
  <si>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</si>
  <si>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</si>
  <si>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</si>
  <si>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</si>
  <si>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</si>
  <si>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</si>
  <si>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</si>
  <si>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</si>
  <si>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</si>
  <si>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</si>
  <si>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</si>
  <si>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</si>
  <si>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</si>
  <si>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</si>
  <si>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</si>
  <si>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</si>
  <si>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</si>
  <si>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</si>
  <si>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</si>
  <si>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</si>
  <si>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</si>
  <si>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</si>
  <si>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</si>
  <si>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</si>
  <si>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</si>
  <si>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</si>
  <si>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</si>
  <si>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</si>
  <si>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</si>
  <si>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</si>
  <si>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</si>
  <si>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</si>
  <si>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</si>
  <si>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</si>
  <si>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</si>
  <si>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</si>
  <si>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</si>
  <si>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</si>
  <si>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</si>
  <si>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</si>
  <si>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</si>
  <si>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</si>
  <si>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</si>
  <si>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</si>
  <si>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</si>
  <si>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</si>
  <si>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</si>
  <si>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</si>
  <si>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</si>
  <si>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</si>
  <si>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</si>
  <si>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</si>
  <si>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</si>
  <si>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</si>
  <si>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</si>
  <si>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</si>
  <si>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</si>
  <si>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</si>
  <si>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</si>
  <si>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</si>
  <si>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</si>
  <si>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</si>
  <si>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</si>
  <si>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</si>
  <si>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</si>
  <si>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</si>
  <si>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</si>
  <si>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</si>
  <si>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</si>
  <si>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</si>
  <si>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</si>
  <si>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</si>
  <si>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</si>
  <si>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</si>
  <si>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</si>
  <si>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</si>
  <si>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</si>
  <si>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</si>
  <si>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</si>
  <si>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</si>
  <si>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</si>
  <si>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</si>
  <si>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</si>
  <si>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</si>
  <si>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</si>
  <si>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</si>
  <si>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</si>
  <si>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</si>
  <si>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</si>
  <si>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</si>
  <si>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</si>
  <si>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</si>
  <si>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</si>
  <si>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</si>
  <si>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</si>
  <si>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</si>
  <si>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</si>
  <si>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</si>
  <si>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</si>
  <si>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</si>
  <si>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</si>
  <si>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</si>
  <si>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</si>
  <si>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</si>
  <si>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</si>
  <si>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</si>
  <si>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</si>
  <si>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</si>
  <si>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</si>
  <si>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</si>
  <si>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</si>
  <si>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</si>
  <si>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</si>
  <si>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</si>
  <si>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</si>
  <si>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</si>
  <si>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</si>
  <si>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</si>
  <si>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</si>
  <si>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</si>
  <si>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</si>
  <si>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</si>
  <si>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</si>
  <si>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</si>
  <si>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</si>
  <si>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</si>
  <si>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</si>
  <si>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</si>
  <si>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</si>
  <si>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</si>
  <si>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</si>
  <si>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</si>
  <si>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</si>
  <si>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</si>
  <si>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</si>
  <si>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</si>
  <si>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</si>
  <si>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</si>
  <si>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</si>
  <si>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</si>
  <si>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</si>
  <si>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</si>
  <si>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</si>
  <si>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</si>
  <si>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</si>
  <si>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</si>
  <si>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</si>
  <si>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</si>
  <si>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</si>
  <si>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</si>
  <si>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</si>
  <si>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</si>
  <si>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</si>
  <si>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</si>
  <si>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</si>
  <si>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</si>
  <si>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</si>
  <si>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</si>
  <si>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</si>
  <si>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</si>
  <si>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</si>
  <si>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</si>
  <si>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</si>
  <si>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</si>
  <si>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</si>
  <si>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</si>
  <si>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</si>
  <si>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</si>
  <si>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</si>
  <si>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</si>
  <si>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</si>
  <si>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</si>
  <si>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</si>
  <si>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</si>
  <si>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</si>
  <si>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</si>
  <si>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</si>
  <si>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</si>
  <si>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</si>
  <si>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</si>
  <si>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</si>
  <si>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</si>
  <si>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</si>
  <si>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</si>
  <si>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</si>
  <si>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</si>
  <si>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</si>
  <si>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</si>
  <si>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</si>
  <si>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</si>
  <si>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</si>
  <si>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</si>
  <si>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</si>
  <si>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</si>
  <si>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</si>
  <si>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</si>
  <si>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</si>
  <si>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</si>
  <si>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</si>
  <si>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</si>
  <si>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</si>
  <si>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</si>
  <si>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</si>
  <si>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</si>
  <si>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</si>
  <si>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</si>
  <si>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</si>
  <si>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</si>
  <si>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</si>
  <si>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</si>
  <si>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</si>
  <si>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</si>
  <si>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</si>
  <si>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</si>
  <si>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</si>
  <si>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</si>
  <si>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</si>
  <si>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</si>
  <si>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</si>
  <si>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</si>
  <si>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</si>
  <si>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</si>
  <si>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</si>
  <si>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</si>
  <si>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</si>
  <si>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</si>
  <si>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</si>
  <si>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</si>
  <si>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</si>
  <si>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</si>
  <si>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</si>
  <si>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</si>
  <si>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</si>
  <si>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</si>
  <si>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</si>
  <si>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</si>
  <si>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</si>
  <si>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</si>
  <si>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</si>
  <si>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</si>
  <si>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</si>
  <si>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</si>
  <si>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</si>
  <si>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</si>
  <si>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</si>
  <si>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</si>
  <si>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</si>
  <si>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</si>
  <si>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</si>
  <si>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</si>
  <si>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</si>
  <si>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</si>
  <si>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</si>
  <si>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</si>
  <si>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</si>
  <si>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</si>
  <si>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</si>
  <si>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</si>
  <si>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</si>
  <si>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</si>
  <si>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</si>
  <si>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</si>
  <si>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</si>
  <si>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</si>
  <si>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</si>
  <si>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</si>
  <si>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</si>
  <si>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</si>
  <si>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</si>
  <si>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</si>
  <si>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</si>
  <si>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</si>
  <si>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</si>
  <si>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</si>
  <si>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</si>
  <si>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</si>
  <si>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</si>
  <si>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</si>
  <si>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</si>
  <si>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</si>
  <si>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</si>
  <si>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</si>
  <si>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</si>
  <si>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</si>
  <si>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</si>
  <si>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</si>
  <si>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</si>
  <si>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</si>
  <si>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</si>
  <si>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</si>
  <si>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</si>
  <si>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</si>
  <si>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</si>
  <si>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</si>
  <si>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</si>
  <si>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</si>
  <si>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</si>
  <si>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</si>
  <si>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</si>
  <si>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</si>
  <si>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</si>
  <si>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</si>
  <si>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</si>
  <si>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</si>
  <si>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</si>
  <si>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</si>
  <si>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</si>
  <si>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</si>
  <si>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</si>
  <si>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</si>
  <si>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</si>
  <si>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</si>
  <si>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</si>
  <si>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</si>
  <si>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</si>
  <si>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</si>
  <si>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</si>
  <si>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</si>
  <si>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</si>
  <si>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</si>
  <si>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</si>
  <si>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</si>
  <si>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</si>
  <si>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</si>
  <si>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</si>
  <si>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</si>
  <si>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</si>
  <si>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</si>
  <si>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</si>
  <si>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</si>
  <si>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</si>
  <si>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</si>
  <si>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</si>
  <si>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</si>
  <si>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</si>
  <si>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</si>
  <si>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</si>
  <si>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</si>
  <si>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</si>
  <si>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</si>
  <si>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</si>
  <si>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</si>
  <si>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</si>
  <si>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</si>
  <si>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</si>
  <si>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</si>
  <si>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</si>
  <si>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</si>
  <si>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</si>
  <si>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</si>
  <si>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</si>
  <si>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</si>
  <si>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</si>
  <si>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</si>
  <si>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</si>
  <si>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</si>
  <si>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</si>
  <si>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</si>
  <si>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</si>
  <si>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</si>
  <si>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</si>
  <si>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</si>
  <si>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</si>
  <si>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</si>
  <si>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</si>
  <si>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</si>
  <si>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</si>
  <si>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</si>
  <si>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</si>
  <si>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</si>
  <si>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</si>
  <si>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</si>
  <si>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</si>
  <si>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</si>
  <si>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</si>
  <si>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</si>
  <si>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</si>
  <si>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</si>
  <si>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</si>
  <si>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</si>
  <si>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</si>
  <si>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</si>
  <si>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</si>
  <si>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</si>
  <si>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</si>
  <si>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</si>
  <si>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</si>
  <si>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</si>
  <si>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</si>
  <si>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</si>
  <si>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</si>
  <si>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</si>
  <si>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</si>
  <si>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</si>
  <si>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</si>
  <si>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</si>
  <si>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</si>
  <si>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</si>
  <si>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</si>
  <si>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</si>
  <si>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</si>
  <si>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</si>
  <si>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</si>
  <si>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</si>
  <si>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</si>
  <si>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</si>
  <si>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</si>
  <si>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</si>
  <si>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</si>
  <si>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</si>
  <si>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</si>
  <si>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</si>
  <si>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</si>
  <si>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</si>
  <si>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</si>
  <si>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</si>
  <si>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</si>
  <si>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</si>
  <si>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</si>
  <si>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</si>
  <si>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</si>
  <si>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</si>
  <si>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</si>
  <si>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</si>
  <si>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</si>
  <si>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</si>
  <si>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</si>
  <si>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</si>
  <si>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</si>
  <si>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</si>
  <si>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</si>
  <si>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</si>
  <si>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</si>
  <si>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</si>
  <si>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</si>
  <si>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</si>
  <si>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</si>
  <si>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</si>
  <si>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</si>
  <si>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</si>
  <si>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</si>
  <si>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</si>
  <si>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</si>
  <si>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</si>
  <si>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</si>
  <si>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</si>
  <si>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</si>
  <si>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</si>
  <si>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</si>
  <si>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</si>
  <si>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</si>
  <si>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</si>
  <si>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</si>
  <si>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</si>
  <si>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</si>
  <si>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</si>
  <si>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</si>
  <si>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</si>
  <si>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</si>
  <si>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</si>
  <si>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</si>
  <si>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</si>
  <si>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</si>
  <si>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</si>
  <si>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</si>
  <si>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</si>
  <si>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</si>
  <si>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</si>
  <si>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</si>
  <si>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</si>
  <si>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</si>
  <si>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</si>
  <si>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</si>
  <si>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</si>
  <si>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</si>
  <si>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</si>
  <si>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</si>
  <si>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</si>
  <si>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</si>
  <si>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</si>
  <si>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</si>
  <si>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</si>
  <si>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</si>
  <si>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</si>
  <si>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</si>
  <si>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</si>
  <si>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</si>
  <si>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</si>
  <si>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</si>
  <si>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</si>
  <si>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</si>
  <si>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</si>
  <si>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</si>
  <si>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</si>
  <si>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</si>
  <si>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</si>
  <si>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</si>
  <si>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</si>
  <si>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</si>
  <si>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</si>
  <si>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</si>
  <si>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</si>
  <si>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</si>
  <si>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</si>
  <si>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</si>
  <si>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</si>
  <si>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</si>
  <si>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</si>
  <si>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</si>
  <si>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</si>
  <si>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</si>
  <si>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</si>
  <si>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</si>
  <si>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</si>
  <si>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</si>
  <si>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</si>
  <si>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</si>
  <si>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</si>
  <si>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</si>
  <si>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</si>
  <si>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</si>
  <si>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</si>
  <si>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</si>
  <si>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</si>
  <si>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</si>
  <si>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</si>
  <si>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</si>
  <si>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</si>
  <si>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</si>
  <si>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</si>
  <si>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</si>
  <si>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</si>
  <si>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</si>
  <si>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</si>
  <si>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</si>
  <si>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</si>
  <si>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</si>
  <si>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</si>
  <si>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</si>
  <si>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</si>
  <si>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</si>
  <si>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</si>
  <si>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</si>
  <si>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</si>
  <si>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</si>
  <si>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</si>
  <si>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</si>
  <si>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</si>
  <si>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</si>
  <si>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</si>
  <si>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</si>
  <si>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</si>
  <si>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</si>
  <si>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</si>
  <si>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</si>
  <si>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</si>
  <si>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</si>
  <si>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</si>
  <si>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</si>
  <si>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</si>
  <si>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</si>
  <si>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</si>
  <si>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</si>
  <si>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</si>
  <si>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</si>
  <si>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</si>
  <si>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</si>
  <si>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</si>
  <si>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</si>
  <si>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</si>
  <si>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</si>
  <si>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</si>
  <si>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</si>
  <si>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</si>
  <si>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</si>
  <si>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</si>
  <si>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</si>
  <si>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</si>
  <si>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</si>
  <si>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</si>
  <si>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</si>
  <si>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</si>
  <si>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</si>
  <si>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</si>
  <si>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</si>
  <si>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</si>
  <si>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</si>
  <si>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</si>
  <si>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</si>
  <si>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</si>
  <si>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</si>
  <si>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</si>
  <si>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</si>
  <si>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</si>
  <si>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</si>
  <si>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</si>
  <si>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</si>
  <si>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</si>
  <si>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</si>
  <si>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</si>
  <si>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</si>
  <si>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</si>
  <si>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</si>
  <si>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</si>
  <si>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</si>
  <si>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</si>
  <si>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</si>
  <si>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</si>
  <si>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</si>
  <si>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</si>
  <si>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</si>
  <si>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</si>
  <si>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</si>
  <si>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</si>
  <si>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</si>
  <si>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</si>
  <si>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</si>
  <si>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</si>
  <si>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</si>
  <si>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</si>
  <si>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</si>
  <si>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</si>
  <si>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</si>
  <si>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</si>
  <si>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</si>
  <si>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</si>
  <si>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</si>
  <si>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</si>
  <si>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</si>
  <si>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</si>
  <si>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</si>
  <si>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</si>
  <si>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</si>
  <si>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</si>
  <si>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</si>
  <si>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</si>
  <si>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</si>
  <si>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</si>
  <si>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</si>
  <si>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</si>
  <si>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</si>
  <si>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</si>
  <si>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</si>
  <si>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</si>
  <si>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</si>
  <si>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</si>
  <si>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</si>
  <si>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</si>
  <si>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</si>
  <si>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</si>
  <si>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</si>
  <si>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</si>
  <si>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</si>
  <si>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</si>
  <si>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</si>
  <si>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</si>
  <si>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</si>
  <si>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</si>
  <si>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</si>
  <si>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</si>
  <si>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</si>
  <si>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</si>
  <si>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</si>
  <si>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</si>
  <si>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</si>
  <si>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</si>
  <si>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</si>
  <si>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</si>
  <si>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</si>
  <si>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</si>
  <si>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</si>
  <si>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</si>
  <si>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</si>
  <si>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</si>
  <si>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</si>
  <si>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</si>
  <si>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</si>
  <si>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</si>
  <si>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</si>
  <si>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</si>
  <si>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</si>
  <si>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</si>
  <si>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</si>
  <si>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</si>
  <si>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</si>
  <si>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</si>
  <si>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</si>
  <si>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</si>
  <si>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</si>
  <si>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</si>
  <si>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</si>
  <si>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</si>
  <si>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</si>
  <si>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</si>
  <si>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</si>
  <si>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</si>
  <si>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</si>
  <si>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</si>
  <si>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</si>
  <si>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</si>
  <si>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</si>
  <si>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</si>
  <si>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</si>
  <si>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</si>
  <si>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</si>
  <si>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</si>
  <si>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</si>
  <si>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</si>
  <si>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</si>
  <si>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</si>
  <si>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</si>
  <si>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</si>
  <si>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</si>
  <si>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</si>
  <si>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</si>
  <si>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</si>
  <si>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</si>
  <si>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</si>
  <si>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</si>
  <si>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</si>
  <si>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</si>
  <si>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</si>
  <si>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</si>
  <si>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</si>
  <si>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</si>
  <si>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</si>
  <si>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</si>
  <si>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</si>
  <si>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</si>
  <si>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</si>
  <si>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</si>
  <si>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</si>
  <si>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</si>
  <si>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</si>
  <si>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</si>
  <si>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</si>
  <si>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</si>
  <si>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</si>
  <si>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</si>
  <si>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</si>
  <si>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</si>
  <si>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</si>
  <si>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</si>
  <si>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</si>
  <si>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</si>
  <si>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</si>
  <si>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</si>
  <si>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</si>
  <si>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</si>
  <si>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</si>
  <si>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</si>
  <si>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</si>
  <si>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</si>
  <si>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</si>
  <si>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</si>
  <si>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</si>
  <si>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</si>
  <si>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</si>
  <si>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</si>
  <si>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</si>
  <si>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</si>
  <si>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</si>
  <si>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</si>
  <si>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</si>
  <si>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</si>
  <si>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</si>
  <si>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</si>
  <si>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</si>
  <si>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</si>
  <si>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</si>
  <si>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</si>
  <si>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</si>
  <si>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</si>
  <si>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</si>
  <si>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</si>
  <si>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</si>
  <si>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</si>
  <si>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</si>
  <si>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</si>
  <si>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</si>
  <si>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</si>
  <si>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</si>
  <si>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</si>
  <si>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</si>
  <si>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</si>
  <si>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</si>
  <si>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</si>
  <si>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</si>
  <si>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</si>
  <si>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</si>
  <si>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</si>
  <si>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</si>
  <si>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</si>
  <si>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</si>
  <si>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</si>
  <si>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</si>
  <si>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</si>
  <si>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</si>
  <si>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</si>
  <si>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</si>
  <si>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</si>
  <si>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</si>
  <si>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</si>
  <si>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</si>
  <si>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</si>
  <si>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</si>
  <si>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</si>
  <si>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</si>
  <si>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</si>
  <si>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</si>
  <si>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</si>
  <si>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</si>
  <si>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</si>
  <si>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</si>
  <si>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</si>
  <si>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</si>
  <si>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</si>
  <si>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</si>
  <si>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</si>
  <si>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</si>
  <si>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</si>
  <si>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</si>
  <si>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</si>
  <si>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</si>
  <si>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</si>
  <si>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</si>
  <si>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</si>
  <si>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</si>
  <si>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</si>
  <si>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</si>
  <si>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</si>
  <si>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</si>
  <si>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</si>
  <si>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</si>
  <si>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</si>
  <si>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</si>
  <si>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</si>
  <si>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</si>
  <si>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</si>
  <si>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</si>
  <si>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</si>
  <si>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</si>
  <si>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</si>
  <si>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</si>
  <si>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</si>
  <si>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</si>
  <si>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</si>
  <si>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</si>
  <si>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</si>
  <si>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</si>
  <si>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</si>
  <si>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</si>
  <si>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</si>
  <si>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</si>
  <si>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</si>
  <si>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</si>
  <si>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</si>
  <si>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</si>
  <si>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</si>
  <si>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</si>
  <si>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</si>
  <si>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</si>
  <si>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</si>
  <si>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</si>
  <si>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</si>
  <si>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</si>
  <si>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</si>
  <si>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</si>
  <si>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</si>
  <si>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</si>
  <si>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</si>
  <si>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</si>
  <si>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</si>
  <si>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</si>
  <si>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</si>
  <si>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</si>
  <si>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</si>
  <si>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</si>
  <si>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</si>
  <si>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</si>
  <si>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</si>
  <si>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</si>
  <si>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</si>
  <si>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</si>
  <si>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</si>
  <si>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</si>
  <si>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</si>
  <si>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</si>
  <si>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</si>
  <si>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</si>
  <si>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</si>
  <si>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</si>
  <si>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</si>
  <si>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</si>
  <si>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</si>
  <si>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</si>
  <si>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</si>
  <si>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</si>
  <si>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</si>
  <si>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</si>
  <si>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</si>
  <si>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</si>
  <si>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</si>
  <si>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</si>
  <si>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</si>
  <si>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</si>
  <si>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</si>
  <si>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</si>
  <si>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</si>
  <si>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</si>
  <si>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</si>
  <si>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</si>
  <si>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</si>
  <si>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</si>
  <si>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</si>
  <si>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</si>
  <si>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</si>
  <si>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</si>
  <si>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</si>
  <si>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</si>
  <si>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</si>
  <si>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</si>
  <si>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</si>
  <si>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</si>
  <si>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</si>
  <si>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</si>
  <si>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</si>
  <si>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</si>
  <si>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</si>
  <si>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</si>
  <si>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</si>
  <si>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</si>
  <si>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</si>
  <si>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</si>
  <si>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</si>
  <si>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</si>
  <si>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</si>
  <si>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</si>
  <si>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</si>
  <si>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</si>
  <si>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</si>
  <si>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</si>
  <si>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</si>
  <si>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</si>
  <si>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</si>
  <si>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</si>
  <si>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</si>
  <si>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</si>
  <si>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</si>
  <si>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</si>
  <si>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</si>
  <si>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</si>
  <si>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</si>
  <si>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</si>
  <si>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</si>
  <si>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</si>
  <si>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</si>
  <si>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</si>
  <si>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</si>
  <si>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</si>
  <si>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</si>
  <si>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</si>
  <si>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</si>
  <si>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</si>
  <si>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</si>
  <si>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</si>
  <si>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</si>
  <si>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</si>
  <si>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</si>
  <si>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</si>
  <si>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</si>
  <si>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</si>
  <si>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</si>
  <si>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</si>
  <si>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</si>
  <si>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</si>
  <si>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</si>
  <si>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</si>
  <si>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</si>
  <si>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</si>
  <si>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</si>
  <si>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</si>
  <si>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</si>
  <si>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</si>
  <si>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</si>
  <si>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</si>
  <si>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</si>
  <si>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</si>
  <si>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</si>
  <si>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</si>
  <si>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</si>
  <si>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</si>
  <si>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</si>
  <si>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</si>
  <si>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</si>
  <si>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</si>
  <si>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</si>
  <si>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</si>
  <si>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</si>
  <si>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</si>
  <si>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</si>
  <si>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</si>
  <si>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</si>
  <si>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</si>
  <si>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</si>
  <si>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</si>
  <si>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</si>
  <si>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</si>
  <si>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</si>
  <si>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</si>
  <si>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</si>
  <si>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</si>
  <si>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</si>
  <si>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</si>
  <si>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</si>
  <si>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</si>
  <si>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</si>
  <si>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</si>
  <si>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</si>
  <si>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</si>
  <si>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</si>
  <si>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</si>
  <si>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</si>
  <si>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</si>
  <si>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</si>
  <si>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</si>
  <si>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</si>
  <si>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</si>
  <si>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</si>
  <si>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</si>
  <si>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</si>
  <si>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</si>
  <si>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</si>
  <si>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</si>
  <si>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</si>
  <si>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</si>
  <si>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</si>
  <si>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</si>
  <si>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</si>
  <si>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</si>
  <si>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</si>
  <si>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</si>
  <si>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</si>
  <si>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</si>
  <si>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</si>
  <si>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</si>
  <si>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</si>
  <si>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</si>
  <si>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</si>
  <si>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</si>
  <si>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</si>
  <si>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</si>
  <si>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</si>
  <si>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</si>
  <si>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</si>
  <si>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</si>
  <si>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</si>
  <si>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</si>
  <si>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</si>
  <si>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</si>
  <si>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</si>
  <si>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</si>
  <si>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</si>
  <si>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</si>
  <si>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</si>
  <si>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</si>
  <si>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</si>
  <si>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</si>
  <si>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</si>
  <si>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</si>
  <si>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</si>
  <si>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</si>
  <si>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</si>
  <si>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</si>
  <si>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</si>
  <si>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</si>
  <si>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</si>
  <si>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</si>
  <si>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</si>
  <si>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</si>
  <si>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</si>
  <si>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</si>
  <si>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</si>
  <si>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</si>
  <si>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</si>
  <si>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</si>
  <si>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</si>
  <si>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</si>
  <si>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</si>
  <si>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</si>
  <si>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</si>
  <si>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</si>
  <si>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</si>
  <si>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</si>
  <si>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</si>
  <si>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</si>
  <si>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</si>
  <si>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</si>
  <si>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</si>
  <si>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</si>
  <si>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</si>
  <si>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</si>
  <si>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</si>
  <si>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</si>
  <si>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</si>
  <si>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</si>
  <si>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</si>
  <si>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</si>
  <si>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</si>
  <si>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</si>
  <si>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</si>
  <si>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</si>
  <si>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</si>
  <si>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</si>
  <si>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</si>
  <si>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</si>
  <si>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</si>
  <si>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</si>
  <si>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</si>
  <si>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</si>
  <si>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</si>
  <si>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</si>
  <si>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</si>
  <si>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</si>
  <si>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</si>
  <si>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</si>
  <si>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</si>
  <si>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</si>
  <si>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</si>
  <si>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</si>
  <si>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</si>
  <si>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</si>
  <si>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</si>
  <si>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</si>
  <si>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</si>
  <si>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</si>
  <si>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</si>
  <si>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</si>
  <si>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</si>
  <si>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</si>
  <si>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</si>
  <si>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</si>
  <si>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</si>
  <si>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</si>
  <si>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</si>
  <si>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</si>
  <si>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</si>
  <si>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</si>
  <si>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</si>
  <si>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</si>
  <si>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</si>
  <si>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</si>
  <si>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</si>
  <si>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</si>
  <si>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</si>
  <si>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</si>
  <si>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</si>
  <si>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</si>
  <si>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</si>
  <si>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</si>
  <si>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</si>
  <si>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</si>
  <si>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</si>
  <si>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</si>
  <si>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</si>
  <si>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</si>
  <si>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</si>
  <si>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</si>
  <si>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</si>
  <si>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</si>
  <si>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</si>
  <si>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</si>
  <si>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</si>
  <si>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</si>
  <si>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</si>
  <si>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</si>
  <si>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</si>
  <si>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</si>
  <si>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</si>
  <si>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</si>
  <si>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</si>
  <si>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</si>
  <si>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</si>
  <si>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</si>
  <si>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</si>
  <si>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</si>
  <si>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</si>
  <si>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</si>
  <si>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</si>
  <si>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</si>
  <si>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</si>
  <si>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</si>
  <si>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</si>
  <si>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</si>
  <si>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</si>
  <si>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</si>
  <si>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</si>
  <si>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</si>
  <si>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</si>
  <si>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</si>
  <si>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</si>
  <si>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</si>
  <si>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</si>
  <si>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</si>
  <si>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</si>
  <si>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</si>
  <si>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</si>
  <si>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</si>
  <si>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</si>
  <si>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</si>
  <si>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</si>
  <si>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</si>
  <si>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</si>
  <si>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</si>
  <si>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</si>
  <si>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</si>
  <si>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</si>
  <si>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</si>
  <si>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</si>
  <si>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</si>
  <si>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</si>
  <si>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</si>
  <si>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</si>
  <si>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</si>
  <si>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</si>
  <si>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</si>
  <si>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</si>
  <si>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</si>
  <si>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</si>
  <si>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</si>
  <si>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</si>
  <si>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</si>
  <si>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</si>
  <si>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</si>
  <si>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</si>
  <si>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</si>
  <si>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</si>
  <si>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</si>
  <si>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</si>
  <si>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</si>
  <si>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</si>
  <si>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</si>
  <si>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</si>
  <si>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</si>
  <si>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</si>
  <si>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</si>
  <si>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</si>
  <si>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</si>
  <si>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</si>
  <si>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</si>
  <si>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</si>
  <si>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</si>
  <si>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</si>
  <si>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</si>
  <si>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</si>
  <si>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</si>
  <si>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</si>
  <si>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</si>
  <si>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</si>
  <si>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</si>
  <si>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</si>
  <si>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</si>
  <si>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</si>
  <si>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</si>
  <si>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</si>
  <si>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</si>
  <si>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</si>
  <si>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</si>
  <si>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</si>
  <si>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</si>
  <si>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</si>
  <si>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</si>
  <si>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</si>
  <si>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</si>
  <si>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</si>
  <si>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</si>
  <si>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</si>
  <si>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</si>
  <si>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</si>
  <si>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</si>
  <si>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</si>
  <si>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</si>
  <si>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</si>
  <si>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</si>
  <si>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</si>
  <si>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</si>
  <si>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</si>
  <si>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</si>
  <si>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</si>
  <si>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</si>
  <si>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</si>
  <si>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</si>
  <si>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</si>
  <si>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</si>
  <si>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</si>
  <si>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</si>
  <si>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</si>
  <si>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</si>
  <si>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</si>
  <si>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</si>
  <si>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</si>
  <si>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</si>
  <si>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</si>
  <si>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</si>
  <si>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</si>
  <si>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</si>
  <si>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</si>
  <si>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</si>
  <si>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</si>
  <si>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</si>
  <si>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</si>
  <si>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</si>
  <si>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</si>
  <si>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</si>
  <si>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</si>
  <si>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</si>
  <si>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</si>
  <si>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</si>
  <si>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</si>
  <si>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</si>
  <si>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</si>
  <si>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</si>
  <si>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</si>
  <si>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</si>
  <si>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</si>
  <si>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</si>
  <si>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</si>
  <si>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</si>
  <si>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</si>
  <si>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</si>
  <si>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</si>
  <si>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</si>
  <si>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</si>
  <si>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</si>
  <si>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</si>
  <si>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</si>
  <si>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</si>
  <si>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</si>
  <si>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</si>
  <si>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</si>
  <si>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</si>
  <si>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</si>
  <si>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</si>
  <si>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</si>
  <si>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</si>
  <si>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</si>
  <si>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</si>
  <si>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</si>
  <si>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</si>
  <si>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</si>
  <si>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</si>
  <si>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</si>
  <si>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</si>
  <si>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</si>
  <si>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</si>
  <si>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</si>
  <si>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</si>
  <si>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</si>
  <si>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</si>
  <si>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</si>
  <si>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</si>
  <si>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</si>
  <si>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</si>
  <si>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</si>
  <si>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</si>
  <si>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</si>
  <si>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</si>
  <si>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</si>
  <si>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</si>
  <si>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</si>
  <si>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</si>
  <si>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</si>
  <si>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</si>
  <si>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</si>
  <si>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</si>
  <si>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</si>
  <si>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</si>
  <si>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</si>
  <si>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</si>
  <si>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</si>
  <si>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</si>
  <si>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</si>
  <si>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</si>
  <si>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</si>
  <si>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</si>
  <si>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</si>
  <si>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</si>
  <si>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</si>
  <si>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</si>
  <si>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</si>
  <si>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</si>
  <si>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</si>
  <si>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</si>
  <si>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</si>
  <si>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</si>
  <si>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</si>
  <si>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</si>
  <si>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</si>
  <si>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</si>
  <si>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</si>
  <si>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</si>
  <si>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</si>
  <si>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</si>
  <si>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</si>
  <si>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</si>
  <si>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</si>
  <si>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</si>
  <si>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</si>
  <si>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</si>
  <si>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</si>
  <si>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</si>
  <si>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</si>
  <si>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</si>
  <si>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</si>
  <si>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</si>
  <si>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</si>
  <si>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</si>
  <si>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</si>
  <si>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</si>
  <si>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</si>
  <si>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</si>
  <si>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</si>
  <si>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</si>
  <si>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</si>
  <si>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</si>
  <si>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</si>
  <si>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</si>
  <si>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</si>
  <si>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</si>
  <si>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</si>
  <si>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</si>
  <si>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</si>
  <si>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</si>
  <si>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</si>
  <si>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</si>
  <si>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</si>
  <si>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</si>
  <si>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</si>
  <si>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</si>
  <si>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</si>
  <si>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</si>
  <si>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</si>
  <si>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</si>
  <si>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</si>
  <si>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</si>
  <si>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</si>
  <si>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</si>
  <si>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</si>
  <si>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</si>
  <si>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</si>
  <si>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</si>
  <si>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</si>
  <si>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</si>
  <si>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</si>
  <si>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</si>
  <si>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</si>
  <si>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</si>
  <si>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</si>
  <si>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</si>
  <si>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</si>
  <si>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</si>
  <si>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</si>
  <si>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</si>
  <si>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</si>
  <si>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</si>
  <si>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</si>
  <si>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</si>
  <si>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</si>
  <si>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</si>
  <si>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</si>
  <si>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</si>
  <si>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</si>
  <si>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</si>
  <si>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</si>
  <si>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</si>
  <si>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</si>
  <si>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</si>
  <si>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</si>
  <si>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</si>
  <si>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</si>
  <si>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</si>
  <si>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</si>
  <si>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</si>
  <si>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</si>
  <si>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</si>
  <si>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</si>
  <si>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</si>
  <si>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</si>
  <si>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</si>
  <si>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</si>
  <si>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</si>
  <si>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</si>
  <si>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</si>
  <si>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</si>
  <si>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</si>
  <si>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</si>
  <si>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</si>
  <si>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</si>
  <si>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</si>
  <si>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</si>
  <si>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</si>
  <si>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</si>
  <si>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</si>
  <si>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</si>
  <si>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</si>
  <si>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</si>
  <si>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</si>
  <si>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</si>
  <si>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</si>
  <si>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</si>
  <si>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</si>
  <si>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</si>
  <si>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</si>
  <si>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</si>
  <si>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</si>
  <si>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</si>
  <si>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</si>
  <si>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</si>
  <si>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</si>
  <si>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</si>
  <si>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</si>
  <si>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</si>
  <si>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</si>
  <si>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</si>
  <si>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</si>
  <si>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</si>
  <si>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</si>
  <si>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</si>
  <si>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</si>
  <si>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</si>
  <si>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</si>
  <si>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</si>
  <si>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</si>
  <si>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</si>
  <si>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</si>
  <si>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</si>
  <si>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</si>
  <si>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</si>
  <si>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</si>
  <si>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</si>
  <si>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</si>
  <si>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</si>
  <si>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</si>
  <si>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</si>
  <si>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</si>
  <si>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</si>
  <si>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</si>
  <si>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</si>
  <si>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</si>
  <si>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</si>
  <si>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</si>
  <si>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</si>
  <si>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</si>
  <si>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</si>
  <si>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</si>
  <si>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</si>
  <si>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</si>
  <si>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</si>
  <si>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</si>
  <si>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</si>
  <si>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</si>
  <si>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</si>
  <si>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</si>
  <si>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</si>
  <si>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</si>
  <si>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</si>
  <si>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</si>
  <si>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</si>
  <si>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</si>
  <si>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</si>
  <si>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</si>
  <si>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</si>
  <si>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</si>
  <si>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</si>
  <si>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</si>
  <si>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</si>
  <si>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</si>
  <si>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</si>
  <si>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</si>
  <si>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</si>
  <si>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</si>
  <si>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</si>
  <si>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</si>
  <si>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</si>
  <si>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</si>
  <si>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</si>
  <si>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</si>
  <si>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</si>
  <si>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</si>
  <si>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</si>
  <si>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</si>
  <si>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</si>
  <si>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</si>
  <si>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</si>
  <si>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</si>
  <si>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</si>
  <si>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</si>
  <si>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</si>
  <si>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</si>
  <si>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</si>
  <si>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</si>
  <si>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</si>
  <si>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</si>
  <si>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</si>
  <si>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</si>
  <si>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</si>
  <si>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</si>
  <si>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</si>
  <si>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</si>
  <si>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</si>
  <si>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</si>
  <si>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</si>
  <si>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</si>
  <si>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</si>
  <si>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</si>
  <si>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</si>
  <si>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</si>
  <si>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</si>
  <si>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</si>
  <si>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</si>
  <si>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</si>
  <si>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</si>
  <si>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</si>
  <si>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</si>
  <si>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</si>
  <si>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</si>
  <si>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</si>
  <si>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</si>
  <si>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</si>
  <si>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</si>
  <si>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</si>
  <si>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</si>
  <si>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</si>
  <si>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</si>
  <si>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</si>
  <si>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</si>
  <si>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</si>
  <si>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</si>
  <si>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</si>
  <si>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</si>
  <si>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</si>
  <si>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</si>
  <si>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</si>
  <si>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</si>
  <si>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</si>
  <si>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</si>
  <si>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</si>
  <si>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</si>
  <si>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</si>
  <si>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</si>
  <si>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</si>
  <si>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</si>
  <si>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</si>
  <si>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</si>
  <si>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</si>
  <si>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</si>
  <si>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</si>
  <si>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</si>
  <si>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</si>
  <si>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</si>
  <si>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</si>
  <si>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</si>
  <si>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</si>
  <si>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</si>
  <si>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</si>
  <si>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</si>
  <si>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</si>
  <si>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</si>
  <si>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</si>
  <si>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</si>
  <si>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</si>
  <si>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</si>
  <si>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</si>
  <si>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</si>
  <si>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</si>
  <si>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</si>
  <si>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</si>
  <si>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</si>
  <si>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</si>
  <si>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</si>
  <si>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</si>
  <si>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</si>
  <si>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</si>
  <si>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</si>
  <si>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</si>
  <si>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</si>
  <si>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</si>
  <si>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</si>
  <si>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</si>
  <si>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</si>
  <si>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</si>
  <si>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</si>
  <si>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</si>
  <si>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</si>
  <si>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</si>
  <si>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</si>
  <si>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</si>
  <si>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</si>
  <si>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</si>
  <si>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</si>
  <si>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</si>
  <si>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</si>
  <si>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</si>
  <si>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</si>
  <si>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</si>
  <si>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</si>
  <si>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</si>
  <si>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</si>
  <si>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</si>
  <si>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</si>
  <si>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</si>
  <si>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</si>
  <si>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</si>
  <si>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</si>
  <si>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</si>
  <si>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</si>
  <si>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</si>
  <si>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</si>
  <si>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</si>
  <si>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</si>
  <si>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</si>
  <si>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</si>
  <si>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</si>
  <si>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</si>
  <si>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</si>
  <si>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</si>
  <si>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</si>
  <si>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</si>
  <si>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</si>
  <si>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</si>
  <si>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</si>
  <si>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</si>
  <si>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</si>
  <si>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</si>
  <si>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</si>
  <si>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</si>
  <si>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</si>
  <si>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</si>
  <si>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</si>
  <si>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</si>
  <si>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</si>
  <si>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</si>
  <si>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</si>
  <si>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</si>
  <si>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</si>
  <si>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</si>
  <si>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</si>
  <si>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</si>
  <si>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</si>
  <si>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</si>
  <si>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</si>
  <si>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</si>
  <si>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</si>
  <si>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</si>
  <si>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</si>
  <si>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</si>
  <si>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</si>
  <si>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</si>
  <si>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</si>
  <si>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</si>
  <si>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</si>
  <si>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</si>
  <si>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</si>
  <si>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</si>
  <si>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</si>
  <si>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</si>
  <si>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</si>
  <si>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</si>
  <si>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</si>
  <si>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</si>
  <si>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</si>
  <si>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</si>
  <si>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</si>
  <si>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</si>
  <si>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</si>
  <si>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</si>
  <si>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</si>
  <si>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</si>
  <si>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</si>
  <si>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</si>
  <si>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</si>
  <si>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</si>
  <si>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</si>
  <si>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</si>
  <si>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</si>
  <si>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</si>
  <si>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</si>
  <si>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</si>
  <si>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</si>
  <si>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</si>
  <si>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</si>
  <si>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</si>
  <si>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</si>
  <si>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</si>
  <si>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</si>
  <si>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</si>
  <si>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</si>
  <si>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</si>
  <si>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</si>
  <si>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</si>
  <si>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</si>
  <si>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</si>
  <si>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</si>
  <si>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</si>
  <si>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</si>
  <si>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</si>
  <si>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</si>
  <si>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</si>
  <si>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</si>
  <si>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</si>
  <si>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</si>
  <si>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</si>
  <si>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</si>
  <si>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</si>
  <si>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</si>
  <si>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</si>
  <si>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</si>
  <si>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</si>
  <si>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</si>
  <si>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</si>
  <si>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</si>
  <si>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</si>
  <si>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</si>
  <si>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</si>
  <si>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</si>
  <si>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</si>
  <si>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</si>
  <si>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</si>
  <si>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</si>
  <si>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</si>
  <si>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</si>
  <si>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</si>
  <si>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</si>
  <si>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</si>
  <si>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</si>
  <si>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</si>
  <si>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</si>
  <si>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</si>
  <si>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</si>
  <si>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</si>
  <si>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</si>
  <si>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</si>
  <si>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</si>
  <si>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</si>
  <si>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</si>
  <si>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</si>
  <si>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</si>
  <si>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</si>
  <si>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</si>
  <si>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</si>
  <si>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</si>
  <si>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</si>
  <si>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</si>
  <si>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</si>
  <si>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</si>
  <si>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</si>
  <si>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</si>
  <si>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</si>
  <si>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</si>
  <si>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</si>
  <si>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</si>
  <si>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</si>
  <si>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</si>
  <si>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</si>
  <si>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</si>
  <si>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</si>
  <si>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</si>
  <si>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</si>
  <si>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</si>
  <si>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</si>
  <si>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</si>
  <si>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</si>
  <si>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</si>
  <si>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</si>
  <si>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</si>
  <si>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</si>
  <si>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</si>
  <si>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</si>
  <si>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</si>
  <si>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</si>
  <si>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</si>
  <si>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</si>
  <si>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</si>
  <si>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</si>
  <si>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</si>
  <si>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</si>
  <si>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</si>
  <si>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</si>
  <si>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</si>
  <si>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</si>
  <si>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</si>
  <si>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</si>
  <si>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</si>
  <si>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</si>
  <si>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</si>
  <si>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</si>
  <si>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</si>
  <si>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</si>
  <si>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</si>
  <si>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</si>
  <si>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</si>
  <si>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</si>
  <si>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</si>
  <si>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</si>
  <si>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</si>
  <si>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</si>
  <si>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</si>
  <si>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</si>
  <si>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</si>
  <si>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</si>
  <si>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</si>
  <si>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</si>
  <si>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</si>
  <si>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</si>
  <si>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</si>
  <si>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</si>
  <si>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</si>
  <si>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</si>
  <si>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</si>
  <si>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</si>
  <si>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</si>
  <si>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</si>
  <si>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</si>
  <si>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</si>
  <si>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</si>
  <si>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</si>
  <si>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</si>
  <si>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</si>
  <si>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</si>
  <si>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</si>
  <si>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</si>
  <si>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</si>
  <si>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</si>
  <si>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</si>
  <si>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</si>
  <si>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</si>
  <si>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</si>
  <si>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</si>
  <si>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</si>
  <si>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</si>
  <si>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</si>
  <si>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</si>
  <si>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</si>
  <si>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</si>
  <si>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</si>
  <si>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</si>
  <si>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</si>
  <si>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</si>
  <si>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</si>
  <si>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</si>
  <si>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</si>
  <si>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</si>
  <si>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</si>
  <si>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</si>
  <si>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</si>
  <si>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</si>
  <si>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</si>
  <si>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</si>
  <si>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</si>
  <si>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</si>
  <si>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</si>
  <si>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</si>
  <si>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</si>
  <si>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</si>
  <si>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</si>
  <si>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</si>
  <si>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</si>
  <si>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</si>
  <si>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</si>
  <si>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</si>
  <si>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</si>
  <si>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</si>
  <si>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</si>
  <si>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</si>
  <si>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</si>
  <si>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</si>
  <si>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</si>
  <si>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</si>
  <si>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</si>
  <si>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</si>
  <si>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</si>
  <si>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</si>
  <si>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</si>
  <si>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</si>
  <si>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</si>
  <si>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</si>
  <si>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</si>
  <si>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</si>
  <si>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</si>
  <si>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</si>
  <si>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</si>
  <si>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</si>
  <si>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</si>
  <si>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</si>
  <si>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</si>
  <si>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</si>
  <si>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</si>
  <si>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</si>
  <si>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</si>
  <si>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</si>
  <si>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</si>
  <si>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</si>
  <si>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</si>
  <si>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</si>
  <si>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</si>
  <si>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</si>
  <si>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</si>
  <si>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</si>
  <si>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</si>
  <si>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</si>
  <si>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</si>
  <si>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</si>
  <si>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</si>
  <si>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</si>
  <si>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</si>
  <si>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</si>
  <si>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</si>
  <si>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</si>
  <si>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</si>
  <si>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</si>
  <si>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</si>
  <si>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</si>
  <si>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</si>
  <si>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</si>
  <si>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</si>
  <si>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</si>
  <si>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</si>
  <si>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</si>
  <si>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</si>
  <si>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</si>
  <si>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</si>
  <si>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</si>
  <si>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</si>
  <si>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</si>
  <si>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</si>
  <si>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</si>
  <si>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</si>
  <si>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</si>
  <si>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</si>
  <si>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</si>
  <si>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</si>
  <si>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</si>
  <si>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</si>
  <si>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</si>
  <si>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</si>
  <si>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</si>
  <si>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</si>
  <si>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</si>
  <si>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</si>
  <si>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</si>
  <si>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</si>
  <si>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</si>
  <si>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</si>
  <si>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</si>
  <si>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</si>
  <si>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</si>
  <si>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</si>
  <si>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</si>
  <si>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</si>
  <si>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</si>
  <si>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</si>
  <si>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</si>
  <si>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</si>
  <si>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</si>
  <si>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</si>
  <si>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</si>
  <si>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</si>
  <si>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</si>
  <si>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</si>
  <si>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</si>
  <si>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</si>
  <si>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</si>
  <si>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</si>
  <si>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</si>
  <si>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</si>
  <si>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</si>
  <si>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</si>
  <si>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</si>
  <si>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</si>
  <si>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</si>
  <si>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</si>
  <si>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</si>
  <si>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</si>
  <si>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</si>
  <si>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</si>
  <si>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</si>
  <si>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</si>
  <si>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</si>
  <si>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</si>
  <si>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</si>
  <si>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</si>
  <si>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</si>
  <si>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</si>
  <si>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</si>
  <si>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</si>
  <si>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</si>
  <si>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</si>
  <si>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</si>
  <si>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</si>
  <si>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</si>
  <si>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</si>
  <si>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</si>
  <si>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</si>
  <si>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</si>
  <si>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</si>
  <si>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</si>
  <si>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</si>
  <si>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</si>
  <si>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</si>
  <si>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</si>
  <si>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</si>
  <si>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</si>
  <si>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</si>
  <si>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</si>
  <si>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</si>
  <si>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</si>
  <si>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</si>
  <si>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</si>
  <si>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</si>
  <si>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</si>
  <si>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</si>
  <si>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</si>
  <si>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</si>
  <si>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</si>
  <si>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</si>
  <si>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</si>
  <si>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</si>
  <si>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</si>
  <si>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</si>
  <si>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</si>
  <si>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</si>
  <si>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</si>
  <si>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</si>
  <si>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</si>
  <si>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</si>
  <si>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</si>
  <si>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</si>
  <si>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</si>
  <si>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</si>
  <si>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</si>
  <si>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</si>
  <si>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</si>
  <si>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</si>
  <si>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</si>
  <si>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</si>
  <si>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</si>
  <si>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</si>
  <si>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</si>
  <si>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</si>
  <si>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</si>
  <si>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</si>
  <si>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</si>
  <si>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</si>
  <si>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</si>
  <si>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</si>
  <si>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</si>
  <si>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</si>
  <si>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</si>
  <si>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</si>
  <si>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</si>
  <si>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</si>
  <si>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</si>
  <si>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</si>
  <si>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</si>
  <si>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</si>
  <si>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</si>
  <si>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</si>
  <si>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</si>
  <si>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</si>
  <si>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</si>
  <si>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</si>
  <si>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</si>
  <si>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</si>
  <si>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</si>
  <si>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</si>
  <si>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</si>
  <si>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</si>
  <si>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</si>
  <si>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</si>
  <si>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</si>
  <si>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</si>
  <si>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</si>
  <si>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</si>
  <si>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</si>
  <si>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</si>
  <si>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</si>
  <si>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</si>
  <si>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</si>
  <si>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</si>
  <si>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</si>
  <si>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</si>
  <si>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</si>
  <si>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</si>
  <si>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</si>
  <si>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</si>
  <si>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</si>
  <si>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</si>
  <si>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</si>
  <si>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</si>
  <si>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</si>
  <si>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</si>
  <si>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</si>
  <si>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</si>
  <si>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</si>
  <si>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</si>
  <si>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</si>
  <si>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</si>
  <si>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</si>
  <si>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</si>
  <si>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</si>
  <si>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</si>
  <si>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</si>
  <si>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</si>
  <si>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</si>
  <si>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</si>
  <si>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</si>
  <si>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</si>
  <si>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</si>
  <si>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</si>
  <si>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</si>
  <si>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</si>
  <si>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</si>
  <si>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</si>
  <si>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</si>
  <si>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</si>
  <si>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</si>
  <si>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</si>
  <si>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</si>
  <si>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</si>
  <si>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</si>
  <si>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</si>
  <si>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</si>
  <si>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</si>
  <si>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</si>
  <si>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</si>
  <si>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</si>
  <si>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</si>
  <si>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</si>
  <si>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</si>
  <si>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</si>
  <si>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</si>
  <si>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</si>
  <si>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</si>
  <si>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</si>
  <si>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</si>
  <si>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</si>
  <si>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</si>
  <si>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</si>
  <si>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</si>
  <si>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</si>
  <si>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</si>
  <si>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</si>
  <si>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</si>
  <si>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</si>
  <si>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</si>
  <si>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</si>
  <si>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</si>
  <si>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</si>
  <si>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</si>
  <si>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</si>
  <si>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</si>
  <si>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</si>
  <si>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</si>
  <si>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</si>
  <si>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</si>
  <si>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</si>
  <si>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</si>
  <si>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</si>
  <si>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</si>
  <si>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</si>
  <si>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</si>
  <si>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</si>
  <si>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</si>
  <si>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</si>
  <si>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</si>
  <si>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</si>
  <si>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</si>
  <si>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</si>
  <si>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</si>
  <si>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</si>
  <si>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</si>
  <si>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</si>
  <si>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</si>
  <si>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</si>
  <si>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</si>
  <si>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</si>
  <si>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</si>
  <si>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</si>
  <si>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</si>
  <si>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</si>
  <si>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</si>
  <si>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</si>
  <si>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</si>
  <si>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</si>
  <si>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</si>
  <si>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</si>
  <si>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</si>
  <si>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</si>
  <si>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</si>
  <si>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</si>
  <si>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</si>
  <si>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</si>
  <si>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</si>
  <si>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</si>
  <si>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</si>
  <si>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LVTDB21B7PD021629</t>
  </si>
  <si>
    <t>EXLXADV15AT</t>
  </si>
  <si>
    <t>TEXESTWU000005</t>
  </si>
  <si>
    <t>GRIS PHANTOM</t>
  </si>
  <si>
    <t>SQRE4T15CAPNE00204</t>
  </si>
  <si>
    <t>ELIANA DEL CARMEN GONZÁLEZ ARAYA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</si>
  <si>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</si>
  <si>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</si>
  <si>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</si>
  <si>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</si>
  <si>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</si>
  <si>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</si>
  <si>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</si>
  <si>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</si>
  <si>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</si>
  <si>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</si>
  <si>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</si>
  <si>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</si>
  <si>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</si>
  <si>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</si>
  <si>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</si>
  <si>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</si>
  <si>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</si>
  <si>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</si>
  <si>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</si>
  <si>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</si>
  <si>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</si>
  <si>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</si>
  <si>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</si>
  <si>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</si>
  <si>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</si>
  <si>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</si>
  <si>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</si>
  <si>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</si>
  <si>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</si>
  <si>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</si>
  <si>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</si>
  <si>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</si>
  <si>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</si>
  <si>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</si>
  <si>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</si>
  <si>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</si>
  <si>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</si>
  <si>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</si>
  <si>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</si>
  <si>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</si>
  <si>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</si>
  <si>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</si>
  <si>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</si>
  <si>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</si>
  <si>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</si>
  <si>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</si>
  <si>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</si>
  <si>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</si>
  <si>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</si>
  <si>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</si>
  <si>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</si>
  <si>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</si>
  <si>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</si>
  <si>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</si>
  <si>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</si>
  <si>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</si>
  <si>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</si>
  <si>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</si>
  <si>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</si>
  <si>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</si>
  <si>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</si>
  <si>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</si>
  <si>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</si>
  <si>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</si>
  <si>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</si>
  <si>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</si>
  <si>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</si>
  <si>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</si>
  <si>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</si>
  <si>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</si>
  <si>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</si>
  <si>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</si>
  <si>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</si>
  <si>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</si>
  <si>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</si>
  <si>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</si>
  <si>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</si>
  <si>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</si>
  <si>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</si>
  <si>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</si>
  <si>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</si>
  <si>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</si>
  <si>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</si>
  <si>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</si>
  <si>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</si>
  <si>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</si>
  <si>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</si>
  <si>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</si>
  <si>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</si>
  <si>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</si>
  <si>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</si>
  <si>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</si>
  <si>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</si>
  <si>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</si>
  <si>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</si>
  <si>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</si>
  <si>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</si>
  <si>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</si>
  <si>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</si>
  <si>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</si>
  <si>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</si>
  <si>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</si>
  <si>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</si>
  <si>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</si>
  <si>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</si>
  <si>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</si>
  <si>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</si>
  <si>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</si>
  <si>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</si>
  <si>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</si>
  <si>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</si>
  <si>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</si>
  <si>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</si>
  <si>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</si>
  <si>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</si>
  <si>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</si>
  <si>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</si>
  <si>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</si>
  <si>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</si>
  <si>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</si>
  <si>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</si>
  <si>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</si>
  <si>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</si>
  <si>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</si>
  <si>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</si>
  <si>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</si>
  <si>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</si>
  <si>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</si>
  <si>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</si>
  <si>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</si>
  <si>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</si>
  <si>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</si>
  <si>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</si>
  <si>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</si>
  <si>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</si>
  <si>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</si>
  <si>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</si>
  <si>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</si>
  <si>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</si>
  <si>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</si>
  <si>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</si>
  <si>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</si>
  <si>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</si>
  <si>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</si>
  <si>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</si>
  <si>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</si>
  <si>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</si>
  <si>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</si>
  <si>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</si>
  <si>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</si>
  <si>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</si>
  <si>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</si>
  <si>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</si>
  <si>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</si>
  <si>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</si>
  <si>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</si>
  <si>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</si>
  <si>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</si>
  <si>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</si>
  <si>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</si>
  <si>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</si>
  <si>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</si>
  <si>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</si>
  <si>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</si>
  <si>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</si>
  <si>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</si>
  <si>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</si>
  <si>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</si>
  <si>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</si>
  <si>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</si>
  <si>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</si>
  <si>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</si>
  <si>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</si>
  <si>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</si>
  <si>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</si>
  <si>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</si>
  <si>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</si>
  <si>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</si>
  <si>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</si>
  <si>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</si>
  <si>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</si>
  <si>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</si>
  <si>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</si>
  <si>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</si>
  <si>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</si>
  <si>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</si>
  <si>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</si>
  <si>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</si>
  <si>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</si>
  <si>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</si>
  <si>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</si>
  <si>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</si>
  <si>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</si>
  <si>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</si>
  <si>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</si>
  <si>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</si>
  <si>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</si>
  <si>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</si>
  <si>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</si>
  <si>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</si>
  <si>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</si>
  <si>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</si>
  <si>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</si>
  <si>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</si>
  <si>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</si>
  <si>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</si>
  <si>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</si>
  <si>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</si>
  <si>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</si>
  <si>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</si>
  <si>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</si>
  <si>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</si>
  <si>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</si>
  <si>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</si>
  <si>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</si>
  <si>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</si>
  <si>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</si>
  <si>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</si>
  <si>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</si>
  <si>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</si>
  <si>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</si>
  <si>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</si>
  <si>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</si>
  <si>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</si>
  <si>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</si>
  <si>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</si>
  <si>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</si>
  <si>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</si>
  <si>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</si>
  <si>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</si>
  <si>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</si>
  <si>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</si>
  <si>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</si>
  <si>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</si>
  <si>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</si>
  <si>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</si>
  <si>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</si>
  <si>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</si>
  <si>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</si>
  <si>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</si>
  <si>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LVZA53P93 PAA16703</t>
  </si>
  <si>
    <t>DF56018MT</t>
  </si>
  <si>
    <t>TDFSTWU000055</t>
  </si>
  <si>
    <t>GRIS CLARO</t>
  </si>
  <si>
    <t>SFG18-22372086</t>
  </si>
  <si>
    <t>MARIA JOSE SOLEDAD MOROSO NAVEA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</si>
  <si>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</si>
  <si>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</si>
  <si>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</si>
  <si>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</si>
  <si>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</si>
  <si>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</si>
  <si>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</si>
  <si>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</si>
  <si>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</si>
  <si>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</si>
  <si>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</si>
  <si>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</si>
  <si>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</si>
  <si>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</si>
  <si>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</si>
  <si>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</si>
  <si>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</si>
  <si>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</si>
  <si>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</si>
  <si>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</si>
  <si>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</si>
  <si>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</si>
  <si>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</si>
  <si>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</si>
  <si>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</si>
  <si>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</si>
  <si>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</si>
  <si>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</si>
  <si>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</si>
  <si>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</si>
  <si>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</si>
  <si>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</si>
  <si>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</si>
  <si>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</si>
  <si>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</si>
  <si>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</si>
  <si>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</si>
  <si>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</si>
  <si>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</si>
  <si>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</si>
  <si>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</si>
  <si>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</si>
  <si>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</si>
  <si>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</si>
  <si>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</si>
  <si>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</si>
  <si>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</si>
  <si>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</si>
  <si>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</si>
  <si>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</si>
  <si>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</si>
  <si>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</si>
  <si>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</si>
  <si>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</si>
  <si>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</si>
  <si>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</si>
  <si>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</si>
  <si>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</si>
  <si>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</si>
  <si>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</si>
  <si>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</si>
  <si>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</si>
  <si>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</si>
  <si>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</si>
  <si>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</si>
  <si>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</si>
  <si>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</si>
  <si>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</si>
  <si>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</si>
  <si>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</si>
  <si>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</si>
  <si>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</si>
  <si>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</si>
  <si>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</si>
  <si>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</si>
  <si>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</si>
  <si>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</si>
  <si>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</si>
  <si>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</si>
  <si>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</si>
  <si>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</si>
  <si>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</si>
  <si>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</si>
  <si>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</si>
  <si>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</si>
  <si>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</si>
  <si>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</si>
  <si>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</si>
  <si>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</si>
  <si>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</si>
  <si>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</si>
  <si>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</si>
  <si>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</si>
  <si>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</si>
  <si>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</si>
  <si>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</si>
  <si>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</si>
  <si>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</si>
  <si>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</si>
  <si>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</si>
  <si>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</si>
  <si>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</si>
  <si>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</si>
  <si>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</si>
  <si>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</si>
  <si>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</si>
  <si>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</si>
  <si>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</si>
  <si>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</si>
  <si>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</si>
  <si>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</si>
  <si>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</si>
  <si>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</si>
  <si>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</si>
  <si>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</si>
  <si>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</si>
  <si>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</si>
  <si>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</si>
  <si>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</si>
  <si>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</si>
  <si>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</si>
  <si>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</si>
  <si>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</si>
  <si>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</si>
  <si>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</si>
  <si>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</si>
  <si>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</si>
  <si>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</si>
  <si>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</si>
  <si>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</si>
  <si>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</si>
  <si>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</si>
  <si>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</si>
  <si>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</si>
  <si>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</si>
  <si>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</si>
  <si>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</si>
  <si>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</si>
  <si>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</si>
  <si>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</si>
  <si>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</si>
  <si>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</si>
  <si>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</si>
  <si>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</si>
  <si>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</si>
  <si>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</si>
  <si>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</si>
  <si>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</si>
  <si>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</si>
  <si>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12:22:14</t>
  </si>
  <si>
    <t>13-05-2026 0:00:00</t>
  </si>
  <si>
    <t>13-05-2026 12:21:23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</si>
  <si>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</si>
  <si>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</si>
  <si>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</si>
  <si>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</si>
  <si>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</si>
  <si>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</si>
  <si>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</si>
  <si>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</si>
  <si>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</si>
  <si>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</si>
  <si>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</si>
  <si>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</si>
  <si>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</si>
  <si>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</si>
  <si>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</si>
  <si>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</si>
  <si>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</si>
  <si>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</si>
  <si>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</si>
  <si>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</si>
  <si>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</si>
  <si>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</si>
  <si>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</si>
  <si>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</si>
  <si>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</si>
  <si>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</si>
  <si>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</si>
  <si>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</si>
  <si>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</si>
  <si>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</si>
  <si>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25-05-2026 16:44:02</t>
  </si>
  <si>
    <t>3KPA251AA PE534052</t>
  </si>
  <si>
    <t>PATAN</t>
  </si>
  <si>
    <t>TKIAUTU002214</t>
  </si>
  <si>
    <t>G4LCNE709367</t>
  </si>
  <si>
    <t>CLAUDIA CECILIA HERRERA MUÑOZ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</si>
  <si>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</si>
  <si>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</si>
  <si>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</si>
  <si>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</si>
  <si>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</si>
  <si>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</si>
  <si>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</si>
  <si>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</si>
  <si>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</si>
  <si>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</si>
  <si>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</si>
  <si>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</si>
  <si>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</si>
  <si>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</si>
  <si>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</si>
  <si>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</si>
  <si>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</si>
  <si>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</si>
  <si>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</si>
  <si>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</si>
  <si>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</si>
  <si>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</si>
  <si>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</si>
  <si>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</si>
  <si>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</si>
  <si>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</si>
  <si>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</si>
  <si>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</si>
  <si>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</si>
  <si>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</si>
  <si>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</si>
  <si>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</si>
  <si>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</si>
  <si>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</si>
  <si>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</si>
  <si>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</si>
  <si>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</si>
  <si>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</si>
  <si>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</si>
  <si>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</si>
  <si>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</si>
  <si>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</si>
  <si>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</si>
  <si>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</si>
  <si>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</si>
  <si>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</si>
  <si>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</si>
  <si>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</si>
  <si>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</si>
  <si>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</si>
  <si>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</si>
  <si>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</si>
  <si>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</si>
  <si>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</si>
  <si>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</si>
  <si>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</si>
  <si>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</si>
  <si>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</si>
  <si>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</si>
  <si>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</si>
  <si>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</si>
  <si>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</si>
  <si>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</si>
  <si>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</si>
  <si>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</si>
  <si>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</si>
  <si>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</si>
  <si>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</si>
  <si>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</si>
  <si>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</si>
  <si>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</si>
  <si>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</si>
  <si>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</si>
  <si>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</si>
  <si>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</si>
  <si>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</si>
  <si>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</si>
  <si>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</si>
  <si>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</si>
  <si>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</si>
  <si>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</si>
  <si>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</si>
  <si>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</si>
  <si>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</si>
  <si>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</si>
  <si>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</si>
  <si>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</si>
  <si>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</si>
  <si>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</si>
  <si>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</si>
  <si>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</si>
  <si>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</si>
  <si>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</si>
  <si>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</si>
  <si>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</si>
  <si>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</si>
  <si>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30-04-2026 10:49:34</t>
  </si>
  <si>
    <t>30-04-2026 10:41:13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</si>
  <si>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</si>
  <si>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</si>
  <si>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</si>
  <si>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</si>
  <si>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</si>
  <si>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</si>
  <si>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</si>
  <si>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</si>
  <si>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</si>
  <si>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</si>
  <si>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</si>
  <si>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</si>
  <si>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</si>
  <si>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</si>
  <si>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</si>
  <si>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</si>
  <si>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</si>
  <si>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</si>
  <si>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</si>
  <si>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</si>
  <si>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</si>
  <si>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</si>
  <si>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</si>
  <si>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</si>
  <si>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</si>
  <si>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</si>
  <si>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</si>
  <si>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</si>
  <si>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</si>
  <si>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</si>
  <si>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</si>
  <si>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</si>
  <si>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</si>
  <si>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</si>
  <si>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</si>
  <si>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</si>
  <si>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</si>
  <si>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</si>
  <si>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</si>
  <si>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</si>
  <si>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</si>
  <si>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</si>
  <si>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</si>
  <si>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</si>
  <si>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</si>
  <si>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</si>
  <si>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</si>
  <si>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</si>
  <si>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</si>
  <si>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</si>
  <si>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</si>
  <si>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</si>
  <si>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</si>
  <si>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</si>
  <si>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</si>
  <si>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</si>
  <si>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</si>
  <si>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</si>
  <si>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</si>
  <si>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</si>
  <si>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</si>
  <si>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</si>
  <si>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</si>
  <si>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</si>
  <si>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</si>
  <si>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</si>
  <si>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</si>
  <si>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</si>
  <si>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</si>
  <si>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</si>
  <si>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</si>
  <si>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</si>
  <si>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</si>
  <si>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</si>
  <si>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</si>
  <si>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</si>
  <si>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</si>
  <si>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</si>
  <si>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</si>
  <si>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</si>
  <si>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</si>
  <si>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</si>
  <si>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</si>
  <si>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</si>
  <si>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</si>
  <si>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</si>
  <si>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</si>
  <si>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</si>
  <si>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</si>
  <si>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</si>
  <si>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</si>
  <si>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</si>
  <si>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</si>
  <si>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</si>
  <si>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</si>
  <si>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</si>
  <si>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</si>
  <si>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</si>
  <si>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30-03-2026 14:30:41</t>
  </si>
  <si>
    <t>MALA851CALM037708</t>
  </si>
  <si>
    <t>GRAND I10 BA GLS 1.5</t>
  </si>
  <si>
    <t>HYGRI10GLS15MT</t>
  </si>
  <si>
    <t>THYAUTU000583</t>
  </si>
  <si>
    <t>AE,ABS,AC,AISO,AAUTO,ACD,UD,DLL</t>
  </si>
  <si>
    <t>G4LAKM317549</t>
  </si>
  <si>
    <t>CONSTANZA NICOLLE CHAPARRO ALFARO</t>
  </si>
  <si>
    <t>30-03-2026 14:24:28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</si>
  <si>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</si>
  <si>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</si>
  <si>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</si>
  <si>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</si>
  <si>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</si>
  <si>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</si>
  <si>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</si>
  <si>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</si>
  <si>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</si>
  <si>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</si>
  <si>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</si>
  <si>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</si>
  <si>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</si>
  <si>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</si>
  <si>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</si>
  <si>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</si>
  <si>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</si>
  <si>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</si>
  <si>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</si>
  <si>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</si>
  <si>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</si>
  <si>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</si>
  <si>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</si>
  <si>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</si>
  <si>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</si>
  <si>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</si>
  <si>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</si>
  <si>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</si>
  <si>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</si>
  <si>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</si>
  <si>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</si>
  <si>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</si>
  <si>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</si>
  <si>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</si>
  <si>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</si>
  <si>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</si>
  <si>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</si>
  <si>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</si>
  <si>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</si>
  <si>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</si>
  <si>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</si>
  <si>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</si>
  <si>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</si>
  <si>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</si>
  <si>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</si>
  <si>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</si>
  <si>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</si>
  <si>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</si>
  <si>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</si>
  <si>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</si>
  <si>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</si>
  <si>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</si>
  <si>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</si>
  <si>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</si>
  <si>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</si>
  <si>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</si>
  <si>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</si>
  <si>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</si>
  <si>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</si>
  <si>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</si>
  <si>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</si>
  <si>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</si>
  <si>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</si>
  <si>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</si>
  <si>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</si>
  <si>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</si>
  <si>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</si>
  <si>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</si>
  <si>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</si>
  <si>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</si>
  <si>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</si>
  <si>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</si>
  <si>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</si>
  <si>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</si>
  <si>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</si>
  <si>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</si>
  <si>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</si>
  <si>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</si>
  <si>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</si>
  <si>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</si>
  <si>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</si>
  <si>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</si>
  <si>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</si>
  <si>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</si>
  <si>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</si>
  <si>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</si>
  <si>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</si>
  <si>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</si>
  <si>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</si>
  <si>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</si>
  <si>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</si>
  <si>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</si>
  <si>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</si>
  <si>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</si>
  <si>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</si>
  <si>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</si>
  <si>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</si>
  <si>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</si>
  <si>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</si>
  <si>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</si>
  <si>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</si>
  <si>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</si>
  <si>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</si>
  <si>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</si>
  <si>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</si>
  <si>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</si>
  <si>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</si>
  <si>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</si>
  <si>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</si>
  <si>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</si>
  <si>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</si>
  <si>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</si>
  <si>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</si>
  <si>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</si>
  <si>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</si>
  <si>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</si>
  <si>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</si>
  <si>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</si>
  <si>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</si>
  <si>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</si>
  <si>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</si>
  <si>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</si>
  <si>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</si>
  <si>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</si>
  <si>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</si>
  <si>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</si>
  <si>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</si>
  <si>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</si>
  <si>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</si>
  <si>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</si>
  <si>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</si>
  <si>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</si>
  <si>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</si>
  <si>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</si>
  <si>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</si>
  <si>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</si>
  <si>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</si>
  <si>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</si>
  <si>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</si>
  <si>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</si>
  <si>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</si>
  <si>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</si>
  <si>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</si>
  <si>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</si>
  <si>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</si>
  <si>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</si>
  <si>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</si>
  <si>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</si>
  <si>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</si>
  <si>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</si>
  <si>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</si>
  <si>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</si>
  <si>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</si>
  <si>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</si>
  <si>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</si>
  <si>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</si>
  <si>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</si>
  <si>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</si>
  <si>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</si>
  <si>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</si>
  <si>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</si>
  <si>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</si>
  <si>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</si>
  <si>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</si>
  <si>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</si>
  <si>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</si>
  <si>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</si>
  <si>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</si>
  <si>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</si>
  <si>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</si>
  <si>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</si>
  <si>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</si>
  <si>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</si>
  <si>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</si>
  <si>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</si>
  <si>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</si>
  <si>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</si>
  <si>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</si>
  <si>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</si>
  <si>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</si>
  <si>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</si>
  <si>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</si>
  <si>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</si>
  <si>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</si>
  <si>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</si>
  <si>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</si>
  <si>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</si>
  <si>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</si>
  <si>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</si>
  <si>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</si>
  <si>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</si>
  <si>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</si>
  <si>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</si>
  <si>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</si>
  <si>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</si>
  <si>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</si>
  <si>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</si>
  <si>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</si>
  <si>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</si>
  <si>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</si>
  <si>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</si>
  <si>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</si>
  <si>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</si>
  <si>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</si>
  <si>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</si>
  <si>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</si>
  <si>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</si>
  <si>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</si>
  <si>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</si>
  <si>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</si>
  <si>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</si>
  <si>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</si>
  <si>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</si>
  <si>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</si>
  <si>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</si>
  <si>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</si>
  <si>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</si>
  <si>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</si>
  <si>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</si>
  <si>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</si>
  <si>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</si>
  <si>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</si>
  <si>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</si>
  <si>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</si>
  <si>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</si>
  <si>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</si>
  <si>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</si>
  <si>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</si>
  <si>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</si>
  <si>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</si>
  <si>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</si>
  <si>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</si>
  <si>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</si>
  <si>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</si>
  <si>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</si>
  <si>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</si>
  <si>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</si>
  <si>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</si>
  <si>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</si>
  <si>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</si>
  <si>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</si>
  <si>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</si>
  <si>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</si>
  <si>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</si>
  <si>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</si>
  <si>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</si>
  <si>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</si>
  <si>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</si>
  <si>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</si>
  <si>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</si>
  <si>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</si>
  <si>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</si>
  <si>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</si>
  <si>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</si>
  <si>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</si>
  <si>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</si>
  <si>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</si>
  <si>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</si>
  <si>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</si>
  <si>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</si>
  <si>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</si>
  <si>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</si>
  <si>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</si>
  <si>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</si>
  <si>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</si>
  <si>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</si>
  <si>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</si>
  <si>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</si>
  <si>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</si>
  <si>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</si>
  <si>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</si>
  <si>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</si>
  <si>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</si>
  <si>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</si>
  <si>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</si>
  <si>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</si>
  <si>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</si>
  <si>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</si>
  <si>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</si>
  <si>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</si>
  <si>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</si>
  <si>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</si>
  <si>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</si>
  <si>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</si>
  <si>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</si>
  <si>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</si>
  <si>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</si>
  <si>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</si>
  <si>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</si>
  <si>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</si>
  <si>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</si>
  <si>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</si>
  <si>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</si>
  <si>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</si>
  <si>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</si>
  <si>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</si>
  <si>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</si>
  <si>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</si>
  <si>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</si>
  <si>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</si>
  <si>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</si>
  <si>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</si>
  <si>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</si>
  <si>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</si>
  <si>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</si>
  <si>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</si>
  <si>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</si>
  <si>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</si>
  <si>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</si>
  <si>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</si>
  <si>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</si>
  <si>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</si>
  <si>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</si>
  <si>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</si>
  <si>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</si>
  <si>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</si>
  <si>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</si>
  <si>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</si>
  <si>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</si>
  <si>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</si>
  <si>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</si>
  <si>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</si>
  <si>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</si>
  <si>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</si>
  <si>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</si>
  <si>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</si>
  <si>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</si>
  <si>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</si>
  <si>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</si>
  <si>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</si>
  <si>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</si>
  <si>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</si>
  <si>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</si>
  <si>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</si>
  <si>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</si>
  <si>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</si>
  <si>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</si>
  <si>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</si>
  <si>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</si>
  <si>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</si>
  <si>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</si>
  <si>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</si>
  <si>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</si>
  <si>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</si>
  <si>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</si>
  <si>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</si>
  <si>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</si>
  <si>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</si>
  <si>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</si>
  <si>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</si>
  <si>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</si>
  <si>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</si>
  <si>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</si>
  <si>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</si>
  <si>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</si>
  <si>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</si>
  <si>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</si>
  <si>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</si>
  <si>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</si>
  <si>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</si>
  <si>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</si>
  <si>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</si>
  <si>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</si>
  <si>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</si>
  <si>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</si>
  <si>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</si>
  <si>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</si>
  <si>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</si>
  <si>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</si>
  <si>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</si>
  <si>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</si>
  <si>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</si>
  <si>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</si>
  <si>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</si>
  <si>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</si>
  <si>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</si>
  <si>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</si>
  <si>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</si>
  <si>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</si>
  <si>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</si>
  <si>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</si>
  <si>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</si>
  <si>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</si>
  <si>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</si>
  <si>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</si>
  <si>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</si>
  <si>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</si>
  <si>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</si>
  <si>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</si>
  <si>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</si>
  <si>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</si>
  <si>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</si>
  <si>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</si>
  <si>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</si>
  <si>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</si>
  <si>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</si>
  <si>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</si>
  <si>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</si>
  <si>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</si>
  <si>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</si>
  <si>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</si>
  <si>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</si>
  <si>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</si>
  <si>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</si>
  <si>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</si>
  <si>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</si>
  <si>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</si>
  <si>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</si>
  <si>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</si>
  <si>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</si>
  <si>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</si>
  <si>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</si>
  <si>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</si>
  <si>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</si>
  <si>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</si>
  <si>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</si>
  <si>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</si>
  <si>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</si>
  <si>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</si>
  <si>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</si>
  <si>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</si>
  <si>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</si>
  <si>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</si>
  <si>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</si>
  <si>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</si>
  <si>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</si>
  <si>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</si>
  <si>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</si>
  <si>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</si>
  <si>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</si>
  <si>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</si>
  <si>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</si>
  <si>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</si>
  <si>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</si>
  <si>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</si>
  <si>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</si>
  <si>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</si>
  <si>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</si>
  <si>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</si>
  <si>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</si>
  <si>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</si>
  <si>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</si>
  <si>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</si>
  <si>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</si>
  <si>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</si>
  <si>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</si>
  <si>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</si>
  <si>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</si>
  <si>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</si>
  <si>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</si>
  <si>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</si>
  <si>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</si>
  <si>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</si>
  <si>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</si>
  <si>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</si>
  <si>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</si>
  <si>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</si>
  <si>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</si>
  <si>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</si>
  <si>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</si>
  <si>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</si>
  <si>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</si>
  <si>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</si>
  <si>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</si>
  <si>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</si>
  <si>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</si>
  <si>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</si>
  <si>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</si>
  <si>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</si>
  <si>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</si>
  <si>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</si>
  <si>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</si>
  <si>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</si>
  <si>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</si>
  <si>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</si>
  <si>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</si>
  <si>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</si>
  <si>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</si>
  <si>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</si>
  <si>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</si>
  <si>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</si>
  <si>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</si>
  <si>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</si>
  <si>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</si>
  <si>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</si>
  <si>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</si>
  <si>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</si>
  <si>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</si>
  <si>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</si>
  <si>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</si>
  <si>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</si>
  <si>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</si>
  <si>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</si>
  <si>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</si>
  <si>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</si>
  <si>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</si>
  <si>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</si>
  <si>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</si>
  <si>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</si>
  <si>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</si>
  <si>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</si>
  <si>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</si>
  <si>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</si>
  <si>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</si>
  <si>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</si>
  <si>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</si>
  <si>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</si>
  <si>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</si>
  <si>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</si>
  <si>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</si>
  <si>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</si>
  <si>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</si>
  <si>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</si>
  <si>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</si>
  <si>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</si>
  <si>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</si>
  <si>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</si>
  <si>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</si>
  <si>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</si>
  <si>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</si>
  <si>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</si>
  <si>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</si>
  <si>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</si>
  <si>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</si>
  <si>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</si>
  <si>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</si>
  <si>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</si>
  <si>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</si>
  <si>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</si>
  <si>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</si>
  <si>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</si>
  <si>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</si>
  <si>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</si>
  <si>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</si>
  <si>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</si>
  <si>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</si>
  <si>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</si>
  <si>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</si>
  <si>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</si>
  <si>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</si>
  <si>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</si>
  <si>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</si>
  <si>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</si>
  <si>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</si>
  <si>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</si>
  <si>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</si>
  <si>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</si>
  <si>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</si>
  <si>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</si>
  <si>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</si>
  <si>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</si>
  <si>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</si>
  <si>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</si>
  <si>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</si>
  <si>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</si>
  <si>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</si>
  <si>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</si>
  <si>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</si>
  <si>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</si>
  <si>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</si>
  <si>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</si>
  <si>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</si>
  <si>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</si>
  <si>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</si>
  <si>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</si>
  <si>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</si>
  <si>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</si>
  <si>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</si>
  <si>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</si>
  <si>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</si>
  <si>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</si>
  <si>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</si>
  <si>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</si>
  <si>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</si>
  <si>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</si>
  <si>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</si>
  <si>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</si>
  <si>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</si>
  <si>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</si>
  <si>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</si>
  <si>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</si>
  <si>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</si>
  <si>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</si>
  <si>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</si>
  <si>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</si>
  <si>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</si>
  <si>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</si>
  <si>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</si>
  <si>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</si>
  <si>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</si>
  <si>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</si>
  <si>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</si>
  <si>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</si>
  <si>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</si>
  <si>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</si>
  <si>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</si>
  <si>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</si>
  <si>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</si>
  <si>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</si>
  <si>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</si>
  <si>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</si>
  <si>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</si>
  <si>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</si>
  <si>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</si>
  <si>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</si>
  <si>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</si>
  <si>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</si>
  <si>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</si>
  <si>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</si>
  <si>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</si>
  <si>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</si>
  <si>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</si>
  <si>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</si>
  <si>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</si>
  <si>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</si>
  <si>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</si>
  <si>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</si>
  <si>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</si>
  <si>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</si>
  <si>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</si>
  <si>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</si>
  <si>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</si>
  <si>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</si>
  <si>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</si>
  <si>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</si>
  <si>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</si>
  <si>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</si>
  <si>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</si>
  <si>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</si>
  <si>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</si>
  <si>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</si>
  <si>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</si>
  <si>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</si>
  <si>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</si>
  <si>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</si>
  <si>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</si>
  <si>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</si>
  <si>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</si>
  <si>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</si>
  <si>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</si>
  <si>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</si>
  <si>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</si>
  <si>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</si>
  <si>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</si>
  <si>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</si>
  <si>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</si>
  <si>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</si>
  <si>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</si>
  <si>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</si>
  <si>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</si>
  <si>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</si>
  <si>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</si>
  <si>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</si>
  <si>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</si>
  <si>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</si>
  <si>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</si>
  <si>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</si>
  <si>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</si>
  <si>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</si>
  <si>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</si>
  <si>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</si>
  <si>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</si>
  <si>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</si>
  <si>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</si>
  <si>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</si>
  <si>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</si>
  <si>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</si>
  <si>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</si>
  <si>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</si>
  <si>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</si>
  <si>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</si>
  <si>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</si>
  <si>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</si>
  <si>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</si>
  <si>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</si>
  <si>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</si>
  <si>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</si>
  <si>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</si>
  <si>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</si>
  <si>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</si>
  <si>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</si>
  <si>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</si>
  <si>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</si>
  <si>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</si>
  <si>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</si>
  <si>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</si>
  <si>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</si>
  <si>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</si>
  <si>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</si>
  <si>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</si>
  <si>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</si>
  <si>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</si>
  <si>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</si>
  <si>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</si>
  <si>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</si>
  <si>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</si>
  <si>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</si>
  <si>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</si>
  <si>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</si>
  <si>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</si>
  <si>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</si>
  <si>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</si>
  <si>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</si>
  <si>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</si>
  <si>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</si>
  <si>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</si>
  <si>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</si>
  <si>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</si>
  <si>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</si>
  <si>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</si>
  <si>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</si>
  <si>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</si>
  <si>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</si>
  <si>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</si>
  <si>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</si>
  <si>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</si>
  <si>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</si>
  <si>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</si>
  <si>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</si>
  <si>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</si>
  <si>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</si>
  <si>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</si>
  <si>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</si>
  <si>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</si>
  <si>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</si>
  <si>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</si>
  <si>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</si>
  <si>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</si>
  <si>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</si>
  <si>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</si>
  <si>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</si>
  <si>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</si>
  <si>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</si>
  <si>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</si>
  <si>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</si>
  <si>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</si>
  <si>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</si>
  <si>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</si>
  <si>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</si>
  <si>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</si>
  <si>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</si>
  <si>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</si>
  <si>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</si>
  <si>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</si>
  <si>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</si>
  <si>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</si>
  <si>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</si>
  <si>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</si>
  <si>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</si>
  <si>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</si>
  <si>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</si>
  <si>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</si>
  <si>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</si>
  <si>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</si>
  <si>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</si>
  <si>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</si>
  <si>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</si>
  <si>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</si>
  <si>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</si>
  <si>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</si>
  <si>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</si>
  <si>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</si>
  <si>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</si>
  <si>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</si>
  <si>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</si>
  <si>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</si>
  <si>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</si>
  <si>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</si>
  <si>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</si>
  <si>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</si>
  <si>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</si>
  <si>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</si>
  <si>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</si>
  <si>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</si>
  <si>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</si>
  <si>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</si>
  <si>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</si>
  <si>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</si>
  <si>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</si>
  <si>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</si>
  <si>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</si>
  <si>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</si>
  <si>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</si>
  <si>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</si>
  <si>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</si>
  <si>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</si>
  <si>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</si>
  <si>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</si>
  <si>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</si>
  <si>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</si>
  <si>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</si>
  <si>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</si>
  <si>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</si>
  <si>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</si>
  <si>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</si>
  <si>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</si>
  <si>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</si>
  <si>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</si>
  <si>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</si>
  <si>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</si>
  <si>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</si>
  <si>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</si>
  <si>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</si>
  <si>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</si>
  <si>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</si>
  <si>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</si>
  <si>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</si>
  <si>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</si>
  <si>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</si>
  <si>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</si>
  <si>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</si>
  <si>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</si>
  <si>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</si>
  <si>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</si>
  <si>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</si>
  <si>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</si>
  <si>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</si>
  <si>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</si>
  <si>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</si>
  <si>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</si>
  <si>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</si>
  <si>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</si>
  <si>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</si>
  <si>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</si>
  <si>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</si>
  <si>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</si>
  <si>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</si>
  <si>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</si>
  <si>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</si>
  <si>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</si>
  <si>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</si>
  <si>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</si>
  <si>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</si>
  <si>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</si>
  <si>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</si>
  <si>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</si>
  <si>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</si>
  <si>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</si>
  <si>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</si>
  <si>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</si>
  <si>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</si>
  <si>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</si>
  <si>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</si>
  <si>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</si>
  <si>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</si>
  <si>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</si>
  <si>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</si>
  <si>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</si>
  <si>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</si>
  <si>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</si>
  <si>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</si>
  <si>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</si>
  <si>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</si>
  <si>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</si>
  <si>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</si>
  <si>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</si>
  <si>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</si>
  <si>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</si>
  <si>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</si>
  <si>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</si>
  <si>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</si>
  <si>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</si>
  <si>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</si>
  <si>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</si>
  <si>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</si>
  <si>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</si>
  <si>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</si>
  <si>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</si>
  <si>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</si>
  <si>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</si>
  <si>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</si>
  <si>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</si>
  <si>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</si>
  <si>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</si>
  <si>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</si>
  <si>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</si>
  <si>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</si>
  <si>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</si>
  <si>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</si>
  <si>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</si>
  <si>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</si>
  <si>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</si>
  <si>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</si>
  <si>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</si>
  <si>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</si>
  <si>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</si>
  <si>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</si>
  <si>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</si>
  <si>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</si>
  <si>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</si>
  <si>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</si>
  <si>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</si>
  <si>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</si>
  <si>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</si>
  <si>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</si>
  <si>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</si>
  <si>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</si>
  <si>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</si>
  <si>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</si>
  <si>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</si>
  <si>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</si>
  <si>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</si>
  <si>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</si>
  <si>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</si>
  <si>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</si>
  <si>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</si>
  <si>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</si>
  <si>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</si>
  <si>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</si>
  <si>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</si>
  <si>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</si>
  <si>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</si>
  <si>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</si>
  <si>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</si>
  <si>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</si>
  <si>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</si>
  <si>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</si>
  <si>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</si>
  <si>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</si>
  <si>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</si>
  <si>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</si>
  <si>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</si>
  <si>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</si>
  <si>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</si>
  <si>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</si>
  <si>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</si>
  <si>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</si>
  <si>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</si>
  <si>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</si>
  <si>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</si>
  <si>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</si>
  <si>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</si>
  <si>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</si>
  <si>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</si>
  <si>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</si>
  <si>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</si>
  <si>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</si>
  <si>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</si>
  <si>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</si>
  <si>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</si>
  <si>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</si>
  <si>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</si>
  <si>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</si>
  <si>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</si>
  <si>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</si>
  <si>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</si>
  <si>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</si>
  <si>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</si>
  <si>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</si>
  <si>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</si>
  <si>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</si>
  <si>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</si>
  <si>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</si>
  <si>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</si>
  <si>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</si>
  <si>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</si>
  <si>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</si>
  <si>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</si>
  <si>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</si>
  <si>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</si>
  <si>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</si>
  <si>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</si>
  <si>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</si>
  <si>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</si>
  <si>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</si>
  <si>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</si>
  <si>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</si>
  <si>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</si>
  <si>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</si>
  <si>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</si>
  <si>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</si>
  <si>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</si>
  <si>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</si>
  <si>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</si>
  <si>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</si>
  <si>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</si>
  <si>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</si>
  <si>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</si>
  <si>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</si>
  <si>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</si>
  <si>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</si>
  <si>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</si>
  <si>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</si>
  <si>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</si>
  <si>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</si>
  <si>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</si>
  <si>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</si>
  <si>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</si>
  <si>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</si>
  <si>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</si>
  <si>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</si>
  <si>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</si>
  <si>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</si>
  <si>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</si>
  <si>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</si>
  <si>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</si>
  <si>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</si>
  <si>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</si>
  <si>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</si>
  <si>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</si>
  <si>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</si>
  <si>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</si>
  <si>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</si>
  <si>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</si>
  <si>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</si>
  <si>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</si>
  <si>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</si>
  <si>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</si>
  <si>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</si>
  <si>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</si>
  <si>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</si>
  <si>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</si>
  <si>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</si>
  <si>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</si>
  <si>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</si>
  <si>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</si>
  <si>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</si>
  <si>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</si>
  <si>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</si>
  <si>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</si>
  <si>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</si>
  <si>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</si>
  <si>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</si>
  <si>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</si>
  <si>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</si>
  <si>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</si>
  <si>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</si>
  <si>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</si>
  <si>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</si>
  <si>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</si>
  <si>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</si>
  <si>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</si>
  <si>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</si>
  <si>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</si>
  <si>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</si>
  <si>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</si>
  <si>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</si>
  <si>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</si>
  <si>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</si>
  <si>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</si>
  <si>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</si>
  <si>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</si>
  <si>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</si>
  <si>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</si>
  <si>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</si>
  <si>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</si>
  <si>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</si>
  <si>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</si>
  <si>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</si>
  <si>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</si>
  <si>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</si>
  <si>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</si>
  <si>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</si>
  <si>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</si>
  <si>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</si>
  <si>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</si>
  <si>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</si>
  <si>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</si>
  <si>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</si>
  <si>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</si>
  <si>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</si>
  <si>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</si>
  <si>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</si>
  <si>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</si>
  <si>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</si>
  <si>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</si>
  <si>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</si>
  <si>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</si>
  <si>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</si>
  <si>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</si>
  <si>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</si>
  <si>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</si>
  <si>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</si>
  <si>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</si>
  <si>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</si>
  <si>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</si>
  <si>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</si>
  <si>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</si>
  <si>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</si>
  <si>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</si>
  <si>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</si>
  <si>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</si>
  <si>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</si>
  <si>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</si>
  <si>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</si>
  <si>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</si>
  <si>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</si>
  <si>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</si>
  <si>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</si>
  <si>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</si>
  <si>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</si>
  <si>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</si>
  <si>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</si>
  <si>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</si>
  <si>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</si>
  <si>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</si>
  <si>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</si>
  <si>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</si>
  <si>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</si>
  <si>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</si>
  <si>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</si>
  <si>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</si>
  <si>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</si>
  <si>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</si>
  <si>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</si>
  <si>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</si>
  <si>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</si>
  <si>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</si>
  <si>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</si>
  <si>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</si>
  <si>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</si>
  <si>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</si>
  <si>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</si>
  <si>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</si>
  <si>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</si>
  <si>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</si>
  <si>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</si>
  <si>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</si>
  <si>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</si>
  <si>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</si>
  <si>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</si>
  <si>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</si>
  <si>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</si>
  <si>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</si>
  <si>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</si>
  <si>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</si>
  <si>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</si>
  <si>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</si>
  <si>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</si>
  <si>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</si>
  <si>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</si>
  <si>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</si>
  <si>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</si>
  <si>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</si>
  <si>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</si>
  <si>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</si>
  <si>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</si>
  <si>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</si>
  <si>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</si>
  <si>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</si>
  <si>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</si>
  <si>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</si>
  <si>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</si>
  <si>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</si>
  <si>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</si>
  <si>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</si>
  <si>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</si>
  <si>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</si>
  <si>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</si>
  <si>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</si>
  <si>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</si>
  <si>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</si>
  <si>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</si>
  <si>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</si>
  <si>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</si>
  <si>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</si>
  <si>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</si>
  <si>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</si>
  <si>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</si>
  <si>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</si>
  <si>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</si>
  <si>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</si>
  <si>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</si>
  <si>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</si>
  <si>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</si>
  <si>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</si>
  <si>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</si>
  <si>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</si>
  <si>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</si>
  <si>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</si>
  <si>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</si>
  <si>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</si>
  <si>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</si>
  <si>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</si>
  <si>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</si>
  <si>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</si>
  <si>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</si>
  <si>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</si>
  <si>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</si>
  <si>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</si>
  <si>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</si>
  <si>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</si>
  <si>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</si>
  <si>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</si>
  <si>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</si>
  <si>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</si>
  <si>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</si>
  <si>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</si>
  <si>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</si>
  <si>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</si>
  <si>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</si>
  <si>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</si>
  <si>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</si>
  <si>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</si>
  <si>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</si>
  <si>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</si>
  <si>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</si>
  <si>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</si>
  <si>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</si>
  <si>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</si>
  <si>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</si>
  <si>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</si>
  <si>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</si>
  <si>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</si>
  <si>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</si>
  <si>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</si>
  <si>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</si>
  <si>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</si>
  <si>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</si>
  <si>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</si>
  <si>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</si>
  <si>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</si>
  <si>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</si>
  <si>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</si>
  <si>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</si>
  <si>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</si>
  <si>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</si>
  <si>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</si>
  <si>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</si>
  <si>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</si>
  <si>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</si>
  <si>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</si>
  <si>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</si>
  <si>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</si>
  <si>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</si>
  <si>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</si>
  <si>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</si>
  <si>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</si>
  <si>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</si>
  <si>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</si>
  <si>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</si>
  <si>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</si>
  <si>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</si>
  <si>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</si>
  <si>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</si>
  <si>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</si>
  <si>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</si>
  <si>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</si>
  <si>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</si>
  <si>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</si>
  <si>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</si>
  <si>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</si>
  <si>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</si>
  <si>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</si>
  <si>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</si>
  <si>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</si>
  <si>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</si>
  <si>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</si>
  <si>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</si>
  <si>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</si>
  <si>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</si>
  <si>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</si>
  <si>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</si>
  <si>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</si>
  <si>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</si>
  <si>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</si>
  <si>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</si>
  <si>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</si>
  <si>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</si>
  <si>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</si>
  <si>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</si>
  <si>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</si>
  <si>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</si>
  <si>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</si>
  <si>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</si>
  <si>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</si>
  <si>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</si>
  <si>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</si>
  <si>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</si>
  <si>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</si>
  <si>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</si>
  <si>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</si>
  <si>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</si>
  <si>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</si>
  <si>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</si>
  <si>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</si>
  <si>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</si>
  <si>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</si>
  <si>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</si>
  <si>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</si>
  <si>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</si>
  <si>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</si>
  <si>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</si>
  <si>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</si>
  <si>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</si>
  <si>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</si>
  <si>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</si>
  <si>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</si>
  <si>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</si>
  <si>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</si>
  <si>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</si>
  <si>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</si>
  <si>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</si>
  <si>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</si>
  <si>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</si>
  <si>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</si>
  <si>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</si>
  <si>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</si>
  <si>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</si>
  <si>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</si>
  <si>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</si>
  <si>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</si>
  <si>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</si>
  <si>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</si>
  <si>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</si>
  <si>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</si>
  <si>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</si>
  <si>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</si>
  <si>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</si>
  <si>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</si>
  <si>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</si>
  <si>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</si>
  <si>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</si>
  <si>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</si>
  <si>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</si>
  <si>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</si>
  <si>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</si>
  <si>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</si>
  <si>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</si>
  <si>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</si>
  <si>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</si>
  <si>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</si>
  <si>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</si>
  <si>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</si>
  <si>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</si>
  <si>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</si>
  <si>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</si>
  <si>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</si>
  <si>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</si>
  <si>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</si>
  <si>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</si>
  <si>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</si>
  <si>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</si>
  <si>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</si>
  <si>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</si>
  <si>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</si>
  <si>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</si>
  <si>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</si>
  <si>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</si>
  <si>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</si>
  <si>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</si>
  <si>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</si>
  <si>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</si>
  <si>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</si>
  <si>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</si>
  <si>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</si>
  <si>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</si>
  <si>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</si>
  <si>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</si>
  <si>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</si>
  <si>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</si>
  <si>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</si>
  <si>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</si>
  <si>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</si>
  <si>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</si>
  <si>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</si>
  <si>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</si>
  <si>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</si>
  <si>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</si>
  <si>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</si>
  <si>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</si>
  <si>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</si>
  <si>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</si>
  <si>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</si>
  <si>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</si>
  <si>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</si>
  <si>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</si>
  <si>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</si>
  <si>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</si>
  <si>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</si>
  <si>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</si>
  <si>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</si>
  <si>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</si>
  <si>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</si>
  <si>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</si>
  <si>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</si>
  <si>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</si>
  <si>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</si>
  <si>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</si>
  <si>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</si>
  <si>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</si>
  <si>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</si>
  <si>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</si>
  <si>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</si>
  <si>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</si>
  <si>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</si>
  <si>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</si>
  <si>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</si>
  <si>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</si>
  <si>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</si>
  <si>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</si>
  <si>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</si>
  <si>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</si>
  <si>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</si>
  <si>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</si>
  <si>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</si>
  <si>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</si>
  <si>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</si>
  <si>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</si>
  <si>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</si>
  <si>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</si>
  <si>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</si>
  <si>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</si>
  <si>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</si>
  <si>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</si>
  <si>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</si>
  <si>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</si>
  <si>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</si>
  <si>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</si>
  <si>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</si>
  <si>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</si>
  <si>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</si>
  <si>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</si>
  <si>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</si>
  <si>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</si>
  <si>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</si>
  <si>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</si>
  <si>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</si>
  <si>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</si>
  <si>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</si>
  <si>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</si>
  <si>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</si>
  <si>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</si>
  <si>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</si>
  <si>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</si>
  <si>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</si>
  <si>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</si>
  <si>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</si>
  <si>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</si>
  <si>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</si>
  <si>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</si>
  <si>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</si>
  <si>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</si>
  <si>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</si>
  <si>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</si>
  <si>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</si>
  <si>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</si>
  <si>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</si>
  <si>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</si>
  <si>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</si>
  <si>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</si>
  <si>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</si>
  <si>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</si>
  <si>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</si>
  <si>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</si>
  <si>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</si>
  <si>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</si>
  <si>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</si>
  <si>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</si>
  <si>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</si>
  <si>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</si>
  <si>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</si>
  <si>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</si>
  <si>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</si>
  <si>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</si>
  <si>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</si>
  <si>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</si>
  <si>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</si>
  <si>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</si>
  <si>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</si>
  <si>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</si>
  <si>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</si>
  <si>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</si>
  <si>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</si>
  <si>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</si>
  <si>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</si>
  <si>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</si>
  <si>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</si>
  <si>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</si>
  <si>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</si>
  <si>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</si>
  <si>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</si>
  <si>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</si>
  <si>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</si>
  <si>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</si>
  <si>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</si>
  <si>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</si>
  <si>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</si>
  <si>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</si>
  <si>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</si>
  <si>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</si>
  <si>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</si>
  <si>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</si>
  <si>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</si>
  <si>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</si>
  <si>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</si>
  <si>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</si>
  <si>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</si>
  <si>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</si>
  <si>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</si>
  <si>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</si>
  <si>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</si>
  <si>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</si>
  <si>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</si>
  <si>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</si>
  <si>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</si>
  <si>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</si>
  <si>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</si>
  <si>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</si>
  <si>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</si>
  <si>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</si>
  <si>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</si>
  <si>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</si>
  <si>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</si>
  <si>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</si>
  <si>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</si>
  <si>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</si>
  <si>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</si>
  <si>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</si>
  <si>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</si>
  <si>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</si>
  <si>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</si>
  <si>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</si>
  <si>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</si>
  <si>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</si>
  <si>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</si>
  <si>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</si>
  <si>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</si>
  <si>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</si>
  <si>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</si>
  <si>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</si>
  <si>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</si>
  <si>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</si>
  <si>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</si>
  <si>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</si>
  <si>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</si>
  <si>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</si>
  <si>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</si>
  <si>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</si>
  <si>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</si>
  <si>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</si>
  <si>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</si>
  <si>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</si>
  <si>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</si>
  <si>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</si>
  <si>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</si>
  <si>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</si>
  <si>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</si>
  <si>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</si>
  <si>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</si>
  <si>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</si>
  <si>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</si>
  <si>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</si>
  <si>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</si>
  <si>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</si>
  <si>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</si>
  <si>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</si>
  <si>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</si>
  <si>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</si>
  <si>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</si>
  <si>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</si>
  <si>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</si>
  <si>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</si>
  <si>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</si>
  <si>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</si>
  <si>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</si>
  <si>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</si>
  <si>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</si>
  <si>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</si>
  <si>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</si>
  <si>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</si>
  <si>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</si>
  <si>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</si>
  <si>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</si>
  <si>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</si>
  <si>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</si>
  <si>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</si>
  <si>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</si>
  <si>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</si>
  <si>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</si>
  <si>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</si>
  <si>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</si>
  <si>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</si>
  <si>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</si>
  <si>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</si>
  <si>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</si>
  <si>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</si>
  <si>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</si>
  <si>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</si>
  <si>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</si>
  <si>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</si>
  <si>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</si>
  <si>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</si>
  <si>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</si>
  <si>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</si>
  <si>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</si>
  <si>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</si>
  <si>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</si>
  <si>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</si>
  <si>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</si>
  <si>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</si>
  <si>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</si>
  <si>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</si>
  <si>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</si>
  <si>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</si>
  <si>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</si>
  <si>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</si>
  <si>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</si>
  <si>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</si>
  <si>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</si>
  <si>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</si>
  <si>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</si>
  <si>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</si>
  <si>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</si>
  <si>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</si>
  <si>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</si>
  <si>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</si>
  <si>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</si>
  <si>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</si>
  <si>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</si>
  <si>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</si>
  <si>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</si>
  <si>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</si>
  <si>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</si>
  <si>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</si>
  <si>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</si>
  <si>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</si>
  <si>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</si>
  <si>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</si>
  <si>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</si>
  <si>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</si>
  <si>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</si>
  <si>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</si>
  <si>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</si>
  <si>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</si>
  <si>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</si>
  <si>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</si>
  <si>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</si>
  <si>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</si>
  <si>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</si>
  <si>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</si>
  <si>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</si>
  <si>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</si>
  <si>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</si>
  <si>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</si>
  <si>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</si>
  <si>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</si>
  <si>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</si>
  <si>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</si>
  <si>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</si>
  <si>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</si>
  <si>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</si>
  <si>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</si>
  <si>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</si>
  <si>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</si>
  <si>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</si>
  <si>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</si>
  <si>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</si>
  <si>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</si>
  <si>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</si>
  <si>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</si>
  <si>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</si>
  <si>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</si>
  <si>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</si>
  <si>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</si>
  <si>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</si>
  <si>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</si>
  <si>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</si>
  <si>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</si>
  <si>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</si>
  <si>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</si>
  <si>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</si>
  <si>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</si>
  <si>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</si>
  <si>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</si>
  <si>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</si>
  <si>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</si>
  <si>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</si>
  <si>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</si>
  <si>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</si>
  <si>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</si>
  <si>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</si>
  <si>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</si>
  <si>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</si>
  <si>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</si>
  <si>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</si>
  <si>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</si>
  <si>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</si>
  <si>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</si>
  <si>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</si>
  <si>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</si>
  <si>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</si>
  <si>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</si>
  <si>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</si>
  <si>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</si>
  <si>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</si>
  <si>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</si>
  <si>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</si>
  <si>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</si>
  <si>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</si>
  <si>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</si>
  <si>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</si>
  <si>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</si>
  <si>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</si>
  <si>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</si>
  <si>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</si>
  <si>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</si>
  <si>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</si>
  <si>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</si>
  <si>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</si>
  <si>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</si>
  <si>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</si>
  <si>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</si>
  <si>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</si>
  <si>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</si>
  <si>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</si>
  <si>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</si>
  <si>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</si>
  <si>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</si>
  <si>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</si>
  <si>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</si>
  <si>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</si>
  <si>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</si>
  <si>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</si>
  <si>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</si>
  <si>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</si>
  <si>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</si>
  <si>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</si>
  <si>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</si>
  <si>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</si>
  <si>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</si>
  <si>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</si>
  <si>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</si>
  <si>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</si>
  <si>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</si>
  <si>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</si>
  <si>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</si>
  <si>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</si>
  <si>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</si>
  <si>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</si>
  <si>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</si>
  <si>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</si>
  <si>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</si>
  <si>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</si>
  <si>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</si>
  <si>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</si>
  <si>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</si>
  <si>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</si>
  <si>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</si>
  <si>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</si>
  <si>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</si>
  <si>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</si>
  <si>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</si>
  <si>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</si>
  <si>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</si>
  <si>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</si>
  <si>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</si>
  <si>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</si>
  <si>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</si>
  <si>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</si>
  <si>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</si>
  <si>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</si>
  <si>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</si>
  <si>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</si>
  <si>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</si>
  <si>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</si>
  <si>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</si>
  <si>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</si>
  <si>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</si>
  <si>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</si>
  <si>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</si>
  <si>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</si>
  <si>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</si>
  <si>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</si>
  <si>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</si>
  <si>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</si>
  <si>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</si>
  <si>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</si>
  <si>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</si>
  <si>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</si>
  <si>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</si>
  <si>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</si>
  <si>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</si>
  <si>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</si>
  <si>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</si>
  <si>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</si>
  <si>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</si>
  <si>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</si>
  <si>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</si>
  <si>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</si>
  <si>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</si>
  <si>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</si>
  <si>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</si>
  <si>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</si>
  <si>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</si>
  <si>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</si>
  <si>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</si>
  <si>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</si>
  <si>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</si>
  <si>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</si>
  <si>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</si>
  <si>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</si>
  <si>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</si>
  <si>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</si>
  <si>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</si>
  <si>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</si>
  <si>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</si>
  <si>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</si>
  <si>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</si>
  <si>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</si>
  <si>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</si>
  <si>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</si>
  <si>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</si>
  <si>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</si>
  <si>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</si>
  <si>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</si>
  <si>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</si>
  <si>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</si>
  <si>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</si>
  <si>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</si>
  <si>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</si>
  <si>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</si>
  <si>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</si>
  <si>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</si>
  <si>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</si>
  <si>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</si>
  <si>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</si>
  <si>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</si>
  <si>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</si>
  <si>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</si>
  <si>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</si>
  <si>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</si>
  <si>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</si>
  <si>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</si>
  <si>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</si>
  <si>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</si>
  <si>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</si>
  <si>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</si>
  <si>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</si>
  <si>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</si>
  <si>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</si>
  <si>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</si>
  <si>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</si>
  <si>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</si>
  <si>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</si>
  <si>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</si>
  <si>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</si>
  <si>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</si>
  <si>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</si>
  <si>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</si>
  <si>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</si>
  <si>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</si>
  <si>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</si>
  <si>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</si>
  <si>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</si>
  <si>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</si>
  <si>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</si>
  <si>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</si>
  <si>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</si>
  <si>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</si>
  <si>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</si>
  <si>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</si>
  <si>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</si>
  <si>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</si>
  <si>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</si>
  <si>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</si>
  <si>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</si>
  <si>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</si>
  <si>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</si>
  <si>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</si>
  <si>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</si>
  <si>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</si>
  <si>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</si>
  <si>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</si>
  <si>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</si>
  <si>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</si>
  <si>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</si>
  <si>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</si>
  <si>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</si>
  <si>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</si>
  <si>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</si>
  <si>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</si>
  <si>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</si>
  <si>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</si>
  <si>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</si>
  <si>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</si>
  <si>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</si>
  <si>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</si>
  <si>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</si>
  <si>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</si>
  <si>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</si>
  <si>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</si>
  <si>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</si>
  <si>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</si>
  <si>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</si>
  <si>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</si>
  <si>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</si>
  <si>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</si>
  <si>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</si>
  <si>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</si>
  <si>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</si>
  <si>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</si>
  <si>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</si>
  <si>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</si>
  <si>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</si>
  <si>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</si>
  <si>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</si>
  <si>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</si>
  <si>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</si>
  <si>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</si>
  <si>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</si>
  <si>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</si>
  <si>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</si>
  <si>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</si>
  <si>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</si>
  <si>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</si>
  <si>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</si>
  <si>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</si>
  <si>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</si>
  <si>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</si>
  <si>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</si>
  <si>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</si>
  <si>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</si>
  <si>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</si>
  <si>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</si>
  <si>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</si>
  <si>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</si>
  <si>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</si>
  <si>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</si>
  <si>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</si>
  <si>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</si>
  <si>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</si>
  <si>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</si>
  <si>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</si>
  <si>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</si>
  <si>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</si>
  <si>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</si>
  <si>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</si>
  <si>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</si>
  <si>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</si>
  <si>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</si>
  <si>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</si>
  <si>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</si>
  <si>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</si>
  <si>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</si>
  <si>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</si>
  <si>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</si>
  <si>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</si>
  <si>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</si>
  <si>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</si>
  <si>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</si>
  <si>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</si>
  <si>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</si>
  <si>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</si>
  <si>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</si>
  <si>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</si>
  <si>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</si>
  <si>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</si>
  <si>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</si>
  <si>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</si>
  <si>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</si>
  <si>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</si>
  <si>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</si>
  <si>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</si>
  <si>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</si>
  <si>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</si>
  <si>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</si>
  <si>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</si>
  <si>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</si>
  <si>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</si>
  <si>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</si>
  <si>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</si>
  <si>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</si>
  <si>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</si>
  <si>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</si>
  <si>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</si>
  <si>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</si>
  <si>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</si>
  <si>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</si>
  <si>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</si>
  <si>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</si>
  <si>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</si>
  <si>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</si>
  <si>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</si>
  <si>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</si>
  <si>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</si>
  <si>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</si>
  <si>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</si>
  <si>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</si>
  <si>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</si>
  <si>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</si>
  <si>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</si>
  <si>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</si>
  <si>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</si>
  <si>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</si>
  <si>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</si>
  <si>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</si>
  <si>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</si>
  <si>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</si>
  <si>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</si>
  <si>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</si>
  <si>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</si>
  <si>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</si>
  <si>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</si>
  <si>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</si>
  <si>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</si>
  <si>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</si>
  <si>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</si>
  <si>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</si>
  <si>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</si>
  <si>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</si>
  <si>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</si>
  <si>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</si>
  <si>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</si>
  <si>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</si>
  <si>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</si>
  <si>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</si>
  <si>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</si>
  <si>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</si>
  <si>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</si>
  <si>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</si>
  <si>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</si>
  <si>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</si>
  <si>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</si>
  <si>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</si>
  <si>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</si>
  <si>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</si>
  <si>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</si>
  <si>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</si>
  <si>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</si>
  <si>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</si>
  <si>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</si>
  <si>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</si>
  <si>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</si>
  <si>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</si>
  <si>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</si>
  <si>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</si>
  <si>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</si>
  <si>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</si>
  <si>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</si>
  <si>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</si>
  <si>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</si>
  <si>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</si>
  <si>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</si>
  <si>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</si>
  <si>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</si>
  <si>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</si>
  <si>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</si>
  <si>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</si>
  <si>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</si>
  <si>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</si>
  <si>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</si>
  <si>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</si>
  <si>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</si>
  <si>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</si>
  <si>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</si>
  <si>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</si>
  <si>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</si>
  <si>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</si>
  <si>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</si>
  <si>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</si>
  <si>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</si>
  <si>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</si>
  <si>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</si>
  <si>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</si>
  <si>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</si>
  <si>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</si>
  <si>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</si>
  <si>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</si>
  <si>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</si>
  <si>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</si>
  <si>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</si>
  <si>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</si>
  <si>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</si>
  <si>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</si>
  <si>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</si>
  <si>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</si>
  <si>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</si>
  <si>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</si>
  <si>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</si>
  <si>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</si>
  <si>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</si>
  <si>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</si>
  <si>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</si>
  <si>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</si>
  <si>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</si>
  <si>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</si>
  <si>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</si>
  <si>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</si>
  <si>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</si>
  <si>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</si>
  <si>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</si>
  <si>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</si>
  <si>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</si>
  <si>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</si>
  <si>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</si>
  <si>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</si>
  <si>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</si>
  <si>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</si>
  <si>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</si>
  <si>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</si>
  <si>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</si>
  <si>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</si>
  <si>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</si>
  <si>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</si>
  <si>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</si>
  <si>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</si>
  <si>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</si>
  <si>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</si>
  <si>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</si>
  <si>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</si>
  <si>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</si>
  <si>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</si>
  <si>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</si>
  <si>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</si>
  <si>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</si>
  <si>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</si>
  <si>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</si>
  <si>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</si>
  <si>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</si>
  <si>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</si>
  <si>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</si>
  <si>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</si>
  <si>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</si>
  <si>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</si>
  <si>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</si>
  <si>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</si>
  <si>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</si>
  <si>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</si>
  <si>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</si>
  <si>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</si>
  <si>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</si>
  <si>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</si>
  <si>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</si>
  <si>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</si>
  <si>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</si>
  <si>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</si>
  <si>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</si>
  <si>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</si>
  <si>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</si>
  <si>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</si>
  <si>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</si>
  <si>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</si>
  <si>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</si>
  <si>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</si>
  <si>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</si>
  <si>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</si>
  <si>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</si>
  <si>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</si>
  <si>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</si>
  <si>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</si>
  <si>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</si>
  <si>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</si>
  <si>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</si>
  <si>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</si>
  <si>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</si>
  <si>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</si>
  <si>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</si>
  <si>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</si>
  <si>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</si>
  <si>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</si>
  <si>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</si>
  <si>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</si>
  <si>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</si>
  <si>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</si>
  <si>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</si>
  <si>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</si>
  <si>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</si>
  <si>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</si>
  <si>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</si>
  <si>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</si>
  <si>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</si>
  <si>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</si>
  <si>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</si>
  <si>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</si>
  <si>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</si>
  <si>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</si>
  <si>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</si>
  <si>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</si>
  <si>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</si>
  <si>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</si>
  <si>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</si>
  <si>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</si>
  <si>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</si>
  <si>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</si>
  <si>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</si>
  <si>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</si>
  <si>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</si>
  <si>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</si>
  <si>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</si>
  <si>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</si>
  <si>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</si>
  <si>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</si>
  <si>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</si>
  <si>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</si>
  <si>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</si>
  <si>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</si>
  <si>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</si>
  <si>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</si>
  <si>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</si>
  <si>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</si>
  <si>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</si>
  <si>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</si>
  <si>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</si>
  <si>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</si>
  <si>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</si>
  <si>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</si>
  <si>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</si>
  <si>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</si>
  <si>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</si>
  <si>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</si>
  <si>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</si>
  <si>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</si>
  <si>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</si>
  <si>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</si>
  <si>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</si>
  <si>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</si>
  <si>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</si>
  <si>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</si>
  <si>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</si>
  <si>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</si>
  <si>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</si>
  <si>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</si>
  <si>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</si>
  <si>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</si>
  <si>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30-05-2026 11:34:31</t>
  </si>
  <si>
    <t>LVVDB21B6 PE015130</t>
  </si>
  <si>
    <t>T2GC</t>
  </si>
  <si>
    <t>TCYSTWU000354</t>
  </si>
  <si>
    <t>AE,CC,EE,2AB,ABS,LL,AC,AISO,AAUTO,CRE,MAV,ACD,SR,U</t>
  </si>
  <si>
    <t>SQRD4G15BWNH60485</t>
  </si>
  <si>
    <t>YANETH DUBERLYZ BRAVO SIMANCA</t>
  </si>
  <si>
    <t>30-05-2026 11:34:06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</si>
  <si>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</si>
  <si>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</si>
  <si>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</si>
  <si>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</si>
  <si>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</si>
  <si>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</si>
  <si>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</si>
  <si>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</si>
  <si>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</si>
  <si>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</si>
  <si>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</si>
  <si>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</si>
  <si>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</si>
  <si>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</si>
  <si>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</si>
  <si>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</si>
  <si>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</si>
  <si>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</si>
  <si>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</si>
  <si>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</si>
  <si>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</si>
  <si>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</si>
  <si>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</si>
  <si>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</si>
  <si>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</si>
  <si>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</si>
  <si>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</si>
  <si>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</si>
  <si>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</si>
  <si>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</si>
  <si>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</si>
  <si>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</si>
  <si>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</si>
  <si>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</si>
  <si>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</si>
  <si>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</si>
  <si>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</si>
  <si>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</si>
  <si>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</si>
  <si>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</si>
  <si>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</si>
  <si>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</si>
  <si>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</si>
  <si>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</si>
  <si>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</si>
  <si>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</si>
  <si>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</si>
  <si>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</si>
  <si>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</si>
  <si>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</si>
  <si>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</si>
  <si>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</si>
  <si>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</si>
  <si>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</si>
  <si>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</si>
  <si>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04-06-2026 11:15:24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</si>
  <si>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</si>
  <si>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</si>
  <si>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</si>
  <si>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</si>
  <si>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</si>
  <si>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</si>
  <si>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</si>
  <si>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</si>
  <si>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</si>
  <si>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</si>
  <si>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</si>
  <si>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</si>
  <si>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</si>
  <si>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</si>
  <si>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</si>
  <si>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</si>
  <si>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</si>
  <si>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</si>
  <si>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</si>
  <si>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</si>
  <si>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</si>
  <si>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</si>
  <si>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</si>
  <si>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</si>
  <si>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</si>
  <si>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</si>
  <si>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</si>
  <si>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</si>
  <si>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</si>
  <si>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</si>
  <si>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</si>
  <si>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</si>
  <si>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</si>
  <si>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</si>
  <si>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</si>
  <si>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</si>
  <si>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</si>
  <si>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</si>
  <si>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</si>
  <si>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</si>
  <si>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</si>
  <si>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</si>
  <si>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</si>
  <si>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</si>
  <si>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</si>
  <si>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</si>
  <si>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</si>
  <si>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</si>
  <si>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</si>
  <si>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</si>
  <si>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</si>
  <si>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</si>
  <si>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</si>
  <si>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</si>
  <si>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</si>
  <si>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</si>
  <si>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</si>
  <si>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</si>
  <si>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</si>
  <si>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</si>
  <si>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</si>
  <si>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</si>
  <si>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</si>
  <si>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</si>
  <si>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</si>
  <si>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</si>
  <si>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</si>
  <si>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</si>
  <si>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</si>
  <si>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</si>
  <si>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</si>
  <si>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</si>
  <si>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</si>
  <si>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</si>
  <si>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</si>
  <si>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</si>
  <si>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</si>
  <si>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</si>
  <si>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</si>
  <si>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</si>
  <si>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</si>
  <si>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</si>
  <si>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</si>
  <si>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</si>
  <si>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</si>
  <si>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</si>
  <si>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</si>
  <si>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</si>
  <si>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</si>
  <si>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</si>
  <si>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</si>
  <si>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</si>
  <si>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</si>
  <si>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</si>
  <si>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</si>
  <si>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</si>
  <si>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</si>
  <si>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</si>
  <si>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</si>
  <si>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</si>
  <si>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</si>
  <si>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</si>
  <si>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</si>
  <si>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</si>
  <si>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</si>
  <si>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</si>
  <si>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</si>
  <si>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</si>
  <si>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</si>
  <si>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</si>
  <si>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</si>
  <si>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</si>
  <si>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</si>
  <si>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</si>
  <si>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</si>
  <si>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</si>
  <si>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</si>
  <si>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</si>
  <si>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</si>
  <si>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</si>
  <si>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</si>
  <si>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</si>
  <si>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</si>
  <si>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</si>
  <si>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</si>
  <si>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</si>
  <si>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</si>
  <si>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</si>
  <si>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</si>
  <si>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</si>
  <si>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</si>
  <si>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</si>
  <si>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</si>
  <si>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</si>
  <si>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</si>
  <si>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</si>
  <si>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</si>
  <si>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</si>
  <si>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</si>
  <si>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</si>
  <si>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</si>
  <si>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</si>
  <si>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</si>
  <si>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</si>
  <si>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</si>
  <si>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</si>
  <si>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</si>
  <si>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</si>
  <si>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</si>
  <si>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</si>
  <si>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</si>
  <si>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</si>
  <si>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</si>
  <si>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</si>
  <si>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</si>
  <si>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</si>
  <si>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</si>
  <si>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</si>
  <si>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</si>
  <si>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</si>
  <si>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</si>
  <si>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</si>
  <si>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</si>
  <si>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</si>
  <si>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</si>
  <si>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</si>
  <si>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</si>
  <si>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</si>
  <si>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</si>
  <si>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</si>
  <si>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</si>
  <si>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</si>
  <si>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</si>
  <si>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</si>
  <si>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</si>
  <si>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</si>
  <si>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</si>
  <si>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</si>
  <si>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</si>
  <si>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</si>
  <si>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</si>
  <si>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</si>
  <si>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</si>
  <si>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</si>
  <si>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</si>
  <si>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</si>
  <si>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</si>
  <si>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</si>
  <si>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</si>
  <si>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</si>
  <si>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</si>
  <si>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</si>
  <si>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</si>
  <si>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</si>
  <si>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</si>
  <si>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</si>
  <si>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</si>
  <si>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</si>
  <si>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</si>
  <si>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</si>
  <si>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</si>
  <si>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</si>
  <si>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</si>
  <si>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</si>
  <si>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</si>
  <si>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</si>
  <si>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</si>
  <si>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</si>
  <si>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</si>
  <si>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</si>
  <si>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</si>
  <si>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</si>
  <si>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</si>
  <si>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</si>
  <si>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</si>
  <si>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</si>
  <si>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</si>
  <si>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</si>
  <si>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</si>
  <si>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</si>
  <si>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</si>
  <si>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</si>
  <si>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</si>
  <si>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</si>
  <si>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</si>
  <si>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</si>
  <si>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</si>
  <si>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</si>
  <si>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</si>
  <si>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</si>
  <si>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</si>
  <si>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</si>
  <si>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</si>
  <si>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</si>
  <si>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</si>
  <si>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</si>
  <si>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</si>
  <si>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BLANCO DIAMANTE</t>
  </si>
  <si>
    <t>09-06-2026 0:00:00</t>
  </si>
  <si>
    <t>KM7000</t>
  </si>
  <si>
    <t>IBAR RODRIGO MANZANO REQUENA</t>
  </si>
  <si>
    <t>01-06-2026 17:30:09</t>
  </si>
  <si>
    <t>MMBGJKR10NH010717</t>
  </si>
  <si>
    <t>TMISTWU000374</t>
  </si>
  <si>
    <t>4N15 UJD6131</t>
  </si>
  <si>
    <t>01-06-2026 17:29:47</t>
  </si>
  <si>
    <t>AE,CC,EE,AAC,ABS,LL,4AB,AISO,AAUTO,MAV,ACD,SR,DLL</t>
  </si>
  <si>
    <t>HYUI20BI3</t>
  </si>
  <si>
    <t>09-06-2026 11:19:08</t>
  </si>
  <si>
    <t>/////+/**//++*...</t>
  </si>
  <si>
    <t>THYAUTU000586</t>
  </si>
  <si>
    <t>ROJO TECHO NEGRO</t>
  </si>
  <si>
    <t>G4LCPU846573</t>
  </si>
  <si>
    <t>MALBG513A RM224860</t>
  </si>
  <si>
    <t>JUAN MANUEL ROJAS PIZARRO</t>
  </si>
  <si>
    <t>09-06-2026 11:18:24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</si>
  <si>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</si>
  <si>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</si>
  <si>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</si>
  <si>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</si>
  <si>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</si>
  <si>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</si>
  <si>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</si>
  <si>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</si>
  <si>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</si>
  <si>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</si>
  <si>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</si>
  <si>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</si>
  <si>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</si>
  <si>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</si>
  <si>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</si>
  <si>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</si>
  <si>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</si>
  <si>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</si>
  <si>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</si>
  <si>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</si>
  <si>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</si>
  <si>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</si>
  <si>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</si>
  <si>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</si>
  <si>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</si>
  <si>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</si>
  <si>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</si>
  <si>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</si>
  <si>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</si>
  <si>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</si>
  <si>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</si>
  <si>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</si>
  <si>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</si>
  <si>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</si>
  <si>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</si>
  <si>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</si>
  <si>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</si>
  <si>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</si>
  <si>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</si>
  <si>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</si>
  <si>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</si>
  <si>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</si>
  <si>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</si>
  <si>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</si>
  <si>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</si>
  <si>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</si>
  <si>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</si>
  <si>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</si>
  <si>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</si>
  <si>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</si>
  <si>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</si>
  <si>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</si>
  <si>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</si>
  <si>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</si>
  <si>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</si>
  <si>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</si>
  <si>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</si>
  <si>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</si>
  <si>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</si>
  <si>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</si>
  <si>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</si>
  <si>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</si>
  <si>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</si>
  <si>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</si>
  <si>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</si>
  <si>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</si>
  <si>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</si>
  <si>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</si>
  <si>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</si>
  <si>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</si>
  <si>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</si>
  <si>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</si>
  <si>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</si>
  <si>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</si>
  <si>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</si>
  <si>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</si>
  <si>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LOCAL VALLENAR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</si>
  <si>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</si>
  <si>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</si>
  <si>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</si>
  <si>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</si>
  <si>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</si>
  <si>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</si>
  <si>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</si>
  <si>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</si>
  <si>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</si>
  <si>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</si>
  <si>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</si>
  <si>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</si>
  <si>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</si>
  <si>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</si>
  <si>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</si>
  <si>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</si>
  <si>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</si>
  <si>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</si>
  <si>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</si>
  <si>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</si>
  <si>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</si>
  <si>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</si>
  <si>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</si>
  <si>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</si>
  <si>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</si>
  <si>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</si>
  <si>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</si>
  <si>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</si>
  <si>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</si>
  <si>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</si>
  <si>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</si>
  <si>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03-08-2022 14:52:06</t>
  </si>
  <si>
    <t>***//*.+*********</t>
  </si>
  <si>
    <t>JUKE 1.6 AUT</t>
  </si>
  <si>
    <t>22--010</t>
  </si>
  <si>
    <t>TNISTWU000449</t>
  </si>
  <si>
    <t>HR16411356R</t>
  </si>
  <si>
    <t>SJNFBAF15GA090279</t>
  </si>
  <si>
    <t>SERGIO H OLIVARES ORTIZ  Y CIA LTDA</t>
  </si>
  <si>
    <t>23-03-2026 0:00:00</t>
  </si>
  <si>
    <t>03-08-2022 0:00:00</t>
  </si>
  <si>
    <t>30-03-2026 8:51:48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</si>
</sst>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85.415506481484" refreshedVersion="8" recordCount="128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4">
        <s v="BAIC"/>
        <s v="HYUNDAI"/>
        <s v="PEUGEOT"/>
        <s v="CHERY"/>
        <s v="NISSAN"/>
        <s v="JEEP"/>
        <s v="CITROEN"/>
        <s v="FORD"/>
        <s v="VOLKSWAGEN"/>
        <s v="SSANGYONG"/>
        <s v="DFSK"/>
        <s v="KIA MOTORS"/>
        <s v="OMODA"/>
        <s v="JAECOO"/>
        <s v="MITSUBISHI"/>
        <s v="MAZDA"/>
        <s v="EXEED BORN FOR MORE"/>
        <s v="HAVAL"/>
        <s v="CHANGAN"/>
        <s v="GREAT WALL"/>
        <s v="SUBARU"/>
        <s v="RAM"/>
        <s v="CHEVROLET"/>
        <s v="BYD"/>
        <s v="MG"/>
        <s v="AUDI"/>
        <s v="RENAULT"/>
        <s v="ZX AUTO"/>
        <s v="JAC"/>
        <s v="SUZUKI"/>
        <s v="MAHINDRA"/>
        <s v="TOYOTA"/>
        <m/>
        <s v="BMW" u="1"/>
        <s v="OPEL" u="1"/>
        <s v="FIAT" u="1"/>
        <s v="JETOUR" u="1"/>
        <s v="HONDA" u="1"/>
        <s v="JMC" u="1"/>
        <s v="MAXUS" u="1"/>
        <s v="VOLVO" u="1"/>
        <s v="DODGE" u="1"/>
        <s v="GAC" u="1"/>
        <s v="DFM" u="1"/>
      </sharedItems>
    </cacheField>
    <cacheField name="Modelo" numFmtId="0">
      <sharedItems containsBlank="1" containsMixedTypes="1" containsNumber="1" containsInteger="1" minValue="7" maxValue="5008" count="84">
        <s v="X55"/>
        <s v="HYUNDAI"/>
        <s v="3008"/>
        <s v="TIGGO 7 PRO"/>
        <s v="URVAN"/>
        <s v="COMPASS"/>
        <s v="XTRAIL"/>
        <s v="C5"/>
        <s v="F-150"/>
        <s v="ESCAPE"/>
        <s v="RANGER"/>
        <s v="TIGGO 8"/>
        <s v="GRAND CHEROKEE"/>
        <s v="AMAROK"/>
        <s v="REXTON"/>
        <s v="DFSK"/>
        <s v="SPORTAGE"/>
        <s v="7"/>
        <s v="OUTLANDER"/>
        <s v="RIO"/>
        <s v="LANDTREK"/>
        <s v="CX-30"/>
        <s v="VX"/>
        <s v="TERRITORY"/>
        <s v="JOLION"/>
        <s v="MONTERO"/>
        <s v="QASHQAI"/>
        <s v="5008"/>
        <s v="600"/>
        <s v="CHANGAN"/>
        <s v="C3"/>
        <s v="SENTRA"/>
        <s v="2008"/>
        <s v="500"/>
        <s v="NIRO"/>
        <s v="POER"/>
        <s v="EDGE"/>
        <s v="FORESTER"/>
        <s v="RAM 1500"/>
        <s v="PATHFINDER"/>
        <s v="SILVERADO"/>
        <s v="PICK UP D1"/>
        <s v="ARRIZO 5"/>
        <s v="PARTNER"/>
        <s v="560"/>
        <s v="RAMPAGE"/>
        <s v="TIGGO 2"/>
        <s v="TIGGO 2 PRO MAX"/>
        <s v="MORNING"/>
        <s v="SORENTO"/>
        <s v="NIVUS"/>
        <s v="CAPTIVA"/>
        <s v="CX-60"/>
        <s v="STARIA"/>
        <s v="SHARK DMO"/>
        <s v="MGZX"/>
        <s v="SONG PLUS DM-i"/>
        <s v="LX"/>
        <s v="TRACKER"/>
        <s v="VERSA"/>
        <s v="Q3"/>
        <s v="RENAULT"/>
        <s v="TERRALORD"/>
        <s v="T8"/>
        <s v="KORANDO"/>
        <s v="EXPLORER"/>
        <s v="GRAND NOMADE"/>
        <s v="TIGGO 3"/>
        <s v="MAHINDRA"/>
        <s v="FRONTIER"/>
        <s v="JUKE"/>
        <s v="TIGGO 3 PRO"/>
        <s v="SAVEIRO"/>
        <s v="COROLLA"/>
        <s v="JS4"/>
        <s v="TORRES"/>
        <s v="TAHOE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452">
        <s v="X55 4X2 1.5 AUT"/>
        <s v="SANTA FE MX5 GDI 2.5 AUT"/>
        <s v="3008 PURETECH 1.2L"/>
        <s v="GRAND I10 BA GLS 1.5"/>
        <s v="TIGGO 7 GLX CVT PRO 1.5 AUT"/>
        <s v="URVAN 4X2 2.5"/>
        <s v="ALL NEW COMPASS SPORT LX 2.4"/>
        <s v="X TRAIL 4X2 7P CVT 2.5"/>
        <s v="C5 AIRCROSS 1.5 AUT"/>
        <s v="F150 PLATINUM 4X4 3.5 AUT"/>
        <s v="ESCAPE FHEV 2.5 AUT"/>
        <s v="RANGER XLT 2.5"/>
        <s v="TIGGO 8 1.5"/>
        <s v="GRAND CHEROKEE LAREDO 4X4 3.0 AUT"/>
        <s v="AMAROK DCAB TDI DOHC 4X4 2.0 AUT"/>
        <s v="REXTON 2.0"/>
        <s v="CARGO BOX XL 1.3"/>
        <s v="SPORTAGE LX 4X4 2.0 AUT"/>
        <s v="C5 1.5 AUT"/>
        <s v="RANGER LTD 4X4 3.0 AUT"/>
        <s v="7 DCT FWD 1.6 AUT"/>
        <s v="OUTLANDER GLS 4X4 2.5 AT"/>
        <s v="RIO 5 6MT 1.4"/>
        <s v="LANDTREK BLUEHDI 4X4 2.2 AUT"/>
        <s v="CX30 4X2 2.0 AUT"/>
        <s v="VX UNLIMITED 4X4 2.0 AUT"/>
        <s v="TERRITORY 1.5 AUT"/>
        <s v="TUCSON NX4 2.0 AUT"/>
        <s v="JOLION TURBO DCT 1.5 AUT"/>
        <s v="SANTA FE MX5 GDI 4X4 2.5 AUT"/>
        <s v="MONTERO SPORT 2.4"/>
        <s v="3008 ALLURE 1.6 AT"/>
        <s v="I20 BI3 1.4"/>
        <s v="QASHQAI TURBO 1.3"/>
        <s v="RANGER XLT 4X4 2.0"/>
        <s v="5008 BLUEHDI 130 1.5 AUT"/>
        <s v="3008 ALLURE 1.2 AUT"/>
        <s v="600 PHEV 4X2 1.5 AUT"/>
        <s v="CX70 T 1.5 AUT"/>
        <s v="C3 AIRCROSS 1.2 AUT"/>
        <s v="SENTRA 1.8 AT"/>
        <s v="SPORTAGE EX 2.0 AUT"/>
        <s v="2008 ACTIVE 130 1.2"/>
        <s v="500 1.5 CVT"/>
        <s v="NIRO HEV DCT GDI 1.6 AUT"/>
        <s v="F150 RAPTOR 4X4 3.5 AUT"/>
        <s v="OUTLANDER GL 2.5 AUT"/>
        <s v="POER 4X2 MT 2.0"/>
        <s v="X TRAIL CVT 2.5 AT"/>
        <s v="EDGE AWD 2.0 CVT"/>
        <s v="RANGER XLS 2.0"/>
        <s v="7 DCT 1.6 AUT"/>
        <s v="FORESTER 4X4 2.0 AT"/>
        <s v="F150 XLT 4X4 5.0L AUT"/>
        <s v="5008 PURETECH 180 EAT8 1.6 AUT"/>
        <s v="RAMPAGE DS LARAMIE 4X4 2.0 AUT"/>
        <s v="PATHFINDER R53 4X4 3.5 AUT"/>
        <s v="SILVERADO CC LTZ 4X4 3.0 AUT"/>
        <s v="RANGER RAPTOR 4X4 3.0 AT"/>
        <s v="3008 BLUE HDI HP 1.5 AUT"/>
        <s v="D1 LUXURY 4X4 2.3"/>
        <s v="ESCAPE 4X4 2.0 AUT"/>
        <s v="ARRIZO 5 1.5"/>
        <s v="3008 ACTIVE 1.6"/>
        <s v="PARTNER BLUEHDI 1.5"/>
        <s v="TERRITORY TITANIUM 4X2 1.5 AUT"/>
        <s v="SUV 560 4X2 1.8"/>
        <s v="EDGE SEL 4X4 2.0 AUT"/>
        <s v="JOLION 4X2 1.5"/>
        <s v="RAMPAGE DS BIGHORN 4X4 2.0 AUT"/>
        <s v="TIGGO 2 GLS CVT 1.5 AUT"/>
        <s v="3008 THP 165HP 1.6 AUT"/>
        <s v="TIGGO 2 PRO MAX GL 1.5"/>
        <s v="MORNING LX 1.0"/>
        <s v="COMPASS LIMITED 4X2 1.3 AUT"/>
        <s v="SORENTO 8DCT 4WD 2.2 AUT"/>
        <s v="1500 REBEL CREW DCAB 4X4 5.7 AUT"/>
        <s v="NIVUS TSI 1.0 AUT"/>
        <s v="CAPTIVA LS 2.4 AT"/>
        <s v="CX60 PREMIUM SPORT 4X4 3.3 AUT"/>
        <s v="SUV 560 OTTO 1.8"/>
        <s v="US4 CRDI 6MT 2.2"/>
        <s v="LANDTREK 1.9"/>
        <s v="SHARK 1.5 AUT"/>
        <s v="ZX 1.5"/>
        <s v="SONG PLUS 4X2 1.5 AUT"/>
        <s v="F150 LARIAT LUXURY 4X4 5.0L AUT"/>
        <s v="LX ADVANCED 1.5 AUT"/>
        <s v="TRACKER 1.2T"/>
        <s v="VERSA CVT 1.6 AUT"/>
        <s v="Q3 35 TFSI 1.4 AUT"/>
        <s v="DUSTER ZEN 1.6"/>
        <s v="TERRALORD DCAB DLX 2.5"/>
        <s v="ACCENT 1.5"/>
        <s v="T8 PRO TM 4X4 2.0"/>
        <s v="NEW KORANDO 1.6"/>
        <s v="1500 CREW CAB SPORT DCAB 4X4 3.6 AT"/>
        <s v="EXPLORER LTD 4X4 2.3 AUT"/>
        <s v="GRAND NOMADE GLX 2.4 AUT"/>
        <s v="TIGGO 3 1.5"/>
        <s v="RANGER RAPTOR 4X4 2.0 AUT"/>
        <s v="KUV 100 HATCH BACK 1.2"/>
        <s v="F150 LARIAT 4X4 5.0 AT"/>
        <s v="FRONTIER C/C 2.5 6MT"/>
        <s v="JUKE 1.6 AUT"/>
        <s v="TIGGO 3 PRO GLS 1.5 AUT"/>
        <s v="SAVEIRO CD 4X2 1.6"/>
        <s v="COROLLA CROSS HEV 1.8 AUT"/>
        <s v="JS4 LUXURY HB 1.5"/>
        <s v="TORRES 4X2 1.5"/>
        <s v="TAHOE 4X4 5.3 AUT"/>
        <m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LANDTREK 4X4 1.9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EXPLORER 2WD 2.3 AUT" u="1"/>
        <s v="NEW CX 5 R 2.0" u="1"/>
        <s v="3008 ALLURE BLUEHDI 1.5 AT" u="1"/>
        <s v="CAPTIVA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4 6MT 1.4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2008 PURETECH 130 1.2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SOLUTO MPI 1.4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MAVERICK LARIAT BLACK 4X4 2.0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GS4 POWER 1.5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ANGER XLT 4X4 2.0 AUT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2008 PURETECH 130 EAT8 1.2 AUT" u="1"/>
        <s v="2008 ALLURE 130 1.2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SPIN 1.8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ECOSPORT FREESTYLE 1.5" u="1"/>
        <s v="C5 1.5T CVT Luxury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6">
        <n v="2024"/>
        <n v="2023"/>
        <n v="2020"/>
        <n v="2022"/>
        <n v="2018"/>
        <n v="2025"/>
        <n v="2013"/>
        <n v="2015"/>
        <n v="2014"/>
        <n v="2021"/>
        <n v="2026"/>
        <n v="2019"/>
        <n v="2017"/>
        <n v="2016"/>
        <m/>
        <n v="2005" u="1"/>
      </sharedItems>
    </cacheField>
    <cacheField name="Kilometraje" numFmtId="0">
      <sharedItems containsString="0" containsBlank="1" containsNumber="1" containsInteger="1" minValue="0" maxValue="169000" count="412">
        <n v="12238"/>
        <n v="58500"/>
        <n v="18500"/>
        <n v="61894"/>
        <n v="56079"/>
        <n v="71248"/>
        <n v="105000"/>
        <n v="19000"/>
        <n v="96150"/>
        <n v="15893"/>
        <n v="80000"/>
        <n v="70000"/>
        <n v="30000"/>
        <n v="160000"/>
        <n v="15600"/>
        <n v="169000"/>
        <n v="0"/>
        <n v="83000"/>
        <n v="1905"/>
        <n v="69690"/>
        <n v="7500"/>
        <n v="13500"/>
        <n v="52000"/>
        <n v="39280"/>
        <n v="29570"/>
        <n v="39700"/>
        <n v="44200"/>
        <n v="10200"/>
        <n v="26963"/>
        <n v="25840"/>
        <n v="58239"/>
        <n v="17000"/>
        <n v="67096"/>
        <n v="120000"/>
        <n v="24756"/>
        <n v="45000"/>
        <n v="40100"/>
        <n v="77000"/>
        <n v="4687"/>
        <n v="598"/>
        <n v="75000"/>
        <n v="72580"/>
        <n v="96000"/>
        <n v="43000"/>
        <n v="81000"/>
        <n v="22000"/>
        <n v="6443"/>
        <n v="44000"/>
        <n v="41227"/>
        <n v="5000"/>
        <n v="34500"/>
        <n v="12000"/>
        <n v="76000"/>
        <n v="13800"/>
        <n v="28000"/>
        <n v="16869"/>
        <n v="35000"/>
        <n v="44495"/>
        <n v="30900"/>
        <n v="31000"/>
        <n v="37000"/>
        <n v="66252"/>
        <n v="66000"/>
        <n v="95984"/>
        <n v="15700"/>
        <n v="5800"/>
        <n v="14300"/>
        <n v="31487"/>
        <n v="55000"/>
        <n v="32387"/>
        <n v="54200"/>
        <n v="25200"/>
        <n v="25000"/>
        <n v="38173"/>
        <n v="50000"/>
        <n v="45360"/>
        <n v="63000"/>
        <n v="72237"/>
        <n v="66999"/>
        <n v="41520"/>
        <n v="19678"/>
        <n v="75442"/>
        <n v="67000"/>
        <n v="20000"/>
        <n v="18000"/>
        <n v="47500"/>
        <n v="33420"/>
        <n v="85390"/>
        <n v="95000"/>
        <n v="58000"/>
        <n v="7193"/>
        <n v="40695"/>
        <n v="6400"/>
        <n v="45836"/>
        <n v="97261"/>
        <n v="33892"/>
        <n v="84600"/>
        <n v="40095"/>
        <n v="114000"/>
        <n v="111255"/>
        <n v="96083"/>
        <n v="22255"/>
        <n v="31107"/>
        <n v="4950"/>
        <n v="8249"/>
        <n v="35150"/>
        <n v="85300"/>
        <m/>
        <n v="1710" u="1"/>
        <n v="79000" u="1"/>
        <n v="51777" u="1"/>
        <n v="4000" u="1"/>
        <n v="3361" u="1"/>
        <n v="1665" u="1"/>
        <n v="6300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210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080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2150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596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636">
        <s v="TSZD67"/>
        <s v="THXK86"/>
        <s v="SVGL34"/>
        <s v="PBXX58"/>
        <s v="RVRD47"/>
        <s v="STYG35"/>
        <s v="KSRT45"/>
        <s v="SXHW25"/>
        <s v="LVWV64"/>
        <s v="TGVH34"/>
        <s v="SKSZ29"/>
        <s v="RVKK81"/>
        <s v="RSJD48"/>
        <s v="FHRL53"/>
        <s v="SRHZ99"/>
        <s v="GLRH21"/>
        <s v="FZPL98"/>
        <s v="FWLT41"/>
        <s v="TSSG86"/>
        <s v="TJSK30"/>
        <s v="VDWK12"/>
        <s v="VDFP78"/>
        <s v="TJSK11"/>
        <s v="SVRS43"/>
        <s v="TFGP78"/>
        <s v="VBWR52"/>
        <s v="TSYX31"/>
        <s v="TYFD45"/>
        <s v="PJDC98"/>
        <s v="SZTF51"/>
        <s v="RSTC22"/>
        <s v="TTVD23"/>
        <s v="SDKF65"/>
        <s v="JXGC32"/>
        <s v="SWTR87"/>
        <s v="SFLX53"/>
        <s v="THRJ79"/>
        <s v="PZTS12"/>
        <s v="TZTC96"/>
        <s v="GBDZ38"/>
        <s v="VRHP15"/>
        <s v="RXCG78"/>
        <s v="LPXJ44"/>
        <s v="PDBJ62"/>
        <s v="SDKG61"/>
        <s v="SBLD74"/>
        <s v="TBJJ46"/>
        <s v="TSYY69"/>
        <s v="VFTG62"/>
        <s v="THXP99"/>
        <s v="LYPC19"/>
        <s v="SLWH28"/>
        <s v="TPJF75"/>
        <s v="SCGS32"/>
        <s v="TFFD89"/>
        <s v="SYPL90"/>
        <s v="VGPT64"/>
        <s v="TPCS18"/>
        <s v="TKHS25"/>
        <s v="SRWC14"/>
        <s v="VFSF65"/>
        <s v="TKHL16"/>
        <s v="SJDW14"/>
        <s v="TFDC75"/>
        <s v="LVCS57"/>
        <s v="TTVT92"/>
        <s v="JXDK27"/>
        <s v="KZKL71"/>
        <s v="JYBF33"/>
        <s v="VDBP55"/>
        <s v="TSSB38"/>
        <s v="VDBK98"/>
        <s v="STBT82"/>
        <s v="PCDV84"/>
        <s v="SYDR45"/>
        <s v="TZHS55"/>
        <s v="SJVT25"/>
        <s v="RRWP38"/>
        <s v="SPZB83"/>
        <s v="TSZC51"/>
        <s v="FZPL81"/>
        <s v="SDPF24"/>
        <s v="TSYZ42"/>
        <s v="TRBJ23"/>
        <s v="SWBW23"/>
        <s v="RXYT46"/>
        <s v="SFLW13"/>
        <s v="SWBW81"/>
        <s v="JHSK67"/>
        <s v="TSPX19"/>
        <s v="SSTB40"/>
        <s v="RXXW40"/>
        <s v="SHDG76"/>
        <s v="TGVF52"/>
        <s v="THCY49"/>
        <s v="TJDC55"/>
        <s v="PSTV42"/>
        <s v="SZTL17"/>
        <s v="SBWS64"/>
        <s v="RBJH77"/>
        <s v="RXRX10"/>
        <s v="LPXF73"/>
        <s v="RDWB83"/>
        <s v="TTXB96"/>
        <s v="SSVL57"/>
        <s v="VJTS35"/>
        <s v="PKBJ31"/>
        <s v="SXTX58"/>
        <s v="LVWS91"/>
        <s v="SHLW33"/>
        <s v="SJKL16"/>
        <s v="LSZV62"/>
        <s v="LBVT54"/>
        <s v="TSZC89"/>
        <s v="RBZD91"/>
        <s v="SFTZ65"/>
        <s v="RGLK10"/>
        <s v="PKTZ57"/>
        <s v="HKVZ15"/>
        <s v="HHYB74"/>
        <s v="VKCY97"/>
        <s v="TFGS79"/>
        <s v="VGWR39"/>
        <s v="TDKL17"/>
        <s v="TLRS70"/>
        <s v="PDBT76"/>
        <m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THHH27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VKBH32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SYDS69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PKZB80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3490000" maxValue="55990000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391" count="265">
        <n v="7"/>
        <n v="156"/>
        <n v="36"/>
        <n v="74"/>
        <n v="128"/>
        <n v="13"/>
        <n v="127"/>
        <n v="529"/>
        <n v="9"/>
        <n v="114"/>
        <n v="86"/>
        <n v="1465"/>
        <n v="773"/>
        <n v="1550"/>
        <n v="4384"/>
        <n v="2275"/>
        <n v="465"/>
        <n v="261"/>
        <n v="104"/>
        <n v="37"/>
        <n v="18"/>
        <n v="67"/>
        <n v="44"/>
        <n v="214"/>
        <n v="1232"/>
        <n v="51"/>
        <n v="43"/>
        <n v="252"/>
        <n v="11"/>
        <n v="1576"/>
        <n v="3"/>
        <n v="196"/>
        <n v="253"/>
        <n v="4391"/>
        <n v="39"/>
        <n v="49"/>
        <n v="135"/>
        <n v="45"/>
        <n v="21"/>
        <n v="25"/>
        <n v="225"/>
        <n v="30"/>
        <n v="757"/>
        <n v="175"/>
        <n v="16"/>
        <n v="318"/>
        <n v="126"/>
        <n v="232"/>
        <n v="1502"/>
        <n v="4"/>
        <n v="161"/>
        <n v="2"/>
        <n v="1186"/>
        <n v="409"/>
        <n v="195"/>
        <n v="2859"/>
        <n v="255"/>
        <n v="283"/>
        <n v="141"/>
        <n v="211"/>
        <n v="289"/>
        <n v="288"/>
        <n v="155"/>
        <n v="372"/>
        <n v="322"/>
        <n v="8"/>
        <n v="273"/>
        <n v="332"/>
        <n v="378"/>
        <n v="171"/>
        <n v="72"/>
        <n v="233"/>
        <n v="109"/>
        <n v="164"/>
        <n v="189"/>
        <n v="3868"/>
        <n v="81"/>
        <n v="27"/>
        <m/>
        <n v="316" u="1"/>
        <n v="223" u="1"/>
        <n v="230" u="1"/>
        <n v="70" u="1"/>
        <n v="23" u="1"/>
        <n v="102" u="1"/>
        <n v="281" u="1"/>
        <n v="41" u="1"/>
        <n v="14" u="1"/>
        <n v="19" u="1"/>
        <n v="463" u="1"/>
        <n v="42" u="1"/>
        <n v="124" u="1"/>
        <n v="169" u="1"/>
        <n v="159" u="1"/>
        <n v="65" u="1"/>
        <n v="330" u="1"/>
        <n v="259" u="1"/>
        <n v="125" u="1"/>
        <n v="1184" u="1"/>
        <n v="153" u="1"/>
        <n v="133" u="1"/>
        <n v="34" u="1"/>
        <n v="28" u="1"/>
        <n v="407" u="1"/>
        <n v="47" u="1"/>
        <n v="231" u="1"/>
        <n v="194" u="1"/>
        <n v="5" u="1"/>
        <n v="755" u="1"/>
        <n v="173" u="1"/>
        <n v="376" u="1"/>
        <n v="84" u="1"/>
        <n v="112" u="1"/>
        <n v="251" u="1"/>
        <n v="1230" u="1"/>
        <n v="250" u="1"/>
        <n v="162" u="1"/>
        <n v="1" u="1"/>
        <n v="527" u="1"/>
        <n v="271" u="1"/>
        <n v="35" u="1"/>
        <n v="286" u="1"/>
        <n v="107" u="1"/>
        <n v="154" u="1"/>
        <n v="212" u="1"/>
        <n v="193" u="1"/>
        <n v="209" u="1"/>
        <n v="320" u="1"/>
        <n v="139" u="1"/>
        <n v="771" u="1"/>
        <n v="370" u="1"/>
        <n v="187" u="1"/>
        <n v="6" u="1"/>
        <n v="287" u="1"/>
        <n v="88" u="1"/>
        <n v="33" u="1"/>
        <n v="10" u="1"/>
        <n v="0" u="1"/>
        <n v="111" u="1"/>
        <n v="105" u="1"/>
        <n v="29" u="1"/>
        <n v="83" u="1"/>
        <n v="131" u="1"/>
        <n v="31" u="1"/>
        <n v="46" u="1"/>
        <n v="160" u="1"/>
        <n v="60" u="1"/>
        <n v="101" u="1"/>
        <n v="26" u="1"/>
        <n v="15" u="1"/>
        <n v="32" u="1"/>
        <n v="12" u="1"/>
        <n v="17" u="1"/>
        <n v="157" u="1"/>
        <n v="94" u="1"/>
        <n v="40" u="1"/>
        <n v="354" u="1"/>
        <n v="71" u="1"/>
        <n v="110" u="1"/>
        <n v="55" u="1"/>
        <n v="98" u="1"/>
        <n v="119" u="1"/>
        <n v="22" u="1"/>
        <n v="416" u="1"/>
        <n v="20" u="1"/>
        <n v="50" u="1"/>
        <n v="24" u="1"/>
        <n v="118" u="1"/>
        <n v="310" u="1"/>
        <n v="176" u="1"/>
        <n v="113" u="1"/>
        <n v="695" u="1"/>
        <n v="52" u="1"/>
        <n v="147" u="1"/>
        <n v="183" u="1"/>
        <n v="270" u="1"/>
        <n v="260" u="1"/>
        <n v="167" u="1"/>
        <n v="93" u="1"/>
        <n v="130" u="1"/>
        <n v="115" u="1"/>
        <n v="63" u="1"/>
        <n v="87" u="1"/>
        <n v="204" u="1"/>
        <n v="166" u="1"/>
        <n v="61" u="1"/>
        <n v="85" u="1"/>
        <n v="136" u="1"/>
        <n v="238" u="1"/>
        <n v="48" u="1"/>
        <n v="58" u="1"/>
        <n v="170" u="1"/>
        <n v="184" u="1"/>
        <n v="82" u="1"/>
        <n v="56" u="1"/>
        <n v="38" u="1"/>
        <n v="249" u="1"/>
        <n v="266" u="1"/>
        <n v="274" u="1"/>
        <n v="181" u="1"/>
        <n v="140" u="1"/>
        <n v="89" u="1"/>
        <n v="1055" u="1"/>
        <n v="178" u="1"/>
        <n v="66" u="1"/>
        <n v="79" u="1"/>
        <n v="198" u="1"/>
        <n v="222" u="1"/>
        <n v="617" u="1"/>
        <n v="149" u="1"/>
        <n v="152" u="1"/>
        <n v="62" u="1"/>
        <n v="75" u="1"/>
        <n v="264" u="1"/>
        <n v="57" u="1"/>
        <n v="340" u="1"/>
        <n v="247" u="1"/>
        <n v="146" u="1"/>
        <n v="342" u="1"/>
        <n v="190" u="1"/>
        <n v="143" u="1"/>
        <n v="886" u="1"/>
        <n v="417" u="1"/>
        <n v="99" u="1"/>
        <n v="80" u="1"/>
        <n v="132" u="1"/>
        <n v="246" u="1"/>
        <n v="90" u="1"/>
        <n v="1462" u="1"/>
        <n v="2272" u="1"/>
        <n v="2856" u="1"/>
        <n v="280" u="1"/>
        <n v="186" u="1"/>
        <n v="315" u="1"/>
        <n v="369" u="1"/>
        <n v="3865" u="1"/>
        <n v="158" u="1"/>
        <n v="1229" u="1"/>
        <n v="208" u="1"/>
        <n v="69" u="1"/>
        <n v="106" u="1"/>
        <n v="1547" u="1"/>
        <n v="123" u="1"/>
        <n v="1573" u="1"/>
        <n v="526" u="1"/>
        <n v="462" u="1"/>
        <n v="258" u="1"/>
        <n v="329" u="1"/>
        <n v="229" u="1"/>
        <n v="192" u="1"/>
        <n v="4381" u="1"/>
        <n v="64" u="1"/>
        <n v="1499" u="1"/>
        <n v="172" u="1"/>
        <n v="4388" u="1"/>
        <n v="375" u="1"/>
        <n v="754" u="1"/>
        <n v="78" u="1"/>
        <n v="406" u="1"/>
        <n v="1183" u="1"/>
        <n v="285" u="1"/>
        <n v="168" u="1"/>
        <n v="138" u="1"/>
        <n v="319" u="1"/>
        <n v="770" u="1"/>
      </sharedItems>
    </cacheField>
    <cacheField name="Estado Dealer" numFmtId="0">
      <sharedItems containsBlank="1" count="11">
        <s v="EN PREPARACION"/>
        <s v="DISPONIBLE"/>
        <s v="EN TALLER"/>
        <s v="NO DISPONIBLE"/>
        <s v="VEHICULO USO DE SERVICIO"/>
        <s v="USO GERENCIA"/>
        <s v="CON PRENDA"/>
        <s v="EN RESCILIACION"/>
        <s v="VEHICULO EMPRESA"/>
        <s v="EN TALLER EXTERNO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60226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48000000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812732" maxValue="48846030"/>
    </cacheField>
    <cacheField name="Precio Lista" numFmtId="0">
      <sharedItems containsString="0" containsBlank="1" containsNumber="1" containsInteger="1" minValue="3490000" maxValue="55990000"/>
    </cacheField>
    <cacheField name="Margen" numFmtId="0">
      <sharedItems containsString="0" containsBlank="1" containsNumber="1" containsInteger="1" minValue="-7857714" maxValue="11560760"/>
    </cacheField>
    <cacheField name="Margen %" numFmtId="0">
      <sharedItems containsString="0" containsBlank="1" containsNumber="1" containsInteger="1" minValue="-4043" maxValue="76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s v="IMPORTADORA TRENTO LTDA"/>
    <s v="LOCAL PREMIUM CAR SALES"/>
    <n v="0"/>
    <n v="0"/>
    <s v=""/>
    <s v=""/>
    <s v=""/>
    <s v=""/>
    <s v="05-06-2026 18:15:17"/>
    <s v=""/>
    <s v="//****++/*/++*..."/>
    <x v="0"/>
    <x v="0"/>
    <x v="0"/>
    <s v="BAX5515AT4X2"/>
    <x v="0"/>
    <x v="0"/>
    <s v="TBAICSTWU000012"/>
    <x v="0"/>
    <s v="USADO"/>
    <s v="PLATEADO"/>
    <s v="POR DEFINIR"/>
    <n v="11990000"/>
    <x v="0"/>
    <x v="0"/>
    <x v="0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PREMIUM CAR SALES"/>
    <n v="0"/>
    <n v="0"/>
    <s v=""/>
    <s v=""/>
    <s v=""/>
    <s v=""/>
    <s v="07-01-2026 16:22:02"/>
    <s v=""/>
    <s v="/**//+.+///++*..."/>
    <x v="1"/>
    <x v="1"/>
    <x v="1"/>
    <s v="HYSTFMX525AT"/>
    <x v="0"/>
    <x v="1"/>
    <s v="THYSTWU000548"/>
    <x v="1"/>
    <s v="USADO"/>
    <s v="PLATEADO PLATA"/>
    <s v="POR DEFINIR"/>
    <n v="26390000"/>
    <x v="0"/>
    <x v="1"/>
    <x v="1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MEGACENTRO OVALLE"/>
    <n v="0"/>
    <n v="0"/>
    <s v=""/>
    <s v=""/>
    <s v=""/>
    <s v=""/>
    <s v="07-05-2026 12:16:55"/>
    <s v=""/>
    <s v="VF3MRHNSM RS002587"/>
    <x v="2"/>
    <x v="2"/>
    <x v="2"/>
    <s v="3P1L"/>
    <x v="1"/>
    <x v="2"/>
    <s v="TPESTWU000455"/>
    <x v="2"/>
    <s v="USADO"/>
    <s v="BLANCO NACARADO"/>
    <s v="POR DEFINIR"/>
    <n v="13690000"/>
    <x v="0"/>
    <x v="2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USADOS COPIAPO"/>
    <n v="0"/>
    <n v="0"/>
    <s v=""/>
    <s v=""/>
    <s v=""/>
    <s v=""/>
    <s v="30-03-2026 14:30:41"/>
    <s v=""/>
    <s v="MALA851CALM037708"/>
    <x v="1"/>
    <x v="1"/>
    <x v="3"/>
    <s v="HYGRI10GLS15MT"/>
    <x v="2"/>
    <x v="3"/>
    <s v="THYAUTU000583"/>
    <x v="3"/>
    <s v="USADO"/>
    <s v="BLANCO"/>
    <s v="POR DEFINIR"/>
    <n v="7890000"/>
    <x v="0"/>
    <x v="3"/>
    <x v="1"/>
    <s v="BODEGA LOS CARRERA COPIAPO"/>
    <s v="AE,ABS,AC,AISO,AAUTO,ACD,UD,DLL"/>
    <s v="G4LAKM317549"/>
    <s v="MALA851CALM037708"/>
    <s v="CONSTANZA NICOLLE CHAPARRO ALFARO"/>
    <s v="30-03-2026 0:00:00"/>
    <n v="1"/>
    <s v="30-03-2026 0:00:00"/>
    <s v="30-03-2026 14:24:28"/>
    <s v="30-11-2026 0:00:00"/>
    <n v="1"/>
    <n v="0"/>
    <s v=""/>
    <n v="0"/>
    <n v="5700000"/>
    <n v="214740"/>
    <n v="0"/>
    <n v="5914740"/>
    <n v="7890000"/>
    <n v="1975260"/>
    <n v="2503"/>
  </r>
  <r>
    <s v="IMPORTADORA TRENTO LTDA"/>
    <s v="LOCAL PREMIUM CAR SALES"/>
    <n v="0"/>
    <n v="0"/>
    <s v=""/>
    <s v=""/>
    <s v=""/>
    <s v=""/>
    <s v="04-02-2026 12:30:05"/>
    <s v=""/>
    <s v="LVVDB21B8 ND055115"/>
    <x v="3"/>
    <x v="3"/>
    <x v="4"/>
    <s v="T7PRODEV"/>
    <x v="3"/>
    <x v="4"/>
    <s v="TCYSTWU000340"/>
    <x v="4"/>
    <s v="USADO"/>
    <s v="BLANCO METALIZADO"/>
    <s v="POR DEFINIR"/>
    <n v="11990000"/>
    <x v="0"/>
    <x v="4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30-05-2026 11:24:30"/>
    <s v=""/>
    <s v="JN1KC4E26 P9020038"/>
    <x v="4"/>
    <x v="4"/>
    <x v="5"/>
    <s v="NIUR01"/>
    <x v="1"/>
    <x v="5"/>
    <s v="TNIFRGU000002"/>
    <x v="5"/>
    <s v="USADO"/>
    <s v="BLANCO"/>
    <s v="POR DEFINIR"/>
    <n v="19990000"/>
    <x v="0"/>
    <x v="5"/>
    <x v="1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30-05-2026 11:49:56"/>
    <s v=""/>
    <s v="98867545CKKH86607"/>
    <x v="5"/>
    <x v="5"/>
    <x v="6"/>
    <s v="CVN"/>
    <x v="4"/>
    <x v="6"/>
    <s v="TJESTWU000441"/>
    <x v="6"/>
    <s v="USADO"/>
    <s v="PLATEADO"/>
    <s v="POR DEFINIR"/>
    <n v="8990000"/>
    <x v="0"/>
    <x v="5"/>
    <x v="0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243240"/>
    <n v="0"/>
    <n v="7843240"/>
    <n v="8990000"/>
    <n v="1146760"/>
    <n v="1276"/>
  </r>
  <r>
    <s v="IMPORTADORA TRENTO LTDA"/>
    <s v="LOCAL USADOS COPIAPO"/>
    <n v="0"/>
    <n v="0"/>
    <s v=""/>
    <s v=""/>
    <s v=""/>
    <s v=""/>
    <s v="05-02-2026 13:13:22"/>
    <s v=""/>
    <s v="JN1JAAT33PW000133"/>
    <x v="4"/>
    <x v="6"/>
    <x v="7"/>
    <s v="XXTT22"/>
    <x v="0"/>
    <x v="7"/>
    <s v="TNISTWU000607"/>
    <x v="7"/>
    <s v="USADO"/>
    <s v="BLANCO PERLA"/>
    <s v="POR DEFINIR"/>
    <n v="21490000"/>
    <x v="0"/>
    <x v="6"/>
    <x v="1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USADOS COPIAPO"/>
    <n v="0"/>
    <n v="0"/>
    <s v=""/>
    <s v=""/>
    <s v=""/>
    <s v=""/>
    <s v="30-12-2024 11:00:44"/>
    <s v=""/>
    <s v="VR7ACYHZRLL001059"/>
    <x v="6"/>
    <x v="7"/>
    <x v="8"/>
    <s v="7912"/>
    <x v="2"/>
    <x v="8"/>
    <s v="TCISTWU000009"/>
    <x v="8"/>
    <s v="USADO"/>
    <s v="BLANCO"/>
    <s v="POR DEFINIR"/>
    <n v="13990000"/>
    <x v="0"/>
    <x v="7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03-06-2026 17:20:07"/>
    <s v=""/>
    <s v="1FTFW7L89RFB60987"/>
    <x v="7"/>
    <x v="8"/>
    <x v="9"/>
    <s v="TKK10"/>
    <x v="5"/>
    <x v="9"/>
    <s v="TFOCMTU001162"/>
    <x v="9"/>
    <s v="USADO"/>
    <s v="NEGRO UNIVERSO"/>
    <s v="POR DEFINIR"/>
    <n v="55990000"/>
    <x v="0"/>
    <x v="8"/>
    <x v="0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PREMIUM CAR SALES"/>
    <n v="0"/>
    <n v="0"/>
    <s v=""/>
    <s v=""/>
    <s v=""/>
    <s v=""/>
    <s v="18-02-2026 9:30:32"/>
    <s v=""/>
    <s v="1FMCU0BZ6 NUB02251"/>
    <x v="7"/>
    <x v="9"/>
    <x v="10"/>
    <s v="FOESFEHV20AT"/>
    <x v="1"/>
    <x v="10"/>
    <s v="TFOSTWU001399"/>
    <x v="10"/>
    <s v="USADO"/>
    <s v="GRIS"/>
    <s v="POR DEFINIR"/>
    <n v="19290000"/>
    <x v="0"/>
    <x v="9"/>
    <x v="1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18-03-2026 18:56:36"/>
    <s v=""/>
    <s v="8AFAR22Z9PJ320092"/>
    <x v="7"/>
    <x v="10"/>
    <x v="11"/>
    <s v="01--TFOCMTU216"/>
    <x v="1"/>
    <x v="11"/>
    <s v="TFOCMTU001157"/>
    <x v="11"/>
    <s v="USADO"/>
    <s v="BLANCO"/>
    <s v="POR DEFINIR"/>
    <n v="17990000"/>
    <x v="0"/>
    <x v="10"/>
    <x v="1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7990000"/>
    <n v="3146470"/>
    <n v="1749"/>
  </r>
  <r>
    <s v="IMPORTADORA TRENTO LTDA"/>
    <s v="LOCAL PREMIUM CAR SALES"/>
    <n v="0"/>
    <n v="0"/>
    <s v=""/>
    <s v=""/>
    <s v=""/>
    <s v=""/>
    <s v="07-05-2026 12:06:20"/>
    <s v=""/>
    <s v="LVTDB11B9ND037466"/>
    <x v="3"/>
    <x v="11"/>
    <x v="12"/>
    <s v="TIIII8"/>
    <x v="3"/>
    <x v="12"/>
    <s v="TCYSTWU000353"/>
    <x v="12"/>
    <s v="USADO"/>
    <s v="AZUL OSCURO"/>
    <s v="POR DEFINIR"/>
    <n v="11490000"/>
    <x v="0"/>
    <x v="2"/>
    <x v="0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USADOS"/>
    <n v="0"/>
    <n v="0"/>
    <s v=""/>
    <s v=""/>
    <s v=""/>
    <s v=""/>
    <s v="08-06-2022 9:26:11"/>
    <s v=""/>
    <s v="1C4RJFAM4DC548094"/>
    <x v="5"/>
    <x v="12"/>
    <x v="13"/>
    <s v="MIP"/>
    <x v="6"/>
    <x v="13"/>
    <s v="TJESTWU000395"/>
    <x v="13"/>
    <s v="USADO"/>
    <s v="GRIS GRAFITO"/>
    <s v="POR DEFINIR"/>
    <n v="11490000"/>
    <x v="0"/>
    <x v="11"/>
    <x v="3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30-04-2024 14:05:18"/>
    <s v=""/>
    <s v="*/+--....../*...."/>
    <x v="8"/>
    <x v="13"/>
    <x v="14"/>
    <s v="VWA44"/>
    <x v="1"/>
    <x v="14"/>
    <s v="TVOCMTU000037"/>
    <x v="14"/>
    <s v="USADO"/>
    <s v="GRIS INDIO METALIZADO"/>
    <s v="POR DEFINIR"/>
    <n v="33190000"/>
    <x v="0"/>
    <x v="12"/>
    <x v="3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USADOS COPIAPO"/>
    <n v="0"/>
    <n v="0"/>
    <s v=""/>
    <s v=""/>
    <s v=""/>
    <s v=""/>
    <s v="15-03-2022 11:58:49"/>
    <s v=""/>
    <s v="KPTG0B1TSFP339581"/>
    <x v="9"/>
    <x v="14"/>
    <x v="15"/>
    <s v="05--12345678"/>
    <x v="7"/>
    <x v="15"/>
    <s v="TSYSTWU000306"/>
    <x v="15"/>
    <s v="USADO"/>
    <s v="NEGRO"/>
    <s v="POR DEFINIR"/>
    <n v="8490000"/>
    <x v="0"/>
    <x v="13"/>
    <x v="3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MEGACENTRO COPIAPO"/>
    <n v="0"/>
    <n v="0"/>
    <s v=""/>
    <s v=""/>
    <s v=""/>
    <s v=""/>
    <s v="03-01-2017 1:36:33"/>
    <s v=""/>
    <s v="LGHT12177E9700276"/>
    <x v="10"/>
    <x v="15"/>
    <x v="16"/>
    <s v="2012--CARGOBOX1"/>
    <x v="8"/>
    <x v="16"/>
    <s v="TDFCMTU000004"/>
    <x v="16"/>
    <s v="USADO"/>
    <s v="BLANCO"/>
    <s v="NO DEFINIDO"/>
    <n v="4867100"/>
    <x v="0"/>
    <x v="14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"/>
    <n v="0"/>
    <n v="0"/>
    <s v=""/>
    <s v=""/>
    <s v=""/>
    <s v=""/>
    <s v="20-03-2020 12:53:54"/>
    <s v=""/>
    <s v="KNAPB811BE7498300"/>
    <x v="11"/>
    <x v="16"/>
    <x v="17"/>
    <s v="17--0120"/>
    <x v="8"/>
    <x v="17"/>
    <s v="TKISTWU001135"/>
    <x v="17"/>
    <s v="USADO"/>
    <s v="ROJO ORANGE"/>
    <s v="POR DEFINIR"/>
    <n v="8490000"/>
    <x v="0"/>
    <x v="15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USADOS"/>
    <n v="0"/>
    <n v="0"/>
    <s v=""/>
    <s v=""/>
    <s v=""/>
    <s v=""/>
    <s v="04-03-2025 17:16:08"/>
    <s v=""/>
    <s v="LVVDB21B8SD022028"/>
    <x v="12"/>
    <x v="7"/>
    <x v="18"/>
    <s v="OMC515AT"/>
    <x v="5"/>
    <x v="18"/>
    <s v="TOMOSTWU000003"/>
    <x v="18"/>
    <s v="USADO"/>
    <s v="BLANCO"/>
    <s v="POR DEFINIR"/>
    <n v="11290000"/>
    <x v="0"/>
    <x v="16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PREMIUM CAR SALES"/>
    <n v="0"/>
    <n v="0"/>
    <s v=""/>
    <s v=""/>
    <s v=""/>
    <s v=""/>
    <s v="24-09-2025 17:50:46"/>
    <s v=""/>
    <s v="8AFBR01K1 RJ394381"/>
    <x v="7"/>
    <x v="10"/>
    <x v="19"/>
    <s v="RANGERDEV"/>
    <x v="0"/>
    <x v="19"/>
    <s v="TFOCMTU001136"/>
    <x v="19"/>
    <s v="USADO"/>
    <s v="GRIS MERCURIO"/>
    <s v="POR DEFINIR"/>
    <n v="34990000"/>
    <x v="0"/>
    <x v="17"/>
    <x v="1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28-02-2026 15:52:31"/>
    <s v=""/>
    <s v="LVVDB21B7 SC004108"/>
    <x v="13"/>
    <x v="17"/>
    <x v="20"/>
    <s v="JE7AWD16AT"/>
    <x v="5"/>
    <x v="20"/>
    <s v="TJAESTWU000003"/>
    <x v="20"/>
    <s v="USADO"/>
    <s v="PLATEADO NEGRO"/>
    <s v="POR DEFINIR"/>
    <n v="17490000"/>
    <x v="0"/>
    <x v="18"/>
    <x v="1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7490000"/>
    <n v="1631470"/>
    <n v="933"/>
  </r>
  <r>
    <s v="IMPORTADORA TRENTO LTDA"/>
    <s v="LOCAL PREMIUM CAR SALES"/>
    <n v="0"/>
    <n v="0"/>
    <s v=""/>
    <s v=""/>
    <s v=""/>
    <s v=""/>
    <s v="06-05-2026 18:05:59"/>
    <s v=""/>
    <s v="//.//+*+///++*..."/>
    <x v="14"/>
    <x v="18"/>
    <x v="21"/>
    <s v="NOI09"/>
    <x v="5"/>
    <x v="21"/>
    <s v="TMISTWU000373"/>
    <x v="21"/>
    <s v="USADO"/>
    <s v="GRIS GRAFITO"/>
    <s v="POR DEFINIR"/>
    <n v="31590000"/>
    <x v="0"/>
    <x v="19"/>
    <x v="1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31590000"/>
    <n v="4766260"/>
    <n v="1509"/>
  </r>
  <r>
    <s v="IMPORTADORA TRENTO LTDA"/>
    <s v="LOCAL PREMIUM CAR SALES"/>
    <n v="0"/>
    <n v="0"/>
    <s v=""/>
    <s v=""/>
    <s v=""/>
    <s v=""/>
    <s v="06-05-2026 18:11:52"/>
    <s v=""/>
    <s v="1FMCU9JZ4PUA50384"/>
    <x v="7"/>
    <x v="9"/>
    <x v="10"/>
    <s v="FOESFEHV20AT"/>
    <x v="0"/>
    <x v="22"/>
    <s v="TFOSTWU001410"/>
    <x v="22"/>
    <s v="USADO"/>
    <s v="AZUL ATLAS"/>
    <s v="POR DEFINIR"/>
    <n v="23590000"/>
    <x v="0"/>
    <x v="19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25-05-2026 16:44:02"/>
    <s v=""/>
    <s v="3KPA251AA PE534052"/>
    <x v="11"/>
    <x v="19"/>
    <x v="22"/>
    <s v="PATAN"/>
    <x v="1"/>
    <x v="23"/>
    <s v="TKIAUTU002214"/>
    <x v="23"/>
    <s v="USADO"/>
    <s v="BLANCO INVIERNO"/>
    <s v="POR DEFINIR"/>
    <n v="12290000"/>
    <x v="0"/>
    <x v="20"/>
    <x v="0"/>
    <s v="PREMIUM CAR SALES"/>
    <s v="AE,CC,EE,ABS,LL,AC,AISO,AAUTO,CRE,MAV,ACD,SR,UD,DL"/>
    <s v="G4LCNE709367"/>
    <s v="3KPA251AA PE534052"/>
    <s v="CLAUDIA CECILIA HERRERA MUÑOZ"/>
    <s v="25-05-2026 0:00:00"/>
    <n v="1"/>
    <s v="04-06-2026 0:00:00"/>
    <s v="04-06-2026 11:15:24"/>
    <s v=""/>
    <n v="1"/>
    <n v="0"/>
    <s v=""/>
    <n v="0"/>
    <n v="9650000"/>
    <n v="273990"/>
    <n v="0"/>
    <n v="9923990"/>
    <n v="12290000"/>
    <n v="2366010"/>
    <n v="1925"/>
  </r>
  <r>
    <s v="IMPORTADORA TRENTO LTDA"/>
    <s v="LOCAL USADOS COPIAPO"/>
    <n v="0"/>
    <n v="0"/>
    <s v=""/>
    <s v=""/>
    <s v=""/>
    <s v=""/>
    <s v="06-04-2026 14:59:49"/>
    <s v=""/>
    <s v="9V8FF4HY1 RA800320"/>
    <x v="2"/>
    <x v="20"/>
    <x v="23"/>
    <s v="PELNDDHI4X422AT"/>
    <x v="0"/>
    <x v="24"/>
    <s v="TPECMTU000018"/>
    <x v="24"/>
    <s v="USADO"/>
    <s v="GRIS ALUMINIUM"/>
    <s v="POR DEFINIR"/>
    <n v="19990000"/>
    <x v="0"/>
    <x v="21"/>
    <x v="6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29-04-2026 14:50:28"/>
    <s v=""/>
    <s v="JM7DM2W7AS0309501"/>
    <x v="15"/>
    <x v="21"/>
    <x v="24"/>
    <s v="MACX3020AT"/>
    <x v="5"/>
    <x v="25"/>
    <s v="TMASTWU000106"/>
    <x v="25"/>
    <s v="USADO"/>
    <s v="AZUL OSCURO METALIZADO"/>
    <s v="POR DEFINIR"/>
    <n v="21990000"/>
    <x v="0"/>
    <x v="22"/>
    <x v="6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1990000"/>
    <n v="3286260"/>
    <n v="1494"/>
  </r>
  <r>
    <s v="IMPORTADORA TRENTO LTDA"/>
    <s v="LOCAL PREMIUM CAR SALES"/>
    <n v="0"/>
    <n v="0"/>
    <s v=""/>
    <s v=""/>
    <s v=""/>
    <s v=""/>
    <s v="25-05-2026 10:42:35"/>
    <s v=""/>
    <s v="LVTDD24B3 PD064404"/>
    <x v="16"/>
    <x v="22"/>
    <x v="25"/>
    <s v="EXVXUN4X420AT"/>
    <x v="5"/>
    <x v="26"/>
    <s v="TEXESTWU000006"/>
    <x v="26"/>
    <s v="USADO"/>
    <s v="BLANCO QUARTZ"/>
    <s v="POR DEFINIR"/>
    <n v="28990000"/>
    <x v="0"/>
    <x v="20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"/>
    <n v="0"/>
    <n v="0"/>
    <s v=""/>
    <s v=""/>
    <s v=""/>
    <s v=""/>
    <s v="10-11-2025 18:59:30"/>
    <s v=""/>
    <s v="//.//+++/+/++*..."/>
    <x v="13"/>
    <x v="17"/>
    <x v="20"/>
    <s v="JE7AWD16AT"/>
    <x v="5"/>
    <x v="27"/>
    <s v="TJAESTWU000001"/>
    <x v="27"/>
    <s v="USADO"/>
    <s v="ROJO NEGRO RUBI"/>
    <s v="POR DEFINIR"/>
    <n v="16490000"/>
    <x v="0"/>
    <x v="23"/>
    <x v="7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27-01-2023 10:03:02"/>
    <s v=""/>
    <s v="LJXCU2BB4MTP00962"/>
    <x v="7"/>
    <x v="23"/>
    <x v="26"/>
    <s v="FTU1"/>
    <x v="9"/>
    <x v="28"/>
    <s v="TFOSTWU001235"/>
    <x v="28"/>
    <s v="USADO"/>
    <s v="ROJO"/>
    <s v="POR DEFINIR"/>
    <n v="12990000"/>
    <x v="0"/>
    <x v="24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MEGACENTRO OVALLE"/>
    <n v="0"/>
    <n v="0"/>
    <s v=""/>
    <s v=""/>
    <s v=""/>
    <s v=""/>
    <s v="22-04-2026 17:42:39"/>
    <s v=""/>
    <s v="KMHJB81DB RU268314"/>
    <x v="1"/>
    <x v="1"/>
    <x v="27"/>
    <s v="HT01"/>
    <x v="0"/>
    <x v="29"/>
    <s v="THYSTWU000553"/>
    <x v="29"/>
    <s v="USADO"/>
    <s v="NEGRO"/>
    <s v="POR DEFINIR"/>
    <n v="19990000"/>
    <x v="0"/>
    <x v="25"/>
    <x v="1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 COPIAPO"/>
    <n v="0"/>
    <n v="0"/>
    <s v=""/>
    <s v=""/>
    <s v=""/>
    <s v=""/>
    <s v="30-04-2026 16:15:08"/>
    <s v=""/>
    <s v="LGWEE4A59PK600630"/>
    <x v="17"/>
    <x v="24"/>
    <x v="28"/>
    <s v="HAJOL15AT"/>
    <x v="3"/>
    <x v="30"/>
    <s v="THASTWU000023"/>
    <x v="30"/>
    <s v="USADO"/>
    <s v="ROJO"/>
    <s v="POR DEFINIR"/>
    <n v="12490000"/>
    <x v="0"/>
    <x v="26"/>
    <x v="1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3-10-2025 18:06:52"/>
    <s v=""/>
    <s v="////////******++."/>
    <x v="1"/>
    <x v="1"/>
    <x v="29"/>
    <s v="HYSTF4X425AT"/>
    <x v="5"/>
    <x v="31"/>
    <s v="THYSTWU000544"/>
    <x v="31"/>
    <s v="USADO"/>
    <s v="PLATEADO PLATA"/>
    <s v="POR DEFINIR"/>
    <n v="32990000"/>
    <x v="0"/>
    <x v="27"/>
    <x v="1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USADOS COPIAPO"/>
    <n v="0"/>
    <n v="0"/>
    <s v=""/>
    <s v=""/>
    <s v=""/>
    <s v=""/>
    <s v="01-06-2026 17:30:09"/>
    <s v=""/>
    <s v="MMBGJKR10NH010717"/>
    <x v="14"/>
    <x v="25"/>
    <x v="30"/>
    <s v="KM7000"/>
    <x v="1"/>
    <x v="32"/>
    <s v="TMISTWU000374"/>
    <x v="32"/>
    <s v="USADO"/>
    <s v="BLANCO DIAMANTE"/>
    <s v="POR DEFINIR"/>
    <n v="22990000"/>
    <x v="0"/>
    <x v="28"/>
    <x v="1"/>
    <s v="BODEGA LOS CARRERA COPIAPO"/>
    <s v="AE,CC,EE,ABS,LL,VC,AC,AISO,AAUTO,CRE,MAV,ACD,SR,UD"/>
    <s v="4N15 UJD6131"/>
    <s v="MMBGJKR10NH010717"/>
    <s v="IBAR RODRIGO MANZANO REQUENA"/>
    <s v="01-06-2026 0:00:00"/>
    <n v="1"/>
    <s v="01-06-2026 0:00:00"/>
    <s v="01-06-2026 17:29:47"/>
    <s v=""/>
    <n v="1"/>
    <n v="0"/>
    <s v=""/>
    <n v="0"/>
    <n v="18300000"/>
    <n v="403740"/>
    <n v="0"/>
    <n v="18703740"/>
    <n v="22990000"/>
    <n v="4286260"/>
    <n v="1864"/>
  </r>
  <r>
    <s v="IMPORTADORA TRENTO LTDA"/>
    <s v="LOCAL USADOS"/>
    <n v="0"/>
    <n v="0"/>
    <s v=""/>
    <s v=""/>
    <s v=""/>
    <s v=""/>
    <s v="17-02-2022 15:53:19"/>
    <s v=""/>
    <s v="VF3M45GZWJS004469"/>
    <x v="2"/>
    <x v="2"/>
    <x v="31"/>
    <s v="PALL7"/>
    <x v="4"/>
    <x v="33"/>
    <s v="TPESTWU000279"/>
    <x v="33"/>
    <s v="USADO"/>
    <s v="GRIS HURRICANE"/>
    <s v="POR DEFINIR"/>
    <n v="14390000"/>
    <x v="0"/>
    <x v="29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09-06-2026 11:19:08"/>
    <s v=""/>
    <s v="/////+/**//++*..."/>
    <x v="1"/>
    <x v="1"/>
    <x v="32"/>
    <s v="HYUI20BI3"/>
    <x v="1"/>
    <x v="34"/>
    <s v="THYAUTU000586"/>
    <x v="34"/>
    <s v="USADO"/>
    <s v="ROJO TECHO NEGRO"/>
    <s v="POR DEFINIR"/>
    <n v="11990000"/>
    <x v="0"/>
    <x v="30"/>
    <x v="0"/>
    <s v="PREMIUM CAR SALES"/>
    <s v=""/>
    <s v="G4LCPU846573"/>
    <s v="MALBG513A RM224860"/>
    <s v="JUAN MANUEL ROJAS PIZARRO"/>
    <s v="09-06-2026 0:00:00"/>
    <n v="1"/>
    <s v="09-06-2026 0:00:00"/>
    <s v="09-06-2026 11:18:24"/>
    <s v=""/>
    <n v="1"/>
    <n v="0"/>
    <s v=""/>
    <n v="0"/>
    <n v="10100000"/>
    <n v="0"/>
    <n v="0"/>
    <n v="10100000"/>
    <n v="11990000"/>
    <n v="1890000"/>
    <n v="1576"/>
  </r>
  <r>
    <s v="IMPORTADORA TRENTO LTDA"/>
    <s v="LOCAL USADOS COPIAPO"/>
    <n v="0"/>
    <n v="0"/>
    <s v=""/>
    <s v=""/>
    <s v=""/>
    <s v=""/>
    <s v="28-11-2025 12:40:34"/>
    <s v=""/>
    <s v="SJNTAAJ12 PA121164"/>
    <x v="4"/>
    <x v="26"/>
    <x v="33"/>
    <s v="ASTR77"/>
    <x v="1"/>
    <x v="35"/>
    <s v="TNISTWU000600"/>
    <x v="35"/>
    <s v="USADO"/>
    <s v="BLANCO PERLA"/>
    <s v="POR DEFINIR"/>
    <n v="17390000"/>
    <x v="0"/>
    <x v="31"/>
    <x v="1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MEGACENTRO OVALLE"/>
    <n v="0"/>
    <n v="0"/>
    <s v=""/>
    <s v=""/>
    <s v=""/>
    <s v=""/>
    <s v="28-02-2026 16:17:28"/>
    <s v=""/>
    <s v="8AFBR01C4RJ372982"/>
    <x v="7"/>
    <x v="10"/>
    <x v="34"/>
    <s v="FORANXLT4X420MT"/>
    <x v="0"/>
    <x v="36"/>
    <s v="TFOCMTU001156"/>
    <x v="36"/>
    <s v="USADO"/>
    <s v="GRIS MERCURIO"/>
    <s v="POR DEFINIR"/>
    <n v="28490000"/>
    <x v="0"/>
    <x v="18"/>
    <x v="1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USADOS COPIAPO"/>
    <n v="0"/>
    <n v="0"/>
    <s v=""/>
    <s v=""/>
    <s v=""/>
    <s v=""/>
    <s v="30-03-2026 13:25:15"/>
    <s v=""/>
    <s v="VF3MCYHZUNL000473"/>
    <x v="2"/>
    <x v="27"/>
    <x v="35"/>
    <s v="5008BH130"/>
    <x v="9"/>
    <x v="37"/>
    <s v="TPESTWU000450"/>
    <x v="37"/>
    <s v="USADO"/>
    <s v="GRIS PLATINIUM"/>
    <s v="POR DEFINIR"/>
    <n v="16490000"/>
    <x v="0"/>
    <x v="3"/>
    <x v="1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USADOS COPIAPO"/>
    <n v="0"/>
    <n v="0"/>
    <s v=""/>
    <s v=""/>
    <s v=""/>
    <s v=""/>
    <s v="02-10-2025 16:52:58"/>
    <s v=""/>
    <s v="VR3KAHPY6 SS009601"/>
    <x v="2"/>
    <x v="2"/>
    <x v="36"/>
    <s v="3008ALLUSA"/>
    <x v="5"/>
    <x v="38"/>
    <s v="TPESTWU000425"/>
    <x v="38"/>
    <s v="USADO"/>
    <s v="GRIS ARTENSE"/>
    <s v="POR DEFINIR"/>
    <n v="23890000"/>
    <x v="0"/>
    <x v="32"/>
    <x v="1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USADOS"/>
    <n v="0"/>
    <n v="0"/>
    <s v=""/>
    <s v=""/>
    <s v=""/>
    <s v=""/>
    <s v="03-01-2017 1:36:33"/>
    <s v=""/>
    <s v="LGHT12173E9700288"/>
    <x v="10"/>
    <x v="15"/>
    <x v="16"/>
    <s v="2012--CARGOBOX1"/>
    <x v="8"/>
    <x v="16"/>
    <s v="TDFCMTU000001"/>
    <x v="39"/>
    <s v="USADO"/>
    <s v="BLANCO"/>
    <s v="NO DEFINIDO"/>
    <n v="3490000"/>
    <x v="0"/>
    <x v="33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30-05-2026 13:15:09"/>
    <s v=""/>
    <s v="LVPC52898 TCB00699"/>
    <x v="10"/>
    <x v="28"/>
    <x v="37"/>
    <s v="DF600PHEV4X215AT"/>
    <x v="10"/>
    <x v="39"/>
    <s v="TDFSTWU000056"/>
    <x v="40"/>
    <s v="USADO"/>
    <s v="GRIS CLARO"/>
    <s v="POR DEFINIR"/>
    <n v="18990000"/>
    <x v="0"/>
    <x v="5"/>
    <x v="0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USADOS COPIAPO"/>
    <n v="0"/>
    <n v="0"/>
    <s v=""/>
    <s v=""/>
    <s v=""/>
    <s v=""/>
    <s v="01-06-2026 17:51:47"/>
    <s v=""/>
    <s v="LS4ASJ2E2NA986230"/>
    <x v="18"/>
    <x v="29"/>
    <x v="38"/>
    <s v=""/>
    <x v="3"/>
    <x v="40"/>
    <s v="TCGSTWU000033"/>
    <x v="41"/>
    <s v="USADO"/>
    <s v="BLANCO"/>
    <s v="POR DEFINIR"/>
    <n v="9490000"/>
    <x v="0"/>
    <x v="28"/>
    <x v="1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USADOS"/>
    <n v="0"/>
    <n v="0"/>
    <s v=""/>
    <s v=""/>
    <s v=""/>
    <s v=""/>
    <s v="04-05-2026 17:27:55"/>
    <s v=""/>
    <s v="/..+/+++///++*..."/>
    <x v="6"/>
    <x v="30"/>
    <x v="39"/>
    <s v="CR566"/>
    <x v="11"/>
    <x v="41"/>
    <s v="TCIAUTU000131"/>
    <x v="42"/>
    <s v="USADO"/>
    <s v="GRIS SATINADO T BLANCO"/>
    <s v="POR DEFINIR"/>
    <n v="9290000"/>
    <x v="0"/>
    <x v="34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"/>
    <n v="0"/>
    <n v="0"/>
    <s v=""/>
    <s v=""/>
    <s v=""/>
    <s v=""/>
    <s v="04-02-2026 12:44:44"/>
    <s v=""/>
    <s v="3N1AB7AE8LY202955"/>
    <x v="4"/>
    <x v="31"/>
    <x v="40"/>
    <s v="NISEN18AT"/>
    <x v="2"/>
    <x v="42"/>
    <s v="TNIAUTU000649"/>
    <x v="43"/>
    <s v="USADO"/>
    <s v="BLANCO PERLA"/>
    <s v="POR DEFINIR"/>
    <n v="10990000"/>
    <x v="0"/>
    <x v="4"/>
    <x v="1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24-04-2026 18:17:03"/>
    <s v=""/>
    <s v="KNAPV81DB P7090666"/>
    <x v="11"/>
    <x v="16"/>
    <x v="41"/>
    <s v="TY100"/>
    <x v="1"/>
    <x v="43"/>
    <s v="TKISTWU001339"/>
    <x v="44"/>
    <s v="USADO"/>
    <s v="GRIS ACERO"/>
    <s v="POR DEFINIR"/>
    <n v="19990000"/>
    <x v="0"/>
    <x v="35"/>
    <x v="6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 COPIAPO"/>
    <n v="0"/>
    <n v="0"/>
    <s v=""/>
    <s v=""/>
    <s v=""/>
    <s v=""/>
    <s v="28-01-2026 17:28:07"/>
    <s v=""/>
    <s v="1FMCU0BZ6NUB03562"/>
    <x v="7"/>
    <x v="9"/>
    <x v="10"/>
    <s v="FOESFEHV20AT"/>
    <x v="1"/>
    <x v="35"/>
    <s v="TFOSTWU001396"/>
    <x v="45"/>
    <s v="USADO"/>
    <s v="BLANCO METALICO"/>
    <s v="POR DEFINIR"/>
    <n v="19990000"/>
    <x v="0"/>
    <x v="36"/>
    <x v="1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28-04-2026 11:00:49"/>
    <s v=""/>
    <s v="/////+/+///++*..."/>
    <x v="2"/>
    <x v="20"/>
    <x v="23"/>
    <s v="PELANHDI4X422AT"/>
    <x v="0"/>
    <x v="44"/>
    <s v="TPECMTU000019"/>
    <x v="46"/>
    <s v="USADO"/>
    <s v="BLANCO BANQUISE"/>
    <s v="POR DEFINIR"/>
    <n v="18990000"/>
    <x v="0"/>
    <x v="37"/>
    <x v="0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22-05-2026 17:42:59"/>
    <s v=""/>
    <s v="VR3USHNSK SJ500220"/>
    <x v="2"/>
    <x v="32"/>
    <x v="42"/>
    <s v="PE2008ACT12MT"/>
    <x v="5"/>
    <x v="45"/>
    <s v="TPESTWU000456"/>
    <x v="47"/>
    <s v="USADO"/>
    <s v="BLANCO OKENITE"/>
    <s v="POR DEFINIR"/>
    <n v="14990000"/>
    <x v="0"/>
    <x v="38"/>
    <x v="6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990000"/>
    <n v="2430917"/>
    <n v="1622"/>
  </r>
  <r>
    <s v="IMPORTADORA TRENTO LTDA"/>
    <s v="LOCAL PREMIUM CAR SALES"/>
    <n v="0"/>
    <n v="0"/>
    <s v=""/>
    <s v=""/>
    <s v=""/>
    <s v=""/>
    <s v="18-05-2026 12:54:42"/>
    <s v=""/>
    <s v="LVZZU3P96SCB03062"/>
    <x v="10"/>
    <x v="33"/>
    <x v="43"/>
    <s v="US500"/>
    <x v="5"/>
    <x v="46"/>
    <s v="TDFAUTU000002"/>
    <x v="48"/>
    <s v="USADO"/>
    <s v="BLANCO"/>
    <s v="POR DEFINIR"/>
    <n v="11290000"/>
    <x v="0"/>
    <x v="39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18-02-2026 9:46:22"/>
    <s v=""/>
    <s v="KNACP81EG P5055975"/>
    <x v="11"/>
    <x v="34"/>
    <x v="44"/>
    <s v="KINIRO16AT"/>
    <x v="0"/>
    <x v="43"/>
    <s v="TKISTWU001335"/>
    <x v="49"/>
    <s v="USADO"/>
    <s v="BLANCO INVIERNO"/>
    <s v="POR DEFINIR"/>
    <n v="19990000"/>
    <x v="0"/>
    <x v="9"/>
    <x v="1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30-10-2025 18:48:57"/>
    <s v=""/>
    <s v="1FTFW1RGXKFC93274"/>
    <x v="7"/>
    <x v="8"/>
    <x v="45"/>
    <s v="FRK7"/>
    <x v="2"/>
    <x v="10"/>
    <s v="TFOCMTU001138"/>
    <x v="50"/>
    <s v="USADO"/>
    <s v="BLANCO OXFORD"/>
    <s v="POR DEFINIR"/>
    <n v="45990000"/>
    <x v="0"/>
    <x v="40"/>
    <x v="1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 COPIAPO"/>
    <n v="0"/>
    <n v="0"/>
    <s v=""/>
    <s v=""/>
    <s v=""/>
    <s v=""/>
    <s v="18-03-2026 11:24:08"/>
    <s v=""/>
    <s v="JMYXTGM4W NZ000993"/>
    <x v="14"/>
    <x v="18"/>
    <x v="46"/>
    <s v="MIOUTGL25AT"/>
    <x v="1"/>
    <x v="47"/>
    <s v="TMISTWU000370"/>
    <x v="51"/>
    <s v="USADO"/>
    <s v="AZUL METALICO"/>
    <s v="POR DEFINIR"/>
    <n v="18190000"/>
    <x v="0"/>
    <x v="10"/>
    <x v="6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13-05-2026 13:08:12"/>
    <s v=""/>
    <s v="/////++++//++*..."/>
    <x v="19"/>
    <x v="35"/>
    <x v="47"/>
    <s v="GWPOER4X2MT20"/>
    <x v="0"/>
    <x v="7"/>
    <s v="TGWCMTU000019"/>
    <x v="52"/>
    <s v="USADO"/>
    <s v="PLATEADO PLATA"/>
    <s v="POR DEFINIR"/>
    <n v="16490000"/>
    <x v="0"/>
    <x v="41"/>
    <x v="0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03-06-2026 17:28:30"/>
    <s v=""/>
    <s v="JN1JBAT32 PW042467"/>
    <x v="4"/>
    <x v="6"/>
    <x v="48"/>
    <s v=""/>
    <x v="3"/>
    <x v="48"/>
    <s v="TNISTWU000614"/>
    <x v="53"/>
    <s v="USADO"/>
    <s v="ROJO TITANIO"/>
    <s v="POR DEFINIR"/>
    <n v="14990000"/>
    <x v="0"/>
    <x v="8"/>
    <x v="1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PREMIUM CAR SALES"/>
    <n v="0"/>
    <n v="0"/>
    <s v=""/>
    <s v=""/>
    <s v=""/>
    <s v=""/>
    <s v="16-05-2024 13:37:55"/>
    <s v=""/>
    <s v="2FMPK4J93PBA47752"/>
    <x v="7"/>
    <x v="36"/>
    <x v="49"/>
    <s v="FED001"/>
    <x v="0"/>
    <x v="49"/>
    <s v="TFOSTWU001301"/>
    <x v="54"/>
    <s v="USADO"/>
    <s v="BLANCO METALICO"/>
    <s v="POR DEFINIR"/>
    <n v="27990000"/>
    <x v="0"/>
    <x v="42"/>
    <x v="1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19-12-2025 10:02:31"/>
    <s v=""/>
    <s v="8AFBR00E1RJ404211"/>
    <x v="7"/>
    <x v="10"/>
    <x v="50"/>
    <s v="FORANXLS20MT"/>
    <x v="5"/>
    <x v="50"/>
    <s v="TFOCMTU001145"/>
    <x v="55"/>
    <s v="USADO"/>
    <s v="BLANCO"/>
    <s v="POR DEFINIR"/>
    <n v="29490000"/>
    <x v="0"/>
    <x v="43"/>
    <x v="1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28-04-2026 13:25:38"/>
    <s v=""/>
    <s v="LVVDD21B9RC025336"/>
    <x v="13"/>
    <x v="17"/>
    <x v="51"/>
    <s v="JA716ATSUMMIT"/>
    <x v="5"/>
    <x v="51"/>
    <s v="TJAESTWU000006"/>
    <x v="56"/>
    <s v="USADO"/>
    <s v="BLANCO AURA"/>
    <s v="POR DEFINIR"/>
    <n v="20990000"/>
    <x v="0"/>
    <x v="37"/>
    <x v="6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20990000"/>
    <n v="3098260"/>
    <n v="1476"/>
  </r>
  <r>
    <s v="IMPORTADORA TRENTO LTDA"/>
    <s v="MEGACENTRO OVALLE"/>
    <n v="0"/>
    <n v="0"/>
    <s v=""/>
    <s v=""/>
    <s v=""/>
    <s v=""/>
    <s v="27-05-2026 17:54:58"/>
    <s v=""/>
    <s v="JF1SK7LL5RG259442"/>
    <x v="20"/>
    <x v="37"/>
    <x v="52"/>
    <s v="SF99"/>
    <x v="0"/>
    <x v="52"/>
    <s v="TSUSTWU000399"/>
    <x v="57"/>
    <s v="USADO"/>
    <s v="PLATEADO HIELO CLARO"/>
    <s v="POR DEFINIR"/>
    <n v="23990000"/>
    <x v="0"/>
    <x v="44"/>
    <x v="0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06-04-2026 18:13:21"/>
    <s v=""/>
    <s v="1FTFW1E52 PFB48046"/>
    <x v="7"/>
    <x v="8"/>
    <x v="53"/>
    <s v="F11111"/>
    <x v="0"/>
    <x v="53"/>
    <s v="TFOCMTU001160"/>
    <x v="58"/>
    <s v="USADO"/>
    <s v="BLANCO OXFORD"/>
    <s v="POR DEFINIR"/>
    <n v="36490000"/>
    <x v="0"/>
    <x v="21"/>
    <x v="1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MEGACENTRO OVALLE"/>
    <n v="0"/>
    <n v="0"/>
    <s v=""/>
    <s v=""/>
    <s v=""/>
    <s v=""/>
    <s v="29-07-2025 17:36:47"/>
    <s v=""/>
    <s v="//////////+++..*+"/>
    <x v="2"/>
    <x v="27"/>
    <x v="54"/>
    <s v="PE5008PT16AT"/>
    <x v="1"/>
    <x v="54"/>
    <s v="TPESTWU000414"/>
    <x v="59"/>
    <s v="USADO"/>
    <s v="GRIS PLATINIUM"/>
    <s v="POR DEFINIR"/>
    <n v="19990000"/>
    <x v="0"/>
    <x v="45"/>
    <x v="1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 COPIAPO"/>
    <n v="0"/>
    <n v="0"/>
    <s v=""/>
    <s v=""/>
    <s v=""/>
    <s v=""/>
    <s v="06-02-2026 23:32:37"/>
    <s v=""/>
    <s v="98859125B TKS03533"/>
    <x v="21"/>
    <x v="38"/>
    <x v="55"/>
    <s v="RARAMCSLA4X420AT"/>
    <x v="5"/>
    <x v="55"/>
    <s v="TRACMTU000050"/>
    <x v="60"/>
    <s v="USADO"/>
    <s v="PLATEADO PLATA BILLET"/>
    <s v="POR DEFINIR"/>
    <n v="31590000"/>
    <x v="0"/>
    <x v="46"/>
    <x v="1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22-05-2026 18:47:39"/>
    <s v=""/>
    <s v="5N1MDNR53PC279056"/>
    <x v="4"/>
    <x v="39"/>
    <x v="56"/>
    <s v="NIPATH4X435AT"/>
    <x v="0"/>
    <x v="56"/>
    <s v="TNISTWU000612"/>
    <x v="61"/>
    <s v="USADO"/>
    <s v="GRIS VOLCANICO BI TONO"/>
    <s v="POR DEFINIR"/>
    <n v="35990000"/>
    <x v="0"/>
    <x v="38"/>
    <x v="0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23-10-2025 13:59:01"/>
    <s v=""/>
    <s v="/////+*+///++*..."/>
    <x v="22"/>
    <x v="40"/>
    <x v="57"/>
    <s v="SIL4X4"/>
    <x v="1"/>
    <x v="57"/>
    <s v="TCHCMTU000483"/>
    <x v="62"/>
    <s v="USADO"/>
    <s v="NEGRO"/>
    <s v="POR DEFINIR"/>
    <n v="49990000"/>
    <x v="0"/>
    <x v="47"/>
    <x v="1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07-01-2026 10:30:07"/>
    <s v=""/>
    <s v="MPBAR2F18 PX515886"/>
    <x v="7"/>
    <x v="10"/>
    <x v="58"/>
    <s v="FORNGRP30AT"/>
    <x v="0"/>
    <x v="58"/>
    <s v="TFOCMTU001149"/>
    <x v="63"/>
    <s v="USADO"/>
    <s v="NARANJO NARANJA TIERRA"/>
    <s v="POR DEFINIR"/>
    <n v="43990000"/>
    <x v="0"/>
    <x v="1"/>
    <x v="1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02-05-2022 18:10:07"/>
    <s v=""/>
    <s v="VF3MCYHZRLS003227"/>
    <x v="2"/>
    <x v="2"/>
    <x v="59"/>
    <s v="PCM10"/>
    <x v="2"/>
    <x v="59"/>
    <s v="TPESTWU000283"/>
    <x v="64"/>
    <s v="USADO"/>
    <s v="BLANCO NACARADO"/>
    <s v="POR DEFINIR"/>
    <n v="14990000"/>
    <x v="0"/>
    <x v="48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MEGACENTRO OVALLE"/>
    <n v="0"/>
    <n v="0"/>
    <s v=""/>
    <s v=""/>
    <s v=""/>
    <s v=""/>
    <s v="18-03-2026 17:39:09"/>
    <s v=""/>
    <s v="LJNTGUC52 RN409084"/>
    <x v="10"/>
    <x v="41"/>
    <x v="60"/>
    <s v="DFD1LUX4X423MT"/>
    <x v="5"/>
    <x v="60"/>
    <s v="TDFCMTU000013"/>
    <x v="65"/>
    <s v="USADO"/>
    <s v="NEGRO"/>
    <s v="POR DEFINIR"/>
    <n v="16590000"/>
    <x v="0"/>
    <x v="10"/>
    <x v="1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USADOS COPIAPO"/>
    <n v="0"/>
    <n v="0"/>
    <s v=""/>
    <s v=""/>
    <s v=""/>
    <s v=""/>
    <s v="30-05-2026 11:28:44"/>
    <s v=""/>
    <s v="WF0AXXWPMHGY88472"/>
    <x v="7"/>
    <x v="9"/>
    <x v="61"/>
    <s v="01--ESCAUT1"/>
    <x v="4"/>
    <x v="61"/>
    <s v="TFOSTWU001411"/>
    <x v="66"/>
    <s v="USADO"/>
    <s v="NEGRO ABSOLUTO"/>
    <s v="POR DEFINIR"/>
    <n v="10490000"/>
    <x v="0"/>
    <x v="5"/>
    <x v="1"/>
    <s v="BODEGA LOS CARRERA COPIAPO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USADOS COPIAPO"/>
    <n v="0"/>
    <n v="0"/>
    <s v=""/>
    <s v=""/>
    <s v=""/>
    <s v=""/>
    <s v="08-06-2026 16:24:40"/>
    <s v=""/>
    <s v="++*//+++///++*..."/>
    <x v="3"/>
    <x v="42"/>
    <x v="62"/>
    <s v="ARR80"/>
    <x v="11"/>
    <x v="62"/>
    <s v="TCYAUTU000148"/>
    <x v="67"/>
    <s v="USADO"/>
    <s v="PLATEADO PLATA METALICO"/>
    <s v="POR DEFINIR"/>
    <n v="5290000"/>
    <x v="0"/>
    <x v="49"/>
    <x v="0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MEGACENTRO OVALLE"/>
    <n v="0"/>
    <n v="0"/>
    <s v=""/>
    <s v=""/>
    <s v=""/>
    <s v=""/>
    <s v="02-01-2026 15:09:11"/>
    <s v=""/>
    <s v="VF3M45GZWJS004343"/>
    <x v="2"/>
    <x v="2"/>
    <x v="63"/>
    <s v="P7R9"/>
    <x v="4"/>
    <x v="63"/>
    <s v="TPESTWU000443"/>
    <x v="68"/>
    <s v="USADO"/>
    <s v="ROJO ULTIMATE"/>
    <s v="POR DEFINIR"/>
    <n v="10490000"/>
    <x v="0"/>
    <x v="50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9-04-2026 14:53:48"/>
    <s v=""/>
    <s v="VR3EDYHT0 TJ505511"/>
    <x v="2"/>
    <x v="43"/>
    <x v="64"/>
    <s v="PEPART15MT"/>
    <x v="5"/>
    <x v="64"/>
    <s v="TPEFRGU000059"/>
    <x v="69"/>
    <s v="USADO"/>
    <s v="BLANCO HIELO"/>
    <s v="POR DEFINIR"/>
    <n v="16990000"/>
    <x v="0"/>
    <x v="22"/>
    <x v="6"/>
    <s v="PREMIUM CAR SALES"/>
    <s v="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6990000"/>
    <n v="3158260"/>
    <n v="1859"/>
  </r>
  <r>
    <s v="IMPORTADORA TRENTO LTDA"/>
    <s v="LOCAL SALAMANCA"/>
    <n v="0"/>
    <n v="0"/>
    <s v=""/>
    <s v=""/>
    <s v=""/>
    <s v=""/>
    <s v="02-10-2025 17:10:39"/>
    <s v=""/>
    <s v="9V8FF4HY1RA800991"/>
    <x v="2"/>
    <x v="20"/>
    <x v="23"/>
    <s v="PELANHDI4X422AT"/>
    <x v="5"/>
    <x v="65"/>
    <s v="TPECMTU000016"/>
    <x v="70"/>
    <s v="USADO"/>
    <s v="GRIS ALUMINIUM"/>
    <s v="POR DEFINIR"/>
    <n v="20990000"/>
    <x v="0"/>
    <x v="32"/>
    <x v="1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10-06-2026 17:42:10"/>
    <s v=""/>
    <s v="LJXCU2BB7SHF65429"/>
    <x v="7"/>
    <x v="23"/>
    <x v="65"/>
    <s v="FOTETI15AT"/>
    <x v="5"/>
    <x v="66"/>
    <s v="TFOSTWU001412"/>
    <x v="71"/>
    <s v="USADO"/>
    <s v="ROJO RUBI"/>
    <s v="POR DEFINIR"/>
    <n v="18490000"/>
    <x v="0"/>
    <x v="51"/>
    <x v="0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MEGACENTRO OVALLE"/>
    <n v="0"/>
    <n v="0"/>
    <s v=""/>
    <s v=""/>
    <s v=""/>
    <s v=""/>
    <s v="30-04-2026 10:49:34"/>
    <s v=""/>
    <s v="LVZA53P93 PAA16703"/>
    <x v="10"/>
    <x v="44"/>
    <x v="66"/>
    <s v="DF56018MT"/>
    <x v="1"/>
    <x v="67"/>
    <s v="TDFSTWU000055"/>
    <x v="72"/>
    <s v="USADO"/>
    <s v="GRIS CLARO"/>
    <s v="POR DEFINIR"/>
    <n v="8990000"/>
    <x v="0"/>
    <x v="26"/>
    <x v="6"/>
    <s v="BODEGA OVALLEveih"/>
    <s v="AE,CC,EE,2AB,ABS,LL,AC,AISO,AAUTO,MAV,ACD,DLL"/>
    <s v="SFG18-22372086"/>
    <s v="LVZA53P93 PAA16703"/>
    <s v="MARIA JOSE SOLEDAD MOROSO NAVEA"/>
    <s v="30-04-2026 0:00:00"/>
    <n v="1"/>
    <s v="30-04-2026 0:00:00"/>
    <s v="30-04-2026 10:41:13"/>
    <s v=""/>
    <n v="3"/>
    <n v="0"/>
    <s v=""/>
    <n v="0"/>
    <n v="7300000"/>
    <n v="238740"/>
    <n v="0"/>
    <n v="7538740"/>
    <n v="8990000"/>
    <n v="1451260"/>
    <n v="1614"/>
  </r>
  <r>
    <s v="IMPORTADORA TRENTO LTDA"/>
    <s v="LOCAL PREMIUM CAR SALES"/>
    <n v="0"/>
    <n v="0"/>
    <s v=""/>
    <s v=""/>
    <s v=""/>
    <s v=""/>
    <s v="14-03-2023 10:52:12"/>
    <s v=""/>
    <s v="2FMPK4J94KBB16022"/>
    <x v="7"/>
    <x v="36"/>
    <x v="67"/>
    <s v="EDD900"/>
    <x v="2"/>
    <x v="68"/>
    <s v="TFOSTWU001240"/>
    <x v="73"/>
    <s v="USADO"/>
    <s v="GRIS METALICO"/>
    <s v="POR DEFINIR"/>
    <n v="18490000"/>
    <x v="0"/>
    <x v="52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27-05-2026 11:54:28"/>
    <s v=""/>
    <s v="*.**/+++///++*..."/>
    <x v="17"/>
    <x v="24"/>
    <x v="68"/>
    <s v="HAJO4X215"/>
    <x v="1"/>
    <x v="69"/>
    <s v="THASTWU000025"/>
    <x v="74"/>
    <s v="USADO"/>
    <s v="BLANCO TITANIO"/>
    <s v="POR DEFINIR"/>
    <n v="11390000"/>
    <x v="0"/>
    <x v="44"/>
    <x v="0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MEGACENTRO OVALLE"/>
    <n v="0"/>
    <n v="0"/>
    <s v=""/>
    <s v=""/>
    <s v=""/>
    <s v=""/>
    <s v="13-05-2026 12:15:42"/>
    <s v=""/>
    <s v="98859121B SKR89716"/>
    <x v="21"/>
    <x v="45"/>
    <x v="69"/>
    <s v="RARAMBH4X420AT"/>
    <x v="5"/>
    <x v="20"/>
    <s v="TRACMTU000052"/>
    <x v="75"/>
    <s v="USADO"/>
    <s v="BLANCO POLAR"/>
    <s v="POR DEFINIR"/>
    <n v="27490000"/>
    <x v="0"/>
    <x v="41"/>
    <x v="1"/>
    <s v="BODEGA OVALLEveih"/>
    <s v="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7490000"/>
    <n v="4908960"/>
    <n v="1786"/>
  </r>
  <r>
    <s v="IMPORTADORA TRENTO LTDA"/>
    <s v="MEGACENTRO OVALLE"/>
    <n v="0"/>
    <n v="0"/>
    <s v=""/>
    <s v=""/>
    <s v=""/>
    <s v=""/>
    <s v="30-05-2026 11:34:31"/>
    <s v=""/>
    <s v="LVVDB21B6 PE015130"/>
    <x v="3"/>
    <x v="46"/>
    <x v="70"/>
    <s v="T2GC"/>
    <x v="1"/>
    <x v="70"/>
    <s v="TCYSTWU000354"/>
    <x v="76"/>
    <s v="USADO"/>
    <s v="GRIS GRAFITO"/>
    <s v="POR DEFINIR"/>
    <n v="8490000"/>
    <x v="0"/>
    <x v="5"/>
    <x v="0"/>
    <s v="BODEGA OVALLEveih"/>
    <s v="AE,CC,EE,2AB,ABS,LL,AC,AISO,AAUTO,CRE,MAV,ACD,SR,U"/>
    <s v="SQRD4G15BWNH60485"/>
    <s v="LVVDB21B6 PE015130"/>
    <s v="YANETH DUBERLYZ BRAVO SIMANCA"/>
    <s v="30-05-2026 0:00:00"/>
    <n v="1"/>
    <s v="30-05-2026 0:00:00"/>
    <s v="30-05-2026 11:34:06"/>
    <s v="31-08-2027 0:00:00"/>
    <n v="1"/>
    <n v="0"/>
    <s v=""/>
    <n v="0"/>
    <n v="7100000"/>
    <n v="235740"/>
    <n v="0"/>
    <n v="7335740"/>
    <n v="8490000"/>
    <n v="1154260"/>
    <n v="136"/>
  </r>
  <r>
    <s v="IMPORTADORA TRENTO LTDA"/>
    <s v="LOCAL USADOS"/>
    <n v="0"/>
    <n v="0"/>
    <s v=""/>
    <s v=""/>
    <s v=""/>
    <s v=""/>
    <s v="29-04-2025 19:05:19"/>
    <s v=""/>
    <s v="LJXCU2BB5 NTF05473"/>
    <x v="7"/>
    <x v="23"/>
    <x v="26"/>
    <s v="FTU1"/>
    <x v="3"/>
    <x v="71"/>
    <s v="TFOSTWU001363"/>
    <x v="77"/>
    <s v="USADO"/>
    <s v="NEGRO PANTERA"/>
    <s v="POR DEFINIR"/>
    <n v="10490000"/>
    <x v="0"/>
    <x v="53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29-11-2025 11:09:26"/>
    <s v=""/>
    <s v="VF3M45GYW PS010176"/>
    <x v="2"/>
    <x v="2"/>
    <x v="71"/>
    <s v="PE3008AT"/>
    <x v="1"/>
    <x v="72"/>
    <s v="TPESTWU000438"/>
    <x v="78"/>
    <s v="USADO"/>
    <s v="ROJO ULTIMATE"/>
    <s v="POR DEFINIR"/>
    <n v="16990000"/>
    <x v="0"/>
    <x v="54"/>
    <x v="1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VALLENAR"/>
    <n v="0"/>
    <n v="0"/>
    <s v=""/>
    <s v=""/>
    <s v=""/>
    <s v=""/>
    <s v="10-06-2026 18:08:12"/>
    <s v=""/>
    <s v="LVVDB11B7 SE006519"/>
    <x v="3"/>
    <x v="47"/>
    <x v="72"/>
    <s v="T2PROMAX15MT"/>
    <x v="5"/>
    <x v="73"/>
    <s v="TCYSTWU000357"/>
    <x v="79"/>
    <s v="USADO"/>
    <s v="ROJO METALIZADO"/>
    <s v="POR DEFINIR"/>
    <n v="8590000"/>
    <x v="0"/>
    <x v="51"/>
    <x v="0"/>
    <s v="LOCAL VALLENAR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PDI"/>
    <n v="0"/>
    <n v="0"/>
    <s v=""/>
    <s v=""/>
    <s v=""/>
    <s v=""/>
    <s v="14-08-2018 18:36:12"/>
    <s v=""/>
    <s v="KNABE511AET622431"/>
    <x v="11"/>
    <x v="48"/>
    <x v="73"/>
    <s v="17--1416E4"/>
    <x v="8"/>
    <x v="74"/>
    <s v="TKIAUTU001659"/>
    <x v="80"/>
    <s v="USADO"/>
    <s v="ROJO SIGNAL"/>
    <s v="POR DEFINIR"/>
    <n v="4390000"/>
    <x v="0"/>
    <x v="55"/>
    <x v="8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MEGACENTRO OVALLE"/>
    <n v="0"/>
    <n v="0"/>
    <s v=""/>
    <s v=""/>
    <s v=""/>
    <s v=""/>
    <s v="30-09-2025 19:19:30"/>
    <s v=""/>
    <s v="VF3MRHNSM PS004241"/>
    <x v="2"/>
    <x v="2"/>
    <x v="2"/>
    <s v="3P1L"/>
    <x v="1"/>
    <x v="75"/>
    <s v="TPESTWU000424"/>
    <x v="81"/>
    <s v="USADO"/>
    <s v="BLANCO NACARADO"/>
    <s v="POR DEFINIR"/>
    <n v="13990000"/>
    <x v="0"/>
    <x v="56"/>
    <x v="1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02-09-2025 15:57:33"/>
    <s v=""/>
    <s v="98867543U SKM95087"/>
    <x v="5"/>
    <x v="5"/>
    <x v="74"/>
    <s v="JECOMLI13AT"/>
    <x v="5"/>
    <x v="20"/>
    <s v="TJESTWU000437"/>
    <x v="82"/>
    <s v="USADO"/>
    <s v="BLANCO ALASKA"/>
    <s v="POR DEFINIR"/>
    <n v="21960000"/>
    <x v="0"/>
    <x v="57"/>
    <x v="1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USADOS COPIAPO"/>
    <n v="0"/>
    <n v="0"/>
    <s v=""/>
    <s v=""/>
    <s v=""/>
    <s v=""/>
    <s v="22-01-2026 12:55:07"/>
    <s v=""/>
    <s v="KNARH81BHR5259144"/>
    <x v="11"/>
    <x v="49"/>
    <x v="75"/>
    <s v="KISO4WD2.2AT"/>
    <x v="0"/>
    <x v="60"/>
    <s v="TKISTWU001330"/>
    <x v="83"/>
    <s v="USADO"/>
    <s v="GRIS ACERO"/>
    <s v="POR DEFINIR"/>
    <n v="33490000"/>
    <x v="0"/>
    <x v="58"/>
    <x v="1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06-04-2026 13:31:44"/>
    <s v=""/>
    <s v="VF3M45GYWPS011277"/>
    <x v="2"/>
    <x v="2"/>
    <x v="71"/>
    <s v="PE3008AT"/>
    <x v="1"/>
    <x v="76"/>
    <s v="TPESTWU000452"/>
    <x v="84"/>
    <s v="USADO"/>
    <s v="BLANCO NACARADO"/>
    <s v="POR DEFINIR"/>
    <n v="16490000"/>
    <x v="0"/>
    <x v="21"/>
    <x v="0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18-02-2026 10:03:09"/>
    <s v=""/>
    <s v="///-*/*-.+-*/.+//"/>
    <x v="21"/>
    <x v="38"/>
    <x v="76"/>
    <s v="RA1500REBDC4X457AT"/>
    <x v="3"/>
    <x v="77"/>
    <s v="TRACMTU000051"/>
    <x v="85"/>
    <s v="USADO"/>
    <s v="NEGRO METALICO"/>
    <s v="POR DEFINIR"/>
    <n v="35990000"/>
    <x v="0"/>
    <x v="9"/>
    <x v="1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 COPIAPO"/>
    <n v="0"/>
    <n v="0"/>
    <s v=""/>
    <s v=""/>
    <s v=""/>
    <s v=""/>
    <s v="13-11-2025 16:08:09"/>
    <s v=""/>
    <s v="VF3MCYHZU PS006748"/>
    <x v="2"/>
    <x v="27"/>
    <x v="35"/>
    <s v="5008BH130"/>
    <x v="1"/>
    <x v="78"/>
    <s v="TPESTWU000433"/>
    <x v="86"/>
    <s v="USADO"/>
    <s v="BLANCO NACARADO"/>
    <s v="POR DEFINIR"/>
    <n v="22690000"/>
    <x v="0"/>
    <x v="59"/>
    <x v="1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18-05-2026 13:35:28"/>
    <s v=""/>
    <s v="9BWCH6CH0 PP008570"/>
    <x v="8"/>
    <x v="50"/>
    <x v="77"/>
    <s v="VN01"/>
    <x v="1"/>
    <x v="79"/>
    <s v="TVOSTWU000035"/>
    <x v="87"/>
    <s v="USADO"/>
    <s v="GRIS PIEDRA DE LUNA"/>
    <s v="POR DEFINIR"/>
    <n v="15190000"/>
    <x v="0"/>
    <x v="39"/>
    <x v="6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5190000"/>
    <n v="1967260"/>
    <n v="1295"/>
  </r>
  <r>
    <s v="IMPORTADORA TRENTO LTDA"/>
    <s v="LOCAL USADOS"/>
    <n v="0"/>
    <n v="0"/>
    <s v=""/>
    <s v=""/>
    <s v=""/>
    <s v=""/>
    <s v="27-08-2025 14:34:07"/>
    <s v=""/>
    <s v="KL1FC1CU8GB533760"/>
    <x v="22"/>
    <x v="51"/>
    <x v="78"/>
    <s v="CHCAPLS24AT"/>
    <x v="12"/>
    <x v="40"/>
    <s v="TCHSTWU000305"/>
    <x v="88"/>
    <s v="USADO"/>
    <s v="NEGRO"/>
    <s v="POR DEFINIR"/>
    <n v="9590000"/>
    <x v="0"/>
    <x v="60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REMIUM CAR SALES"/>
    <n v="0"/>
    <n v="0"/>
    <s v=""/>
    <s v=""/>
    <s v=""/>
    <s v=""/>
    <s v="03-10-2025 17:16:55"/>
    <s v=""/>
    <s v="/////**++**++////"/>
    <x v="15"/>
    <x v="52"/>
    <x v="79"/>
    <s v="MZCX60PR4X433AT"/>
    <x v="5"/>
    <x v="80"/>
    <s v="TMASTWU000104"/>
    <x v="89"/>
    <s v="USADO"/>
    <s v="ROJO CRISTAL"/>
    <s v="POR DEFINIR"/>
    <n v="36990000"/>
    <x v="0"/>
    <x v="27"/>
    <x v="1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29-04-2026 14:31:23"/>
    <s v=""/>
    <s v="LVZA53P91 NA129835"/>
    <x v="10"/>
    <x v="44"/>
    <x v="80"/>
    <s v="S560"/>
    <x v="1"/>
    <x v="81"/>
    <s v="TDFSTWU000054"/>
    <x v="90"/>
    <s v="USADO"/>
    <s v="BLANCO"/>
    <s v="POR DEFINIR"/>
    <n v="8890000"/>
    <x v="0"/>
    <x v="22"/>
    <x v="6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8890000"/>
    <n v="1757260"/>
    <n v="1977"/>
  </r>
  <r>
    <s v="IMPORTADORA TRENTO LTDA"/>
    <s v="LOCAL PREMIUM CAR SALES"/>
    <n v="0"/>
    <n v="0"/>
    <s v=""/>
    <s v=""/>
    <s v=""/>
    <s v=""/>
    <s v="02-09-2025 15:11:09"/>
    <s v=""/>
    <s v="KMFYFX71AMU043854"/>
    <x v="1"/>
    <x v="53"/>
    <x v="81"/>
    <s v="HYSTAMTDSL"/>
    <x v="3"/>
    <x v="54"/>
    <s v="THYFRGU000001"/>
    <x v="91"/>
    <s v="USADO"/>
    <s v="BLANCO"/>
    <s v="POR DEFINIR"/>
    <n v="21500000"/>
    <x v="0"/>
    <x v="57"/>
    <x v="1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USADOS COPIAPO"/>
    <n v="0"/>
    <n v="0"/>
    <s v=""/>
    <s v=""/>
    <s v=""/>
    <s v=""/>
    <s v="28-08-2025 17:50:15"/>
    <s v=""/>
    <s v="VR3FDAHDE P3009377"/>
    <x v="2"/>
    <x v="20"/>
    <x v="82"/>
    <s v="L666MT"/>
    <x v="1"/>
    <x v="82"/>
    <s v="TPECMTU000014"/>
    <x v="92"/>
    <s v="USADO"/>
    <s v="BLANCO"/>
    <s v="POR DEFINIR"/>
    <n v="13750000"/>
    <x v="0"/>
    <x v="61"/>
    <x v="7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06-04-2026 15:27:31"/>
    <s v=""/>
    <s v="LPE19W2A6TF007924"/>
    <x v="23"/>
    <x v="54"/>
    <x v="83"/>
    <s v="BYDSHA15AT"/>
    <x v="5"/>
    <x v="83"/>
    <s v="TBYCMTU000001"/>
    <x v="93"/>
    <s v="USADO"/>
    <s v="BLANCO"/>
    <s v="POR DEFINIR"/>
    <n v="36990000"/>
    <x v="0"/>
    <x v="21"/>
    <x v="6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PREMIUM CAR SALES"/>
    <n v="0"/>
    <n v="0"/>
    <s v=""/>
    <s v=""/>
    <s v=""/>
    <s v=""/>
    <s v="25-05-2026 10:25:02"/>
    <s v=""/>
    <s v="/////+++///.+*..."/>
    <x v="24"/>
    <x v="55"/>
    <x v="84"/>
    <s v="LK777"/>
    <x v="0"/>
    <x v="84"/>
    <s v="TMGSTWU000059"/>
    <x v="94"/>
    <s v="USADO"/>
    <s v="ROJO"/>
    <s v="POR DEFINIR"/>
    <n v="9990000"/>
    <x v="0"/>
    <x v="20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PREMIUM CAR SALES"/>
    <n v="0"/>
    <n v="0"/>
    <s v=""/>
    <s v=""/>
    <s v=""/>
    <s v=""/>
    <s v="08-01-2026 15:20:40"/>
    <s v=""/>
    <s v="LGXC74C40R0005634"/>
    <x v="23"/>
    <x v="56"/>
    <x v="85"/>
    <s v="BYSONP15AT"/>
    <x v="0"/>
    <x v="12"/>
    <s v="TBYSTWU000006"/>
    <x v="95"/>
    <s v="USADO"/>
    <s v="ROJO"/>
    <s v="POR DEFINIR"/>
    <n v="20990000"/>
    <x v="0"/>
    <x v="62"/>
    <x v="1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06-04-2026 11:44:19"/>
    <s v=""/>
    <s v="1FTFW1E50 MFA34669"/>
    <x v="7"/>
    <x v="8"/>
    <x v="86"/>
    <s v="F150AUT"/>
    <x v="9"/>
    <x v="85"/>
    <s v="TFOCMTU001159"/>
    <x v="96"/>
    <s v="USADO"/>
    <s v="ROJO METALICO"/>
    <s v="POR DEFINIR"/>
    <n v="31990000"/>
    <x v="0"/>
    <x v="21"/>
    <x v="2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13-05-2026 12:22:14"/>
    <s v=""/>
    <s v="LVTDB21B7PD021629"/>
    <x v="16"/>
    <x v="57"/>
    <x v="87"/>
    <s v="EXLXADV15AT"/>
    <x v="0"/>
    <x v="43"/>
    <s v="TEXESTWU000005"/>
    <x v="97"/>
    <s v="USADO"/>
    <s v="GRIS PHANTOM"/>
    <s v="POR DEFINIR"/>
    <n v="13790000"/>
    <x v="0"/>
    <x v="41"/>
    <x v="0"/>
    <s v="PREMIUM CAR SALES"/>
    <s v="AE,CC,EE,AAC,ABS,LL,4AB,AISO,AAUTO,MAV,ACD,SR,DLL"/>
    <s v="SQRE4T15CAPNE00204"/>
    <s v="LVTDB21B7PD021629"/>
    <s v="ELIANA DEL CARMEN GONZÁLEZ ARAYA"/>
    <s v="13-05-2026 0:00:00"/>
    <n v="1"/>
    <s v="13-05-2026 0:00:00"/>
    <s v="13-05-2026 12:21:23"/>
    <s v=""/>
    <n v="1"/>
    <n v="0"/>
    <s v=""/>
    <n v="0"/>
    <n v="11300000"/>
    <n v="298740"/>
    <n v="0"/>
    <n v="11598740"/>
    <n v="13790000"/>
    <n v="2191260"/>
    <n v="1589"/>
  </r>
  <r>
    <s v="IMPORTADORA TRENTO LTDA"/>
    <s v="LOCAL USADOS COPIAPO"/>
    <n v="0"/>
    <n v="0"/>
    <s v=""/>
    <s v=""/>
    <s v=""/>
    <s v=""/>
    <s v="05-06-2025 17:27:51"/>
    <s v=""/>
    <s v="9BGEN76C0 PB119398"/>
    <x v="22"/>
    <x v="58"/>
    <x v="88"/>
    <s v="TU8000"/>
    <x v="3"/>
    <x v="86"/>
    <s v="TCHSTWU000300"/>
    <x v="98"/>
    <s v="USADO"/>
    <s v="GRIS METALICO"/>
    <s v="POR DEFINIR"/>
    <n v="11690000"/>
    <x v="0"/>
    <x v="63"/>
    <x v="1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USADOS"/>
    <n v="0"/>
    <n v="0"/>
    <s v=""/>
    <s v=""/>
    <s v=""/>
    <s v=""/>
    <s v="25-07-2025 12:11:03"/>
    <s v=""/>
    <s v="3N1CN8AE1NL804585"/>
    <x v="4"/>
    <x v="59"/>
    <x v="89"/>
    <s v="NVC7"/>
    <x v="9"/>
    <x v="87"/>
    <s v="TNIAUTU000640"/>
    <x v="99"/>
    <s v="USADO"/>
    <s v="PLATEADO"/>
    <s v="POR DEFINIR"/>
    <n v="9790000"/>
    <x v="0"/>
    <x v="64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04-06-2026 10:17:49"/>
    <s v=""/>
    <s v="////**++/./++*..."/>
    <x v="25"/>
    <x v="60"/>
    <x v="90"/>
    <s v="AUQ314AT"/>
    <x v="3"/>
    <x v="59"/>
    <s v="TAUSTWU000011"/>
    <x v="100"/>
    <s v="USADO"/>
    <s v="BLANCO GLACIAR METALICO"/>
    <s v="POR DEFINIR"/>
    <n v="24990000"/>
    <x v="0"/>
    <x v="65"/>
    <x v="0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30-04-2026 16:45:15"/>
    <s v=""/>
    <s v="9FBHSRA95LM023521"/>
    <x v="26"/>
    <x v="61"/>
    <x v="91"/>
    <s v="124FG"/>
    <x v="11"/>
    <x v="88"/>
    <s v="TRESTWU000047"/>
    <x v="101"/>
    <s v="USADO"/>
    <s v="GRIS ESTRELLA"/>
    <s v="POR DEFINIR"/>
    <n v="7690000"/>
    <x v="0"/>
    <x v="26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28-04-2026 11:16:31"/>
    <s v=""/>
    <s v="/////++***/++*..."/>
    <x v="27"/>
    <x v="62"/>
    <x v="92"/>
    <s v="ZXTERRDCDLX25MT"/>
    <x v="3"/>
    <x v="89"/>
    <s v="TZXCMTU000004"/>
    <x v="102"/>
    <s v="USADO"/>
    <s v="PLATEADO PLATA"/>
    <s v="POR DEFINIR"/>
    <n v="11290000"/>
    <x v="0"/>
    <x v="37"/>
    <x v="1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11290000"/>
    <n v="2127260"/>
    <n v="1884"/>
  </r>
  <r>
    <s v="IMPORTADORA TRENTO LTDA"/>
    <s v="LOCAL USADOS COPIAPO"/>
    <n v="0"/>
    <n v="0"/>
    <s v=""/>
    <s v=""/>
    <s v=""/>
    <s v=""/>
    <s v="30-04-2026 10:10:05"/>
    <s v=""/>
    <s v="MALGT41DASM115787"/>
    <x v="1"/>
    <x v="1"/>
    <x v="93"/>
    <s v="20--ACC90"/>
    <x v="5"/>
    <x v="90"/>
    <s v="THYAUTU000585"/>
    <x v="103"/>
    <s v="USADO"/>
    <s v="GRIS GRAFITO"/>
    <s v="POR DEFINIR"/>
    <n v="12890000"/>
    <x v="0"/>
    <x v="26"/>
    <x v="6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12-09-2025 18:26:55"/>
    <s v=""/>
    <s v="*---****.../*...."/>
    <x v="28"/>
    <x v="63"/>
    <x v="94"/>
    <s v="JAT8PRO4X420MT"/>
    <x v="1"/>
    <x v="91"/>
    <s v="TJACMTU000006"/>
    <x v="104"/>
    <s v="USADO"/>
    <s v="GRIS"/>
    <s v="POR DEFINIR"/>
    <n v="12790000"/>
    <x v="0"/>
    <x v="66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6-04-2026 12:02:41"/>
    <s v=""/>
    <s v="LVVDB21B5SC004219"/>
    <x v="13"/>
    <x v="17"/>
    <x v="20"/>
    <s v="JE7AWD16AT"/>
    <x v="10"/>
    <x v="92"/>
    <s v="TJAESTWU000004"/>
    <x v="105"/>
    <s v="USADO"/>
    <s v="GRIS ARTEMIS"/>
    <s v="POR DEFINIR"/>
    <n v="16490000"/>
    <x v="0"/>
    <x v="21"/>
    <x v="1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15-07-2025 13:46:05"/>
    <s v=""/>
    <s v="KPT60A1USMP040811"/>
    <x v="9"/>
    <x v="64"/>
    <x v="95"/>
    <s v="NK80"/>
    <x v="9"/>
    <x v="40"/>
    <s v="TSYSTWU000337"/>
    <x v="106"/>
    <s v="USADO"/>
    <s v="BLANCO"/>
    <s v="POR DEFINIR"/>
    <n v="12990000"/>
    <x v="0"/>
    <x v="67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30-05-2025 23:11:48"/>
    <s v=""/>
    <s v="/////+++++****..."/>
    <x v="4"/>
    <x v="26"/>
    <x v="33"/>
    <s v="ASTR77"/>
    <x v="1"/>
    <x v="93"/>
    <s v="TNISTWU000581"/>
    <x v="107"/>
    <s v="USADO"/>
    <s v="GRIS METALICO"/>
    <s v="POR DEFINIR"/>
    <n v="17290000"/>
    <x v="0"/>
    <x v="68"/>
    <x v="1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30-10-2025 16:09:38"/>
    <s v=""/>
    <s v="1FTFW1RG1KFC72541"/>
    <x v="7"/>
    <x v="8"/>
    <x v="45"/>
    <s v="FRK7"/>
    <x v="2"/>
    <x v="94"/>
    <s v="TFOCMTU001137"/>
    <x v="108"/>
    <s v="USADO"/>
    <s v="BLANCO OXFOR"/>
    <s v="POR DEFINIR"/>
    <n v="45990000"/>
    <x v="0"/>
    <x v="40"/>
    <x v="9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23-12-2025 18:40:06"/>
    <s v=""/>
    <s v="1C6RR7LG8 NS154084"/>
    <x v="21"/>
    <x v="38"/>
    <x v="96"/>
    <s v="RA1500CRSPDC4X436AT"/>
    <x v="1"/>
    <x v="95"/>
    <s v="TRACMTU000047"/>
    <x v="109"/>
    <s v="USADO"/>
    <s v="BLANCO"/>
    <s v="POR DEFINIR"/>
    <n v="29490000"/>
    <x v="0"/>
    <x v="69"/>
    <x v="1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"/>
    <n v="0"/>
    <n v="0"/>
    <s v=""/>
    <s v=""/>
    <s v=""/>
    <s v=""/>
    <s v="05-02-2026 13:04:12"/>
    <s v=""/>
    <s v="VF3M45GFUPS010582"/>
    <x v="2"/>
    <x v="27"/>
    <x v="54"/>
    <s v="PE5008PT16AT"/>
    <x v="1"/>
    <x v="52"/>
    <s v="TPESTWU000446"/>
    <x v="110"/>
    <s v="USADO"/>
    <s v="GRIS ARTENSE"/>
    <s v="POR DEFINIR"/>
    <n v="19290000"/>
    <x v="0"/>
    <x v="6"/>
    <x v="6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USADOS"/>
    <n v="0"/>
    <n v="0"/>
    <s v=""/>
    <s v=""/>
    <s v=""/>
    <s v=""/>
    <s v="28-02-2026 11:42:29"/>
    <s v=""/>
    <s v="1FM5K8FH7KGA98168"/>
    <x v="7"/>
    <x v="65"/>
    <x v="97"/>
    <s v="EXPUS1"/>
    <x v="2"/>
    <x v="96"/>
    <s v="TFOSTWU001401"/>
    <x v="111"/>
    <s v="USADO"/>
    <s v="BLANCO METAL"/>
    <s v="POR DEFINIR"/>
    <n v="22990000"/>
    <x v="0"/>
    <x v="18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 COPIAPO"/>
    <n v="0"/>
    <n v="0"/>
    <s v=""/>
    <s v=""/>
    <s v=""/>
    <s v=""/>
    <s v="06-04-2026 11:01:03"/>
    <s v=""/>
    <s v="JS3TD04V3K4101439"/>
    <x v="29"/>
    <x v="66"/>
    <x v="98"/>
    <s v="SZGRANNOGLX24AT"/>
    <x v="11"/>
    <x v="76"/>
    <s v="TSZSTWU000469"/>
    <x v="112"/>
    <s v="USADO"/>
    <s v="NEGRO"/>
    <s v="POR DEFINIR"/>
    <n v="11990000"/>
    <x v="0"/>
    <x v="21"/>
    <x v="1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990000"/>
    <n v="2624260"/>
    <n v="2189"/>
  </r>
  <r>
    <s v="IMPORTADORA TRENTO LTDA"/>
    <s v="LOCAL PREMIUM CAR SALES"/>
    <n v="0"/>
    <n v="0"/>
    <s v=""/>
    <s v=""/>
    <s v=""/>
    <s v=""/>
    <s v="01-04-2026 18:18:58"/>
    <s v=""/>
    <s v="VF3MCYHZUSL001353"/>
    <x v="2"/>
    <x v="27"/>
    <x v="35"/>
    <s v="5008BH130"/>
    <x v="5"/>
    <x v="83"/>
    <s v="TPESTWU000451"/>
    <x v="113"/>
    <s v="USADO"/>
    <s v="BLANCO NACARADO"/>
    <s v="POR DEFINIR"/>
    <n v="26990000"/>
    <x v="0"/>
    <x v="70"/>
    <x v="1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6990000"/>
    <n v="3008260"/>
    <n v="1115"/>
  </r>
  <r>
    <s v="IMPORTADORA TRENTO LTDA"/>
    <s v="LOCAL USADOS COPIAPO"/>
    <n v="0"/>
    <n v="0"/>
    <s v=""/>
    <s v=""/>
    <s v=""/>
    <s v=""/>
    <s v="22-10-2025 9:20:00"/>
    <s v=""/>
    <s v="LVVDB11B7 MD082945"/>
    <x v="3"/>
    <x v="67"/>
    <x v="99"/>
    <s v="T315"/>
    <x v="9"/>
    <x v="97"/>
    <s v="TCYSTWU000320"/>
    <x v="114"/>
    <s v="USADO"/>
    <s v="AZUL METALIZADO"/>
    <s v="POR DEFINIR"/>
    <n v="8190000"/>
    <x v="0"/>
    <x v="71"/>
    <x v="7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MEGACENTRO OVALLE"/>
    <n v="0"/>
    <n v="0"/>
    <s v=""/>
    <s v=""/>
    <s v=""/>
    <s v=""/>
    <s v="23-02-2026 15:52:12"/>
    <s v=""/>
    <s v="MPBUR2366NX379509"/>
    <x v="7"/>
    <x v="10"/>
    <x v="100"/>
    <s v="FRR20"/>
    <x v="1"/>
    <x v="98"/>
    <s v="TFOCMTU001154"/>
    <x v="115"/>
    <s v="USADO"/>
    <s v="NEGRO ABSOLUTO"/>
    <s v="POR DEFINIR"/>
    <n v="30290000"/>
    <x v="0"/>
    <x v="72"/>
    <x v="1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30-12-2025 10:51:56"/>
    <s v=""/>
    <s v="MA1VE2RJC M6E84266"/>
    <x v="30"/>
    <x v="68"/>
    <x v="101"/>
    <s v="MAKUV100HB12MT"/>
    <x v="3"/>
    <x v="16"/>
    <s v="TMHAUTU000006"/>
    <x v="116"/>
    <s v="USADO"/>
    <s v="BLANCO"/>
    <s v="POR DEFINIR"/>
    <n v="6390000"/>
    <x v="0"/>
    <x v="73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MEGACENTRO OVALLE"/>
    <n v="0"/>
    <n v="0"/>
    <s v=""/>
    <s v=""/>
    <s v=""/>
    <s v=""/>
    <s v="05-12-2025 18:11:39"/>
    <s v=""/>
    <s v="1FTEW1E51LFC25883"/>
    <x v="7"/>
    <x v="8"/>
    <x v="102"/>
    <s v="FOF150LA4X450AT"/>
    <x v="9"/>
    <x v="99"/>
    <s v="TFOCMTU001144"/>
    <x v="117"/>
    <s v="USADO"/>
    <s v="PLATEADO METALICO"/>
    <s v="POR DEFINIR"/>
    <n v="27190000"/>
    <x v="0"/>
    <x v="74"/>
    <x v="1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DI"/>
    <n v="0"/>
    <n v="0"/>
    <s v=""/>
    <s v=""/>
    <s v=""/>
    <s v=""/>
    <s v="03-01-2017 1:36:33"/>
    <s v=""/>
    <s v="KNCSJX76AF7939699"/>
    <x v="11"/>
    <x v="69"/>
    <x v="103"/>
    <s v="17--1336"/>
    <x v="13"/>
    <x v="16"/>
    <s v="TKICMTN000002"/>
    <x v="118"/>
    <s v="USADO"/>
    <s v="BLANCO INVIERNO"/>
    <s v="NO DEFINIDO"/>
    <n v="14800000"/>
    <x v="0"/>
    <x v="75"/>
    <x v="8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 COPIAPO"/>
    <n v="0"/>
    <n v="0"/>
    <s v=""/>
    <s v=""/>
    <s v=""/>
    <s v=""/>
    <s v="03-08-2022 14:52:06"/>
    <s v=""/>
    <s v="***//*.+*********"/>
    <x v="4"/>
    <x v="70"/>
    <x v="104"/>
    <s v="22--010"/>
    <x v="7"/>
    <x v="100"/>
    <s v="TNISTWU000449"/>
    <x v="119"/>
    <s v="USADO"/>
    <s v="BLANCO PERLA"/>
    <s v="POR DEFINIR"/>
    <n v="9890000"/>
    <x v="0"/>
    <x v="76"/>
    <x v="1"/>
    <s v="BODEGA LOS CARRERA COPIAPO"/>
    <s v=""/>
    <s v="HR16411356R"/>
    <s v="SJNFBAF15GA090279"/>
    <s v="SERGIO H OLIVARES ORTIZ  Y CIA LTDA"/>
    <s v="23-03-2026 0:00:00"/>
    <n v="1"/>
    <s v="03-08-2022 0:00:00"/>
    <s v="30-03-2026 8:51:48"/>
    <s v=""/>
    <n v="0"/>
    <n v="0"/>
    <s v=""/>
    <n v="0"/>
    <n v="9300000"/>
    <n v="1603570"/>
    <n v="0"/>
    <n v="10903570"/>
    <n v="9890000"/>
    <n v="-1013570"/>
    <n v="-1025"/>
  </r>
  <r>
    <s v="IMPORTADORA TRENTO LTDA"/>
    <s v="LOCAL SALAMANCA"/>
    <n v="0"/>
    <n v="0"/>
    <s v=""/>
    <s v=""/>
    <s v=""/>
    <s v=""/>
    <s v="30-04-2026 15:19:16"/>
    <s v=""/>
    <s v="LVVDB21B4 SC023313"/>
    <x v="3"/>
    <x v="71"/>
    <x v="105"/>
    <s v="CHTIG3PRGLS15AT"/>
    <x v="10"/>
    <x v="101"/>
    <s v="TCYSTWU000352"/>
    <x v="120"/>
    <s v="USADO"/>
    <s v="GRIS PLATA"/>
    <s v="POR DEFINIR"/>
    <n v="11690000"/>
    <x v="0"/>
    <x v="26"/>
    <x v="1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28-04-2026 10:56:17"/>
    <s v=""/>
    <s v="///***++///++*..."/>
    <x v="8"/>
    <x v="72"/>
    <x v="106"/>
    <s v="VOSAVECD16"/>
    <x v="0"/>
    <x v="102"/>
    <s v="TVOCMTU000041"/>
    <x v="121"/>
    <s v="USADO"/>
    <s v="BLANCO CANDY"/>
    <s v="POR DEFINIR"/>
    <n v="11590000"/>
    <x v="0"/>
    <x v="37"/>
    <x v="6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USADOS COPIAPO"/>
    <n v="0"/>
    <n v="0"/>
    <s v=""/>
    <s v=""/>
    <s v=""/>
    <s v=""/>
    <s v="03-06-2026 17:08:15"/>
    <s v=""/>
    <s v="9BRKZAAG0 T0731458"/>
    <x v="31"/>
    <x v="73"/>
    <x v="107"/>
    <s v="TOCOCHEV18AT"/>
    <x v="5"/>
    <x v="103"/>
    <s v="TTOSTWU000260"/>
    <x v="122"/>
    <s v="USADO"/>
    <s v="BLANCO PERLADO PLATINUM"/>
    <s v="POR DEFINIR"/>
    <n v="25890000"/>
    <x v="0"/>
    <x v="8"/>
    <x v="1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5890000"/>
    <n v="4445760"/>
    <n v="1717"/>
  </r>
  <r>
    <s v="IMPORTADORA TRENTO LTDA"/>
    <s v="LOCAL SALAMANCA"/>
    <n v="0"/>
    <n v="0"/>
    <s v=""/>
    <s v=""/>
    <s v=""/>
    <s v=""/>
    <s v="16-05-2026 13:31:20"/>
    <s v=""/>
    <s v="/////+/+///++*.*."/>
    <x v="28"/>
    <x v="74"/>
    <x v="108"/>
    <s v="JAJS4LUX15MT"/>
    <x v="0"/>
    <x v="104"/>
    <s v="TJASTWU000025"/>
    <x v="123"/>
    <s v="USADO"/>
    <s v="ROJO"/>
    <s v="POR DEFINIR"/>
    <n v="10490000"/>
    <x v="0"/>
    <x v="77"/>
    <x v="1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02-01-2026 16:34:09"/>
    <s v=""/>
    <s v="KPTE0A1YS PP010412"/>
    <x v="9"/>
    <x v="75"/>
    <x v="109"/>
    <s v="SSTO4X215MT"/>
    <x v="0"/>
    <x v="105"/>
    <s v="TSYSTWU000339"/>
    <x v="124"/>
    <s v="USADO"/>
    <s v="AZUL METALICO"/>
    <s v="POR DEFINIR"/>
    <n v="18690000"/>
    <x v="0"/>
    <x v="50"/>
    <x v="1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1-04-2026 12:48:10"/>
    <s v=""/>
    <s v="1GNSK7KC8 KR384750"/>
    <x v="22"/>
    <x v="76"/>
    <x v="110"/>
    <s v="CHTAH4X453AT"/>
    <x v="2"/>
    <x v="106"/>
    <s v="TCHSTWU000319"/>
    <x v="125"/>
    <s v="USADO"/>
    <s v="GRIS METALICO"/>
    <s v="POR DEFINIR"/>
    <n v="28990000"/>
    <x v="0"/>
    <x v="70"/>
    <x v="1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m/>
    <m/>
    <m/>
    <m/>
    <m/>
    <m/>
    <m/>
    <m/>
    <m/>
    <m/>
    <m/>
    <x v="32"/>
    <x v="77"/>
    <x v="111"/>
    <m/>
    <x v="14"/>
    <x v="107"/>
    <m/>
    <x v="126"/>
    <m/>
    <m/>
    <m/>
    <m/>
    <x v="1"/>
    <x v="78"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1"/>
    <m/>
    <x v="14"/>
    <x v="107"/>
    <m/>
    <x v="126"/>
    <m/>
    <m/>
    <m/>
    <m/>
    <x v="1"/>
    <x v="78"/>
    <x v="10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38" applyNumberFormats="0" applyBorderFormats="0" applyFontFormats="0" applyPatternFormats="0" applyAlignmentFormats="0" applyWidthHeightFormats="0" dataCaption="" updatedVersion="8" rowGrandTotals="0" compact="0" compactData="0">
  <location ref="A1:I127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4">
        <item x="25"/>
        <item x="0"/>
        <item m="1" x="33"/>
        <item x="23"/>
        <item x="18"/>
        <item x="3"/>
        <item x="22"/>
        <item x="6"/>
        <item m="1" x="43"/>
        <item x="10"/>
        <item m="1" x="41"/>
        <item x="16"/>
        <item m="1" x="35"/>
        <item x="7"/>
        <item m="1" x="42"/>
        <item x="19"/>
        <item x="17"/>
        <item m="1" x="37"/>
        <item x="1"/>
        <item x="28"/>
        <item x="13"/>
        <item x="5"/>
        <item m="1" x="36"/>
        <item m="1" x="38"/>
        <item x="11"/>
        <item x="30"/>
        <item m="1" x="39"/>
        <item x="15"/>
        <item x="24"/>
        <item x="14"/>
        <item x="4"/>
        <item x="12"/>
        <item m="1" x="34"/>
        <item x="2"/>
        <item x="21"/>
        <item x="26"/>
        <item x="9"/>
        <item x="20"/>
        <item x="29"/>
        <item x="31"/>
        <item x="8"/>
        <item m="1" x="40"/>
        <item x="27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84">
        <item m="1" x="81"/>
        <item m="1" x="83"/>
        <item m="1" x="78"/>
        <item m="1" x="82"/>
        <item m="1" x="79"/>
        <item m="1" x="80"/>
        <item x="32"/>
        <item x="2"/>
        <item x="33"/>
        <item x="27"/>
        <item x="44"/>
        <item x="28"/>
        <item x="17"/>
        <item x="13"/>
        <item x="42"/>
        <item x="30"/>
        <item x="7"/>
        <item x="51"/>
        <item x="29"/>
        <item x="5"/>
        <item x="73"/>
        <item x="21"/>
        <item x="52"/>
        <item x="15"/>
        <item x="36"/>
        <item x="9"/>
        <item x="65"/>
        <item x="8"/>
        <item x="37"/>
        <item x="69"/>
        <item x="12"/>
        <item x="66"/>
        <item x="1"/>
        <item x="24"/>
        <item x="74"/>
        <item x="70"/>
        <item x="64"/>
        <item x="20"/>
        <item x="57"/>
        <item x="68"/>
        <item x="55"/>
        <item x="25"/>
        <item x="48"/>
        <item x="34"/>
        <item x="50"/>
        <item x="18"/>
        <item x="43"/>
        <item x="39"/>
        <item x="41"/>
        <item x="35"/>
        <item x="60"/>
        <item x="26"/>
        <item x="38"/>
        <item x="45"/>
        <item x="10"/>
        <item x="61"/>
        <item x="14"/>
        <item x="19"/>
        <item x="72"/>
        <item x="31"/>
        <item x="54"/>
        <item x="40"/>
        <item x="56"/>
        <item x="49"/>
        <item x="16"/>
        <item x="53"/>
        <item x="63"/>
        <item x="76"/>
        <item x="62"/>
        <item x="23"/>
        <item x="46"/>
        <item x="47"/>
        <item x="67"/>
        <item x="71"/>
        <item x="3"/>
        <item x="11"/>
        <item x="75"/>
        <item x="58"/>
        <item x="4"/>
        <item x="59"/>
        <item x="22"/>
        <item x="0"/>
        <item x="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452">
        <item m="1" x="396"/>
        <item x="96"/>
        <item m="1" x="246"/>
        <item x="76"/>
        <item m="1" x="140"/>
        <item x="42"/>
        <item m="1" x="411"/>
        <item m="1" x="431"/>
        <item m="1" x="126"/>
        <item m="1" x="203"/>
        <item m="1" x="442"/>
        <item m="1" x="267"/>
        <item m="1" x="410"/>
        <item m="1" x="231"/>
        <item m="1" x="371"/>
        <item m="1" x="302"/>
        <item m="1" x="423"/>
        <item m="1" x="425"/>
        <item x="63"/>
        <item m="1" x="389"/>
        <item x="36"/>
        <item m="1" x="224"/>
        <item x="31"/>
        <item m="1" x="192"/>
        <item m="1" x="201"/>
        <item m="1" x="278"/>
        <item m="1" x="195"/>
        <item m="1" x="182"/>
        <item m="1" x="247"/>
        <item m="1" x="130"/>
        <item x="59"/>
        <item m="1" x="295"/>
        <item x="2"/>
        <item m="1" x="234"/>
        <item x="71"/>
        <item m="1" x="390"/>
        <item m="1" x="432"/>
        <item m="1" x="420"/>
        <item m="1" x="368"/>
        <item m="1" x="265"/>
        <item x="43"/>
        <item m="1" x="210"/>
        <item m="1" x="286"/>
        <item m="1" x="180"/>
        <item x="35"/>
        <item x="54"/>
        <item m="1" x="372"/>
        <item m="1" x="124"/>
        <item x="37"/>
        <item x="51"/>
        <item x="20"/>
        <item m="1" x="349"/>
        <item m="1" x="426"/>
        <item x="93"/>
        <item m="1" x="307"/>
        <item m="1" x="326"/>
        <item x="6"/>
        <item m="1" x="336"/>
        <item m="1" x="424"/>
        <item m="1" x="216"/>
        <item m="1" x="322"/>
        <item m="1" x="264"/>
        <item m="1" x="136"/>
        <item m="1" x="209"/>
        <item m="1" x="156"/>
        <item m="1" x="237"/>
        <item x="14"/>
        <item m="1" x="375"/>
        <item m="1" x="428"/>
        <item m="1" x="351"/>
        <item x="62"/>
        <item m="1" x="122"/>
        <item m="1" x="232"/>
        <item m="1" x="352"/>
        <item m="1" x="128"/>
        <item m="1" x="113"/>
        <item m="1" x="269"/>
        <item m="1" x="227"/>
        <item m="1" x="196"/>
        <item m="1" x="404"/>
        <item m="1" x="187"/>
        <item m="1" x="260"/>
        <item m="1" x="439"/>
        <item m="1" x="312"/>
        <item x="39"/>
        <item m="1" x="383"/>
        <item m="1" x="381"/>
        <item m="1" x="123"/>
        <item m="1" x="414"/>
        <item m="1" x="159"/>
        <item x="18"/>
        <item m="1" x="448"/>
        <item m="1" x="170"/>
        <item x="8"/>
        <item m="1" x="281"/>
        <item m="1" x="202"/>
        <item x="78"/>
        <item m="1" x="228"/>
        <item x="16"/>
        <item m="1" x="133"/>
        <item m="1" x="417"/>
        <item x="74"/>
        <item m="1" x="356"/>
        <item m="1" x="329"/>
        <item m="1" x="306"/>
        <item m="1" x="241"/>
        <item x="107"/>
        <item m="1" x="280"/>
        <item m="1" x="118"/>
        <item m="1" x="382"/>
        <item m="1" x="114"/>
        <item m="1" x="138"/>
        <item m="1" x="257"/>
        <item m="1" x="158"/>
        <item x="24"/>
        <item m="1" x="225"/>
        <item x="79"/>
        <item m="1" x="443"/>
        <item m="1" x="314"/>
        <item x="38"/>
        <item m="1" x="402"/>
        <item x="60"/>
        <item m="1" x="230"/>
        <item m="1" x="339"/>
        <item x="91"/>
        <item m="1" x="152"/>
        <item m="1" x="279"/>
        <item m="1" x="293"/>
        <item m="1" x="211"/>
        <item m="1" x="162"/>
        <item m="1" x="259"/>
        <item m="1" x="447"/>
        <item m="1" x="366"/>
        <item m="1" x="120"/>
        <item m="1" x="165"/>
        <item m="1" x="403"/>
        <item x="49"/>
        <item m="1" x="430"/>
        <item m="1" x="324"/>
        <item x="67"/>
        <item m="1" x="332"/>
        <item x="61"/>
        <item m="1" x="273"/>
        <item x="10"/>
        <item m="1" x="412"/>
        <item m="1" x="328"/>
        <item m="1" x="144"/>
        <item m="1" x="169"/>
        <item m="1" x="199"/>
        <item m="1" x="357"/>
        <item m="1" x="291"/>
        <item m="1" x="298"/>
        <item m="1" x="393"/>
        <item m="1" x="168"/>
        <item x="97"/>
        <item m="1" x="337"/>
        <item m="1" x="183"/>
        <item m="1" x="350"/>
        <item m="1" x="415"/>
        <item x="102"/>
        <item x="86"/>
        <item m="1" x="308"/>
        <item m="1" x="145"/>
        <item x="9"/>
        <item x="45"/>
        <item m="1" x="155"/>
        <item m="1" x="374"/>
        <item m="1" x="208"/>
        <item x="53"/>
        <item x="52"/>
        <item m="1" x="164"/>
        <item m="1" x="362"/>
        <item m="1" x="270"/>
        <item m="1" x="188"/>
        <item m="1" x="385"/>
        <item m="1" x="421"/>
        <item x="103"/>
        <item m="1" x="392"/>
        <item m="1" x="354"/>
        <item m="1" x="261"/>
        <item m="1" x="292"/>
        <item m="1" x="262"/>
        <item x="13"/>
        <item m="1" x="369"/>
        <item m="1" x="218"/>
        <item m="1" x="327"/>
        <item m="1" x="161"/>
        <item m="1" x="320"/>
        <item x="3"/>
        <item m="1" x="437"/>
        <item x="98"/>
        <item m="1" x="236"/>
        <item m="1" x="215"/>
        <item m="1" x="290"/>
        <item m="1" x="444"/>
        <item m="1" x="377"/>
        <item m="1" x="175"/>
        <item m="1" x="434"/>
        <item m="1" x="346"/>
        <item m="1" x="317"/>
        <item m="1" x="451"/>
        <item m="1" x="160"/>
        <item m="1" x="294"/>
        <item m="1" x="287"/>
        <item m="1" x="407"/>
        <item x="32"/>
        <item m="1" x="266"/>
        <item x="68"/>
        <item m="1" x="318"/>
        <item x="28"/>
        <item m="1" x="353"/>
        <item m="1" x="379"/>
        <item x="108"/>
        <item m="1" x="250"/>
        <item m="1" x="364"/>
        <item x="104"/>
        <item m="1" x="157"/>
        <item m="1" x="167"/>
        <item m="1" x="129"/>
        <item m="1" x="360"/>
        <item m="1" x="204"/>
        <item m="1" x="331"/>
        <item m="1" x="117"/>
        <item m="1" x="367"/>
        <item x="101"/>
        <item m="1" x="242"/>
        <item m="1" x="197"/>
        <item m="1" x="255"/>
        <item x="82"/>
        <item m="1" x="131"/>
        <item x="23"/>
        <item x="87"/>
        <item m="1" x="330"/>
        <item m="1" x="435"/>
        <item m="1" x="150"/>
        <item x="30"/>
        <item m="1" x="272"/>
        <item m="1" x="359"/>
        <item m="1" x="239"/>
        <item m="1" x="115"/>
        <item x="73"/>
        <item m="1" x="321"/>
        <item m="1" x="223"/>
        <item m="1" x="419"/>
        <item m="1" x="186"/>
        <item m="1" x="296"/>
        <item m="1" x="398"/>
        <item m="1" x="146"/>
        <item m="1" x="438"/>
        <item m="1" x="166"/>
        <item m="1" x="200"/>
        <item m="1" x="311"/>
        <item x="95"/>
        <item m="1" x="240"/>
        <item m="1" x="189"/>
        <item m="1" x="358"/>
        <item m="1" x="408"/>
        <item m="1" x="344"/>
        <item m="1" x="310"/>
        <item m="1" x="413"/>
        <item m="1" x="323"/>
        <item m="1" x="221"/>
        <item m="1" x="222"/>
        <item m="1" x="370"/>
        <item m="1" x="137"/>
        <item m="1" x="184"/>
        <item x="44"/>
        <item m="1" x="394"/>
        <item x="77"/>
        <item m="1" x="173"/>
        <item m="1" x="282"/>
        <item m="1" x="121"/>
        <item m="1" x="219"/>
        <item m="1" x="258"/>
        <item m="1" x="341"/>
        <item m="1" x="151"/>
        <item m="1" x="171"/>
        <item x="46"/>
        <item x="21"/>
        <item m="1" x="179"/>
        <item m="1" x="365"/>
        <item m="1" x="446"/>
        <item x="64"/>
        <item m="1" x="274"/>
        <item m="1" x="416"/>
        <item x="56"/>
        <item m="1" x="418"/>
        <item x="47"/>
        <item m="1" x="445"/>
        <item m="1" x="116"/>
        <item m="1" x="212"/>
        <item x="90"/>
        <item m="1" x="387"/>
        <item m="1" x="256"/>
        <item m="1" x="285"/>
        <item m="1" x="172"/>
        <item x="33"/>
        <item m="1" x="334"/>
        <item m="1" x="347"/>
        <item x="69"/>
        <item x="55"/>
        <item m="1" x="391"/>
        <item m="1" x="433"/>
        <item m="1" x="338"/>
        <item m="1" x="207"/>
        <item x="19"/>
        <item m="1" x="142"/>
        <item m="1" x="154"/>
        <item x="100"/>
        <item x="58"/>
        <item x="50"/>
        <item x="11"/>
        <item m="1" x="185"/>
        <item x="34"/>
        <item m="1" x="399"/>
        <item m="1" x="409"/>
        <item m="1" x="194"/>
        <item m="1" x="348"/>
        <item m="1" x="143"/>
        <item m="1" x="132"/>
        <item m="1" x="141"/>
        <item x="15"/>
        <item m="1" x="147"/>
        <item m="1" x="213"/>
        <item m="1" x="276"/>
        <item m="1" x="249"/>
        <item m="1" x="400"/>
        <item x="22"/>
        <item m="1" x="214"/>
        <item m="1" x="251"/>
        <item m="1" x="303"/>
        <item m="1" x="229"/>
        <item m="1" x="235"/>
        <item m="1" x="263"/>
        <item m="1" x="243"/>
        <item m="1" x="252"/>
        <item m="1" x="363"/>
        <item x="1"/>
        <item x="29"/>
        <item x="106"/>
        <item m="1" x="268"/>
        <item m="1" x="449"/>
        <item m="1" x="401"/>
        <item m="1" x="406"/>
        <item m="1" x="163"/>
        <item x="40"/>
        <item m="1" x="283"/>
        <item x="83"/>
        <item m="1" x="397"/>
        <item x="57"/>
        <item m="1" x="139"/>
        <item m="1" x="254"/>
        <item m="1" x="300"/>
        <item m="1" x="119"/>
        <item x="85"/>
        <item x="75"/>
        <item m="1" x="388"/>
        <item m="1" x="178"/>
        <item m="1" x="305"/>
        <item m="1" x="384"/>
        <item m="1" x="436"/>
        <item x="41"/>
        <item m="1" x="233"/>
        <item m="1" x="376"/>
        <item m="1" x="190"/>
        <item m="1" x="288"/>
        <item x="17"/>
        <item m="1" x="271"/>
        <item m="1" x="134"/>
        <item m="1" x="450"/>
        <item x="66"/>
        <item x="80"/>
        <item m="1" x="380"/>
        <item m="1" x="373"/>
        <item m="1" x="361"/>
        <item m="1" x="429"/>
        <item m="1" x="245"/>
        <item m="1" x="378"/>
        <item m="1" x="277"/>
        <item x="94"/>
        <item x="110"/>
        <item m="1" x="440"/>
        <item x="92"/>
        <item x="26"/>
        <item m="1" x="335"/>
        <item x="65"/>
        <item m="1" x="309"/>
        <item m="1" x="191"/>
        <item m="1" x="289"/>
        <item x="70"/>
        <item x="72"/>
        <item x="99"/>
        <item m="1" x="355"/>
        <item x="105"/>
        <item m="1" x="174"/>
        <item x="4"/>
        <item x="12"/>
        <item m="1" x="343"/>
        <item m="1" x="313"/>
        <item m="1" x="206"/>
        <item m="1" x="333"/>
        <item x="109"/>
        <item m="1" x="153"/>
        <item x="88"/>
        <item m="1" x="427"/>
        <item m="1" x="148"/>
        <item m="1" x="405"/>
        <item m="1" x="304"/>
        <item m="1" x="149"/>
        <item x="27"/>
        <item m="1" x="315"/>
        <item m="1" x="319"/>
        <item m="1" x="198"/>
        <item m="1" x="220"/>
        <item x="5"/>
        <item x="81"/>
        <item m="1" x="238"/>
        <item m="1" x="316"/>
        <item m="1" x="342"/>
        <item x="89"/>
        <item m="1" x="217"/>
        <item m="1" x="284"/>
        <item m="1" x="205"/>
        <item m="1" x="299"/>
        <item m="1" x="386"/>
        <item m="1" x="297"/>
        <item m="1" x="422"/>
        <item x="25"/>
        <item m="1" x="248"/>
        <item m="1" x="253"/>
        <item m="1" x="177"/>
        <item x="7"/>
        <item m="1" x="345"/>
        <item x="48"/>
        <item m="1" x="127"/>
        <item m="1" x="176"/>
        <item m="1" x="395"/>
        <item m="1" x="135"/>
        <item m="1" x="441"/>
        <item m="1" x="325"/>
        <item m="1" x="226"/>
        <item x="0"/>
        <item m="1" x="301"/>
        <item m="1" x="193"/>
        <item m="1" x="112"/>
        <item m="1" x="340"/>
        <item m="1" x="275"/>
        <item m="1" x="181"/>
        <item m="1" x="125"/>
        <item x="84"/>
        <item m="1" x="244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6">
        <item m="1" x="15"/>
        <item x="6"/>
        <item x="8"/>
        <item x="7"/>
        <item x="13"/>
        <item x="12"/>
        <item x="4"/>
        <item x="11"/>
        <item x="2"/>
        <item x="9"/>
        <item x="3"/>
        <item x="1"/>
        <item x="0"/>
        <item x="5"/>
        <item x="10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12">
        <item x="16"/>
        <item x="39"/>
        <item m="1" x="108"/>
        <item x="18"/>
        <item x="38"/>
        <item x="103"/>
        <item x="49"/>
        <item x="65"/>
        <item x="92"/>
        <item x="46"/>
        <item x="90"/>
        <item x="20"/>
        <item x="104"/>
        <item m="1" x="209"/>
        <item x="27"/>
        <item x="51"/>
        <item x="0"/>
        <item x="21"/>
        <item x="53"/>
        <item x="14"/>
        <item x="64"/>
        <item x="9"/>
        <item x="55"/>
        <item x="31"/>
        <item x="84"/>
        <item x="2"/>
        <item x="7"/>
        <item x="80"/>
        <item x="83"/>
        <item x="45"/>
        <item x="101"/>
        <item x="72"/>
        <item x="71"/>
        <item x="29"/>
        <item x="28"/>
        <item x="54"/>
        <item x="24"/>
        <item x="12"/>
        <item x="58"/>
        <item x="59"/>
        <item x="102"/>
        <item x="67"/>
        <item x="69"/>
        <item x="86"/>
        <item x="95"/>
        <item x="50"/>
        <item x="56"/>
        <item x="105"/>
        <item x="60"/>
        <item x="23"/>
        <item x="25"/>
        <item x="97"/>
        <item x="36"/>
        <item x="91"/>
        <item x="48"/>
        <item x="79"/>
        <item x="43"/>
        <item x="47"/>
        <item x="26"/>
        <item x="57"/>
        <item x="35"/>
        <item x="75"/>
        <item x="93"/>
        <item x="85"/>
        <item x="74"/>
        <item x="22"/>
        <item x="70"/>
        <item x="68"/>
        <item x="4"/>
        <item x="89"/>
        <item x="30"/>
        <item x="1"/>
        <item x="3"/>
        <item x="76"/>
        <item x="62"/>
        <item x="61"/>
        <item x="78"/>
        <item x="82"/>
        <item x="19"/>
        <item x="11"/>
        <item x="5"/>
        <item x="77"/>
        <item x="41"/>
        <item x="40"/>
        <item x="81"/>
        <item x="52"/>
        <item x="37"/>
        <item x="10"/>
        <item x="44"/>
        <item x="17"/>
        <item x="96"/>
        <item x="106"/>
        <item x="87"/>
        <item m="1" x="411"/>
        <item x="88"/>
        <item x="63"/>
        <item x="42"/>
        <item x="100"/>
        <item x="8"/>
        <item x="94"/>
        <item x="6"/>
        <item x="99"/>
        <item x="98"/>
        <item x="33"/>
        <item x="13"/>
        <item x="15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x="34"/>
        <item x="32"/>
        <item x="107"/>
        <item x="66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636">
        <item x="13"/>
        <item m="1" x="528"/>
        <item x="17"/>
        <item x="80"/>
        <item x="16"/>
        <item x="39"/>
        <item m="1" x="165"/>
        <item m="1" x="175"/>
        <item m="1" x="538"/>
        <item x="15"/>
        <item m="1" x="551"/>
        <item m="1" x="189"/>
        <item m="1" x="582"/>
        <item x="119"/>
        <item m="1" x="228"/>
        <item m="1" x="182"/>
        <item m="1" x="272"/>
        <item x="118"/>
        <item m="1" x="471"/>
        <item m="1" x="337"/>
        <item m="1" x="207"/>
        <item m="1" x="576"/>
        <item m="1" x="192"/>
        <item m="1" x="177"/>
        <item m="1" x="244"/>
        <item m="1" x="382"/>
        <item m="1" x="188"/>
        <item m="1" x="530"/>
        <item m="1" x="346"/>
        <item m="1" x="334"/>
        <item m="1" x="242"/>
        <item m="1" x="144"/>
        <item m="1" x="430"/>
        <item m="1" x="537"/>
        <item m="1" x="159"/>
        <item m="1" x="451"/>
        <item m="1" x="178"/>
        <item m="1" x="607"/>
        <item m="1" x="565"/>
        <item m="1" x="501"/>
        <item m="1" x="193"/>
        <item x="88"/>
        <item m="1" x="238"/>
        <item m="1" x="204"/>
        <item m="1" x="359"/>
        <item m="1" x="130"/>
        <item m="1" x="464"/>
        <item m="1" x="164"/>
        <item m="1" x="150"/>
        <item m="1" x="570"/>
        <item m="1" x="339"/>
        <item m="1" x="466"/>
        <item m="1" x="438"/>
        <item m="1" x="455"/>
        <item m="1" x="386"/>
        <item m="1" x="468"/>
        <item m="1" x="293"/>
        <item m="1" x="249"/>
        <item m="1" x="275"/>
        <item x="66"/>
        <item m="1" x="131"/>
        <item x="33"/>
        <item m="1" x="145"/>
        <item m="1" x="529"/>
        <item m="1" x="502"/>
        <item m="1" x="489"/>
        <item x="68"/>
        <item m="1" x="500"/>
        <item m="1" x="469"/>
        <item m="1" x="278"/>
        <item m="1" x="198"/>
        <item m="1" x="401"/>
        <item m="1" x="227"/>
        <item m="1" x="328"/>
        <item m="1" x="458"/>
        <item m="1" x="208"/>
        <item m="1" x="488"/>
        <item m="1" x="511"/>
        <item m="1" x="137"/>
        <item m="1" x="536"/>
        <item m="1" x="431"/>
        <item m="1" x="142"/>
        <item m="1" x="335"/>
        <item m="1" x="402"/>
        <item m="1" x="554"/>
        <item m="1" x="443"/>
        <item m="1" x="566"/>
        <item m="1" x="525"/>
        <item m="1" x="327"/>
        <item m="1" x="185"/>
        <item m="1" x="527"/>
        <item m="1" x="499"/>
        <item m="1" x="442"/>
        <item m="1" x="413"/>
        <item x="6"/>
        <item m="1" x="434"/>
        <item m="1" x="435"/>
        <item m="1" x="457"/>
        <item m="1" x="320"/>
        <item m="1" x="331"/>
        <item m="1" x="418"/>
        <item m="1" x="180"/>
        <item m="1" x="516"/>
        <item m="1" x="405"/>
        <item m="1" x="535"/>
        <item m="1" x="170"/>
        <item m="1" x="195"/>
        <item m="1" x="286"/>
        <item m="1" x="596"/>
        <item m="1" x="174"/>
        <item m="1" x="558"/>
        <item m="1" x="325"/>
        <item m="1" x="600"/>
        <item m="1" x="233"/>
        <item m="1" x="129"/>
        <item m="1" x="153"/>
        <item x="67"/>
        <item m="1" x="534"/>
        <item m="1" x="593"/>
        <item m="1" x="218"/>
        <item m="1" x="354"/>
        <item m="1" x="209"/>
        <item m="1" x="586"/>
        <item m="1" x="297"/>
        <item x="112"/>
        <item m="1" x="351"/>
        <item m="1" x="495"/>
        <item m="1" x="277"/>
        <item m="1" x="257"/>
        <item m="1" x="509"/>
        <item m="1" x="160"/>
        <item m="1" x="467"/>
        <item m="1" x="399"/>
        <item m="1" x="492"/>
        <item m="1" x="484"/>
        <item m="1" x="380"/>
        <item m="1" x="259"/>
        <item m="1" x="603"/>
        <item m="1" x="206"/>
        <item m="1" x="409"/>
        <item m="1" x="267"/>
        <item m="1" x="407"/>
        <item m="1" x="246"/>
        <item m="1" x="285"/>
        <item m="1" x="299"/>
        <item m="1" x="625"/>
        <item m="1" x="473"/>
        <item m="1" x="470"/>
        <item m="1" x="487"/>
        <item m="1" x="421"/>
        <item m="1" x="480"/>
        <item m="1" x="241"/>
        <item m="1" x="383"/>
        <item m="1" x="239"/>
        <item x="101"/>
        <item m="1" x="416"/>
        <item x="42"/>
        <item m="1" x="361"/>
        <item m="1" x="581"/>
        <item m="1" x="243"/>
        <item m="1" x="372"/>
        <item m="1" x="173"/>
        <item m="1" x="590"/>
        <item m="1" x="217"/>
        <item m="1" x="212"/>
        <item m="1" x="197"/>
        <item m="1" x="397"/>
        <item m="1" x="419"/>
        <item m="1" x="456"/>
        <item m="1" x="460"/>
        <item m="1" x="449"/>
        <item x="111"/>
        <item m="1" x="340"/>
        <item x="64"/>
        <item m="1" x="155"/>
        <item x="108"/>
        <item m="1" x="203"/>
        <item m="1" x="404"/>
        <item x="8"/>
        <item m="1" x="526"/>
        <item m="1" x="215"/>
        <item m="1" x="220"/>
        <item m="1" x="316"/>
        <item m="1" x="349"/>
        <item m="1" x="279"/>
        <item m="1" x="250"/>
        <item m="1" x="539"/>
        <item m="1" x="166"/>
        <item m="1" x="326"/>
        <item m="1" x="368"/>
        <item m="1" x="436"/>
        <item x="50"/>
        <item m="1" x="370"/>
        <item m="1" x="154"/>
        <item m="1" x="444"/>
        <item m="1" x="264"/>
        <item m="1" x="579"/>
        <item m="1" x="167"/>
        <item m="1" x="521"/>
        <item m="1" x="248"/>
        <item m="1" x="374"/>
        <item m="1" x="312"/>
        <item m="1" x="597"/>
        <item x="3"/>
        <item x="73"/>
        <item m="1" x="262"/>
        <item m="1" x="143"/>
        <item m="1" x="476"/>
        <item m="1" x="375"/>
        <item m="1" x="616"/>
        <item m="1" x="253"/>
        <item m="1" x="376"/>
        <item m="1" x="214"/>
        <item m="1" x="403"/>
        <item m="1" x="357"/>
        <item x="43"/>
        <item x="125"/>
        <item m="1" x="428"/>
        <item m="1" x="161"/>
        <item m="1" x="184"/>
        <item m="1" x="158"/>
        <item m="1" x="348"/>
        <item m="1" x="496"/>
        <item m="1" x="573"/>
        <item m="1" x="598"/>
        <item m="1" x="454"/>
        <item m="1" x="365"/>
        <item m="1" x="412"/>
        <item m="1" x="183"/>
        <item m="1" x="481"/>
        <item m="1" x="548"/>
        <item x="28"/>
        <item m="1" x="341"/>
        <item m="1" x="545"/>
        <item m="1" x="477"/>
        <item m="1" x="260"/>
        <item m="1" x="493"/>
        <item m="1" x="179"/>
        <item m="1" x="394"/>
        <item m="1" x="274"/>
        <item m="1" x="549"/>
        <item x="106"/>
        <item m="1" x="453"/>
        <item m="1" x="547"/>
        <item m="1" x="587"/>
        <item m="1" x="610"/>
        <item m="1" x="627"/>
        <item m="1" x="199"/>
        <item x="117"/>
        <item m="1" x="606"/>
        <item m="1" x="507"/>
        <item m="1" x="234"/>
        <item m="1" x="363"/>
        <item m="1" x="369"/>
        <item m="1" x="311"/>
        <item m="1" x="269"/>
        <item m="1" x="617"/>
        <item m="1" x="322"/>
        <item m="1" x="452"/>
        <item m="1" x="196"/>
        <item m="1" x="574"/>
        <item m="1" x="147"/>
        <item m="1" x="252"/>
        <item m="1" x="631"/>
        <item m="1" x="355"/>
        <item m="1" x="350"/>
        <item m="1" x="439"/>
        <item m="1" x="515"/>
        <item m="1" x="532"/>
        <item m="1" x="136"/>
        <item m="1" x="324"/>
        <item m="1" x="541"/>
        <item m="1" x="388"/>
        <item m="1" x="510"/>
        <item m="1" x="283"/>
        <item m="1" x="561"/>
        <item m="1" x="373"/>
        <item m="1" x="371"/>
        <item x="96"/>
        <item m="1" x="305"/>
        <item m="1" x="461"/>
        <item m="1" x="531"/>
        <item m="1" x="415"/>
        <item m="1" x="222"/>
        <item m="1" x="583"/>
        <item m="1" x="396"/>
        <item m="1" x="181"/>
        <item m="1" x="478"/>
        <item m="1" x="313"/>
        <item m="1" x="300"/>
        <item m="1" x="276"/>
        <item m="1" x="475"/>
        <item m="1" x="408"/>
        <item m="1" x="414"/>
        <item x="37"/>
        <item m="1" x="584"/>
        <item m="1" x="543"/>
        <item m="1" x="420"/>
        <item x="99"/>
        <item m="1" x="572"/>
        <item m="1" x="377"/>
        <item m="1" x="433"/>
        <item x="114"/>
        <item m="1" x="630"/>
        <item m="1" x="308"/>
        <item m="1" x="483"/>
        <item m="1" x="498"/>
        <item m="1" x="447"/>
        <item x="102"/>
        <item m="1" x="564"/>
        <item m="1" x="333"/>
        <item m="1" x="298"/>
        <item m="1" x="148"/>
        <item m="1" x="247"/>
        <item m="1" x="562"/>
        <item m="1" x="329"/>
        <item m="1" x="427"/>
        <item x="116"/>
        <item m="1" x="513"/>
        <item m="1" x="424"/>
        <item m="1" x="231"/>
        <item m="1" x="400"/>
        <item m="1" x="347"/>
        <item m="1" x="332"/>
        <item m="1" x="474"/>
        <item m="1" x="463"/>
        <item m="1" x="618"/>
        <item m="1" x="448"/>
        <item m="1" x="294"/>
        <item m="1" x="522"/>
        <item m="1" x="563"/>
        <item m="1" x="139"/>
        <item m="1" x="343"/>
        <item m="1" x="271"/>
        <item m="1" x="211"/>
        <item m="1" x="611"/>
        <item m="1" x="550"/>
        <item m="1" x="245"/>
        <item m="1" x="216"/>
        <item m="1" x="321"/>
        <item m="1" x="157"/>
        <item m="1" x="273"/>
        <item m="1" x="387"/>
        <item m="1" x="314"/>
        <item m="1" x="601"/>
        <item m="1" x="304"/>
        <item m="1" x="381"/>
        <item x="77"/>
        <item m="1" x="544"/>
        <item m="1" x="168"/>
        <item m="1" x="398"/>
        <item x="12"/>
        <item m="1" x="503"/>
        <item m="1" x="292"/>
        <item m="1" x="575"/>
        <item m="1" x="508"/>
        <item x="30"/>
        <item m="1" x="149"/>
        <item m="1" x="614"/>
        <item m="1" x="384"/>
        <item m="1" x="251"/>
        <item m="1" x="429"/>
        <item m="1" x="517"/>
        <item m="1" x="615"/>
        <item m="1" x="604"/>
        <item m="1" x="141"/>
        <item m="1" x="486"/>
        <item m="1" x="446"/>
        <item x="11"/>
        <item m="1" x="410"/>
        <item m="1" x="138"/>
        <item m="1" x="301"/>
        <item x="4"/>
        <item m="1" x="417"/>
        <item m="1" x="512"/>
        <item m="1" x="265"/>
        <item m="1" x="360"/>
        <item m="1" x="223"/>
        <item m="1" x="202"/>
        <item m="1" x="151"/>
        <item m="1" x="378"/>
        <item m="1" x="240"/>
        <item m="1" x="595"/>
        <item x="41"/>
        <item m="1" x="546"/>
        <item m="1" x="553"/>
        <item x="100"/>
        <item m="1" x="459"/>
        <item m="1" x="540"/>
        <item x="91"/>
        <item x="85"/>
        <item m="1" x="187"/>
        <item m="1" x="258"/>
        <item m="1" x="571"/>
        <item m="1" x="385"/>
        <item m="1" x="519"/>
        <item m="1" x="594"/>
        <item m="1" x="219"/>
        <item m="1" x="303"/>
        <item m="1" x="315"/>
        <item m="1" x="268"/>
        <item m="1" x="132"/>
        <item m="1" x="494"/>
        <item m="1" x="135"/>
        <item m="1" x="629"/>
        <item x="45"/>
        <item x="98"/>
        <item m="1" x="411"/>
        <item x="53"/>
        <item m="1" x="426"/>
        <item m="1" x="342"/>
        <item m="1" x="256"/>
        <item m="1" x="491"/>
        <item m="1" x="505"/>
        <item m="1" x="585"/>
        <item m="1" x="592"/>
        <item m="1" x="344"/>
        <item m="1" x="226"/>
        <item x="32"/>
        <item x="44"/>
        <item m="1" x="254"/>
        <item x="81"/>
        <item m="1" x="317"/>
        <item m="1" x="270"/>
        <item m="1" x="309"/>
        <item x="86"/>
        <item x="35"/>
        <item x="115"/>
        <item m="1" x="352"/>
        <item m="1" x="441"/>
        <item m="1" x="555"/>
        <item m="1" x="255"/>
        <item m="1" x="201"/>
        <item m="1" x="330"/>
        <item m="1" x="307"/>
        <item x="92"/>
        <item m="1" x="482"/>
        <item m="1" x="490"/>
        <item m="1" x="266"/>
        <item m="1" x="367"/>
        <item x="109"/>
        <item m="1" x="504"/>
        <item m="1" x="318"/>
        <item m="1" x="591"/>
        <item x="62"/>
        <item m="1" x="291"/>
        <item m="1" x="302"/>
        <item m="1" x="393"/>
        <item m="1" x="626"/>
        <item m="1" x="465"/>
        <item m="1" x="450"/>
        <item x="110"/>
        <item m="1" x="186"/>
        <item m="1" x="379"/>
        <item x="76"/>
        <item m="1" x="577"/>
        <item m="1" x="567"/>
        <item x="10"/>
        <item m="1" x="609"/>
        <item m="1" x="390"/>
        <item m="1" x="171"/>
        <item m="1" x="162"/>
        <item m="1" x="599"/>
        <item m="1" x="392"/>
        <item x="51"/>
        <item m="1" x="518"/>
        <item m="1" x="580"/>
        <item m="1" x="620"/>
        <item m="1" x="578"/>
        <item m="1" x="237"/>
        <item m="1" x="261"/>
        <item m="1" x="462"/>
        <item x="78"/>
        <item m="1" x="310"/>
        <item m="1" x="263"/>
        <item m="1" x="338"/>
        <item m="1" x="506"/>
        <item x="14"/>
        <item x="59"/>
        <item m="1" x="524"/>
        <item m="1" x="280"/>
        <item m="1" x="366"/>
        <item m="1" x="284"/>
        <item x="90"/>
        <item m="1" x="568"/>
        <item m="1" x="485"/>
        <item x="104"/>
        <item m="1" x="323"/>
        <item m="1" x="289"/>
        <item m="1" x="358"/>
        <item x="72"/>
        <item x="5"/>
        <item m="1" x="221"/>
        <item x="2"/>
        <item m="1" x="362"/>
        <item m="1" x="224"/>
        <item x="23"/>
        <item x="84"/>
        <item x="87"/>
        <item m="1" x="423"/>
        <item m="1" x="588"/>
        <item x="34"/>
        <item m="1" x="156"/>
        <item m="1" x="613"/>
        <item x="7"/>
        <item x="107"/>
        <item m="1" x="389"/>
        <item m="1" x="319"/>
        <item m="1" x="602"/>
        <item m="1" x="225"/>
        <item x="74"/>
        <item m="1" x="589"/>
        <item m="1" x="356"/>
        <item x="55"/>
        <item m="1" x="127"/>
        <item m="1" x="190"/>
        <item m="1" x="230"/>
        <item m="1" x="552"/>
        <item m="1" x="152"/>
        <item m="1" x="229"/>
        <item x="29"/>
        <item m="1" x="287"/>
        <item x="97"/>
        <item m="1" x="445"/>
        <item m="1" x="213"/>
        <item m="1" x="621"/>
        <item x="46"/>
        <item m="1" x="557"/>
        <item m="1" x="281"/>
        <item m="1" x="425"/>
        <item m="1" x="364"/>
        <item m="1" x="608"/>
        <item x="123"/>
        <item m="1" x="497"/>
        <item m="1" x="296"/>
        <item m="1" x="437"/>
        <item m="1" x="395"/>
        <item x="63"/>
        <item x="54"/>
        <item m="1" x="633"/>
        <item x="24"/>
        <item m="1" x="634"/>
        <item x="121"/>
        <item m="1" x="632"/>
        <item x="93"/>
        <item m="1" x="624"/>
        <item x="9"/>
        <item m="1" x="406"/>
        <item m="1" x="635"/>
        <item m="1" x="612"/>
        <item x="94"/>
        <item m="1" x="236"/>
        <item m="1" x="533"/>
        <item m="1" x="200"/>
        <item m="1" x="176"/>
        <item x="36"/>
        <item m="1" x="422"/>
        <item x="1"/>
        <item m="1" x="290"/>
        <item x="49"/>
        <item m="1" x="345"/>
        <item m="1" x="163"/>
        <item x="95"/>
        <item m="1" x="282"/>
        <item m="1" x="169"/>
        <item m="1" x="472"/>
        <item x="22"/>
        <item m="1" x="146"/>
        <item x="19"/>
        <item m="1" x="128"/>
        <item m="1" x="542"/>
        <item m="1" x="622"/>
        <item x="61"/>
        <item m="1" x="391"/>
        <item x="58"/>
        <item m="1" x="172"/>
        <item m="1" x="336"/>
        <item m="1" x="556"/>
        <item m="1" x="134"/>
        <item x="124"/>
        <item x="57"/>
        <item x="52"/>
        <item m="1" x="194"/>
        <item m="1" x="295"/>
        <item x="83"/>
        <item m="1" x="569"/>
        <item m="1" x="353"/>
        <item m="1" x="514"/>
        <item m="1" x="523"/>
        <item m="1" x="432"/>
        <item m="1" x="133"/>
        <item x="89"/>
        <item m="1" x="520"/>
        <item m="1" x="191"/>
        <item x="70"/>
        <item x="18"/>
        <item m="1" x="479"/>
        <item x="26"/>
        <item m="1" x="205"/>
        <item x="47"/>
        <item x="82"/>
        <item x="79"/>
        <item x="113"/>
        <item x="0"/>
        <item x="31"/>
        <item x="65"/>
        <item m="1" x="605"/>
        <item x="103"/>
        <item m="1" x="232"/>
        <item m="1" x="619"/>
        <item m="1" x="306"/>
        <item m="1" x="210"/>
        <item x="27"/>
        <item m="1" x="559"/>
        <item x="75"/>
        <item x="38"/>
        <item m="1" x="140"/>
        <item x="25"/>
        <item x="71"/>
        <item x="69"/>
        <item x="21"/>
        <item x="20"/>
        <item x="60"/>
        <item m="1" x="288"/>
        <item x="48"/>
        <item x="56"/>
        <item x="122"/>
        <item m="1" x="235"/>
        <item x="105"/>
        <item m="1" x="560"/>
        <item m="1" x="440"/>
        <item x="120"/>
        <item m="1" x="628"/>
        <item x="40"/>
        <item m="1" x="623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265">
        <item m="1" x="117"/>
        <item x="49"/>
        <item m="1" x="107"/>
        <item m="1" x="132"/>
        <item x="65"/>
        <item m="1" x="136"/>
        <item x="5"/>
        <item m="1" x="149"/>
        <item x="20"/>
        <item m="1" x="162"/>
        <item m="1" x="166"/>
        <item x="77"/>
        <item m="1" x="135"/>
        <item m="1" x="101"/>
        <item x="2"/>
        <item m="1" x="155"/>
        <item m="1" x="86"/>
        <item m="1" x="90"/>
        <item m="1" x="144"/>
        <item m="1" x="189"/>
        <item m="1" x="251"/>
        <item m="1" x="239"/>
        <item m="1" x="157"/>
        <item m="1" x="257"/>
        <item m="1" x="141"/>
        <item m="1" x="147"/>
        <item m="1" x="240"/>
        <item m="1" x="138"/>
        <item m="1" x="242"/>
        <item m="1" x="91"/>
        <item m="1" x="97"/>
        <item m="1" x="225"/>
        <item m="1" x="262"/>
        <item m="1" x="210"/>
        <item m="1" x="99"/>
        <item m="1" x="236"/>
        <item x="50"/>
        <item m="1" x="261"/>
        <item m="1" x="253"/>
        <item m="1" x="232"/>
        <item m="1" x="249"/>
        <item m="1" x="125"/>
        <item m="1" x="238"/>
        <item x="59"/>
        <item m="1" x="207"/>
        <item m="1" x="248"/>
        <item m="1" x="81"/>
        <item m="1" x="196"/>
        <item m="1" x="115"/>
        <item x="27"/>
        <item m="1" x="246"/>
        <item m="1" x="175"/>
        <item m="1" x="231"/>
        <item m="1" x="260"/>
        <item m="1" x="121"/>
        <item m="1" x="233"/>
        <item m="1" x="263"/>
        <item m="1" x="247"/>
        <item m="1" x="234"/>
        <item m="1" x="255"/>
        <item m="1" x="258"/>
        <item m="1" x="245"/>
        <item m="1" x="244"/>
        <item m="1" x="256"/>
        <item m="1" x="264"/>
        <item m="1" x="259"/>
        <item m="1" x="237"/>
        <item m="1" x="228"/>
        <item m="1" x="252"/>
        <item m="1" x="241"/>
        <item m="1" x="243"/>
        <item m="1" x="229"/>
        <item m="1" x="230"/>
        <item m="1" x="235"/>
        <item m="1" x="250"/>
        <item m="1" x="254"/>
        <item x="70"/>
        <item x="30"/>
        <item m="1" x="134"/>
        <item x="0"/>
        <item x="19"/>
        <item x="28"/>
        <item m="1" x="88"/>
        <item m="1" x="120"/>
        <item x="39"/>
        <item x="26"/>
        <item x="8"/>
        <item m="1" x="137"/>
        <item m="1" x="139"/>
        <item m="1" x="140"/>
        <item x="74"/>
        <item x="10"/>
        <item x="41"/>
        <item m="1" x="142"/>
        <item m="1" x="80"/>
        <item x="51"/>
        <item m="1" x="143"/>
        <item m="1" x="145"/>
        <item m="1" x="87"/>
        <item m="1" x="146"/>
        <item m="1" x="94"/>
        <item m="1" x="102"/>
        <item x="44"/>
        <item m="1" x="148"/>
        <item x="43"/>
        <item m="1" x="150"/>
        <item m="1" x="151"/>
        <item m="1" x="152"/>
        <item m="1" x="153"/>
        <item m="1" x="154"/>
        <item m="1" x="156"/>
        <item m="1" x="158"/>
        <item m="1" x="159"/>
        <item m="1" x="160"/>
        <item m="1" x="161"/>
        <item m="1" x="163"/>
        <item m="1" x="164"/>
        <item m="1" x="165"/>
        <item m="1" x="167"/>
        <item x="35"/>
        <item x="6"/>
        <item m="1" x="168"/>
        <item m="1" x="169"/>
        <item m="1" x="170"/>
        <item x="38"/>
        <item m="1" x="171"/>
        <item m="1" x="172"/>
        <item m="1" x="104"/>
        <item m="1" x="173"/>
        <item m="1" x="83"/>
        <item m="1" x="85"/>
        <item m="1" x="174"/>
        <item x="22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27"/>
        <item m="1" x="188"/>
        <item m="1" x="131"/>
        <item m="1" x="190"/>
        <item x="36"/>
        <item x="46"/>
        <item m="1" x="93"/>
        <item m="1" x="191"/>
        <item m="1" x="192"/>
        <item m="1" x="193"/>
        <item m="1" x="194"/>
        <item m="1" x="195"/>
        <item m="1" x="112"/>
        <item m="1" x="197"/>
        <item x="34"/>
        <item m="1" x="198"/>
        <item m="1" x="199"/>
        <item m="1" x="200"/>
        <item x="66"/>
        <item m="1" x="201"/>
        <item m="1" x="202"/>
        <item x="3"/>
        <item m="1" x="203"/>
        <item m="1" x="204"/>
        <item m="1" x="123"/>
        <item m="1" x="205"/>
        <item m="1" x="206"/>
        <item m="1" x="118"/>
        <item m="1" x="208"/>
        <item m="1" x="209"/>
        <item m="1" x="211"/>
        <item m="1" x="212"/>
        <item m="1" x="213"/>
        <item m="1" x="214"/>
        <item m="1" x="215"/>
        <item m="1" x="216"/>
        <item m="1" x="217"/>
        <item x="67"/>
        <item m="1" x="218"/>
        <item m="1" x="122"/>
        <item m="1" x="219"/>
        <item m="1" x="220"/>
        <item x="1"/>
        <item m="1" x="221"/>
        <item m="1" x="222"/>
        <item x="76"/>
        <item m="1" x="82"/>
        <item m="1" x="223"/>
        <item m="1" x="224"/>
        <item m="1" x="100"/>
        <item x="21"/>
        <item m="1" x="226"/>
        <item m="1" x="227"/>
        <item x="58"/>
        <item m="1" x="79"/>
        <item x="32"/>
        <item m="1" x="84"/>
        <item m="1" x="89"/>
        <item m="1" x="92"/>
        <item m="1" x="95"/>
        <item m="1" x="96"/>
        <item m="1" x="98"/>
        <item m="1" x="103"/>
        <item m="1" x="105"/>
        <item m="1" x="106"/>
        <item m="1" x="108"/>
        <item m="1" x="109"/>
        <item m="1" x="110"/>
        <item m="1" x="111"/>
        <item m="1" x="113"/>
        <item m="1" x="114"/>
        <item m="1" x="116"/>
        <item m="1" x="119"/>
        <item m="1" x="124"/>
        <item m="1" x="126"/>
        <item m="1" x="128"/>
        <item m="1" x="129"/>
        <item m="1" x="130"/>
        <item m="1" x="133"/>
        <item x="78"/>
        <item x="4"/>
        <item x="7"/>
        <item x="9"/>
        <item x="11"/>
        <item x="12"/>
        <item x="13"/>
        <item x="14"/>
        <item x="15"/>
        <item x="16"/>
        <item x="17"/>
        <item x="18"/>
        <item x="23"/>
        <item x="24"/>
        <item x="25"/>
        <item x="29"/>
        <item x="31"/>
        <item x="33"/>
        <item x="37"/>
        <item x="40"/>
        <item x="42"/>
        <item x="45"/>
        <item x="47"/>
        <item x="48"/>
        <item x="52"/>
        <item x="53"/>
        <item x="54"/>
        <item x="55"/>
        <item x="56"/>
        <item x="57"/>
        <item x="60"/>
        <item x="61"/>
        <item x="62"/>
        <item x="63"/>
        <item x="64"/>
        <item x="68"/>
        <item x="69"/>
        <item x="71"/>
        <item x="72"/>
        <item x="73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1">
        <item x="6"/>
        <item x="1"/>
        <item x="0"/>
        <item x="7"/>
        <item x="2"/>
        <item x="9"/>
        <item x="3"/>
        <item x="5"/>
        <item x="8"/>
        <item x="4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126">
    <i>
      <x/>
      <x v="50"/>
      <x v="291"/>
      <x v="2"/>
      <x v="10"/>
      <x v="386"/>
      <x v="4"/>
      <x v="39"/>
      <x/>
    </i>
    <i>
      <x v="1"/>
      <x v="81"/>
      <x v="441"/>
      <x v="2"/>
      <x v="12"/>
      <x v="603"/>
      <x v="79"/>
      <x v="16"/>
      <x/>
    </i>
    <i>
      <x v="3"/>
      <x v="60"/>
      <x v="347"/>
      <x/>
      <x v="13"/>
      <x v="544"/>
      <x v="195"/>
      <x v="28"/>
      <x/>
    </i>
    <i r="1">
      <x v="62"/>
      <x v="354"/>
      <x v="1"/>
      <x v="12"/>
      <x v="562"/>
      <x v="256"/>
      <x v="37"/>
      <x/>
    </i>
    <i>
      <x v="4"/>
      <x v="18"/>
      <x v="119"/>
      <x v="1"/>
      <x v="10"/>
      <x v="383"/>
      <x v="81"/>
      <x v="83"/>
      <x/>
    </i>
    <i>
      <x v="5"/>
      <x v="14"/>
      <x v="70"/>
      <x v="2"/>
      <x v="7"/>
      <x v="116"/>
      <x v="1"/>
      <x v="74"/>
      <x/>
    </i>
    <i r="1">
      <x v="70"/>
      <x v="389"/>
      <x v="2"/>
      <x v="11"/>
      <x v="454"/>
      <x v="6"/>
      <x v="66"/>
      <x/>
    </i>
    <i r="1">
      <x v="71"/>
      <x v="390"/>
      <x v="2"/>
      <x v="13"/>
      <x v="601"/>
      <x v="95"/>
      <x v="411"/>
      <x/>
    </i>
    <i r="1">
      <x v="72"/>
      <x v="391"/>
      <x v="3"/>
      <x v="9"/>
      <x v="302"/>
      <x v="261"/>
      <x v="51"/>
      <x/>
    </i>
    <i r="1">
      <x v="73"/>
      <x v="393"/>
      <x v="1"/>
      <x v="14"/>
      <x v="631"/>
      <x v="85"/>
      <x v="30"/>
      <x/>
    </i>
    <i r="1">
      <x v="74"/>
      <x v="395"/>
      <x v="4"/>
      <x v="10"/>
      <x v="372"/>
      <x v="225"/>
      <x v="68"/>
      <x/>
    </i>
    <i r="1">
      <x v="75"/>
      <x v="396"/>
      <x v="2"/>
      <x v="10"/>
      <x v="351"/>
      <x v="14"/>
      <x v="37"/>
      <x/>
    </i>
    <i>
      <x v="6"/>
      <x v="17"/>
      <x v="96"/>
      <x v="4"/>
      <x v="5"/>
      <x v="41"/>
      <x v="254"/>
      <x v="83"/>
      <x/>
    </i>
    <i r="1">
      <x v="61"/>
      <x v="349"/>
      <x v="1"/>
      <x v="11"/>
      <x v="444"/>
      <x v="246"/>
      <x v="59"/>
      <x/>
    </i>
    <i r="1">
      <x v="67"/>
      <x v="380"/>
      <x v="1"/>
      <x v="8"/>
      <x v="216"/>
      <x v="76"/>
      <x v="91"/>
      <x/>
    </i>
    <i r="1">
      <x v="77"/>
      <x v="403"/>
      <x v="1"/>
      <x v="10"/>
      <x v="406"/>
      <x v="257"/>
      <x v="43"/>
      <x/>
    </i>
    <i>
      <x v="7"/>
      <x v="15"/>
      <x v="84"/>
      <x v="4"/>
      <x v="7"/>
      <x v="156"/>
      <x v="159"/>
      <x v="82"/>
      <x/>
    </i>
    <i r="1">
      <x v="16"/>
      <x v="93"/>
      <x v="4"/>
      <x v="8"/>
      <x v="178"/>
      <x v="226"/>
      <x v="98"/>
      <x/>
    </i>
    <i>
      <x v="9"/>
      <x v="8"/>
      <x v="40"/>
      <x v="4"/>
      <x v="13"/>
      <x v="624"/>
      <x v="84"/>
      <x v="9"/>
      <x/>
    </i>
    <i r="1">
      <x v="10"/>
      <x v="370"/>
      <x/>
      <x v="11"/>
      <x v="490"/>
      <x v="85"/>
      <x v="41"/>
      <x/>
    </i>
    <i r="2">
      <x v="371"/>
      <x/>
      <x v="11"/>
      <x v="483"/>
      <x v="132"/>
      <x v="84"/>
      <x/>
    </i>
    <i r="1">
      <x v="11"/>
      <x v="48"/>
      <x v="2"/>
      <x v="14"/>
      <x v="633"/>
      <x v="6"/>
      <x v="1"/>
      <x/>
    </i>
    <i r="1">
      <x v="23"/>
      <x v="98"/>
      <x v="9"/>
      <x v="2"/>
      <x v="4"/>
      <x v="231"/>
      <x/>
      <x/>
    </i>
    <i r="5">
      <x v="5"/>
      <x v="241"/>
      <x/>
      <x/>
    </i>
    <i r="1">
      <x v="48"/>
      <x v="121"/>
      <x v="1"/>
      <x v="13"/>
      <x v="605"/>
      <x v="91"/>
      <x v="48"/>
      <x/>
    </i>
    <i>
      <x v="11"/>
      <x v="38"/>
      <x v="231"/>
      <x v="2"/>
      <x v="12"/>
      <x v="522"/>
      <x v="92"/>
      <x v="56"/>
      <x/>
    </i>
    <i r="1">
      <x v="80"/>
      <x v="427"/>
      <x v="2"/>
      <x v="13"/>
      <x v="597"/>
      <x v="8"/>
      <x v="58"/>
      <x/>
    </i>
    <i>
      <x v="13"/>
      <x v="24"/>
      <x v="136"/>
      <x v="1"/>
      <x v="12"/>
      <x v="538"/>
      <x v="244"/>
      <x v="6"/>
      <x/>
    </i>
    <i r="2">
      <x v="139"/>
      <x v="4"/>
      <x v="8"/>
      <x v="204"/>
      <x v="248"/>
      <x v="67"/>
      <x/>
    </i>
    <i r="1">
      <x v="25"/>
      <x v="141"/>
      <x v="1"/>
      <x v="6"/>
      <x v="59"/>
      <x v="6"/>
      <x v="75"/>
      <x/>
    </i>
    <i r="2">
      <x v="143"/>
      <x v="1"/>
      <x v="11"/>
      <x v="405"/>
      <x v="149"/>
      <x v="60"/>
      <x/>
    </i>
    <i r="5">
      <x v="457"/>
      <x v="227"/>
      <x v="87"/>
      <x/>
    </i>
    <i r="3">
      <x v="4"/>
      <x v="12"/>
      <x v="566"/>
      <x v="80"/>
      <x v="65"/>
      <x/>
    </i>
    <i r="1">
      <x v="26"/>
      <x v="154"/>
      <x v="4"/>
      <x v="8"/>
      <x v="171"/>
      <x v="235"/>
      <x v="90"/>
      <x/>
    </i>
    <i r="1">
      <x v="27"/>
      <x v="159"/>
      <x v="1"/>
      <x v="9"/>
      <x v="248"/>
      <x v="90"/>
      <x v="101"/>
      <x/>
    </i>
    <i r="2">
      <x v="160"/>
      <x v="4"/>
      <x v="9"/>
      <x v="278"/>
      <x v="195"/>
      <x v="63"/>
      <x/>
    </i>
    <i r="2">
      <x v="163"/>
      <x v="2"/>
      <x v="13"/>
      <x v="546"/>
      <x v="86"/>
      <x v="21"/>
      <x/>
    </i>
    <i r="2">
      <x v="164"/>
      <x v="1"/>
      <x v="8"/>
      <x v="191"/>
      <x v="243"/>
      <x v="87"/>
      <x/>
    </i>
    <i r="3">
      <x v="5"/>
      <x v="8"/>
      <x v="175"/>
      <x v="243"/>
      <x v="99"/>
      <x/>
    </i>
    <i r="2">
      <x v="168"/>
      <x v="1"/>
      <x v="12"/>
      <x v="574"/>
      <x v="195"/>
      <x v="18"/>
      <x/>
    </i>
    <i r="1">
      <x v="54"/>
      <x v="305"/>
      <x v="1"/>
      <x v="12"/>
      <x v="568"/>
      <x v="234"/>
      <x v="78"/>
      <x/>
    </i>
    <i r="2">
      <x v="308"/>
      <x v="1"/>
      <x v="11"/>
      <x v="427"/>
      <x v="262"/>
      <x v="102"/>
      <x/>
    </i>
    <i r="2">
      <x v="309"/>
      <x v="1"/>
      <x v="12"/>
      <x v="537"/>
      <x v="187"/>
      <x v="38"/>
      <x/>
    </i>
    <i r="2">
      <x v="310"/>
      <x v="1"/>
      <x v="13"/>
      <x v="513"/>
      <x v="104"/>
      <x v="45"/>
      <x/>
    </i>
    <i r="2">
      <x v="311"/>
      <x v="1"/>
      <x v="11"/>
      <x v="368"/>
      <x v="91"/>
      <x v="79"/>
      <x/>
    </i>
    <i r="2">
      <x v="313"/>
      <x v="1"/>
      <x v="12"/>
      <x v="555"/>
      <x v="235"/>
      <x v="52"/>
      <x/>
    </i>
    <i r="1">
      <x v="69"/>
      <x v="383"/>
      <x v="4"/>
      <x v="9"/>
      <x v="231"/>
      <x v="237"/>
      <x v="34"/>
      <x/>
    </i>
    <i r="4">
      <x v="10"/>
      <x v="347"/>
      <x v="249"/>
      <x v="32"/>
      <x/>
    </i>
    <i r="2">
      <x v="385"/>
      <x v="2"/>
      <x v="13"/>
      <x v="618"/>
      <x v="95"/>
      <x v="410"/>
      <x/>
    </i>
    <i>
      <x v="15"/>
      <x v="49"/>
      <x v="287"/>
      <x v="2"/>
      <x v="12"/>
      <x v="581"/>
      <x v="92"/>
      <x v="26"/>
      <x/>
    </i>
    <i>
      <x v="16"/>
      <x v="33"/>
      <x v="207"/>
      <x v="2"/>
      <x v="11"/>
      <x v="510"/>
      <x v="102"/>
      <x v="42"/>
      <x/>
    </i>
    <i r="2">
      <x v="209"/>
      <x v="1"/>
      <x v="10"/>
      <x v="356"/>
      <x v="85"/>
      <x v="70"/>
      <x/>
    </i>
    <i>
      <x v="18"/>
      <x v="32"/>
      <x v="53"/>
      <x/>
      <x v="13"/>
      <x v="607"/>
      <x v="85"/>
      <x v="10"/>
      <x/>
    </i>
    <i r="2">
      <x v="188"/>
      <x v="1"/>
      <x v="8"/>
      <x v="203"/>
      <x v="166"/>
      <x v="72"/>
      <x/>
    </i>
    <i r="2">
      <x v="205"/>
      <x v="2"/>
      <x v="11"/>
      <x v="501"/>
      <x v="77"/>
      <x v="407"/>
      <x/>
    </i>
    <i r="2">
      <x v="337"/>
      <x v="1"/>
      <x v="12"/>
      <x v="557"/>
      <x v="187"/>
      <x v="71"/>
      <x/>
    </i>
    <i r="2">
      <x v="338"/>
      <x v="1"/>
      <x v="13"/>
      <x v="604"/>
      <x v="49"/>
      <x v="23"/>
      <x/>
    </i>
    <i r="2">
      <x v="409"/>
      <x v="1"/>
      <x v="12"/>
      <x v="520"/>
      <x v="238"/>
      <x v="33"/>
      <x/>
    </i>
    <i r="1">
      <x v="65"/>
      <x v="415"/>
      <x v="1"/>
      <x v="10"/>
      <x v="389"/>
      <x v="253"/>
      <x v="35"/>
      <x/>
    </i>
    <i>
      <x v="19"/>
      <x v="34"/>
      <x v="212"/>
      <x v="1"/>
      <x v="12"/>
      <x v="532"/>
      <x v="11"/>
      <x v="12"/>
      <x/>
    </i>
    <i r="1">
      <x v="66"/>
      <x v="379"/>
      <x v="4"/>
      <x v="11"/>
      <x v="486"/>
      <x v="163"/>
      <x v="53"/>
      <x/>
    </i>
    <i>
      <x v="20"/>
      <x v="12"/>
      <x v="49"/>
      <x/>
      <x v="13"/>
      <x v="625"/>
      <x v="242"/>
      <x v="15"/>
      <x/>
    </i>
    <i r="2">
      <x v="50"/>
      <x v="1"/>
      <x v="13"/>
      <x v="621"/>
      <x v="235"/>
      <x v="11"/>
      <x/>
    </i>
    <i r="4">
      <x v="14"/>
      <x v="628"/>
      <x v="195"/>
      <x v="8"/>
      <x/>
    </i>
    <i r="3">
      <x v="3"/>
      <x v="13"/>
      <x v="612"/>
      <x v="236"/>
      <x v="14"/>
      <x/>
    </i>
    <i>
      <x v="21"/>
      <x v="19"/>
      <x v="56"/>
      <x v="2"/>
      <x v="6"/>
      <x v="94"/>
      <x v="6"/>
      <x v="100"/>
      <x/>
    </i>
    <i r="2">
      <x v="101"/>
      <x v="1"/>
      <x v="13"/>
      <x v="600"/>
      <x v="253"/>
      <x v="11"/>
      <x/>
    </i>
    <i r="1">
      <x v="30"/>
      <x v="182"/>
      <x v="6"/>
      <x v="1"/>
      <x/>
      <x v="228"/>
      <x v="104"/>
      <x/>
    </i>
    <i>
      <x v="24"/>
      <x v="29"/>
      <x v="176"/>
      <x v="8"/>
      <x v="4"/>
      <x v="17"/>
      <x v="264"/>
      <x/>
      <x/>
    </i>
    <i r="1">
      <x v="42"/>
      <x v="240"/>
      <x v="8"/>
      <x v="2"/>
      <x v="3"/>
      <x v="251"/>
      <x v="64"/>
      <x/>
    </i>
    <i r="1">
      <x v="43"/>
      <x v="266"/>
      <x v="1"/>
      <x v="12"/>
      <x v="559"/>
      <x v="227"/>
      <x v="56"/>
      <x/>
    </i>
    <i r="1">
      <x v="57"/>
      <x v="327"/>
      <x v="2"/>
      <x v="11"/>
      <x v="496"/>
      <x v="8"/>
      <x v="49"/>
      <x/>
    </i>
    <i r="1">
      <x v="63"/>
      <x v="355"/>
      <x v="1"/>
      <x v="12"/>
      <x v="584"/>
      <x v="198"/>
      <x v="48"/>
      <x/>
    </i>
    <i r="1">
      <x v="64"/>
      <x v="361"/>
      <x/>
      <x v="11"/>
      <x v="419"/>
      <x v="119"/>
      <x v="56"/>
      <x/>
    </i>
    <i r="2">
      <x v="366"/>
      <x v="7"/>
      <x v="2"/>
      <x v="2"/>
      <x v="232"/>
      <x v="89"/>
      <x/>
    </i>
    <i>
      <x v="25"/>
      <x v="39"/>
      <x v="224"/>
      <x v="4"/>
      <x v="10"/>
      <x v="317"/>
      <x v="263"/>
      <x/>
      <x/>
    </i>
    <i>
      <x v="27"/>
      <x v="21"/>
      <x v="114"/>
      <x/>
      <x v="13"/>
      <x v="617"/>
      <x v="132"/>
      <x v="50"/>
      <x/>
    </i>
    <i r="1">
      <x v="22"/>
      <x v="116"/>
      <x v="1"/>
      <x v="13"/>
      <x v="591"/>
      <x v="49"/>
      <x v="27"/>
      <x/>
    </i>
    <i>
      <x v="28"/>
      <x v="40"/>
      <x v="449"/>
      <x v="2"/>
      <x v="12"/>
      <x v="550"/>
      <x v="8"/>
      <x v="24"/>
      <x/>
    </i>
    <i>
      <x v="29"/>
      <x v="41"/>
      <x v="235"/>
      <x v="1"/>
      <x v="11"/>
      <x v="418"/>
      <x v="81"/>
      <x v="408"/>
      <x/>
    </i>
    <i r="1">
      <x v="45"/>
      <x v="277"/>
      <x/>
      <x v="11"/>
      <x v="464"/>
      <x v="91"/>
      <x v="57"/>
      <x/>
    </i>
    <i r="2">
      <x v="278"/>
      <x v="1"/>
      <x v="13"/>
      <x v="620"/>
      <x v="80"/>
      <x v="17"/>
      <x/>
    </i>
    <i>
      <x v="30"/>
      <x v="35"/>
      <x v="215"/>
      <x v="1"/>
      <x v="3"/>
      <x v="13"/>
      <x v="190"/>
      <x v="97"/>
      <x/>
    </i>
    <i r="1">
      <x v="47"/>
      <x v="285"/>
      <x v="2"/>
      <x v="12"/>
      <x v="572"/>
      <x v="124"/>
      <x v="46"/>
      <x/>
    </i>
    <i r="1">
      <x v="51"/>
      <x v="296"/>
      <x v="1"/>
      <x v="11"/>
      <x v="426"/>
      <x v="240"/>
      <x v="60"/>
      <x/>
    </i>
    <i r="5">
      <x v="505"/>
      <x v="259"/>
      <x v="62"/>
      <x/>
    </i>
    <i r="1">
      <x v="59"/>
      <x v="345"/>
      <x v="1"/>
      <x v="8"/>
      <x v="215"/>
      <x v="225"/>
      <x v="96"/>
      <x/>
    </i>
    <i r="1">
      <x v="78"/>
      <x v="414"/>
      <x v="1"/>
      <x v="11"/>
      <x v="491"/>
      <x v="6"/>
      <x v="80"/>
      <x/>
    </i>
    <i r="1">
      <x v="79"/>
      <x v="419"/>
      <x v="4"/>
      <x v="9"/>
      <x v="298"/>
      <x v="258"/>
      <x v="92"/>
      <x/>
    </i>
    <i r="1">
      <x v="82"/>
      <x v="431"/>
      <x v="1"/>
      <x v="12"/>
      <x v="504"/>
      <x v="120"/>
      <x v="26"/>
      <x/>
    </i>
    <i r="2">
      <x v="433"/>
      <x v="1"/>
      <x v="10"/>
      <x v="408"/>
      <x v="86"/>
      <x v="54"/>
      <x/>
    </i>
    <i>
      <x v="31"/>
      <x v="16"/>
      <x v="90"/>
      <x v="4"/>
      <x v="13"/>
      <x v="595"/>
      <x v="233"/>
      <x v="3"/>
      <x/>
    </i>
    <i>
      <x v="33"/>
      <x v="6"/>
      <x v="5"/>
      <x/>
      <x v="13"/>
      <x v="599"/>
      <x v="124"/>
      <x v="29"/>
      <x/>
    </i>
    <i r="1">
      <x v="7"/>
      <x v="18"/>
      <x v="4"/>
      <x v="6"/>
      <x v="66"/>
      <x v="36"/>
      <x v="95"/>
      <x/>
    </i>
    <i r="2">
      <x v="20"/>
      <x v="1"/>
      <x v="13"/>
      <x v="615"/>
      <x v="200"/>
      <x v="4"/>
      <x/>
    </i>
    <i r="2">
      <x v="22"/>
      <x v="4"/>
      <x v="6"/>
      <x v="61"/>
      <x v="239"/>
      <x v="103"/>
      <x/>
    </i>
    <i r="2">
      <x v="30"/>
      <x v="4"/>
      <x v="8"/>
      <x v="173"/>
      <x v="247"/>
      <x v="39"/>
      <x/>
    </i>
    <i r="2">
      <x v="32"/>
      <x v="1"/>
      <x v="11"/>
      <x v="421"/>
      <x v="252"/>
      <x v="61"/>
      <x/>
    </i>
    <i r="3">
      <x v="2"/>
      <x v="11"/>
      <x v="493"/>
      <x v="14"/>
      <x v="25"/>
      <x/>
    </i>
    <i r="2">
      <x v="34"/>
      <x v="1"/>
      <x v="11"/>
      <x v="472"/>
      <x v="250"/>
      <x v="31"/>
      <x/>
    </i>
    <i r="3">
      <x v="2"/>
      <x v="11"/>
      <x v="497"/>
      <x v="195"/>
      <x v="73"/>
      <x/>
    </i>
    <i r="1">
      <x v="9"/>
      <x v="44"/>
      <x v="1"/>
      <x v="9"/>
      <x v="294"/>
      <x v="166"/>
      <x v="86"/>
      <x/>
    </i>
    <i r="4">
      <x v="11"/>
      <x v="425"/>
      <x v="43"/>
      <x v="76"/>
      <x/>
    </i>
    <i r="4">
      <x v="13"/>
      <x v="602"/>
      <x v="76"/>
      <x v="28"/>
      <x/>
    </i>
    <i r="2">
      <x v="45"/>
      <x/>
      <x v="11"/>
      <x v="451"/>
      <x v="120"/>
      <x v="85"/>
      <x/>
    </i>
    <i r="3">
      <x v="1"/>
      <x v="11"/>
      <x v="478"/>
      <x v="245"/>
      <x v="35"/>
      <x/>
    </i>
    <i r="1">
      <x v="37"/>
      <x v="228"/>
      <x v="3"/>
      <x v="11"/>
      <x v="435"/>
      <x v="255"/>
      <x v="77"/>
      <x/>
    </i>
    <i r="2">
      <x v="230"/>
      <x/>
      <x v="12"/>
      <x v="540"/>
      <x v="195"/>
      <x v="36"/>
      <x/>
    </i>
    <i r="3">
      <x v="1"/>
      <x v="13"/>
      <x v="594"/>
      <x v="200"/>
      <x v="7"/>
      <x/>
    </i>
    <i r="3">
      <x v="2"/>
      <x v="12"/>
      <x v="526"/>
      <x v="242"/>
      <x v="88"/>
      <x/>
    </i>
    <i r="1">
      <x v="46"/>
      <x v="282"/>
      <x/>
      <x v="13"/>
      <x v="619"/>
      <x v="132"/>
      <x v="20"/>
      <x/>
    </i>
    <i>
      <x v="34"/>
      <x v="52"/>
      <x v="1"/>
      <x v="1"/>
      <x v="11"/>
      <x v="440"/>
      <x v="260"/>
      <x v="44"/>
      <x/>
    </i>
    <i r="2">
      <x v="3"/>
      <x v="1"/>
      <x v="10"/>
      <x v="390"/>
      <x v="227"/>
      <x v="81"/>
      <x/>
    </i>
    <i r="2">
      <x v="300"/>
      <x v="1"/>
      <x v="13"/>
      <x v="622"/>
      <x v="150"/>
      <x v="22"/>
      <x/>
    </i>
    <i r="1">
      <x v="53"/>
      <x v="299"/>
      <x v="1"/>
      <x v="13"/>
      <x v="614"/>
      <x v="92"/>
      <x v="11"/>
      <x/>
    </i>
    <i>
      <x v="35"/>
      <x v="55"/>
      <x v="124"/>
      <x v="4"/>
      <x v="7"/>
      <x v="154"/>
      <x v="85"/>
      <x v="94"/>
      <x/>
    </i>
    <i>
      <x v="36"/>
      <x v="36"/>
      <x v="252"/>
      <x v="4"/>
      <x v="9"/>
      <x v="241"/>
      <x v="182"/>
      <x v="83"/>
      <x/>
    </i>
    <i r="1">
      <x v="56"/>
      <x v="321"/>
      <x v="6"/>
      <x v="3"/>
      <x v="9"/>
      <x v="230"/>
      <x v="105"/>
      <x/>
    </i>
    <i r="1">
      <x v="76"/>
      <x v="401"/>
      <x v="1"/>
      <x v="12"/>
      <x v="579"/>
      <x v="36"/>
      <x v="47"/>
      <x/>
    </i>
    <i>
      <x v="37"/>
      <x v="28"/>
      <x v="169"/>
      <x v="2"/>
      <x v="12"/>
      <x v="580"/>
      <x v="102"/>
      <x v="85"/>
      <x/>
    </i>
    <i>
      <x v="38"/>
      <x v="31"/>
      <x v="190"/>
      <x v="1"/>
      <x v="7"/>
      <x v="124"/>
      <x v="195"/>
      <x v="73"/>
      <x/>
    </i>
    <i>
      <x v="39"/>
      <x v="20"/>
      <x v="106"/>
      <x v="1"/>
      <x v="13"/>
      <x v="626"/>
      <x v="86"/>
      <x v="5"/>
      <x/>
    </i>
    <i>
      <x v="40"/>
      <x v="13"/>
      <x v="66"/>
      <x v="6"/>
      <x v="11"/>
      <x v="477"/>
      <x v="229"/>
      <x v="19"/>
      <x/>
    </i>
    <i r="1">
      <x v="44"/>
      <x v="268"/>
      <x/>
      <x v="11"/>
      <x v="498"/>
      <x v="84"/>
      <x v="55"/>
      <x/>
    </i>
    <i r="1">
      <x v="58"/>
      <x v="339"/>
      <x/>
      <x v="12"/>
      <x v="542"/>
      <x v="242"/>
      <x v="40"/>
      <x/>
    </i>
    <i>
      <x v="42"/>
      <x v="68"/>
      <x v="382"/>
      <x v="1"/>
      <x v="10"/>
      <x v="308"/>
      <x v="242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7"/>
  <sheetViews>
    <sheetView tabSelected="1" topLeftCell="E1" workbookViewId="0">
      <pane ySplit="1" topLeftCell="A101" activePane="bottomLeft" state="frozen"/>
      <selection pane="bottomLeft" activeCell="N126" sqref="N126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16</v>
      </c>
      <c r="E2" s="20">
        <v>2022</v>
      </c>
      <c r="F2" s="20" t="s">
        <v>3913</v>
      </c>
      <c r="G2" s="20">
        <v>8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2521</v>
      </c>
      <c r="C3" s="20" t="s">
        <v>8278</v>
      </c>
      <c r="D3" s="20" t="s">
        <v>16</v>
      </c>
      <c r="E3" s="20">
        <v>2024</v>
      </c>
      <c r="F3" s="20" t="s">
        <v>8281</v>
      </c>
      <c r="G3" s="20">
        <v>7</v>
      </c>
      <c r="H3" s="20">
        <v>12238</v>
      </c>
      <c r="I3" s="19" t="s">
        <v>5161</v>
      </c>
      <c r="J3" s="11" t="str">
        <f t="shared" si="0"/>
        <v>X55X55 4X2 1.5 AUT2024</v>
      </c>
      <c r="K3" s="12"/>
      <c r="L3" s="10">
        <f>_xlfn.XLOOKUP(F3,'PRECIO TOMA HISTORICO '!$A:$A,'PRECIO TOMA HISTORICO '!$B:$B,"",0,-1)</f>
        <v>9700000</v>
      </c>
      <c r="M3" s="9"/>
      <c r="N3" s="10">
        <f>_xlfn.XLOOKUP(F3,BBDD!$S:$S,BBDD!$AS:$AS)</f>
        <v>11990000</v>
      </c>
      <c r="O3" s="10">
        <f>IFERROR(VLOOKUP(F3,'PRECIO MERCADO'!D:E,2,0),"0")</f>
        <v>12400000</v>
      </c>
      <c r="P3" s="10">
        <f>_xlfn.XLOOKUP(F3,BBDD!$S:$S,BBDD!$AO:$AO)</f>
        <v>9700000</v>
      </c>
      <c r="Q3" s="10">
        <f>_xlfn.XLOOKUP(F3,BBDD!$S:$S,BBDD!$AR:$AR)</f>
        <v>9974740</v>
      </c>
    </row>
    <row r="4" spans="1:17" ht="13.5" customHeight="1" x14ac:dyDescent="0.3">
      <c r="A4" s="20" t="s">
        <v>18</v>
      </c>
      <c r="B4" s="20" t="s">
        <v>19</v>
      </c>
      <c r="C4" s="20" t="s">
        <v>20</v>
      </c>
      <c r="D4" s="20" t="s">
        <v>21</v>
      </c>
      <c r="E4" s="20">
        <v>2025</v>
      </c>
      <c r="F4" s="20" t="s">
        <v>23</v>
      </c>
      <c r="G4" s="20">
        <v>67</v>
      </c>
      <c r="H4" s="20">
        <v>20000</v>
      </c>
      <c r="I4" s="19" t="s">
        <v>5161</v>
      </c>
      <c r="J4" s="11" t="str">
        <f t="shared" si="0"/>
        <v>SHARK DMOSHARK 1.5 AUT2025</v>
      </c>
      <c r="K4" s="12"/>
      <c r="L4" s="10">
        <f>_xlfn.XLOOKUP(F4,'PRECIO TOMA HISTORICO '!$A:$A,'PRECIO TOMA HISTORICO '!$B:$B,"",0,-1)</f>
        <v>31627180</v>
      </c>
      <c r="M4" s="9"/>
      <c r="N4" s="10">
        <f>_xlfn.XLOOKUP(F4,BBDD!$S:$S,BBDD!$AS:$AS)</f>
        <v>36990000</v>
      </c>
      <c r="O4" s="10">
        <f>IFERROR(VLOOKUP(F4,'PRECIO MERCADO'!D:E,2,0),"0")</f>
        <v>40300000</v>
      </c>
      <c r="P4" s="10">
        <f>_xlfn.XLOOKUP(F4,BBDD!$S:$S,BBDD!$AO:$AO)</f>
        <v>31627180</v>
      </c>
      <c r="Q4" s="10">
        <f>_xlfn.XLOOKUP(F4,BBDD!$S:$S,BBDD!$AR:$AR)</f>
        <v>32230828</v>
      </c>
    </row>
    <row r="5" spans="1:17" ht="13.5" customHeight="1" x14ac:dyDescent="0.3">
      <c r="A5" s="21" t="s">
        <v>18</v>
      </c>
      <c r="B5" s="20" t="s">
        <v>25</v>
      </c>
      <c r="C5" s="20" t="s">
        <v>26</v>
      </c>
      <c r="D5" s="20" t="s">
        <v>27</v>
      </c>
      <c r="E5" s="20">
        <v>2024</v>
      </c>
      <c r="F5" s="20" t="s">
        <v>28</v>
      </c>
      <c r="G5" s="20">
        <v>155</v>
      </c>
      <c r="H5" s="20">
        <v>30000</v>
      </c>
      <c r="I5" s="19" t="s">
        <v>5161</v>
      </c>
      <c r="J5" s="11" t="str">
        <f t="shared" si="0"/>
        <v>SONG PLUS DM-iSONG PLUS 4X2 1.5 AUT2024</v>
      </c>
      <c r="K5" s="12"/>
      <c r="L5" s="10">
        <f>_xlfn.XLOOKUP(F5,'PRECIO TOMA HISTORICO '!$A:$A,'PRECIO TOMA HISTORICO '!$B:$B,"",0,-1)</f>
        <v>20000000</v>
      </c>
      <c r="M5" s="9"/>
      <c r="N5" s="10">
        <f>_xlfn.XLOOKUP(F5,BBDD!$S:$S,BBDD!$AS:$AS)</f>
        <v>20990000</v>
      </c>
      <c r="O5" s="10">
        <f>IFERROR(VLOOKUP(F5,'PRECIO MERCADO'!D:E,2,0),"0")</f>
        <v>22100000</v>
      </c>
      <c r="P5" s="10">
        <f>_xlfn.XLOOKUP(F5,BBDD!$S:$S,BBDD!$AO:$AO)</f>
        <v>20000000</v>
      </c>
      <c r="Q5" s="10">
        <f>_xlfn.XLOOKUP(F5,BBDD!$S:$S,BBDD!$AR:$AR)</f>
        <v>20524003</v>
      </c>
    </row>
    <row r="6" spans="1:17" ht="13.5" customHeight="1" x14ac:dyDescent="0.3">
      <c r="A6" s="20" t="s">
        <v>2507</v>
      </c>
      <c r="B6" s="20" t="s">
        <v>2507</v>
      </c>
      <c r="C6" s="20" t="s">
        <v>4014</v>
      </c>
      <c r="D6" s="20" t="s">
        <v>27</v>
      </c>
      <c r="E6" s="20">
        <v>2022</v>
      </c>
      <c r="F6" s="20" t="s">
        <v>8084</v>
      </c>
      <c r="G6" s="20">
        <v>11</v>
      </c>
      <c r="H6" s="20">
        <v>75000</v>
      </c>
      <c r="I6" s="19" t="s">
        <v>5161</v>
      </c>
      <c r="J6" s="11" t="str">
        <f t="shared" si="0"/>
        <v>CHANGANCX70 T 1.5 AUT2022</v>
      </c>
      <c r="K6" s="12"/>
      <c r="L6" s="10">
        <f>_xlfn.XLOOKUP(F6,'PRECIO TOMA HISTORICO '!$A:$A,'PRECIO TOMA HISTORICO '!$B:$B,"",0,-1)</f>
        <v>7100000</v>
      </c>
      <c r="M6" s="9"/>
      <c r="N6" s="10">
        <f>_xlfn.XLOOKUP(F6,BBDD!$S:$S,BBDD!$AS:$AS)</f>
        <v>9490000</v>
      </c>
      <c r="O6" s="10">
        <f>IFERROR(VLOOKUP(F6,'PRECIO MERCADO'!D:E,2,0),"0")</f>
        <v>9400000</v>
      </c>
      <c r="P6" s="10">
        <f>_xlfn.XLOOKUP(F6,BBDD!$S:$S,BBDD!$AO:$AO)</f>
        <v>7100000</v>
      </c>
      <c r="Q6" s="10">
        <f>_xlfn.XLOOKUP(F6,BBDD!$S:$S,BBDD!$AR:$AR)</f>
        <v>7335740</v>
      </c>
    </row>
    <row r="7" spans="1:17" ht="13.5" customHeight="1" x14ac:dyDescent="0.3">
      <c r="A7" s="20" t="s">
        <v>29</v>
      </c>
      <c r="B7" s="20" t="s">
        <v>4032</v>
      </c>
      <c r="C7" s="20" t="s">
        <v>4033</v>
      </c>
      <c r="D7" s="20" t="s">
        <v>16</v>
      </c>
      <c r="E7" s="20">
        <v>2019</v>
      </c>
      <c r="F7" s="20" t="s">
        <v>8302</v>
      </c>
      <c r="G7" s="20">
        <v>4</v>
      </c>
      <c r="H7" s="20">
        <v>66000</v>
      </c>
      <c r="I7" s="19" t="s">
        <v>5161</v>
      </c>
      <c r="J7" s="11" t="str">
        <f t="shared" si="0"/>
        <v>ARRIZO 5ARRIZO 5 1.52019</v>
      </c>
      <c r="K7" s="12"/>
      <c r="L7" s="10">
        <f>_xlfn.XLOOKUP(F7,'PRECIO TOMA HISTORICO '!$A:$A,'PRECIO TOMA HISTORICO '!$B:$B,"",0,-1)</f>
        <v>3900000</v>
      </c>
      <c r="M7" s="9"/>
      <c r="N7" s="10">
        <f>_xlfn.XLOOKUP(F7,BBDD!$S:$S,BBDD!$AS:$AS)</f>
        <v>5290000</v>
      </c>
      <c r="O7" s="10">
        <f>IFERROR(VLOOKUP(F7,'PRECIO MERCADO'!D:E,2,0),"0")</f>
        <v>5370000</v>
      </c>
      <c r="P7" s="10">
        <f>_xlfn.XLOOKUP(F7,BBDD!$S:$S,BBDD!$AO:$AO)</f>
        <v>3900000</v>
      </c>
      <c r="Q7" s="10">
        <f>_xlfn.XLOOKUP(F7,BBDD!$S:$S,BBDD!$AR:$AR)</f>
        <v>4087740</v>
      </c>
    </row>
    <row r="8" spans="1:17" ht="13.5" customHeight="1" x14ac:dyDescent="0.3">
      <c r="A8" s="21" t="s">
        <v>29</v>
      </c>
      <c r="B8" s="20" t="s">
        <v>2509</v>
      </c>
      <c r="C8" s="20" t="s">
        <v>4042</v>
      </c>
      <c r="D8" s="20" t="s">
        <v>16</v>
      </c>
      <c r="E8" s="20">
        <v>2023</v>
      </c>
      <c r="F8" s="20" t="s">
        <v>6052</v>
      </c>
      <c r="G8" s="20">
        <v>13</v>
      </c>
      <c r="H8" s="20">
        <v>54200</v>
      </c>
      <c r="I8" s="19" t="s">
        <v>5161</v>
      </c>
      <c r="J8" s="11" t="str">
        <f t="shared" si="0"/>
        <v>TIGGO 2TIGGO 2 GLS CVT 1.5 AUT2023</v>
      </c>
      <c r="K8" s="12"/>
      <c r="L8" s="10">
        <f>_xlfn.XLOOKUP(F8,'PRECIO TOMA HISTORICO '!$A:$A,'PRECIO TOMA HISTORICO '!$B:$B,"",0,-1)</f>
        <v>7100000</v>
      </c>
      <c r="M8" s="9"/>
      <c r="N8" s="10">
        <f>_xlfn.XLOOKUP(F8,BBDD!$S:$S,BBDD!$AS:$AS)</f>
        <v>8490000</v>
      </c>
      <c r="O8" s="10">
        <f>IFERROR(VLOOKUP(F8,'PRECIO MERCADO'!D:E,2,0),"0")</f>
        <v>8300000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1" t="s">
        <v>29</v>
      </c>
      <c r="B9" s="20" t="s">
        <v>2560</v>
      </c>
      <c r="C9" s="20" t="s">
        <v>8656</v>
      </c>
      <c r="D9" s="20" t="s">
        <v>16</v>
      </c>
      <c r="E9" s="20">
        <v>2025</v>
      </c>
      <c r="F9" s="20" t="s">
        <v>3493</v>
      </c>
      <c r="G9" s="20">
        <v>2</v>
      </c>
      <c r="H9" s="20">
        <v>38173</v>
      </c>
      <c r="I9" s="19" t="s">
        <v>5161</v>
      </c>
      <c r="J9" s="11" t="str">
        <f t="shared" si="0"/>
        <v>TIGGO 2 PRO MAXTIGGO 2 PRO MAX GL 1.52025</v>
      </c>
      <c r="K9" s="12"/>
      <c r="L9" s="10">
        <f>_xlfn.XLOOKUP(F9,'PRECIO TOMA HISTORICO '!$A:$A,'PRECIO TOMA HISTORICO '!$B:$B,"",0,-1)</f>
        <v>7000000</v>
      </c>
      <c r="M9" s="9"/>
      <c r="N9" s="10">
        <f>_xlfn.XLOOKUP(F9,BBDD!$S:$S,BBDD!$AS:$AS)</f>
        <v>8590000</v>
      </c>
      <c r="O9" s="10">
        <f>IFERROR(VLOOKUP(F9,'PRECIO MERCADO'!D:E,2,0),"0")</f>
        <v>8300000</v>
      </c>
      <c r="P9" s="10">
        <f>_xlfn.XLOOKUP(F9,BBDD!$S:$S,BBDD!$AO:$AO)</f>
        <v>7000000</v>
      </c>
      <c r="Q9" s="10">
        <f>_xlfn.XLOOKUP(F9,BBDD!$S:$S,BBDD!$AR:$AR)</f>
        <v>7000000</v>
      </c>
    </row>
    <row r="10" spans="1:17" ht="13.5" customHeight="1" x14ac:dyDescent="0.3">
      <c r="A10" s="21" t="s">
        <v>29</v>
      </c>
      <c r="B10" s="20" t="s">
        <v>32</v>
      </c>
      <c r="C10" s="20" t="s">
        <v>33</v>
      </c>
      <c r="D10" s="20" t="s">
        <v>34</v>
      </c>
      <c r="E10" s="20">
        <v>2021</v>
      </c>
      <c r="F10" s="20" t="s">
        <v>35</v>
      </c>
      <c r="G10" s="20">
        <v>233</v>
      </c>
      <c r="H10" s="20">
        <v>40095</v>
      </c>
      <c r="I10" s="19" t="s">
        <v>5161</v>
      </c>
      <c r="J10" s="11" t="str">
        <f t="shared" si="0"/>
        <v>TIGGO 3TIGGO 3 1.52021</v>
      </c>
      <c r="K10" s="12"/>
      <c r="L10" s="10">
        <f>_xlfn.XLOOKUP(F10,'PRECIO TOMA HISTORICO '!$A:$A,'PRECIO TOMA HISTORICO '!$B:$B,"",0,-1)</f>
        <v>6200000</v>
      </c>
      <c r="M10" s="9"/>
      <c r="N10" s="10">
        <f>_xlfn.XLOOKUP(F10,BBDD!$S:$S,BBDD!$AS:$AS)</f>
        <v>8190000</v>
      </c>
      <c r="O10" s="10">
        <f>IFERROR(VLOOKUP(F10,'PRECIO MERCADO'!D:E,2,0),"0")</f>
        <v>8400000</v>
      </c>
      <c r="P10" s="10">
        <f>_xlfn.XLOOKUP(F10,BBDD!$S:$S,BBDD!$AO:$AO)</f>
        <v>6200000</v>
      </c>
      <c r="Q10" s="10">
        <f>_xlfn.XLOOKUP(F10,BBDD!$S:$S,BBDD!$AR:$AR)</f>
        <v>6419030</v>
      </c>
    </row>
    <row r="11" spans="1:17" ht="13.5" customHeight="1" x14ac:dyDescent="0.3">
      <c r="A11" s="21" t="s">
        <v>29</v>
      </c>
      <c r="B11" s="20" t="s">
        <v>36</v>
      </c>
      <c r="C11" s="20" t="s">
        <v>37</v>
      </c>
      <c r="D11" s="20" t="s">
        <v>27</v>
      </c>
      <c r="E11" s="20">
        <v>2026</v>
      </c>
      <c r="F11" s="20" t="s">
        <v>38</v>
      </c>
      <c r="G11" s="20">
        <v>43</v>
      </c>
      <c r="H11" s="20">
        <v>22255</v>
      </c>
      <c r="I11" s="19" t="s">
        <v>5161</v>
      </c>
      <c r="J11" s="11" t="str">
        <f t="shared" si="0"/>
        <v>TIGGO 3 PROTIGGO 3 PRO GLS 1.5 AUT2026</v>
      </c>
      <c r="K11" s="12"/>
      <c r="L11" s="10">
        <f>_xlfn.XLOOKUP(F11,'PRECIO TOMA HISTORICO '!$A:$A,'PRECIO TOMA HISTORICO '!$B:$B,"",0,-1)</f>
        <v>10000000</v>
      </c>
      <c r="M11" s="9"/>
      <c r="N11" s="10">
        <f>_xlfn.XLOOKUP(F11,BBDD!$S:$S,BBDD!$AS:$AS)</f>
        <v>11690000</v>
      </c>
      <c r="O11" s="10">
        <f>IFERROR(VLOOKUP(F11,'PRECIO MERCADO'!D:E,2,0),"0")</f>
        <v>11300000</v>
      </c>
      <c r="P11" s="10">
        <f>_xlfn.XLOOKUP(F11,BBDD!$S:$S,BBDD!$AO:$AO)</f>
        <v>10000000</v>
      </c>
      <c r="Q11" s="10">
        <f>_xlfn.XLOOKUP(F11,BBDD!$S:$S,BBDD!$AR:$AR)</f>
        <v>10279240</v>
      </c>
    </row>
    <row r="12" spans="1:17" ht="13.5" customHeight="1" x14ac:dyDescent="0.3">
      <c r="A12" s="21" t="s">
        <v>29</v>
      </c>
      <c r="B12" s="20" t="s">
        <v>39</v>
      </c>
      <c r="C12" s="20" t="s">
        <v>40</v>
      </c>
      <c r="D12" s="20" t="s">
        <v>41</v>
      </c>
      <c r="E12" s="20">
        <v>2022</v>
      </c>
      <c r="F12" s="20" t="s">
        <v>42</v>
      </c>
      <c r="G12" s="20">
        <v>128</v>
      </c>
      <c r="H12" s="20">
        <v>56079</v>
      </c>
      <c r="I12" s="19" t="s">
        <v>5161</v>
      </c>
      <c r="J12" s="11" t="str">
        <f t="shared" si="0"/>
        <v>TIGGO 7 PROTIGGO 7 GLX CVT PRO 1.5 AUT2022</v>
      </c>
      <c r="K12" s="12"/>
      <c r="L12" s="10">
        <f>_xlfn.XLOOKUP(F12,'PRECIO TOMA HISTORICO '!$A:$A,'PRECIO TOMA HISTORICO '!$B:$B,"",0,-1)</f>
        <v>10000000</v>
      </c>
      <c r="M12" s="9"/>
      <c r="N12" s="10">
        <f>_xlfn.XLOOKUP(F12,BBDD!$S:$S,BBDD!$AS:$AS)</f>
        <v>11990000</v>
      </c>
      <c r="O12" s="10">
        <f>IFERROR(VLOOKUP(F12,'PRECIO MERCADO'!D:E,2,0),"0")</f>
        <v>11900000</v>
      </c>
      <c r="P12" s="10">
        <f>_xlfn.XLOOKUP(F12,BBDD!$S:$S,BBDD!$AO:$AO)</f>
        <v>10000000</v>
      </c>
      <c r="Q12" s="10">
        <f>_xlfn.XLOOKUP(F12,BBDD!$S:$S,BBDD!$AR:$AR)</f>
        <v>10276030</v>
      </c>
    </row>
    <row r="13" spans="1:17" ht="13.5" customHeight="1" x14ac:dyDescent="0.3">
      <c r="A13" s="21" t="s">
        <v>29</v>
      </c>
      <c r="B13" s="20" t="s">
        <v>43</v>
      </c>
      <c r="C13" s="20" t="s">
        <v>44</v>
      </c>
      <c r="D13" s="20" t="s">
        <v>16</v>
      </c>
      <c r="E13" s="20">
        <v>2022</v>
      </c>
      <c r="F13" s="20" t="s">
        <v>45</v>
      </c>
      <c r="G13" s="20">
        <v>36</v>
      </c>
      <c r="H13" s="20">
        <v>30000</v>
      </c>
      <c r="I13" s="19" t="s">
        <v>5161</v>
      </c>
      <c r="J13" s="11" t="str">
        <f t="shared" si="0"/>
        <v>TIGGO 8TIGGO 8 1.52022</v>
      </c>
      <c r="K13" s="12"/>
      <c r="L13" s="10">
        <f>_xlfn.XLOOKUP(F13,'PRECIO TOMA HISTORICO '!$A:$A,'PRECIO TOMA HISTORICO '!$B:$B,"",0,-1)</f>
        <v>9500000</v>
      </c>
      <c r="M13" s="9"/>
      <c r="N13" s="10">
        <f>_xlfn.XLOOKUP(F13,BBDD!$S:$S,BBDD!$AS:$AS)</f>
        <v>11490000</v>
      </c>
      <c r="O13" s="10">
        <f>IFERROR(VLOOKUP(F13,'PRECIO MERCADO'!D:E,2,0),"0")</f>
        <v>11600000</v>
      </c>
      <c r="P13" s="10">
        <f>_xlfn.XLOOKUP(F13,BBDD!$S:$S,BBDD!$AO:$AO)</f>
        <v>9500000</v>
      </c>
      <c r="Q13" s="10">
        <f>_xlfn.XLOOKUP(F13,BBDD!$S:$S,BBDD!$AR:$AR)</f>
        <v>9771740</v>
      </c>
    </row>
    <row r="14" spans="1:17" ht="13.5" customHeight="1" x14ac:dyDescent="0.3">
      <c r="A14" s="20" t="s">
        <v>46</v>
      </c>
      <c r="B14" s="20" t="s">
        <v>47</v>
      </c>
      <c r="C14" s="20" t="s">
        <v>48</v>
      </c>
      <c r="D14" s="20" t="s">
        <v>41</v>
      </c>
      <c r="E14" s="20">
        <v>2017</v>
      </c>
      <c r="F14" s="20" t="s">
        <v>49</v>
      </c>
      <c r="G14" s="20">
        <v>289</v>
      </c>
      <c r="H14" s="20">
        <v>75000</v>
      </c>
      <c r="I14" s="19" t="s">
        <v>5161</v>
      </c>
      <c r="J14" s="11" t="str">
        <f t="shared" si="0"/>
        <v>CAPTIVACAPTIVA LS 2.4 AT2017</v>
      </c>
      <c r="K14" s="12"/>
      <c r="L14" s="10">
        <f>_xlfn.XLOOKUP(F14,'PRECIO TOMA HISTORICO '!$A:$A,'PRECIO TOMA HISTORICO '!$B:$B,"",0,-1)</f>
        <v>7300000</v>
      </c>
      <c r="M14" s="9"/>
      <c r="N14" s="10">
        <f>_xlfn.XLOOKUP(F14,BBDD!$S:$S,BBDD!$AS:$AS)</f>
        <v>9590000</v>
      </c>
      <c r="O14" s="10">
        <f>IFERROR(VLOOKUP(F14,'PRECIO MERCADO'!D:E,2,0),"0")</f>
        <v>9300000</v>
      </c>
      <c r="P14" s="10">
        <f>_xlfn.XLOOKUP(F14,BBDD!$S:$S,BBDD!$AO:$AO)</f>
        <v>7300000</v>
      </c>
      <c r="Q14" s="10">
        <f>_xlfn.XLOOKUP(F14,BBDD!$S:$S,BBDD!$AR:$AR)</f>
        <v>7535530</v>
      </c>
    </row>
    <row r="15" spans="1:17" ht="13.5" customHeight="1" x14ac:dyDescent="0.3">
      <c r="A15" s="21" t="s">
        <v>46</v>
      </c>
      <c r="B15" s="20" t="s">
        <v>50</v>
      </c>
      <c r="C15" s="20" t="s">
        <v>51</v>
      </c>
      <c r="D15" s="20" t="s">
        <v>27</v>
      </c>
      <c r="E15" s="20">
        <v>2023</v>
      </c>
      <c r="F15" s="20" t="s">
        <v>52</v>
      </c>
      <c r="G15" s="20">
        <v>232</v>
      </c>
      <c r="H15" s="20">
        <v>44495</v>
      </c>
      <c r="I15" s="19" t="s">
        <v>5161</v>
      </c>
      <c r="J15" s="11" t="str">
        <f t="shared" si="0"/>
        <v>SILVERADOSILVERADO CC LTZ 4X4 3.0 AUT2023</v>
      </c>
      <c r="K15" s="12"/>
      <c r="L15" s="10">
        <f>_xlfn.XLOOKUP(F15,'PRECIO TOMA HISTORICO '!$A:$A,'PRECIO TOMA HISTORICO '!$B:$B,"",0,-1)</f>
        <v>48000000</v>
      </c>
      <c r="M15" s="9"/>
      <c r="N15" s="10">
        <f>_xlfn.XLOOKUP(F15,BBDD!$S:$S,BBDD!$AS:$AS)</f>
        <v>49990000</v>
      </c>
      <c r="O15" s="10">
        <f>IFERROR(VLOOKUP(F15,'PRECIO MERCADO'!D:E,2,0),"0")</f>
        <v>47500000</v>
      </c>
      <c r="P15" s="10">
        <f>_xlfn.XLOOKUP(F15,BBDD!$S:$S,BBDD!$AO:$AO)</f>
        <v>48000000</v>
      </c>
      <c r="Q15" s="10">
        <f>_xlfn.XLOOKUP(F15,BBDD!$S:$S,BBDD!$AR:$AR)</f>
        <v>48846030</v>
      </c>
    </row>
    <row r="16" spans="1:17" ht="13.5" customHeight="1" x14ac:dyDescent="0.3">
      <c r="A16" s="21" t="s">
        <v>46</v>
      </c>
      <c r="B16" s="20" t="s">
        <v>56</v>
      </c>
      <c r="C16" s="20" t="s">
        <v>57</v>
      </c>
      <c r="D16" s="20" t="s">
        <v>27</v>
      </c>
      <c r="E16" s="20">
        <v>2020</v>
      </c>
      <c r="F16" s="20" t="s">
        <v>58</v>
      </c>
      <c r="G16" s="20">
        <v>72</v>
      </c>
      <c r="H16" s="20">
        <v>85300</v>
      </c>
      <c r="I16" s="19" t="s">
        <v>5161</v>
      </c>
      <c r="J16" s="11" t="str">
        <f t="shared" si="0"/>
        <v>TAHOETAHOE 4X4 5.3 AUT2020</v>
      </c>
      <c r="K16" s="12"/>
      <c r="L16" s="10">
        <f>_xlfn.XLOOKUP(F16,'PRECIO TOMA HISTORICO '!$A:$A,'PRECIO TOMA HISTORICO '!$B:$B,"",0,-1)</f>
        <v>24500000</v>
      </c>
      <c r="M16" s="9"/>
      <c r="N16" s="10">
        <f>_xlfn.XLOOKUP(F16,BBDD!$S:$S,BBDD!$AS:$AS)</f>
        <v>28990000</v>
      </c>
      <c r="O16" s="10">
        <f>IFERROR(VLOOKUP(F16,'PRECIO MERCADO'!D:E,2,0),"0")</f>
        <v>33500000</v>
      </c>
      <c r="P16" s="10">
        <f>_xlfn.XLOOKUP(F16,BBDD!$S:$S,BBDD!$AO:$AO)</f>
        <v>24500000</v>
      </c>
      <c r="Q16" s="10">
        <f>_xlfn.XLOOKUP(F16,BBDD!$S:$S,BBDD!$AR:$AR)</f>
        <v>24996740</v>
      </c>
    </row>
    <row r="17" spans="1:17" ht="13.5" customHeight="1" x14ac:dyDescent="0.3">
      <c r="A17" s="21" t="s">
        <v>46</v>
      </c>
      <c r="B17" s="20" t="s">
        <v>59</v>
      </c>
      <c r="C17" s="20" t="s">
        <v>60</v>
      </c>
      <c r="D17" s="20" t="s">
        <v>27</v>
      </c>
      <c r="E17" s="20">
        <v>2022</v>
      </c>
      <c r="F17" s="20" t="s">
        <v>61</v>
      </c>
      <c r="G17" s="20">
        <v>372</v>
      </c>
      <c r="H17" s="20">
        <v>33420</v>
      </c>
      <c r="I17" s="19" t="s">
        <v>5161</v>
      </c>
      <c r="J17" s="11" t="str">
        <f t="shared" si="0"/>
        <v>TRACKERTRACKER 1.2T2022</v>
      </c>
      <c r="K17" s="12"/>
      <c r="L17" s="10">
        <f>_xlfn.XLOOKUP(F17,'PRECIO TOMA HISTORICO '!$A:$A,'PRECIO TOMA HISTORICO '!$B:$B,"",0,-1)</f>
        <v>9300000</v>
      </c>
      <c r="M17" s="9"/>
      <c r="N17" s="10">
        <f>_xlfn.XLOOKUP(F17,BBDD!$S:$S,BBDD!$AS:$AS)</f>
        <v>11690000</v>
      </c>
      <c r="O17" s="10">
        <f>IFERROR(VLOOKUP(F17,'PRECIO MERCADO'!D:E,2,0),"0")</f>
        <v>11000000</v>
      </c>
      <c r="P17" s="10">
        <f>_xlfn.XLOOKUP(F17,BBDD!$S:$S,BBDD!$AO:$AO)</f>
        <v>9300000</v>
      </c>
      <c r="Q17" s="10">
        <f>_xlfn.XLOOKUP(F17,BBDD!$S:$S,BBDD!$AR:$AR)</f>
        <v>9736959</v>
      </c>
    </row>
    <row r="18" spans="1:17" ht="13.5" customHeight="1" x14ac:dyDescent="0.3">
      <c r="A18" s="20" t="s">
        <v>62</v>
      </c>
      <c r="B18" s="20" t="s">
        <v>63</v>
      </c>
      <c r="C18" s="20" t="s">
        <v>64</v>
      </c>
      <c r="D18" s="20" t="s">
        <v>41</v>
      </c>
      <c r="E18" s="20">
        <v>2019</v>
      </c>
      <c r="F18" s="20" t="s">
        <v>66</v>
      </c>
      <c r="G18" s="20">
        <v>39</v>
      </c>
      <c r="H18" s="20">
        <v>72580</v>
      </c>
      <c r="I18" s="19" t="s">
        <v>5161</v>
      </c>
      <c r="J18" s="11" t="str">
        <f t="shared" si="0"/>
        <v>C3C3 AIRCROSS 1.2 AUT2019</v>
      </c>
      <c r="K18" s="12"/>
      <c r="L18" s="10">
        <f>_xlfn.XLOOKUP(F18,'PRECIO TOMA HISTORICO '!$A:$A,'PRECIO TOMA HISTORICO '!$B:$B,"",0,-1)</f>
        <v>8300000</v>
      </c>
      <c r="M18" s="9"/>
      <c r="N18" s="10">
        <f>_xlfn.XLOOKUP(F18,BBDD!$S:$S,BBDD!$AS:$AS)</f>
        <v>9290000</v>
      </c>
      <c r="O18" s="10">
        <f>IFERROR(VLOOKUP(F18,'PRECIO MERCADO'!D:E,2,0),"0")</f>
        <v>10700000</v>
      </c>
      <c r="P18" s="10">
        <f>_xlfn.XLOOKUP(F18,BBDD!$S:$S,BBDD!$AO:$AO)</f>
        <v>8300000</v>
      </c>
      <c r="Q18" s="10">
        <f>_xlfn.XLOOKUP(F18,BBDD!$S:$S,BBDD!$AR:$AR)</f>
        <v>8553740</v>
      </c>
    </row>
    <row r="19" spans="1:17" ht="13.5" customHeight="1" x14ac:dyDescent="0.3">
      <c r="A19" s="21" t="s">
        <v>62</v>
      </c>
      <c r="B19" s="20" t="s">
        <v>67</v>
      </c>
      <c r="C19" s="20" t="s">
        <v>68</v>
      </c>
      <c r="D19" s="20" t="s">
        <v>41</v>
      </c>
      <c r="E19" s="20">
        <v>2020</v>
      </c>
      <c r="F19" s="20" t="s">
        <v>69</v>
      </c>
      <c r="G19" s="20">
        <v>529</v>
      </c>
      <c r="H19" s="20">
        <v>96150</v>
      </c>
      <c r="I19" s="19" t="s">
        <v>5161</v>
      </c>
      <c r="J19" s="11" t="str">
        <f t="shared" si="0"/>
        <v>C5C5 AIRCROSS 1.5 AUT2020</v>
      </c>
      <c r="K19" s="12"/>
      <c r="L19" s="10">
        <f>_xlfn.XLOOKUP(F19,'PRECIO TOMA HISTORICO '!$A:$A,'PRECIO TOMA HISTORICO '!$B:$B,"",0,-1)</f>
        <v>14190000</v>
      </c>
      <c r="M19" s="9"/>
      <c r="N19" s="10">
        <f>_xlfn.XLOOKUP(F19,BBDD!$S:$S,BBDD!$AS:$AS)</f>
        <v>13990000</v>
      </c>
      <c r="O19" s="10">
        <f>IFERROR(VLOOKUP(F19,'PRECIO MERCADO'!D:E,2,0),"0")</f>
        <v>13500000</v>
      </c>
      <c r="P19" s="10">
        <f>_xlfn.XLOOKUP(F19,BBDD!$S:$S,BBDD!$AO:$AO)</f>
        <v>14190000</v>
      </c>
      <c r="Q19" s="10">
        <f>_xlfn.XLOOKUP(F19,BBDD!$S:$S,BBDD!$AR:$AR)</f>
        <v>14528880</v>
      </c>
    </row>
    <row r="20" spans="1:17" ht="13.5" customHeight="1" x14ac:dyDescent="0.3">
      <c r="A20" s="20" t="s">
        <v>70</v>
      </c>
      <c r="B20" s="20" t="s">
        <v>4143</v>
      </c>
      <c r="C20" s="20" t="s">
        <v>4144</v>
      </c>
      <c r="D20" s="20" t="s">
        <v>41</v>
      </c>
      <c r="E20" s="20">
        <v>2025</v>
      </c>
      <c r="F20" s="20" t="s">
        <v>338</v>
      </c>
      <c r="G20" s="20">
        <v>25</v>
      </c>
      <c r="H20" s="20">
        <v>6443</v>
      </c>
      <c r="I20" s="19" t="s">
        <v>5161</v>
      </c>
      <c r="J20" s="11" t="str">
        <f t="shared" si="0"/>
        <v>500500 1.5 CVT2025</v>
      </c>
      <c r="K20" s="12"/>
      <c r="L20" s="10">
        <f>_xlfn.XLOOKUP(F20,'PRECIO TOMA HISTORICO '!$A:$A,'PRECIO TOMA HISTORICO '!$B:$B,"",0,-1)</f>
        <v>9000000</v>
      </c>
      <c r="M20" s="9"/>
      <c r="N20" s="10">
        <f>_xlfn.XLOOKUP(F20,BBDD!$S:$S,BBDD!$AS:$AS)</f>
        <v>11290000</v>
      </c>
      <c r="O20" s="10">
        <f>IFERROR(VLOOKUP(F20,'PRECIO MERCADO'!D:E,2,0),"0")</f>
        <v>11300000</v>
      </c>
      <c r="P20" s="10">
        <f>_xlfn.XLOOKUP(F20,BBDD!$S:$S,BBDD!$AO:$AO)</f>
        <v>9000000</v>
      </c>
      <c r="Q20" s="10">
        <f>_xlfn.XLOOKUP(F20,BBDD!$S:$S,BBDD!$AR:$AR)</f>
        <v>9264240</v>
      </c>
    </row>
    <row r="21" spans="1:17" ht="13.5" customHeight="1" x14ac:dyDescent="0.3">
      <c r="A21" s="21" t="s">
        <v>70</v>
      </c>
      <c r="B21" s="20" t="s">
        <v>4147</v>
      </c>
      <c r="C21" s="20" t="s">
        <v>73</v>
      </c>
      <c r="D21" s="20" t="s">
        <v>21</v>
      </c>
      <c r="E21" s="20">
        <v>2023</v>
      </c>
      <c r="F21" s="20" t="s">
        <v>74</v>
      </c>
      <c r="G21" s="20">
        <v>43</v>
      </c>
      <c r="H21" s="20">
        <v>31487</v>
      </c>
      <c r="I21" s="19" t="s">
        <v>5161</v>
      </c>
      <c r="J21" s="11" t="str">
        <f t="shared" si="0"/>
        <v>560SUV 560 4X2 1.82023</v>
      </c>
      <c r="K21" s="12"/>
      <c r="L21" s="10">
        <f>_xlfn.XLOOKUP(F21,'PRECIO TOMA HISTORICO '!$A:$A,'PRECIO TOMA HISTORICO '!$B:$B,"",0,-1)</f>
        <v>7300000</v>
      </c>
      <c r="M21" s="9"/>
      <c r="N21" s="10">
        <f>_xlfn.XLOOKUP(F21,BBDD!$S:$S,BBDD!$AS:$AS)</f>
        <v>8990000</v>
      </c>
      <c r="O21" s="10">
        <f>IFERROR(VLOOKUP(F21,'PRECIO MERCADO'!D:E,2,0),"0")</f>
        <v>9300000</v>
      </c>
      <c r="P21" s="10">
        <f>_xlfn.XLOOKUP(F21,BBDD!$S:$S,BBDD!$AO:$AO)</f>
        <v>7300000</v>
      </c>
      <c r="Q21" s="10">
        <f>_xlfn.XLOOKUP(F21,BBDD!$S:$S,BBDD!$AR:$AR)</f>
        <v>7538740</v>
      </c>
    </row>
    <row r="22" spans="1:17" ht="13.5" customHeight="1" x14ac:dyDescent="0.3">
      <c r="A22" s="21" t="s">
        <v>70</v>
      </c>
      <c r="B22" s="21" t="s">
        <v>4147</v>
      </c>
      <c r="C22" s="20" t="s">
        <v>75</v>
      </c>
      <c r="D22" s="20" t="s">
        <v>21</v>
      </c>
      <c r="E22" s="20">
        <v>2023</v>
      </c>
      <c r="F22" s="20" t="s">
        <v>76</v>
      </c>
      <c r="G22" s="20">
        <v>44</v>
      </c>
      <c r="H22" s="20">
        <v>75442</v>
      </c>
      <c r="I22" s="19" t="s">
        <v>5161</v>
      </c>
      <c r="J22" s="11" t="str">
        <f t="shared" si="0"/>
        <v>560SUV 560 OTTO 1.82023</v>
      </c>
      <c r="K22" s="12"/>
      <c r="L22" s="10">
        <f>_xlfn.XLOOKUP(F22,'PRECIO TOMA HISTORICO '!$A:$A,'PRECIO TOMA HISTORICO '!$B:$B,"",0,-1)</f>
        <v>6900000</v>
      </c>
      <c r="M22" s="9"/>
      <c r="N22" s="10">
        <f>_xlfn.XLOOKUP(F22,BBDD!$S:$S,BBDD!$AS:$AS)</f>
        <v>8890000</v>
      </c>
      <c r="O22" s="10">
        <f>IFERROR(VLOOKUP(F22,'PRECIO MERCADO'!D:E,2,0),"0")</f>
        <v>8900000</v>
      </c>
      <c r="P22" s="10">
        <f>_xlfn.XLOOKUP(F22,BBDD!$S:$S,BBDD!$AO:$AO)</f>
        <v>6900000</v>
      </c>
      <c r="Q22" s="10">
        <f>_xlfn.XLOOKUP(F22,BBDD!$S:$S,BBDD!$AR:$AR)</f>
        <v>7132740</v>
      </c>
    </row>
    <row r="23" spans="1:17" ht="13.5" customHeight="1" x14ac:dyDescent="0.3">
      <c r="A23" s="21" t="s">
        <v>70</v>
      </c>
      <c r="B23" s="20" t="s">
        <v>8209</v>
      </c>
      <c r="C23" s="20" t="s">
        <v>8210</v>
      </c>
      <c r="D23" s="20" t="s">
        <v>16</v>
      </c>
      <c r="E23" s="20">
        <v>2026</v>
      </c>
      <c r="F23" s="20" t="s">
        <v>6055</v>
      </c>
      <c r="G23" s="20">
        <v>13</v>
      </c>
      <c r="H23" s="20">
        <v>598</v>
      </c>
      <c r="I23" s="19" t="s">
        <v>5161</v>
      </c>
      <c r="J23" s="11" t="str">
        <f t="shared" si="0"/>
        <v>600600 PHEV 4X2 1.5 AUT2026</v>
      </c>
      <c r="K23" s="12"/>
      <c r="L23" s="10">
        <f>_xlfn.XLOOKUP(F23,'PRECIO TOMA HISTORICO '!$A:$A,'PRECIO TOMA HISTORICO '!$B:$B,"",0,-1)</f>
        <v>16500000</v>
      </c>
      <c r="M23" s="9"/>
      <c r="N23" s="10">
        <f>_xlfn.XLOOKUP(F23,BBDD!$S:$S,BBDD!$AS:$AS)</f>
        <v>18990000</v>
      </c>
      <c r="O23" s="10" t="str">
        <f>IFERROR(VLOOKUP(F23,'PRECIO MERCADO'!D:E,2,0),"0")</f>
        <v>0</v>
      </c>
      <c r="P23" s="10">
        <f>_xlfn.XLOOKUP(F23,BBDD!$S:$S,BBDD!$AO:$AO)</f>
        <v>16500000</v>
      </c>
      <c r="Q23" s="10">
        <f>_xlfn.XLOOKUP(F23,BBDD!$S:$S,BBDD!$AR:$AR)</f>
        <v>16876740</v>
      </c>
    </row>
    <row r="24" spans="1:17" ht="13.5" customHeight="1" x14ac:dyDescent="0.3">
      <c r="A24" s="21" t="s">
        <v>70</v>
      </c>
      <c r="B24" s="20" t="s">
        <v>70</v>
      </c>
      <c r="C24" s="20" t="s">
        <v>80</v>
      </c>
      <c r="D24" s="20" t="s">
        <v>8603</v>
      </c>
      <c r="E24" s="20">
        <v>2014</v>
      </c>
      <c r="F24" s="20" t="s">
        <v>8601</v>
      </c>
      <c r="G24" s="20">
        <v>4384</v>
      </c>
      <c r="H24" s="20">
        <v>0</v>
      </c>
      <c r="I24" s="19" t="s">
        <v>5161</v>
      </c>
      <c r="J24" s="11" t="str">
        <f t="shared" si="0"/>
        <v>DFSKCARGO BOX XL 1.32014</v>
      </c>
      <c r="K24" s="12"/>
      <c r="L24" s="10" t="str">
        <f>_xlfn.XLOOKUP(F24,'PRECIO TOMA HISTORICO '!$A:$A,'PRECIO TOMA HISTORICO '!$B:$B,"",0,-1)</f>
        <v/>
      </c>
      <c r="M24" s="9"/>
      <c r="N24" s="10">
        <f>_xlfn.XLOOKUP(F24,BBDD!$S:$S,BBDD!$AS:$AS)</f>
        <v>4867100</v>
      </c>
      <c r="O24" s="10" t="str">
        <f>IFERROR(VLOOKUP(F24,'PRECIO MERCADO'!D:E,2,0),"0")</f>
        <v>0</v>
      </c>
      <c r="P24" s="10">
        <f>_xlfn.XLOOKUP(F24,BBDD!$S:$S,BBDD!$AO:$AO)</f>
        <v>108561</v>
      </c>
      <c r="Q24" s="10">
        <f>_xlfn.XLOOKUP(F24,BBDD!$S:$S,BBDD!$AR:$AR)</f>
        <v>3198702</v>
      </c>
    </row>
    <row r="25" spans="1:17" ht="13.5" customHeight="1" x14ac:dyDescent="0.3">
      <c r="A25" s="21" t="s">
        <v>70</v>
      </c>
      <c r="B25" s="21" t="s">
        <v>70</v>
      </c>
      <c r="C25" s="21" t="s">
        <v>80</v>
      </c>
      <c r="D25" s="21" t="s">
        <v>8603</v>
      </c>
      <c r="E25" s="21">
        <v>2014</v>
      </c>
      <c r="F25" s="20" t="s">
        <v>8633</v>
      </c>
      <c r="G25" s="20">
        <v>4391</v>
      </c>
      <c r="H25" s="20">
        <v>0</v>
      </c>
      <c r="I25" s="19" t="s">
        <v>5161</v>
      </c>
      <c r="J25" s="11" t="str">
        <f t="shared" si="0"/>
        <v>DFSKCARGO BOX XL 1.32014</v>
      </c>
      <c r="K25" s="13"/>
      <c r="L25" s="10" t="str">
        <f>_xlfn.XLOOKUP(F25,'PRECIO TOMA HISTORICO '!$A:$A,'PRECIO TOMA HISTORICO '!$B:$B,"",0,-1)</f>
        <v/>
      </c>
      <c r="M25" s="9"/>
      <c r="N25" s="10">
        <f>_xlfn.XLOOKUP(F25,BBDD!$S:$S,BBDD!$AS:$AS)</f>
        <v>3490000</v>
      </c>
      <c r="O25" s="10" t="str">
        <f>IFERROR(VLOOKUP(F25,'PRECIO MERCADO'!D:E,2,0),"0")</f>
        <v>0</v>
      </c>
      <c r="P25" s="10">
        <f>_xlfn.XLOOKUP(F25,BBDD!$S:$S,BBDD!$AO:$AO)</f>
        <v>82597</v>
      </c>
      <c r="Q25" s="10">
        <f>_xlfn.XLOOKUP(F25,BBDD!$S:$S,BBDD!$AR:$AR)</f>
        <v>4099448</v>
      </c>
    </row>
    <row r="26" spans="1:17" ht="13.5" customHeight="1" x14ac:dyDescent="0.3">
      <c r="A26" s="21" t="s">
        <v>70</v>
      </c>
      <c r="B26" s="20" t="s">
        <v>81</v>
      </c>
      <c r="C26" s="20" t="s">
        <v>82</v>
      </c>
      <c r="D26" s="20" t="s">
        <v>27</v>
      </c>
      <c r="E26" s="20">
        <v>2025</v>
      </c>
      <c r="F26" s="20" t="s">
        <v>83</v>
      </c>
      <c r="G26" s="20">
        <v>86</v>
      </c>
      <c r="H26" s="20">
        <v>37000</v>
      </c>
      <c r="I26" s="19" t="s">
        <v>5161</v>
      </c>
      <c r="J26" s="11" t="str">
        <f t="shared" si="0"/>
        <v>PICK UP D1D1 LUXURY 4X4 2.32025</v>
      </c>
      <c r="K26" s="13"/>
      <c r="L26" s="10">
        <f>_xlfn.XLOOKUP(F26,'PRECIO TOMA HISTORICO '!$A:$A,'PRECIO TOMA HISTORICO '!$B:$B,"",0,-1)</f>
        <v>13900000</v>
      </c>
      <c r="M26" s="9"/>
      <c r="N26" s="10">
        <f>_xlfn.XLOOKUP(F26,BBDD!$S:$S,BBDD!$AS:$AS)</f>
        <v>16590000</v>
      </c>
      <c r="O26" s="10">
        <f>IFERROR(VLOOKUP(F26,'PRECIO MERCADO'!D:E,2,0),"0")</f>
        <v>16500000</v>
      </c>
      <c r="P26" s="10">
        <f>_xlfn.XLOOKUP(F26,BBDD!$S:$S,BBDD!$AO:$AO)</f>
        <v>13900000</v>
      </c>
      <c r="Q26" s="10">
        <f>_xlfn.XLOOKUP(F26,BBDD!$S:$S,BBDD!$AR:$AR)</f>
        <v>14234530</v>
      </c>
    </row>
    <row r="27" spans="1:17" ht="13.5" customHeight="1" x14ac:dyDescent="0.3">
      <c r="A27" s="20" t="s">
        <v>84</v>
      </c>
      <c r="B27" s="20" t="s">
        <v>85</v>
      </c>
      <c r="C27" s="20" t="s">
        <v>86</v>
      </c>
      <c r="D27" s="20" t="s">
        <v>16</v>
      </c>
      <c r="E27" s="20">
        <v>2024</v>
      </c>
      <c r="F27" s="20" t="s">
        <v>87</v>
      </c>
      <c r="G27" s="20">
        <v>30</v>
      </c>
      <c r="H27" s="20">
        <v>43000</v>
      </c>
      <c r="I27" s="19" t="s">
        <v>5161</v>
      </c>
      <c r="J27" s="11" t="str">
        <f t="shared" si="0"/>
        <v>LXLX ADVANCED 1.5 AUT2024</v>
      </c>
      <c r="K27" s="12"/>
      <c r="L27" s="10">
        <f>_xlfn.XLOOKUP(F27,'PRECIO TOMA HISTORICO '!$A:$A,'PRECIO TOMA HISTORICO '!$B:$B,"",0,-1)</f>
        <v>11300000</v>
      </c>
      <c r="M27" s="9"/>
      <c r="N27" s="10">
        <f>_xlfn.XLOOKUP(F27,BBDD!$S:$S,BBDD!$AS:$AS)</f>
        <v>13790000</v>
      </c>
      <c r="O27" s="10">
        <f>IFERROR(VLOOKUP(F27,'PRECIO MERCADO'!D:E,2,0),"0")</f>
        <v>13800000</v>
      </c>
      <c r="P27" s="10">
        <f>_xlfn.XLOOKUP(F27,BBDD!$S:$S,BBDD!$AO:$AO)</f>
        <v>11300000</v>
      </c>
      <c r="Q27" s="10">
        <f>_xlfn.XLOOKUP(F27,BBDD!$S:$S,BBDD!$AR:$AR)</f>
        <v>11598740</v>
      </c>
    </row>
    <row r="28" spans="1:17" ht="13.5" customHeight="1" x14ac:dyDescent="0.3">
      <c r="A28" s="21" t="s">
        <v>84</v>
      </c>
      <c r="B28" s="20" t="s">
        <v>3043</v>
      </c>
      <c r="C28" s="20" t="s">
        <v>5725</v>
      </c>
      <c r="D28" s="20" t="s">
        <v>16</v>
      </c>
      <c r="E28" s="20">
        <v>2025</v>
      </c>
      <c r="F28" s="20" t="s">
        <v>3044</v>
      </c>
      <c r="G28" s="20">
        <v>18</v>
      </c>
      <c r="H28" s="20">
        <v>44200</v>
      </c>
      <c r="I28" s="19" t="s">
        <v>5161</v>
      </c>
      <c r="J28" s="11" t="str">
        <f t="shared" si="0"/>
        <v>VXVX UNLIMITED 4X4 2.0 AUT2025</v>
      </c>
      <c r="K28" s="12"/>
      <c r="L28" s="10">
        <f>_xlfn.XLOOKUP(F28,'PRECIO TOMA HISTORICO '!$A:$A,'PRECIO TOMA HISTORICO '!$B:$B,"",0,-1)</f>
        <v>22000000</v>
      </c>
      <c r="M28" s="9"/>
      <c r="N28" s="10">
        <f>_xlfn.XLOOKUP(F28,BBDD!$S:$S,BBDD!$AS:$AS)</f>
        <v>28990000</v>
      </c>
      <c r="O28" s="10">
        <f>IFERROR(VLOOKUP(F28,'PRECIO MERCADO'!D:E,2,0),"0")</f>
        <v>30400000</v>
      </c>
      <c r="P28" s="10">
        <f>_xlfn.XLOOKUP(F28,BBDD!$S:$S,BBDD!$AO:$AO)</f>
        <v>22000000</v>
      </c>
      <c r="Q28" s="10">
        <f>_xlfn.XLOOKUP(F28,BBDD!$S:$S,BBDD!$AR:$AR)</f>
        <v>22459240</v>
      </c>
    </row>
    <row r="29" spans="1:17" ht="13.5" customHeight="1" x14ac:dyDescent="0.3">
      <c r="A29" s="20" t="s">
        <v>88</v>
      </c>
      <c r="B29" s="20" t="s">
        <v>95</v>
      </c>
      <c r="C29" s="20" t="s">
        <v>96</v>
      </c>
      <c r="D29" s="20" t="s">
        <v>27</v>
      </c>
      <c r="E29" s="20">
        <v>2024</v>
      </c>
      <c r="F29" s="20" t="s">
        <v>97</v>
      </c>
      <c r="G29" s="20">
        <v>757</v>
      </c>
      <c r="H29" s="20">
        <v>5000</v>
      </c>
      <c r="I29" s="19" t="s">
        <v>5161</v>
      </c>
      <c r="J29" s="11" t="str">
        <f t="shared" si="0"/>
        <v>EDGEEDGE AWD 2.0 CVT2024</v>
      </c>
      <c r="K29" s="12"/>
      <c r="L29" s="10">
        <f>_xlfn.XLOOKUP(F29,'PRECIO TOMA HISTORICO '!$A:$A,'PRECIO TOMA HISTORICO '!$B:$B,"",0,-1)</f>
        <v>33990000</v>
      </c>
      <c r="M29" s="9"/>
      <c r="N29" s="10">
        <f>_xlfn.XLOOKUP(F29,BBDD!$S:$S,BBDD!$AS:$AS)</f>
        <v>27990000</v>
      </c>
      <c r="O29" s="10">
        <f>IFERROR(VLOOKUP(F29,'PRECIO MERCADO'!D:E,2,0),"0")</f>
        <v>26100000</v>
      </c>
      <c r="P29" s="10">
        <f>_xlfn.XLOOKUP(F29,BBDD!$S:$S,BBDD!$AO:$AO)</f>
        <v>33990000</v>
      </c>
      <c r="Q29" s="10">
        <f>_xlfn.XLOOKUP(F29,BBDD!$S:$S,BBDD!$AR:$AR)</f>
        <v>34699880</v>
      </c>
    </row>
    <row r="30" spans="1:17" ht="13.5" customHeight="1" x14ac:dyDescent="0.3">
      <c r="A30" s="21" t="s">
        <v>88</v>
      </c>
      <c r="B30" s="21" t="s">
        <v>95</v>
      </c>
      <c r="C30" s="20" t="s">
        <v>98</v>
      </c>
      <c r="D30" s="20" t="s">
        <v>41</v>
      </c>
      <c r="E30" s="20">
        <v>2020</v>
      </c>
      <c r="F30" s="20" t="s">
        <v>99</v>
      </c>
      <c r="G30" s="20">
        <v>1186</v>
      </c>
      <c r="H30" s="20">
        <v>55000</v>
      </c>
      <c r="I30" s="19" t="s">
        <v>5161</v>
      </c>
      <c r="J30" s="11" t="str">
        <f t="shared" si="0"/>
        <v>EDGEEDGE SEL 4X4 2.0 AUT2020</v>
      </c>
      <c r="K30" s="12"/>
      <c r="L30" s="10">
        <f>_xlfn.XLOOKUP(F30,'PRECIO TOMA HISTORICO '!$A:$A,'PRECIO TOMA HISTORICO '!$B:$B,"",0,-1)</f>
        <v>18000000</v>
      </c>
      <c r="M30" s="9"/>
      <c r="N30" s="10">
        <f>_xlfn.XLOOKUP(F30,BBDD!$S:$S,BBDD!$AS:$AS)</f>
        <v>18490000</v>
      </c>
      <c r="O30" s="10">
        <f>IFERROR(VLOOKUP(F30,'PRECIO MERCADO'!D:E,2,0),"0")</f>
        <v>19200000</v>
      </c>
      <c r="P30" s="10">
        <f>_xlfn.XLOOKUP(F30,BBDD!$S:$S,BBDD!$AO:$AO)</f>
        <v>18000000</v>
      </c>
      <c r="Q30" s="10">
        <f>_xlfn.XLOOKUP(F30,BBDD!$S:$S,BBDD!$AR:$AR)</f>
        <v>18673380</v>
      </c>
    </row>
    <row r="31" spans="1:17" ht="13.5" customHeight="1" x14ac:dyDescent="0.3">
      <c r="A31" s="21" t="s">
        <v>88</v>
      </c>
      <c r="B31" s="20" t="s">
        <v>100</v>
      </c>
      <c r="C31" s="20" t="s">
        <v>4220</v>
      </c>
      <c r="D31" s="20" t="s">
        <v>27</v>
      </c>
      <c r="E31" s="20">
        <v>2018</v>
      </c>
      <c r="F31" s="20" t="s">
        <v>3840</v>
      </c>
      <c r="G31" s="20">
        <v>13</v>
      </c>
      <c r="H31" s="20">
        <v>66252</v>
      </c>
      <c r="I31" s="19" t="s">
        <v>5161</v>
      </c>
      <c r="J31" s="11" t="str">
        <f t="shared" si="0"/>
        <v>ESCAPEESCAPE 4X4 2.0 AUT2018</v>
      </c>
      <c r="K31" s="12"/>
      <c r="L31" s="10">
        <f>_xlfn.XLOOKUP(F31,'PRECIO TOMA HISTORICO '!$A:$A,'PRECIO TOMA HISTORICO '!$B:$B,"",0,-1)</f>
        <v>8600000</v>
      </c>
      <c r="M31" s="9"/>
      <c r="N31" s="10">
        <f>_xlfn.XLOOKUP(F31,BBDD!$S:$S,BBDD!$AS:$AS)</f>
        <v>10490000</v>
      </c>
      <c r="O31" s="10">
        <f>IFERROR(VLOOKUP(F31,'PRECIO MERCADO'!D:E,2,0),"0")</f>
        <v>10800000</v>
      </c>
      <c r="P31" s="10">
        <f>_xlfn.XLOOKUP(F31,BBDD!$S:$S,BBDD!$AO:$AO)</f>
        <v>8600000</v>
      </c>
      <c r="Q31" s="10">
        <f>_xlfn.XLOOKUP(F31,BBDD!$S:$S,BBDD!$AR:$AR)</f>
        <v>8858240</v>
      </c>
    </row>
    <row r="32" spans="1:17" ht="13.5" customHeight="1" x14ac:dyDescent="0.3">
      <c r="A32" s="21" t="s">
        <v>88</v>
      </c>
      <c r="B32" s="21" t="s">
        <v>100</v>
      </c>
      <c r="C32" s="20" t="s">
        <v>101</v>
      </c>
      <c r="D32" s="20" t="s">
        <v>27</v>
      </c>
      <c r="E32" s="20">
        <v>2023</v>
      </c>
      <c r="F32" s="20" t="s">
        <v>102</v>
      </c>
      <c r="G32" s="20">
        <v>135</v>
      </c>
      <c r="H32" s="20">
        <v>45000</v>
      </c>
      <c r="I32" s="19" t="s">
        <v>5161</v>
      </c>
      <c r="J32" s="11" t="str">
        <f t="shared" si="0"/>
        <v>ESCAPEESCAPE FHEV 2.5 AUT2023</v>
      </c>
      <c r="K32" s="12"/>
      <c r="L32" s="10">
        <f>_xlfn.XLOOKUP(F32,'PRECIO TOMA HISTORICO '!$A:$A,'PRECIO TOMA HISTORICO '!$B:$B,"",0,-1)</f>
        <v>17500000</v>
      </c>
      <c r="M32" s="9"/>
      <c r="N32" s="10">
        <f>_xlfn.XLOOKUP(F32,BBDD!$S:$S,BBDD!$AS:$AS)</f>
        <v>19990000</v>
      </c>
      <c r="O32" s="10">
        <f>IFERROR(VLOOKUP(F32,'PRECIO MERCADO'!D:E,2,0),"0")</f>
        <v>22100000</v>
      </c>
      <c r="P32" s="10">
        <f>_xlfn.XLOOKUP(F32,BBDD!$S:$S,BBDD!$AO:$AO)</f>
        <v>17500000</v>
      </c>
      <c r="Q32" s="10">
        <f>_xlfn.XLOOKUP(F32,BBDD!$S:$S,BBDD!$AR:$AR)</f>
        <v>17888530</v>
      </c>
    </row>
    <row r="33" spans="1:17" ht="13.5" customHeight="1" x14ac:dyDescent="0.3">
      <c r="A33" s="21" t="s">
        <v>88</v>
      </c>
      <c r="B33" s="21" t="s">
        <v>100</v>
      </c>
      <c r="C33" s="21" t="s">
        <v>101</v>
      </c>
      <c r="D33" s="21" t="s">
        <v>27</v>
      </c>
      <c r="E33" s="21">
        <v>2023</v>
      </c>
      <c r="F33" s="20" t="s">
        <v>103</v>
      </c>
      <c r="G33" s="20">
        <v>114</v>
      </c>
      <c r="H33" s="20">
        <v>80000</v>
      </c>
      <c r="I33" s="19" t="s">
        <v>5161</v>
      </c>
      <c r="J33" s="11" t="str">
        <f t="shared" si="0"/>
        <v>ESCAPEESCAPE FHEV 2.5 AUT2023</v>
      </c>
      <c r="K33" s="12"/>
      <c r="L33" s="10">
        <f>_xlfn.XLOOKUP(F33,'PRECIO TOMA HISTORICO '!$A:$A,'PRECIO TOMA HISTORICO '!$B:$B,"",0,-1)</f>
        <v>15400000</v>
      </c>
      <c r="M33" s="9"/>
      <c r="N33" s="10">
        <f>_xlfn.XLOOKUP(F33,BBDD!$S:$S,BBDD!$AS:$AS)</f>
        <v>19290000</v>
      </c>
      <c r="O33" s="10">
        <f>IFERROR(VLOOKUP(F33,'PRECIO MERCADO'!D:E,2,0),"0")</f>
        <v>19700000</v>
      </c>
      <c r="P33" s="10">
        <f>_xlfn.XLOOKUP(F33,BBDD!$S:$S,BBDD!$AO:$AO)</f>
        <v>15400000</v>
      </c>
      <c r="Q33" s="10">
        <f>_xlfn.XLOOKUP(F33,BBDD!$S:$S,BBDD!$AR:$AR)</f>
        <v>15757030</v>
      </c>
    </row>
    <row r="34" spans="1:17" ht="13.5" customHeight="1" x14ac:dyDescent="0.3">
      <c r="A34" s="21" t="s">
        <v>88</v>
      </c>
      <c r="B34" s="21" t="s">
        <v>100</v>
      </c>
      <c r="C34" s="21" t="s">
        <v>101</v>
      </c>
      <c r="D34" s="20" t="s">
        <v>41</v>
      </c>
      <c r="E34" s="20">
        <v>2024</v>
      </c>
      <c r="F34" s="20" t="s">
        <v>104</v>
      </c>
      <c r="G34" s="20">
        <v>37</v>
      </c>
      <c r="H34" s="20">
        <v>52000</v>
      </c>
      <c r="I34" s="19" t="s">
        <v>5161</v>
      </c>
      <c r="J34" s="11" t="str">
        <f t="shared" si="0"/>
        <v>ESCAPEESCAPE FHEV 2.5 AUT2024</v>
      </c>
      <c r="K34" s="12"/>
      <c r="L34" s="10">
        <f>_xlfn.XLOOKUP(F34,'PRECIO TOMA HISTORICO '!$A:$A,'PRECIO TOMA HISTORICO '!$B:$B,"",0,-1)</f>
        <v>18900000</v>
      </c>
      <c r="M34" s="9"/>
      <c r="N34" s="10">
        <f>_xlfn.XLOOKUP(F34,BBDD!$S:$S,BBDD!$AS:$AS)</f>
        <v>23590000</v>
      </c>
      <c r="O34" s="10">
        <f>IFERROR(VLOOKUP(F34,'PRECIO MERCADO'!D:E,2,0),"0")</f>
        <v>23600000</v>
      </c>
      <c r="P34" s="10">
        <f>_xlfn.XLOOKUP(F34,BBDD!$S:$S,BBDD!$AO:$AO)</f>
        <v>18900000</v>
      </c>
      <c r="Q34" s="10">
        <f>_xlfn.XLOOKUP(F34,BBDD!$S:$S,BBDD!$AR:$AR)</f>
        <v>19312740</v>
      </c>
    </row>
    <row r="35" spans="1:17" ht="13.5" customHeight="1" x14ac:dyDescent="0.3">
      <c r="A35" s="21" t="s">
        <v>88</v>
      </c>
      <c r="B35" s="20" t="s">
        <v>108</v>
      </c>
      <c r="C35" s="20" t="s">
        <v>111</v>
      </c>
      <c r="D35" s="20" t="s">
        <v>41</v>
      </c>
      <c r="E35" s="20">
        <v>2020</v>
      </c>
      <c r="F35" s="20" t="s">
        <v>112</v>
      </c>
      <c r="G35" s="20">
        <v>104</v>
      </c>
      <c r="H35" s="20">
        <v>84600</v>
      </c>
      <c r="I35" s="19" t="s">
        <v>5161</v>
      </c>
      <c r="J35" s="11" t="str">
        <f t="shared" si="0"/>
        <v>EXPLOREREXPLORER LTD 4X4 2.3 AUT2020</v>
      </c>
      <c r="K35" s="12"/>
      <c r="L35" s="10">
        <f>_xlfn.XLOOKUP(F35,'PRECIO TOMA HISTORICO '!$A:$A,'PRECIO TOMA HISTORICO '!$B:$B,"",0,-1)</f>
        <v>17000000</v>
      </c>
      <c r="M35" s="9"/>
      <c r="N35" s="10">
        <f>_xlfn.XLOOKUP(F35,BBDD!$S:$S,BBDD!$AS:$AS)</f>
        <v>22990000</v>
      </c>
      <c r="O35" s="10">
        <f>IFERROR(VLOOKUP(F35,'PRECIO MERCADO'!D:E,2,0),"0")</f>
        <v>25300000</v>
      </c>
      <c r="P35" s="10">
        <f>_xlfn.XLOOKUP(F35,BBDD!$S:$S,BBDD!$AO:$AO)</f>
        <v>17000000</v>
      </c>
      <c r="Q35" s="10">
        <f>_xlfn.XLOOKUP(F35,BBDD!$S:$S,BBDD!$AR:$AR)</f>
        <v>17381030</v>
      </c>
    </row>
    <row r="36" spans="1:17" ht="13.5" customHeight="1" x14ac:dyDescent="0.3">
      <c r="A36" s="21" t="s">
        <v>88</v>
      </c>
      <c r="B36" s="20" t="s">
        <v>113</v>
      </c>
      <c r="C36" s="20" t="s">
        <v>114</v>
      </c>
      <c r="D36" s="20" t="s">
        <v>27</v>
      </c>
      <c r="E36" s="20">
        <v>2021</v>
      </c>
      <c r="F36" s="20" t="s">
        <v>115</v>
      </c>
      <c r="G36" s="20">
        <v>189</v>
      </c>
      <c r="H36" s="20">
        <v>111255</v>
      </c>
      <c r="I36" s="19" t="s">
        <v>5161</v>
      </c>
      <c r="J36" s="11" t="str">
        <f t="shared" si="0"/>
        <v>F-150F150 LARIAT 4X4 5.0 AT2021</v>
      </c>
      <c r="K36" s="12"/>
      <c r="L36" s="10">
        <f>_xlfn.XLOOKUP(F36,'PRECIO TOMA HISTORICO '!$A:$A,'PRECIO TOMA HISTORICO '!$B:$B,"",0,-1)</f>
        <v>24000000</v>
      </c>
      <c r="M36" s="9"/>
      <c r="N36" s="10">
        <f>_xlfn.XLOOKUP(F36,BBDD!$S:$S,BBDD!$AS:$AS)</f>
        <v>27190000</v>
      </c>
      <c r="O36" s="10">
        <f>IFERROR(VLOOKUP(F36,'PRECIO MERCADO'!D:E,2,0),"0")</f>
        <v>29800000</v>
      </c>
      <c r="P36" s="10">
        <f>_xlfn.XLOOKUP(F36,BBDD!$S:$S,BBDD!$AO:$AO)</f>
        <v>24000000</v>
      </c>
      <c r="Q36" s="10">
        <f>_xlfn.XLOOKUP(F36,BBDD!$S:$S,BBDD!$AR:$AR)</f>
        <v>24486030</v>
      </c>
    </row>
    <row r="37" spans="1:17" ht="13.5" customHeight="1" x14ac:dyDescent="0.3">
      <c r="A37" s="21" t="s">
        <v>88</v>
      </c>
      <c r="B37" s="21" t="s">
        <v>113</v>
      </c>
      <c r="C37" s="20" t="s">
        <v>116</v>
      </c>
      <c r="D37" s="20" t="s">
        <v>41</v>
      </c>
      <c r="E37" s="20">
        <v>2021</v>
      </c>
      <c r="F37" s="20" t="s">
        <v>117</v>
      </c>
      <c r="G37" s="20">
        <v>67</v>
      </c>
      <c r="H37" s="20">
        <v>47500</v>
      </c>
      <c r="I37" s="19" t="s">
        <v>5161</v>
      </c>
      <c r="J37" s="11" t="str">
        <f t="shared" si="0"/>
        <v>F-150F150 LARIAT LUXURY 4X4 5.0L AUT2021</v>
      </c>
      <c r="K37" s="12"/>
      <c r="L37" s="10">
        <f>_xlfn.XLOOKUP(F37,'PRECIO TOMA HISTORICO '!$A:$A,'PRECIO TOMA HISTORICO '!$B:$B,"",0,-1)</f>
        <v>20000000</v>
      </c>
      <c r="M37" s="9"/>
      <c r="N37" s="10">
        <f>_xlfn.XLOOKUP(F37,BBDD!$S:$S,BBDD!$AS:$AS)</f>
        <v>31990000</v>
      </c>
      <c r="O37" s="10">
        <f>IFERROR(VLOOKUP(F37,'PRECIO MERCADO'!D:E,2,0),"0")</f>
        <v>32800000</v>
      </c>
      <c r="P37" s="10">
        <f>_xlfn.XLOOKUP(F37,BBDD!$S:$S,BBDD!$AO:$AO)</f>
        <v>20000000</v>
      </c>
      <c r="Q37" s="10">
        <f>_xlfn.XLOOKUP(F37,BBDD!$S:$S,BBDD!$AR:$AR)</f>
        <v>20429240</v>
      </c>
    </row>
    <row r="38" spans="1:17" ht="13.5" customHeight="1" x14ac:dyDescent="0.3">
      <c r="A38" s="21" t="s">
        <v>88</v>
      </c>
      <c r="B38" s="21" t="s">
        <v>113</v>
      </c>
      <c r="C38" s="20" t="s">
        <v>4251</v>
      </c>
      <c r="D38" s="20" t="s">
        <v>16</v>
      </c>
      <c r="E38" s="20">
        <v>2025</v>
      </c>
      <c r="F38" s="20" t="s">
        <v>6053</v>
      </c>
      <c r="G38" s="20">
        <v>9</v>
      </c>
      <c r="H38" s="20">
        <v>15893</v>
      </c>
      <c r="I38" s="19" t="s">
        <v>5161</v>
      </c>
      <c r="J38" s="11" t="str">
        <f t="shared" si="0"/>
        <v>F-150F150 PLATINUM 4X4 3.5 AUT2025</v>
      </c>
      <c r="K38" s="12"/>
      <c r="L38" s="10">
        <f>_xlfn.XLOOKUP(F38,'PRECIO TOMA HISTORICO '!$A:$A,'PRECIO TOMA HISTORICO '!$B:$B,"",0,-1)</f>
        <v>44500000</v>
      </c>
      <c r="M38" s="9"/>
      <c r="N38" s="10">
        <f>_xlfn.XLOOKUP(F38,BBDD!$S:$S,BBDD!$AS:$AS)</f>
        <v>55990000</v>
      </c>
      <c r="O38" s="10">
        <f>IFERROR(VLOOKUP(F38,'PRECIO MERCADO'!D:E,2,0),"0")</f>
        <v>57000000</v>
      </c>
      <c r="P38" s="10">
        <f>_xlfn.XLOOKUP(F38,BBDD!$S:$S,BBDD!$AO:$AO)</f>
        <v>44500000</v>
      </c>
      <c r="Q38" s="10">
        <f>_xlfn.XLOOKUP(F38,BBDD!$S:$S,BBDD!$AR:$AR)</f>
        <v>45246740</v>
      </c>
    </row>
    <row r="39" spans="1:17" ht="13.5" customHeight="1" x14ac:dyDescent="0.3">
      <c r="A39" s="21" t="s">
        <v>88</v>
      </c>
      <c r="B39" s="21" t="s">
        <v>113</v>
      </c>
      <c r="C39" s="20" t="s">
        <v>118</v>
      </c>
      <c r="D39" s="20" t="s">
        <v>27</v>
      </c>
      <c r="E39" s="20">
        <v>2020</v>
      </c>
      <c r="F39" s="20" t="s">
        <v>119</v>
      </c>
      <c r="G39" s="20">
        <v>225</v>
      </c>
      <c r="H39" s="20">
        <v>80000</v>
      </c>
      <c r="I39" s="19" t="s">
        <v>5161</v>
      </c>
      <c r="J39" s="11" t="str">
        <f t="shared" si="0"/>
        <v>F-150F150 RAPTOR 4X4 3.5 AUT2020</v>
      </c>
      <c r="K39" s="12"/>
      <c r="L39" s="10">
        <f>_xlfn.XLOOKUP(F39,'PRECIO TOMA HISTORICO '!$A:$A,'PRECIO TOMA HISTORICO '!$B:$B,"",0,-1)</f>
        <v>37200000</v>
      </c>
      <c r="M39" s="9"/>
      <c r="N39" s="10">
        <f>_xlfn.XLOOKUP(F39,BBDD!$S:$S,BBDD!$AS:$AS)</f>
        <v>45990000</v>
      </c>
      <c r="O39" s="10">
        <f>IFERROR(VLOOKUP(F39,'PRECIO MERCADO'!D:E,2,0),"0")</f>
        <v>45300000</v>
      </c>
      <c r="P39" s="10">
        <f>_xlfn.XLOOKUP(F39,BBDD!$S:$S,BBDD!$AO:$AO)</f>
        <v>37200000</v>
      </c>
      <c r="Q39" s="10">
        <f>_xlfn.XLOOKUP(F39,BBDD!$S:$S,BBDD!$AR:$AR)</f>
        <v>37884030</v>
      </c>
    </row>
    <row r="40" spans="1:17" ht="13.5" customHeight="1" x14ac:dyDescent="0.3">
      <c r="A40" s="21" t="s">
        <v>88</v>
      </c>
      <c r="B40" s="21" t="s">
        <v>113</v>
      </c>
      <c r="C40" s="21" t="s">
        <v>118</v>
      </c>
      <c r="D40" s="20" t="s">
        <v>120</v>
      </c>
      <c r="E40" s="20">
        <v>2020</v>
      </c>
      <c r="F40" s="20" t="s">
        <v>121</v>
      </c>
      <c r="G40" s="20">
        <v>225</v>
      </c>
      <c r="H40" s="20">
        <v>97261</v>
      </c>
      <c r="I40" s="19" t="s">
        <v>5161</v>
      </c>
      <c r="J40" s="11" t="str">
        <f t="shared" si="0"/>
        <v>F-150F150 RAPTOR 4X4 3.5 AUT2020</v>
      </c>
      <c r="K40" s="12"/>
      <c r="L40" s="10">
        <f>_xlfn.XLOOKUP(F40,'PRECIO TOMA HISTORICO '!$A:$A,'PRECIO TOMA HISTORICO '!$B:$B,"",0,-1)</f>
        <v>34200000</v>
      </c>
      <c r="M40" s="9"/>
      <c r="N40" s="10">
        <f>_xlfn.XLOOKUP(F40,BBDD!$S:$S,BBDD!$AS:$AS)</f>
        <v>45990000</v>
      </c>
      <c r="O40" s="10">
        <f>IFERROR(VLOOKUP(F40,'PRECIO MERCADO'!D:E,2,0),"0")</f>
        <v>42400000</v>
      </c>
      <c r="P40" s="10">
        <f>_xlfn.XLOOKUP(F40,BBDD!$S:$S,BBDD!$AO:$AO)</f>
        <v>34200000</v>
      </c>
      <c r="Q40" s="10">
        <f>_xlfn.XLOOKUP(F40,BBDD!$S:$S,BBDD!$AR:$AR)</f>
        <v>34839030</v>
      </c>
    </row>
    <row r="41" spans="1:17" ht="13.5" customHeight="1" x14ac:dyDescent="0.3">
      <c r="A41" s="21" t="s">
        <v>88</v>
      </c>
      <c r="B41" s="21" t="s">
        <v>113</v>
      </c>
      <c r="C41" s="20" t="s">
        <v>124</v>
      </c>
      <c r="D41" s="20" t="s">
        <v>27</v>
      </c>
      <c r="E41" s="20">
        <v>2024</v>
      </c>
      <c r="F41" s="20" t="s">
        <v>125</v>
      </c>
      <c r="G41" s="20">
        <v>67</v>
      </c>
      <c r="H41" s="20">
        <v>13800</v>
      </c>
      <c r="I41" s="19" t="s">
        <v>5161</v>
      </c>
      <c r="J41" s="11" t="str">
        <f t="shared" si="0"/>
        <v>F-150F150 XLT 4X4 5.0L AUT2024</v>
      </c>
      <c r="K41" s="12"/>
      <c r="L41" s="10">
        <f>_xlfn.XLOOKUP(F41,'PRECIO TOMA HISTORICO '!$A:$A,'PRECIO TOMA HISTORICO '!$B:$B,"",0,-1)</f>
        <v>31300000</v>
      </c>
      <c r="M41" s="9"/>
      <c r="N41" s="10">
        <f>_xlfn.XLOOKUP(F41,BBDD!$S:$S,BBDD!$AS:$AS)</f>
        <v>36490000</v>
      </c>
      <c r="O41" s="10">
        <f>IFERROR(VLOOKUP(F41,'PRECIO MERCADO'!D:E,2,0),"0")</f>
        <v>37700000</v>
      </c>
      <c r="P41" s="10">
        <f>_xlfn.XLOOKUP(F41,BBDD!$S:$S,BBDD!$AO:$AO)</f>
        <v>31300000</v>
      </c>
      <c r="Q41" s="10">
        <f>_xlfn.XLOOKUP(F41,BBDD!$S:$S,BBDD!$AR:$AR)</f>
        <v>31898740</v>
      </c>
    </row>
    <row r="42" spans="1:17" ht="13.5" customHeight="1" x14ac:dyDescent="0.3">
      <c r="A42" s="21" t="s">
        <v>88</v>
      </c>
      <c r="B42" s="20" t="s">
        <v>126</v>
      </c>
      <c r="C42" s="20" t="s">
        <v>127</v>
      </c>
      <c r="D42" s="20" t="s">
        <v>27</v>
      </c>
      <c r="E42" s="20">
        <v>2024</v>
      </c>
      <c r="F42" s="20" t="s">
        <v>128</v>
      </c>
      <c r="G42" s="20">
        <v>261</v>
      </c>
      <c r="H42" s="20">
        <v>69690</v>
      </c>
      <c r="I42" s="19" t="s">
        <v>5161</v>
      </c>
      <c r="J42" s="11" t="str">
        <f t="shared" si="0"/>
        <v>RANGERRANGER LTD 4X4 3.0 AUT2024</v>
      </c>
      <c r="K42" s="12"/>
      <c r="L42" s="10">
        <f>_xlfn.XLOOKUP(F42,'PRECIO TOMA HISTORICO '!$A:$A,'PRECIO TOMA HISTORICO '!$B:$B,"",0,-1)</f>
        <v>34000000</v>
      </c>
      <c r="M42" s="9"/>
      <c r="N42" s="10">
        <f>_xlfn.XLOOKUP(F42,BBDD!$S:$S,BBDD!$AS:$AS)</f>
        <v>34990000</v>
      </c>
      <c r="O42" s="10">
        <f>IFERROR(VLOOKUP(F42,'PRECIO MERCADO'!D:E,2,0),"0")</f>
        <v>36200000</v>
      </c>
      <c r="P42" s="10">
        <f>_xlfn.XLOOKUP(F42,BBDD!$S:$S,BBDD!$AO:$AO)</f>
        <v>34000000</v>
      </c>
      <c r="Q42" s="10">
        <f>_xlfn.XLOOKUP(F42,BBDD!$S:$S,BBDD!$AR:$AR)</f>
        <v>35178778</v>
      </c>
    </row>
    <row r="43" spans="1:17" ht="13.5" customHeight="1" x14ac:dyDescent="0.3">
      <c r="A43" s="21" t="s">
        <v>88</v>
      </c>
      <c r="B43" s="21" t="s">
        <v>126</v>
      </c>
      <c r="C43" s="20" t="s">
        <v>129</v>
      </c>
      <c r="D43" s="20" t="s">
        <v>27</v>
      </c>
      <c r="E43" s="20">
        <v>2023</v>
      </c>
      <c r="F43" s="20" t="s">
        <v>130</v>
      </c>
      <c r="G43" s="20">
        <v>109</v>
      </c>
      <c r="H43" s="20">
        <v>114000</v>
      </c>
      <c r="I43" s="19" t="s">
        <v>5161</v>
      </c>
      <c r="J43" s="11" t="str">
        <f t="shared" si="0"/>
        <v>RANGERRANGER RAPTOR 4X4 2.0 AUT2023</v>
      </c>
      <c r="K43" s="12"/>
      <c r="L43" s="10">
        <f>_xlfn.XLOOKUP(F43,'PRECIO TOMA HISTORICO '!$A:$A,'PRECIO TOMA HISTORICO '!$B:$B,"",0,-1)</f>
        <v>26500000</v>
      </c>
      <c r="M43" s="9"/>
      <c r="N43" s="10">
        <f>_xlfn.XLOOKUP(F43,BBDD!$S:$S,BBDD!$AS:$AS)</f>
        <v>30290000</v>
      </c>
      <c r="O43" s="10">
        <f>IFERROR(VLOOKUP(F43,'PRECIO MERCADO'!D:E,2,0),"0")</f>
        <v>33400000</v>
      </c>
      <c r="P43" s="10">
        <f>_xlfn.XLOOKUP(F43,BBDD!$S:$S,BBDD!$AO:$AO)</f>
        <v>26500000</v>
      </c>
      <c r="Q43" s="10">
        <f>_xlfn.XLOOKUP(F43,BBDD!$S:$S,BBDD!$AR:$AR)</f>
        <v>27023530</v>
      </c>
    </row>
    <row r="44" spans="1:17" ht="13.5" customHeight="1" x14ac:dyDescent="0.3">
      <c r="A44" s="21" t="s">
        <v>88</v>
      </c>
      <c r="B44" s="21" t="s">
        <v>126</v>
      </c>
      <c r="C44" s="20" t="s">
        <v>131</v>
      </c>
      <c r="D44" s="20" t="s">
        <v>27</v>
      </c>
      <c r="E44" s="20">
        <v>2024</v>
      </c>
      <c r="F44" s="20" t="s">
        <v>132</v>
      </c>
      <c r="G44" s="20">
        <v>156</v>
      </c>
      <c r="H44" s="20">
        <v>30900</v>
      </c>
      <c r="I44" s="19" t="s">
        <v>5161</v>
      </c>
      <c r="J44" s="11" t="str">
        <f t="shared" si="0"/>
        <v>RANGERRANGER RAPTOR 4X4 3.0 AT2024</v>
      </c>
      <c r="K44" s="12"/>
      <c r="L44" s="10">
        <f>_xlfn.XLOOKUP(F44,'PRECIO TOMA HISTORICO '!$A:$A,'PRECIO TOMA HISTORICO '!$B:$B,"",0,-1)</f>
        <v>39300000</v>
      </c>
      <c r="M44" s="9"/>
      <c r="N44" s="10">
        <f>_xlfn.XLOOKUP(F44,BBDD!$S:$S,BBDD!$AS:$AS)</f>
        <v>43990000</v>
      </c>
      <c r="O44" s="10">
        <f>IFERROR(VLOOKUP(F44,'PRECIO MERCADO'!D:E,2,0),"0")</f>
        <v>46500000</v>
      </c>
      <c r="P44" s="10">
        <f>_xlfn.XLOOKUP(F44,BBDD!$S:$S,BBDD!$AO:$AO)</f>
        <v>39300000</v>
      </c>
      <c r="Q44" s="10">
        <f>_xlfn.XLOOKUP(F44,BBDD!$S:$S,BBDD!$AR:$AR)</f>
        <v>40018740</v>
      </c>
    </row>
    <row r="45" spans="1:17" ht="13.5" customHeight="1" x14ac:dyDescent="0.3">
      <c r="A45" s="21" t="s">
        <v>88</v>
      </c>
      <c r="B45" s="21" t="s">
        <v>126</v>
      </c>
      <c r="C45" s="20" t="s">
        <v>134</v>
      </c>
      <c r="D45" s="20" t="s">
        <v>27</v>
      </c>
      <c r="E45" s="20">
        <v>2025</v>
      </c>
      <c r="F45" s="20" t="s">
        <v>135</v>
      </c>
      <c r="G45" s="20">
        <v>175</v>
      </c>
      <c r="H45" s="20">
        <v>34500</v>
      </c>
      <c r="I45" s="19" t="s">
        <v>5161</v>
      </c>
      <c r="J45" s="11" t="str">
        <f t="shared" si="0"/>
        <v>RANGERRANGER XLS 2.02025</v>
      </c>
      <c r="K45" s="12"/>
      <c r="L45" s="10">
        <f>_xlfn.XLOOKUP(F45,'PRECIO TOMA HISTORICO '!$A:$A,'PRECIO TOMA HISTORICO '!$B:$B,"",0,-1)</f>
        <v>27000000</v>
      </c>
      <c r="M45" s="9"/>
      <c r="N45" s="10">
        <f>_xlfn.XLOOKUP(F45,BBDD!$S:$S,BBDD!$AS:$AS)</f>
        <v>29490000</v>
      </c>
      <c r="O45" s="10">
        <f>IFERROR(VLOOKUP(F45,'PRECIO MERCADO'!D:E,2,0),"0")</f>
        <v>26400000</v>
      </c>
      <c r="P45" s="10">
        <f>_xlfn.XLOOKUP(F45,BBDD!$S:$S,BBDD!$AO:$AO)</f>
        <v>27000000</v>
      </c>
      <c r="Q45" s="10">
        <f>_xlfn.XLOOKUP(F45,BBDD!$S:$S,BBDD!$AR:$AR)</f>
        <v>27531030</v>
      </c>
    </row>
    <row r="46" spans="1:17" ht="13.5" customHeight="1" x14ac:dyDescent="0.3">
      <c r="A46" s="21" t="s">
        <v>88</v>
      </c>
      <c r="B46" s="21" t="s">
        <v>126</v>
      </c>
      <c r="C46" s="20" t="s">
        <v>136</v>
      </c>
      <c r="D46" s="20" t="s">
        <v>27</v>
      </c>
      <c r="E46" s="20">
        <v>2023</v>
      </c>
      <c r="F46" s="20" t="s">
        <v>137</v>
      </c>
      <c r="G46" s="20">
        <v>86</v>
      </c>
      <c r="H46" s="20">
        <v>70000</v>
      </c>
      <c r="I46" s="19" t="s">
        <v>5161</v>
      </c>
      <c r="J46" s="11" t="str">
        <f t="shared" si="0"/>
        <v>RANGERRANGER XLT 2.52023</v>
      </c>
      <c r="K46" s="12"/>
      <c r="L46" s="10">
        <f>_xlfn.XLOOKUP(F46,'PRECIO TOMA HISTORICO '!$A:$A,'PRECIO TOMA HISTORICO '!$B:$B,"",0,-1)</f>
        <v>14500000</v>
      </c>
      <c r="M46" s="9"/>
      <c r="N46" s="10">
        <f>_xlfn.XLOOKUP(F46,BBDD!$S:$S,BBDD!$AS:$AS)</f>
        <v>17990000</v>
      </c>
      <c r="O46" s="10">
        <f>IFERROR(VLOOKUP(F46,'PRECIO MERCADO'!D:E,2,0),"0")</f>
        <v>18700000</v>
      </c>
      <c r="P46" s="10">
        <f>_xlfn.XLOOKUP(F46,BBDD!$S:$S,BBDD!$AO:$AO)</f>
        <v>14500000</v>
      </c>
      <c r="Q46" s="10">
        <f>_xlfn.XLOOKUP(F46,BBDD!$S:$S,BBDD!$AR:$AR)</f>
        <v>14843530</v>
      </c>
    </row>
    <row r="47" spans="1:17" ht="13.5" customHeight="1" x14ac:dyDescent="0.3">
      <c r="A47" s="21" t="s">
        <v>88</v>
      </c>
      <c r="B47" s="21" t="s">
        <v>126</v>
      </c>
      <c r="C47" s="20" t="s">
        <v>4288</v>
      </c>
      <c r="D47" s="20" t="s">
        <v>27</v>
      </c>
      <c r="E47" s="20">
        <v>2024</v>
      </c>
      <c r="F47" s="20" t="s">
        <v>414</v>
      </c>
      <c r="G47" s="20">
        <v>104</v>
      </c>
      <c r="H47" s="20">
        <v>40100</v>
      </c>
      <c r="I47" s="19" t="s">
        <v>5161</v>
      </c>
      <c r="J47" s="11" t="str">
        <f t="shared" si="0"/>
        <v>RANGERRANGER XLT 4X4 2.02024</v>
      </c>
      <c r="K47" s="12"/>
      <c r="L47" s="10">
        <f>_xlfn.XLOOKUP(F47,'PRECIO TOMA HISTORICO '!$A:$A,'PRECIO TOMA HISTORICO '!$B:$B,"",0,-1)</f>
        <v>24000000</v>
      </c>
      <c r="M47" s="9"/>
      <c r="N47" s="10">
        <f>_xlfn.XLOOKUP(F47,BBDD!$S:$S,BBDD!$AS:$AS)</f>
        <v>28490000</v>
      </c>
      <c r="O47" s="10">
        <f>IFERROR(VLOOKUP(F47,'PRECIO MERCADO'!D:E,2,0),"0")</f>
        <v>28600000</v>
      </c>
      <c r="P47" s="10">
        <f>_xlfn.XLOOKUP(F47,BBDD!$S:$S,BBDD!$AO:$AO)</f>
        <v>24000000</v>
      </c>
      <c r="Q47" s="10">
        <f>_xlfn.XLOOKUP(F47,BBDD!$S:$S,BBDD!$AR:$AR)</f>
        <v>24877705</v>
      </c>
    </row>
    <row r="48" spans="1:17" ht="13.5" customHeight="1" x14ac:dyDescent="0.3">
      <c r="A48" s="21" t="s">
        <v>88</v>
      </c>
      <c r="B48" s="20" t="s">
        <v>138</v>
      </c>
      <c r="C48" s="20" t="s">
        <v>139</v>
      </c>
      <c r="D48" s="20" t="s">
        <v>41</v>
      </c>
      <c r="E48" s="20">
        <v>2021</v>
      </c>
      <c r="F48" s="20" t="s">
        <v>140</v>
      </c>
      <c r="G48" s="20">
        <v>1232</v>
      </c>
      <c r="H48" s="20">
        <v>26963</v>
      </c>
      <c r="I48" s="19" t="s">
        <v>5161</v>
      </c>
      <c r="J48" s="11" t="str">
        <f t="shared" si="0"/>
        <v>TERRITORYTERRITORY 1.5 AUT2021</v>
      </c>
      <c r="K48" s="12"/>
      <c r="L48" s="10">
        <f>_xlfn.XLOOKUP(F48,'PRECIO TOMA HISTORICO '!$A:$A,'PRECIO TOMA HISTORICO '!$B:$B,"",0,-1)</f>
        <v>15500000</v>
      </c>
      <c r="M48" s="9"/>
      <c r="N48" s="10">
        <f>_xlfn.XLOOKUP(F48,BBDD!$S:$S,BBDD!$AS:$AS)</f>
        <v>12990000</v>
      </c>
      <c r="O48" s="10">
        <f>IFERROR(VLOOKUP(F48,'PRECIO MERCADO'!D:E,2,0),"0")</f>
        <v>13200000</v>
      </c>
      <c r="P48" s="10">
        <f>_xlfn.XLOOKUP(F48,BBDD!$S:$S,BBDD!$AO:$AO)</f>
        <v>15500000</v>
      </c>
      <c r="Q48" s="10">
        <f>_xlfn.XLOOKUP(F48,BBDD!$S:$S,BBDD!$AR:$AR)</f>
        <v>16399467</v>
      </c>
    </row>
    <row r="49" spans="1:17" ht="13.5" customHeight="1" x14ac:dyDescent="0.3">
      <c r="A49" s="21" t="s">
        <v>88</v>
      </c>
      <c r="B49" s="21" t="s">
        <v>138</v>
      </c>
      <c r="C49" s="21" t="s">
        <v>139</v>
      </c>
      <c r="D49" s="21" t="s">
        <v>41</v>
      </c>
      <c r="E49" s="20">
        <v>2022</v>
      </c>
      <c r="F49" s="20" t="s">
        <v>141</v>
      </c>
      <c r="G49" s="20">
        <v>409</v>
      </c>
      <c r="H49" s="20">
        <v>25200</v>
      </c>
      <c r="I49" s="19" t="s">
        <v>5161</v>
      </c>
      <c r="J49" s="11" t="str">
        <f t="shared" si="0"/>
        <v>TERRITORYTERRITORY 1.5 AUT2022</v>
      </c>
      <c r="K49" s="12"/>
      <c r="L49" s="10">
        <f>_xlfn.XLOOKUP(F49,'PRECIO TOMA HISTORICO '!$A:$A,'PRECIO TOMA HISTORICO '!$B:$B,"",0,-1)</f>
        <v>10300000</v>
      </c>
      <c r="M49" s="9"/>
      <c r="N49" s="10">
        <f>_xlfn.XLOOKUP(F49,BBDD!$S:$S,BBDD!$AS:$AS)</f>
        <v>10490000</v>
      </c>
      <c r="O49" s="10">
        <f>IFERROR(VLOOKUP(F49,'PRECIO MERCADO'!D:E,2,0),"0")</f>
        <v>12800000</v>
      </c>
      <c r="P49" s="10">
        <f>_xlfn.XLOOKUP(F49,BBDD!$S:$S,BBDD!$AO:$AO)</f>
        <v>10300000</v>
      </c>
      <c r="Q49" s="10">
        <f>_xlfn.XLOOKUP(F49,BBDD!$S:$S,BBDD!$AR:$AR)</f>
        <v>10580530</v>
      </c>
    </row>
    <row r="50" spans="1:17" ht="13.5" customHeight="1" x14ac:dyDescent="0.3">
      <c r="A50" s="21" t="s">
        <v>88</v>
      </c>
      <c r="B50" s="21" t="s">
        <v>138</v>
      </c>
      <c r="C50" s="20" t="s">
        <v>142</v>
      </c>
      <c r="D50" s="20" t="s">
        <v>16</v>
      </c>
      <c r="E50" s="20">
        <v>2025</v>
      </c>
      <c r="F50" s="20" t="s">
        <v>422</v>
      </c>
      <c r="G50" s="20">
        <v>2</v>
      </c>
      <c r="H50" s="20">
        <v>14300</v>
      </c>
      <c r="I50" s="19" t="s">
        <v>5161</v>
      </c>
      <c r="J50" s="11" t="str">
        <f t="shared" si="0"/>
        <v>TERRITORYTERRITORY TITANIUM 4X2 1.5 AUT2025</v>
      </c>
      <c r="K50" s="12"/>
      <c r="L50" s="10">
        <f>_xlfn.XLOOKUP(F50,'PRECIO TOMA HISTORICO '!$A:$A,'PRECIO TOMA HISTORICO '!$B:$B,"",0,-1)</f>
        <v>16000000</v>
      </c>
      <c r="M50" s="9"/>
      <c r="N50" s="10">
        <f>_xlfn.XLOOKUP(F50,BBDD!$S:$S,BBDD!$AS:$AS)</f>
        <v>18490000</v>
      </c>
      <c r="O50" s="10">
        <f>IFERROR(VLOOKUP(F50,'PRECIO MERCADO'!D:E,2,0),"0")</f>
        <v>18200000</v>
      </c>
      <c r="P50" s="10">
        <f>_xlfn.XLOOKUP(F50,BBDD!$S:$S,BBDD!$AO:$AO)</f>
        <v>16000000</v>
      </c>
      <c r="Q50" s="10">
        <f>_xlfn.XLOOKUP(F50,BBDD!$S:$S,BBDD!$AR:$AR)</f>
        <v>16000000</v>
      </c>
    </row>
    <row r="51" spans="1:17" ht="13.5" customHeight="1" x14ac:dyDescent="0.3">
      <c r="A51" s="20" t="s">
        <v>146</v>
      </c>
      <c r="B51" s="20" t="s">
        <v>149</v>
      </c>
      <c r="C51" s="20" t="s">
        <v>150</v>
      </c>
      <c r="D51" s="20" t="s">
        <v>16</v>
      </c>
      <c r="E51" s="20">
        <v>2024</v>
      </c>
      <c r="F51" s="20" t="s">
        <v>151</v>
      </c>
      <c r="G51" s="20">
        <v>30</v>
      </c>
      <c r="H51" s="20">
        <v>19000</v>
      </c>
      <c r="I51" s="19" t="s">
        <v>5161</v>
      </c>
      <c r="J51" s="11" t="str">
        <f t="shared" si="0"/>
        <v>POERPOER 4X2 MT 2.02024</v>
      </c>
      <c r="K51" s="12"/>
      <c r="L51" s="10">
        <f>_xlfn.XLOOKUP(F51,'PRECIO TOMA HISTORICO '!$A:$A,'PRECIO TOMA HISTORICO '!$B:$B,"",0,-1)</f>
        <v>13500000</v>
      </c>
      <c r="M51" s="9"/>
      <c r="N51" s="10">
        <f>_xlfn.XLOOKUP(F51,BBDD!$S:$S,BBDD!$AS:$AS)</f>
        <v>16490000</v>
      </c>
      <c r="O51" s="10">
        <f>IFERROR(VLOOKUP(F51,'PRECIO MERCADO'!D:E,2,0),"0")</f>
        <v>16500000</v>
      </c>
      <c r="P51" s="10">
        <f>_xlfn.XLOOKUP(F51,BBDD!$S:$S,BBDD!$AO:$AO)</f>
        <v>13500000</v>
      </c>
      <c r="Q51" s="10">
        <f>_xlfn.XLOOKUP(F51,BBDD!$S:$S,BBDD!$AR:$AR)</f>
        <v>13831740</v>
      </c>
    </row>
    <row r="52" spans="1:17" ht="13.5" customHeight="1" x14ac:dyDescent="0.3">
      <c r="A52" s="20" t="s">
        <v>152</v>
      </c>
      <c r="B52" s="20" t="s">
        <v>158</v>
      </c>
      <c r="C52" s="20" t="s">
        <v>5787</v>
      </c>
      <c r="D52" s="20" t="s">
        <v>16</v>
      </c>
      <c r="E52" s="20">
        <v>2023</v>
      </c>
      <c r="F52" s="20" t="s">
        <v>5790</v>
      </c>
      <c r="G52" s="20">
        <v>16</v>
      </c>
      <c r="H52" s="20">
        <v>32387</v>
      </c>
      <c r="I52" s="19" t="s">
        <v>5161</v>
      </c>
      <c r="J52" s="11" t="str">
        <f t="shared" si="0"/>
        <v>JOLIONJOLION 4X2 1.52023</v>
      </c>
      <c r="K52" s="12"/>
      <c r="L52" s="10">
        <f>_xlfn.XLOOKUP(F52,'PRECIO TOMA HISTORICO '!$A:$A,'PRECIO TOMA HISTORICO '!$B:$B,"",0,-1)</f>
        <v>9300000</v>
      </c>
      <c r="M52" s="9"/>
      <c r="N52" s="10">
        <f>_xlfn.XLOOKUP(F52,BBDD!$S:$S,BBDD!$AS:$AS)</f>
        <v>11390000</v>
      </c>
      <c r="O52" s="10">
        <f>IFERROR(VLOOKUP(F52,'PRECIO MERCADO'!D:E,2,0),"0")</f>
        <v>11400000</v>
      </c>
      <c r="P52" s="10">
        <f>_xlfn.XLOOKUP(F52,BBDD!$S:$S,BBDD!$AO:$AO)</f>
        <v>9300000</v>
      </c>
      <c r="Q52" s="10">
        <f>_xlfn.XLOOKUP(F52,BBDD!$S:$S,BBDD!$AR:$AR)</f>
        <v>9568740</v>
      </c>
    </row>
    <row r="53" spans="1:17" ht="13.5" customHeight="1" x14ac:dyDescent="0.3">
      <c r="A53" s="21" t="s">
        <v>152</v>
      </c>
      <c r="B53" s="21" t="s">
        <v>158</v>
      </c>
      <c r="C53" s="20" t="s">
        <v>159</v>
      </c>
      <c r="D53" s="20" t="s">
        <v>27</v>
      </c>
      <c r="E53" s="20">
        <v>2022</v>
      </c>
      <c r="F53" s="20" t="s">
        <v>160</v>
      </c>
      <c r="G53" s="20">
        <v>43</v>
      </c>
      <c r="H53" s="20">
        <v>58239</v>
      </c>
      <c r="I53" s="19" t="s">
        <v>5161</v>
      </c>
      <c r="J53" s="11" t="str">
        <f t="shared" si="0"/>
        <v>JOLIONJOLION TURBO DCT 1.5 AUT2022</v>
      </c>
      <c r="K53" s="12"/>
      <c r="L53" s="10">
        <f>_xlfn.XLOOKUP(F53,'PRECIO TOMA HISTORICO '!$A:$A,'PRECIO TOMA HISTORICO '!$B:$B,"",0,-1)</f>
        <v>10100000</v>
      </c>
      <c r="M53" s="9"/>
      <c r="N53" s="10">
        <f>_xlfn.XLOOKUP(F53,BBDD!$S:$S,BBDD!$AS:$AS)</f>
        <v>12490000</v>
      </c>
      <c r="O53" s="10">
        <f>IFERROR(VLOOKUP(F53,'PRECIO MERCADO'!D:E,2,0),"0")</f>
        <v>12500000</v>
      </c>
      <c r="P53" s="10">
        <f>_xlfn.XLOOKUP(F53,BBDD!$S:$S,BBDD!$AO:$AO)</f>
        <v>10100000</v>
      </c>
      <c r="Q53" s="10">
        <f>_xlfn.XLOOKUP(F53,BBDD!$S:$S,BBDD!$AR:$AR)</f>
        <v>10380740</v>
      </c>
    </row>
    <row r="54" spans="1:17" ht="13.5" customHeight="1" x14ac:dyDescent="0.3">
      <c r="A54" s="20" t="s">
        <v>161</v>
      </c>
      <c r="B54" s="20" t="s">
        <v>161</v>
      </c>
      <c r="C54" s="20" t="s">
        <v>162</v>
      </c>
      <c r="D54" s="20" t="s">
        <v>21</v>
      </c>
      <c r="E54" s="20">
        <v>2025</v>
      </c>
      <c r="F54" s="20" t="s">
        <v>163</v>
      </c>
      <c r="G54" s="20">
        <v>43</v>
      </c>
      <c r="H54" s="20">
        <v>7193</v>
      </c>
      <c r="I54" s="19" t="s">
        <v>5161</v>
      </c>
      <c r="J54" s="11" t="str">
        <f t="shared" si="0"/>
        <v>HYUNDAIACCENT 1.52025</v>
      </c>
      <c r="K54" s="12"/>
      <c r="L54" s="10">
        <f>_xlfn.XLOOKUP(F54,'PRECIO TOMA HISTORICO '!$A:$A,'PRECIO TOMA HISTORICO '!$B:$B,"",0,-1)</f>
        <v>10350000</v>
      </c>
      <c r="M54" s="9"/>
      <c r="N54" s="10">
        <f>_xlfn.XLOOKUP(F54,BBDD!$S:$S,BBDD!$AS:$AS)</f>
        <v>12890000</v>
      </c>
      <c r="O54" s="10">
        <f>IFERROR(VLOOKUP(F54,'PRECIO MERCADO'!D:E,2,0),"0")</f>
        <v>12500000</v>
      </c>
      <c r="P54" s="10">
        <f>_xlfn.XLOOKUP(F54,BBDD!$S:$S,BBDD!$AO:$AO)</f>
        <v>10350000</v>
      </c>
      <c r="Q54" s="10">
        <f>_xlfn.XLOOKUP(F54,BBDD!$S:$S,BBDD!$AR:$AR)</f>
        <v>10634490</v>
      </c>
    </row>
    <row r="55" spans="1:17" ht="13.5" customHeight="1" x14ac:dyDescent="0.3">
      <c r="A55" s="21" t="s">
        <v>161</v>
      </c>
      <c r="B55" s="21" t="s">
        <v>161</v>
      </c>
      <c r="C55" s="20" t="s">
        <v>6035</v>
      </c>
      <c r="D55" s="20" t="s">
        <v>27</v>
      </c>
      <c r="E55" s="20">
        <v>2020</v>
      </c>
      <c r="F55" s="20" t="s">
        <v>383</v>
      </c>
      <c r="G55" s="20">
        <v>74</v>
      </c>
      <c r="H55" s="20">
        <v>61894</v>
      </c>
      <c r="I55" s="19" t="s">
        <v>5161</v>
      </c>
      <c r="J55" s="11" t="str">
        <f t="shared" si="0"/>
        <v>HYUNDAIGRAND I10 BA GLS 1.52020</v>
      </c>
      <c r="K55" s="12"/>
      <c r="L55" s="10">
        <f>_xlfn.XLOOKUP(F55,'PRECIO TOMA HISTORICO '!$A:$A,'PRECIO TOMA HISTORICO '!$B:$B,"",0,-1)</f>
        <v>5700000</v>
      </c>
      <c r="M55" s="9"/>
      <c r="N55" s="10">
        <f>_xlfn.XLOOKUP(F55,BBDD!$S:$S,BBDD!$AS:$AS)</f>
        <v>7890000</v>
      </c>
      <c r="O55" s="10">
        <f>IFERROR(VLOOKUP(F55,'PRECIO MERCADO'!D:E,2,0),"0")</f>
        <v>7850000</v>
      </c>
      <c r="P55" s="10">
        <f>_xlfn.XLOOKUP(F55,BBDD!$S:$S,BBDD!$AO:$AO)</f>
        <v>5700000</v>
      </c>
      <c r="Q55" s="10">
        <f>_xlfn.XLOOKUP(F55,BBDD!$S:$S,BBDD!$AR:$AR)</f>
        <v>5914740</v>
      </c>
    </row>
    <row r="56" spans="1:17" ht="13.5" customHeight="1" x14ac:dyDescent="0.3">
      <c r="A56" s="21" t="s">
        <v>161</v>
      </c>
      <c r="B56" s="21" t="s">
        <v>161</v>
      </c>
      <c r="C56" s="20" t="s">
        <v>4383</v>
      </c>
      <c r="D56" s="20" t="s">
        <v>16</v>
      </c>
      <c r="E56" s="20">
        <v>2023</v>
      </c>
      <c r="F56" s="20" t="s">
        <v>2586</v>
      </c>
      <c r="G56" s="20">
        <v>3</v>
      </c>
      <c r="H56" s="20">
        <v>24756</v>
      </c>
      <c r="I56" s="19" t="s">
        <v>5161</v>
      </c>
      <c r="J56" s="11" t="str">
        <f t="shared" si="0"/>
        <v>HYUNDAII20 BI3 1.42023</v>
      </c>
      <c r="K56" s="12"/>
      <c r="L56" s="10">
        <f>_xlfn.XLOOKUP(F56,'PRECIO TOMA HISTORICO '!$A:$A,'PRECIO TOMA HISTORICO '!$B:$B,"",0,-1)</f>
        <v>10100000</v>
      </c>
      <c r="M56" s="9"/>
      <c r="N56" s="10">
        <f>_xlfn.XLOOKUP(F56,BBDD!$S:$S,BBDD!$AS:$AS)</f>
        <v>11990000</v>
      </c>
      <c r="O56" s="10">
        <f>IFERROR(VLOOKUP(F56,'PRECIO MERCADO'!D:E,2,0),"0")</f>
        <v>12400000</v>
      </c>
      <c r="P56" s="10">
        <f>_xlfn.XLOOKUP(F56,BBDD!$S:$S,BBDD!$AO:$AO)</f>
        <v>10100000</v>
      </c>
      <c r="Q56" s="10">
        <f>_xlfn.XLOOKUP(F56,BBDD!$S:$S,BBDD!$AR:$AR)</f>
        <v>10100000</v>
      </c>
    </row>
    <row r="57" spans="1:17" ht="13.5" customHeight="1" x14ac:dyDescent="0.3">
      <c r="A57" s="21" t="s">
        <v>161</v>
      </c>
      <c r="B57" s="21" t="s">
        <v>161</v>
      </c>
      <c r="C57" s="20" t="s">
        <v>165</v>
      </c>
      <c r="D57" s="20" t="s">
        <v>27</v>
      </c>
      <c r="E57" s="20">
        <v>2024</v>
      </c>
      <c r="F57" s="20" t="s">
        <v>166</v>
      </c>
      <c r="G57" s="20">
        <v>156</v>
      </c>
      <c r="H57" s="20">
        <v>58500</v>
      </c>
      <c r="I57" s="19" t="s">
        <v>5161</v>
      </c>
      <c r="J57" s="11" t="str">
        <f t="shared" si="0"/>
        <v>HYUNDAISANTA FE MX5 GDI 2.5 AUT2024</v>
      </c>
      <c r="K57" s="12"/>
      <c r="L57" s="10" t="str">
        <f>_xlfn.XLOOKUP(F57,'PRECIO TOMA HISTORICO '!$A:$A,'PRECIO TOMA HISTORICO '!$B:$B,"",0,-1)</f>
        <v/>
      </c>
      <c r="M57" s="9"/>
      <c r="N57" s="10">
        <f>_xlfn.XLOOKUP(F57,BBDD!$S:$S,BBDD!$AS:$AS)</f>
        <v>26390000</v>
      </c>
      <c r="O57" s="10">
        <f>IFERROR(VLOOKUP(F57,'PRECIO MERCADO'!D:E,2,0),"0")</f>
        <v>28400000</v>
      </c>
      <c r="P57" s="10">
        <f>_xlfn.XLOOKUP(F57,BBDD!$S:$S,BBDD!$AO:$AO)</f>
        <v>23500000</v>
      </c>
      <c r="Q57" s="10">
        <f>_xlfn.XLOOKUP(F57,BBDD!$S:$S,BBDD!$AR:$AR)</f>
        <v>24403834</v>
      </c>
    </row>
    <row r="58" spans="1:17" ht="13.5" customHeight="1" x14ac:dyDescent="0.3">
      <c r="A58" s="21" t="s">
        <v>161</v>
      </c>
      <c r="B58" s="21" t="s">
        <v>161</v>
      </c>
      <c r="C58" s="20" t="s">
        <v>167</v>
      </c>
      <c r="D58" s="20" t="s">
        <v>27</v>
      </c>
      <c r="E58" s="20">
        <v>2025</v>
      </c>
      <c r="F58" s="20" t="s">
        <v>168</v>
      </c>
      <c r="G58" s="20">
        <v>252</v>
      </c>
      <c r="H58" s="20">
        <v>17000</v>
      </c>
      <c r="I58" s="19" t="s">
        <v>5161</v>
      </c>
      <c r="J58" s="11" t="str">
        <f t="shared" si="0"/>
        <v>HYUNDAISANTA FE MX5 GDI 4X4 2.5 AUT2025</v>
      </c>
      <c r="K58" s="12"/>
      <c r="L58" s="10">
        <f>_xlfn.XLOOKUP(F58,'PRECIO TOMA HISTORICO '!$A:$A,'PRECIO TOMA HISTORICO '!$B:$B,"",0,-1)</f>
        <v>28700000</v>
      </c>
      <c r="M58" s="9"/>
      <c r="N58" s="10">
        <f>_xlfn.XLOOKUP(F58,BBDD!$S:$S,BBDD!$AS:$AS)</f>
        <v>32990000</v>
      </c>
      <c r="O58" s="10">
        <f>IFERROR(VLOOKUP(F58,'PRECIO MERCADO'!D:E,2,0),"0")</f>
        <v>32100000</v>
      </c>
      <c r="P58" s="10">
        <f>_xlfn.XLOOKUP(F58,BBDD!$S:$S,BBDD!$AO:$AO)</f>
        <v>28700000</v>
      </c>
      <c r="Q58" s="10">
        <f>_xlfn.XLOOKUP(F58,BBDD!$S:$S,BBDD!$AR:$AR)</f>
        <v>29753703</v>
      </c>
    </row>
    <row r="59" spans="1:17" ht="13.5" customHeight="1" x14ac:dyDescent="0.3">
      <c r="A59" s="21" t="s">
        <v>161</v>
      </c>
      <c r="B59" s="21" t="s">
        <v>161</v>
      </c>
      <c r="C59" s="20" t="s">
        <v>169</v>
      </c>
      <c r="D59" s="20" t="s">
        <v>27</v>
      </c>
      <c r="E59" s="20">
        <v>2024</v>
      </c>
      <c r="F59" s="20" t="s">
        <v>170</v>
      </c>
      <c r="G59" s="20">
        <v>51</v>
      </c>
      <c r="H59" s="20">
        <v>25840</v>
      </c>
      <c r="I59" s="19" t="s">
        <v>5161</v>
      </c>
      <c r="J59" s="11" t="str">
        <f t="shared" si="0"/>
        <v>HYUNDAITUCSON NX4 2.0 AUT2024</v>
      </c>
      <c r="K59" s="12"/>
      <c r="L59" s="10">
        <f>_xlfn.XLOOKUP(F59,'PRECIO TOMA HISTORICO '!$A:$A,'PRECIO TOMA HISTORICO '!$B:$B,"",0,-1)</f>
        <v>17200000</v>
      </c>
      <c r="M59" s="9"/>
      <c r="N59" s="10">
        <f>_xlfn.XLOOKUP(F59,BBDD!$S:$S,BBDD!$AS:$AS)</f>
        <v>19990000</v>
      </c>
      <c r="O59" s="10">
        <f>IFERROR(VLOOKUP(F59,'PRECIO MERCADO'!D:E,2,0),"0")</f>
        <v>20600000</v>
      </c>
      <c r="P59" s="10">
        <f>_xlfn.XLOOKUP(F59,BBDD!$S:$S,BBDD!$AO:$AO)</f>
        <v>17200000</v>
      </c>
      <c r="Q59" s="10">
        <f>_xlfn.XLOOKUP(F59,BBDD!$S:$S,BBDD!$AR:$AR)</f>
        <v>17587240</v>
      </c>
    </row>
    <row r="60" spans="1:17" ht="13.5" customHeight="1" x14ac:dyDescent="0.3">
      <c r="A60" s="21" t="s">
        <v>161</v>
      </c>
      <c r="B60" s="20" t="s">
        <v>171</v>
      </c>
      <c r="C60" s="20" t="s">
        <v>172</v>
      </c>
      <c r="D60" s="20" t="s">
        <v>27</v>
      </c>
      <c r="E60" s="20">
        <v>2022</v>
      </c>
      <c r="F60" s="20" t="s">
        <v>173</v>
      </c>
      <c r="G60" s="20">
        <v>283</v>
      </c>
      <c r="H60" s="20">
        <v>28000</v>
      </c>
      <c r="I60" s="19" t="s">
        <v>5161</v>
      </c>
      <c r="J60" s="11" t="str">
        <f t="shared" si="0"/>
        <v>STARIAUS4 CRDI 6MT 2.22022</v>
      </c>
      <c r="K60" s="12"/>
      <c r="L60" s="10">
        <f>_xlfn.XLOOKUP(F60,'PRECIO TOMA HISTORICO '!$A:$A,'PRECIO TOMA HISTORICO '!$B:$B,"",0,-1)</f>
        <v>20000000</v>
      </c>
      <c r="M60" s="9"/>
      <c r="N60" s="10">
        <f>_xlfn.XLOOKUP(F60,BBDD!$S:$S,BBDD!$AS:$AS)</f>
        <v>21500000</v>
      </c>
      <c r="O60" s="10">
        <f>IFERROR(VLOOKUP(F60,'PRECIO MERCADO'!D:E,2,0),"0")</f>
        <v>23900000</v>
      </c>
      <c r="P60" s="10">
        <f>_xlfn.XLOOKUP(F60,BBDD!$S:$S,BBDD!$AO:$AO)</f>
        <v>20000000</v>
      </c>
      <c r="Q60" s="10">
        <f>_xlfn.XLOOKUP(F60,BBDD!$S:$S,BBDD!$AR:$AR)</f>
        <v>20426030</v>
      </c>
    </row>
    <row r="61" spans="1:17" ht="13.5" customHeight="1" x14ac:dyDescent="0.3">
      <c r="A61" s="20" t="s">
        <v>174</v>
      </c>
      <c r="B61" s="20" t="s">
        <v>175</v>
      </c>
      <c r="C61" s="20" t="s">
        <v>176</v>
      </c>
      <c r="D61" s="20" t="s">
        <v>27</v>
      </c>
      <c r="E61" s="20">
        <v>2024</v>
      </c>
      <c r="F61" s="20" t="s">
        <v>177</v>
      </c>
      <c r="G61" s="20">
        <v>27</v>
      </c>
      <c r="H61" s="20">
        <v>8249</v>
      </c>
      <c r="I61" s="19" t="s">
        <v>5161</v>
      </c>
      <c r="J61" s="11" t="str">
        <f t="shared" si="0"/>
        <v>JS4JS4 LUXURY HB 1.52024</v>
      </c>
      <c r="K61" s="12"/>
      <c r="L61" s="10">
        <f>_xlfn.XLOOKUP(F61,'PRECIO TOMA HISTORICO '!$A:$A,'PRECIO TOMA HISTORICO '!$B:$B,"",0,-1)</f>
        <v>8500000</v>
      </c>
      <c r="M61" s="9"/>
      <c r="N61" s="10">
        <f>_xlfn.XLOOKUP(F61,BBDD!$S:$S,BBDD!$AS:$AS)</f>
        <v>10490000</v>
      </c>
      <c r="O61" s="10">
        <f>IFERROR(VLOOKUP(F61,'PRECIO MERCADO'!D:E,2,0),"0")</f>
        <v>10800000</v>
      </c>
      <c r="P61" s="10">
        <f>_xlfn.XLOOKUP(F61,BBDD!$S:$S,BBDD!$AO:$AO)</f>
        <v>8500000</v>
      </c>
      <c r="Q61" s="10">
        <f>_xlfn.XLOOKUP(F61,BBDD!$S:$S,BBDD!$AR:$AR)</f>
        <v>8756740</v>
      </c>
    </row>
    <row r="62" spans="1:17" ht="13.5" customHeight="1" x14ac:dyDescent="0.3">
      <c r="A62" s="21" t="s">
        <v>174</v>
      </c>
      <c r="B62" s="20" t="s">
        <v>178</v>
      </c>
      <c r="C62" s="20" t="s">
        <v>179</v>
      </c>
      <c r="D62" s="20" t="s">
        <v>41</v>
      </c>
      <c r="E62" s="20">
        <v>2023</v>
      </c>
      <c r="F62" s="20" t="s">
        <v>180</v>
      </c>
      <c r="G62" s="20">
        <v>273</v>
      </c>
      <c r="H62" s="20">
        <v>40695</v>
      </c>
      <c r="I62" s="19" t="s">
        <v>5161</v>
      </c>
      <c r="J62" s="11" t="str">
        <f t="shared" si="0"/>
        <v>T8T8 PRO TM 4X4 2.02023</v>
      </c>
      <c r="K62" s="12"/>
      <c r="L62" s="10">
        <f>_xlfn.XLOOKUP(F62,'PRECIO TOMA HISTORICO '!$A:$A,'PRECIO TOMA HISTORICO '!$B:$B,"",0,-1)</f>
        <v>10600000</v>
      </c>
      <c r="M62" s="9"/>
      <c r="N62" s="10">
        <f>_xlfn.XLOOKUP(F62,BBDD!$S:$S,BBDD!$AS:$AS)</f>
        <v>12790000</v>
      </c>
      <c r="O62" s="10">
        <f>IFERROR(VLOOKUP(F62,'PRECIO MERCADO'!D:E,2,0),"0")</f>
        <v>15400000</v>
      </c>
      <c r="P62" s="10">
        <f>_xlfn.XLOOKUP(F62,BBDD!$S:$S,BBDD!$AO:$AO)</f>
        <v>10600000</v>
      </c>
      <c r="Q62" s="10">
        <f>_xlfn.XLOOKUP(F62,BBDD!$S:$S,BBDD!$AR:$AR)</f>
        <v>10885030</v>
      </c>
    </row>
    <row r="63" spans="1:17" ht="13.5" customHeight="1" x14ac:dyDescent="0.3">
      <c r="A63" s="20" t="s">
        <v>181</v>
      </c>
      <c r="B63" s="20" t="s">
        <v>4436</v>
      </c>
      <c r="C63" s="20" t="s">
        <v>182</v>
      </c>
      <c r="D63" s="20" t="s">
        <v>21</v>
      </c>
      <c r="E63" s="20">
        <v>2025</v>
      </c>
      <c r="F63" s="20" t="s">
        <v>183</v>
      </c>
      <c r="G63" s="20">
        <v>45</v>
      </c>
      <c r="H63" s="20">
        <v>12000</v>
      </c>
      <c r="I63" s="19" t="s">
        <v>5161</v>
      </c>
      <c r="J63" s="11" t="str">
        <f t="shared" si="0"/>
        <v>77 DCT 1.6 AUT2025</v>
      </c>
      <c r="K63" s="12"/>
      <c r="L63" s="10">
        <f>_xlfn.XLOOKUP(F63,'PRECIO TOMA HISTORICO '!$A:$A,'PRECIO TOMA HISTORICO '!$B:$B,"",0,-1)</f>
        <v>17500000</v>
      </c>
      <c r="M63" s="9"/>
      <c r="N63" s="10">
        <f>_xlfn.XLOOKUP(F63,BBDD!$S:$S,BBDD!$AS:$AS)</f>
        <v>20990000</v>
      </c>
      <c r="O63" s="10">
        <f>IFERROR(VLOOKUP(F63,'PRECIO MERCADO'!D:E,2,0),"0")</f>
        <v>17400000</v>
      </c>
      <c r="P63" s="10">
        <f>_xlfn.XLOOKUP(F63,BBDD!$S:$S,BBDD!$AO:$AO)</f>
        <v>17500000</v>
      </c>
      <c r="Q63" s="10">
        <f>_xlfn.XLOOKUP(F63,BBDD!$S:$S,BBDD!$AR:$AR)</f>
        <v>17891740</v>
      </c>
    </row>
    <row r="64" spans="1:17" ht="13.5" customHeight="1" x14ac:dyDescent="0.3">
      <c r="A64" s="21" t="s">
        <v>181</v>
      </c>
      <c r="B64" s="21" t="s">
        <v>4436</v>
      </c>
      <c r="C64" s="20" t="s">
        <v>184</v>
      </c>
      <c r="D64" s="20" t="s">
        <v>27</v>
      </c>
      <c r="E64" s="20">
        <v>2025</v>
      </c>
      <c r="F64" s="20" t="s">
        <v>185</v>
      </c>
      <c r="G64" s="20">
        <v>104</v>
      </c>
      <c r="H64" s="20">
        <v>7500</v>
      </c>
      <c r="I64" s="19" t="s">
        <v>5161</v>
      </c>
      <c r="J64" s="11" t="str">
        <f t="shared" si="0"/>
        <v>77 DCT FWD 1.6 AUT2025</v>
      </c>
      <c r="K64" s="12"/>
      <c r="L64" s="10">
        <f>_xlfn.XLOOKUP(F64,'PRECIO TOMA HISTORICO '!$A:$A,'PRECIO TOMA HISTORICO '!$B:$B,"",0,-1)</f>
        <v>15500000</v>
      </c>
      <c r="M64" s="9"/>
      <c r="N64" s="10">
        <f>_xlfn.XLOOKUP(F64,BBDD!$S:$S,BBDD!$AS:$AS)</f>
        <v>17490000</v>
      </c>
      <c r="O64" s="10">
        <f>IFERROR(VLOOKUP(F64,'PRECIO MERCADO'!D:E,2,0),"0")</f>
        <v>18400000</v>
      </c>
      <c r="P64" s="10">
        <f>_xlfn.XLOOKUP(F64,BBDD!$S:$S,BBDD!$AO:$AO)</f>
        <v>15500000</v>
      </c>
      <c r="Q64" s="10">
        <f>_xlfn.XLOOKUP(F64,BBDD!$S:$S,BBDD!$AR:$AR)</f>
        <v>15858530</v>
      </c>
    </row>
    <row r="65" spans="1:17" ht="13.5" customHeight="1" x14ac:dyDescent="0.3">
      <c r="A65" s="21" t="s">
        <v>181</v>
      </c>
      <c r="B65" s="21" t="s">
        <v>4436</v>
      </c>
      <c r="C65" s="21" t="s">
        <v>184</v>
      </c>
      <c r="D65" s="21" t="s">
        <v>27</v>
      </c>
      <c r="E65" s="20">
        <v>2026</v>
      </c>
      <c r="F65" s="20" t="s">
        <v>186</v>
      </c>
      <c r="G65" s="20">
        <v>67</v>
      </c>
      <c r="H65" s="20">
        <v>6400</v>
      </c>
      <c r="I65" s="19" t="s">
        <v>5161</v>
      </c>
      <c r="J65" s="11" t="str">
        <f t="shared" si="0"/>
        <v>77 DCT FWD 1.6 AUT2026</v>
      </c>
      <c r="K65" s="12"/>
      <c r="L65" s="10">
        <f>_xlfn.XLOOKUP(F65,'PRECIO TOMA HISTORICO '!$A:$A,'PRECIO TOMA HISTORICO '!$B:$B,"",0,-1)</f>
        <v>14500000</v>
      </c>
      <c r="M65" s="9"/>
      <c r="N65" s="10">
        <f>_xlfn.XLOOKUP(F65,BBDD!$S:$S,BBDD!$AS:$AS)</f>
        <v>16490000</v>
      </c>
      <c r="O65" s="10">
        <f>IFERROR(VLOOKUP(F65,'PRECIO MERCADO'!D:E,2,0),"0")</f>
        <v>17500000</v>
      </c>
      <c r="P65" s="10">
        <f>_xlfn.XLOOKUP(F65,BBDD!$S:$S,BBDD!$AO:$AO)</f>
        <v>14500000</v>
      </c>
      <c r="Q65" s="10">
        <f>_xlfn.XLOOKUP(F65,BBDD!$S:$S,BBDD!$AR:$AR)</f>
        <v>14846740</v>
      </c>
    </row>
    <row r="66" spans="1:17" ht="13.5" customHeight="1" x14ac:dyDescent="0.3">
      <c r="A66" s="21" t="s">
        <v>181</v>
      </c>
      <c r="B66" s="21" t="s">
        <v>4436</v>
      </c>
      <c r="C66" s="21" t="s">
        <v>184</v>
      </c>
      <c r="D66" s="20" t="s">
        <v>34</v>
      </c>
      <c r="E66" s="20">
        <v>2025</v>
      </c>
      <c r="F66" s="20" t="s">
        <v>187</v>
      </c>
      <c r="G66" s="20">
        <v>214</v>
      </c>
      <c r="H66" s="20">
        <v>10200</v>
      </c>
      <c r="I66" s="19" t="s">
        <v>5161</v>
      </c>
      <c r="J66" s="11" t="str">
        <f t="shared" ref="J66:J116" si="1">CONCATENATE(B66,C66,E66)</f>
        <v>77 DCT FWD 1.6 AUT2025</v>
      </c>
      <c r="K66" s="12"/>
      <c r="L66" s="10">
        <f>_xlfn.XLOOKUP(F66,'PRECIO TOMA HISTORICO '!$A:$A,'PRECIO TOMA HISTORICO '!$B:$B,"",0,-1)</f>
        <v>15500000</v>
      </c>
      <c r="M66" s="9"/>
      <c r="N66" s="10">
        <f>_xlfn.XLOOKUP(F66,BBDD!$S:$S,BBDD!$AS:$AS)</f>
        <v>16490000</v>
      </c>
      <c r="O66" s="10">
        <f>IFERROR(VLOOKUP(F66,'PRECIO MERCADO'!D:E,2,0),"0")</f>
        <v>18000000</v>
      </c>
      <c r="P66" s="10">
        <f>_xlfn.XLOOKUP(F66,BBDD!$S:$S,BBDD!$AO:$AO)</f>
        <v>15500000</v>
      </c>
      <c r="Q66" s="10">
        <f>_xlfn.XLOOKUP(F66,BBDD!$S:$S,BBDD!$AR:$AR)</f>
        <v>15858530</v>
      </c>
    </row>
    <row r="67" spans="1:17" ht="13.5" customHeight="1" x14ac:dyDescent="0.3">
      <c r="A67" s="20" t="s">
        <v>188</v>
      </c>
      <c r="B67" s="20" t="s">
        <v>189</v>
      </c>
      <c r="C67" s="20" t="s">
        <v>4446</v>
      </c>
      <c r="D67" s="20" t="s">
        <v>16</v>
      </c>
      <c r="E67" s="20">
        <v>2018</v>
      </c>
      <c r="F67" s="20" t="s">
        <v>3433</v>
      </c>
      <c r="G67" s="20">
        <v>13</v>
      </c>
      <c r="H67" s="20">
        <v>105000</v>
      </c>
      <c r="I67" s="19" t="s">
        <v>5161</v>
      </c>
      <c r="J67" s="11" t="str">
        <f t="shared" si="1"/>
        <v>COMPASSALL NEW COMPASS SPORT LX 2.42018</v>
      </c>
      <c r="K67" s="12"/>
      <c r="L67" s="10">
        <f>_xlfn.XLOOKUP(F67,'PRECIO TOMA HISTORICO '!$A:$A,'PRECIO TOMA HISTORICO '!$B:$B,"",0,-1)</f>
        <v>7600000</v>
      </c>
      <c r="M67" s="9"/>
      <c r="N67" s="10">
        <f>_xlfn.XLOOKUP(F67,BBDD!$S:$S,BBDD!$AS:$AS)</f>
        <v>8990000</v>
      </c>
      <c r="O67" s="10">
        <f>IFERROR(VLOOKUP(F67,'PRECIO MERCADO'!D:E,2,0),"0")</f>
        <v>9400000</v>
      </c>
      <c r="P67" s="10">
        <f>_xlfn.XLOOKUP(F67,BBDD!$S:$S,BBDD!$AO:$AO)</f>
        <v>7600000</v>
      </c>
      <c r="Q67" s="10">
        <f>_xlfn.XLOOKUP(F67,BBDD!$S:$S,BBDD!$AR:$AR)</f>
        <v>7843240</v>
      </c>
    </row>
    <row r="68" spans="1:17" ht="13.5" customHeight="1" x14ac:dyDescent="0.3">
      <c r="A68" s="21" t="s">
        <v>188</v>
      </c>
      <c r="B68" s="21" t="s">
        <v>189</v>
      </c>
      <c r="C68" s="20" t="s">
        <v>8313</v>
      </c>
      <c r="D68" s="20" t="s">
        <v>27</v>
      </c>
      <c r="E68" s="20">
        <v>2025</v>
      </c>
      <c r="F68" s="20" t="s">
        <v>190</v>
      </c>
      <c r="G68" s="20">
        <v>283</v>
      </c>
      <c r="H68" s="20">
        <v>7500</v>
      </c>
      <c r="I68" s="19" t="s">
        <v>5161</v>
      </c>
      <c r="J68" s="11" t="str">
        <f t="shared" si="1"/>
        <v>COMPASSCOMPASS LIMITED 4X2 1.3 AUT2025</v>
      </c>
      <c r="K68" s="12"/>
      <c r="L68" s="10">
        <f>_xlfn.XLOOKUP(F68,'PRECIO TOMA HISTORICO '!$A:$A,'PRECIO TOMA HISTORICO '!$B:$B,"",0,-1)</f>
        <v>21500000</v>
      </c>
      <c r="M68" s="9"/>
      <c r="N68" s="10">
        <f>_xlfn.XLOOKUP(F68,BBDD!$S:$S,BBDD!$AS:$AS)</f>
        <v>21960000</v>
      </c>
      <c r="O68" s="10">
        <f>IFERROR(VLOOKUP(F68,'PRECIO MERCADO'!D:E,2,0),"0")</f>
        <v>24400000</v>
      </c>
      <c r="P68" s="10">
        <f>_xlfn.XLOOKUP(F68,BBDD!$S:$S,BBDD!$AO:$AO)</f>
        <v>21500000</v>
      </c>
      <c r="Q68" s="10">
        <f>_xlfn.XLOOKUP(F68,BBDD!$S:$S,BBDD!$AR:$AR)</f>
        <v>22336161</v>
      </c>
    </row>
    <row r="69" spans="1:17" ht="13.5" customHeight="1" x14ac:dyDescent="0.3">
      <c r="A69" s="21" t="s">
        <v>188</v>
      </c>
      <c r="B69" s="20" t="s">
        <v>191</v>
      </c>
      <c r="C69" s="20" t="s">
        <v>192</v>
      </c>
      <c r="D69" s="20" t="s">
        <v>65</v>
      </c>
      <c r="E69" s="20">
        <v>2013</v>
      </c>
      <c r="F69" s="20" t="s">
        <v>193</v>
      </c>
      <c r="G69" s="20">
        <v>1465</v>
      </c>
      <c r="H69" s="20">
        <v>160000</v>
      </c>
      <c r="I69" s="19" t="s">
        <v>5161</v>
      </c>
      <c r="J69" s="11" t="str">
        <f t="shared" si="1"/>
        <v>GRAND CHEROKEEGRAND CHEROKEE LAREDO 4X4 3.0 AUT2013</v>
      </c>
      <c r="K69" s="12"/>
      <c r="L69" s="10" t="str">
        <f>_xlfn.XLOOKUP(F69,'PRECIO TOMA HISTORICO '!$A:$A,'PRECIO TOMA HISTORICO '!$B:$B,"",0,-1)</f>
        <v/>
      </c>
      <c r="M69" s="9"/>
      <c r="N69" s="10">
        <f>_xlfn.XLOOKUP(F69,BBDD!$S:$S,BBDD!$AS:$AS)</f>
        <v>11490000</v>
      </c>
      <c r="O69" s="10">
        <f>IFERROR(VLOOKUP(F69,'PRECIO MERCADO'!D:E,2,0),"0")</f>
        <v>11200000</v>
      </c>
      <c r="P69" s="10">
        <f>_xlfn.XLOOKUP(F69,BBDD!$S:$S,BBDD!$AO:$AO)</f>
        <v>13800000</v>
      </c>
      <c r="Q69" s="10">
        <f>_xlfn.XLOOKUP(F69,BBDD!$S:$S,BBDD!$AR:$AR)</f>
        <v>14313046</v>
      </c>
    </row>
    <row r="70" spans="1:17" ht="13.5" customHeight="1" x14ac:dyDescent="0.3">
      <c r="A70" s="20" t="s">
        <v>194</v>
      </c>
      <c r="B70" s="20" t="s">
        <v>195</v>
      </c>
      <c r="C70" s="20" t="s">
        <v>8676</v>
      </c>
      <c r="D70" s="20" t="s">
        <v>8670</v>
      </c>
      <c r="E70" s="20">
        <v>2016</v>
      </c>
      <c r="F70" s="20" t="s">
        <v>8679</v>
      </c>
      <c r="G70" s="20">
        <v>3868</v>
      </c>
      <c r="H70" s="20">
        <v>0</v>
      </c>
      <c r="I70" s="19" t="s">
        <v>5161</v>
      </c>
      <c r="J70" s="11" t="str">
        <f t="shared" si="1"/>
        <v>FRONTIERFRONTIER C/C 2.5 6MT2016</v>
      </c>
      <c r="K70" s="12"/>
      <c r="L70" s="10" t="str">
        <f>_xlfn.XLOOKUP(F70,'PRECIO TOMA HISTORICO '!$A:$A,'PRECIO TOMA HISTORICO '!$B:$B,"",0,-1)</f>
        <v/>
      </c>
      <c r="M70" s="9"/>
      <c r="N70" s="10">
        <f>_xlfn.XLOOKUP(F70,BBDD!$S:$S,BBDD!$AS:$AS)</f>
        <v>14800000</v>
      </c>
      <c r="O70" s="10" t="str">
        <f>IFERROR(VLOOKUP(F70,'PRECIO MERCADO'!D:E,2,0),"0")</f>
        <v>0</v>
      </c>
      <c r="P70" s="10">
        <f>_xlfn.XLOOKUP(F70,BBDD!$S:$S,BBDD!$AO:$AO)</f>
        <v>323597</v>
      </c>
      <c r="Q70" s="10">
        <f>_xlfn.XLOOKUP(F70,BBDD!$S:$S,BBDD!$AR:$AR)</f>
        <v>3489228</v>
      </c>
    </row>
    <row r="71" spans="1:17" ht="13.5" customHeight="1" x14ac:dyDescent="0.3">
      <c r="A71" s="21" t="s">
        <v>194</v>
      </c>
      <c r="B71" s="20" t="s">
        <v>196</v>
      </c>
      <c r="C71" s="20" t="s">
        <v>197</v>
      </c>
      <c r="D71" s="20" t="s">
        <v>8670</v>
      </c>
      <c r="E71" s="20">
        <v>2014</v>
      </c>
      <c r="F71" s="20" t="s">
        <v>8668</v>
      </c>
      <c r="G71" s="20">
        <v>2859</v>
      </c>
      <c r="H71" s="20">
        <v>50000</v>
      </c>
      <c r="I71" s="19" t="s">
        <v>5161</v>
      </c>
      <c r="J71" s="11" t="str">
        <f t="shared" si="1"/>
        <v>MORNINGMORNING LX 1.02014</v>
      </c>
      <c r="K71" s="12"/>
      <c r="L71" s="10" t="str">
        <f>_xlfn.XLOOKUP(F71,'PRECIO TOMA HISTORICO '!$A:$A,'PRECIO TOMA HISTORICO '!$B:$B,"",0,-1)</f>
        <v/>
      </c>
      <c r="M71" s="9"/>
      <c r="N71" s="10">
        <f>_xlfn.XLOOKUP(F71,BBDD!$S:$S,BBDD!$AS:$AS)</f>
        <v>4390000</v>
      </c>
      <c r="O71" s="10" t="str">
        <f>IFERROR(VLOOKUP(F71,'PRECIO MERCADO'!D:E,2,0),"0")</f>
        <v>0</v>
      </c>
      <c r="P71" s="10">
        <f>_xlfn.XLOOKUP(F71,BBDD!$S:$S,BBDD!$AO:$AO)</f>
        <v>0</v>
      </c>
      <c r="Q71" s="10">
        <f>_xlfn.XLOOKUP(F71,BBDD!$S:$S,BBDD!$AR:$AR)</f>
        <v>1812732</v>
      </c>
    </row>
    <row r="72" spans="1:17" ht="13.5" customHeight="1" x14ac:dyDescent="0.3">
      <c r="A72" s="21" t="s">
        <v>194</v>
      </c>
      <c r="B72" s="20" t="s">
        <v>198</v>
      </c>
      <c r="C72" s="20" t="s">
        <v>199</v>
      </c>
      <c r="D72" s="20" t="s">
        <v>27</v>
      </c>
      <c r="E72" s="20">
        <v>2024</v>
      </c>
      <c r="F72" s="20" t="s">
        <v>200</v>
      </c>
      <c r="G72" s="20">
        <v>114</v>
      </c>
      <c r="H72" s="20">
        <v>43000</v>
      </c>
      <c r="I72" s="19" t="s">
        <v>5161</v>
      </c>
      <c r="J72" s="11" t="str">
        <f t="shared" si="1"/>
        <v>NIRONIRO HEV DCT GDI 1.6 AUT2024</v>
      </c>
      <c r="K72" s="12"/>
      <c r="L72" s="10">
        <f>_xlfn.XLOOKUP(F72,'PRECIO TOMA HISTORICO '!$A:$A,'PRECIO TOMA HISTORICO '!$B:$B,"",0,-1)</f>
        <v>17750000</v>
      </c>
      <c r="M72" s="9"/>
      <c r="N72" s="10">
        <f>_xlfn.XLOOKUP(F72,BBDD!$S:$S,BBDD!$AS:$AS)</f>
        <v>19990000</v>
      </c>
      <c r="O72" s="10">
        <f>IFERROR(VLOOKUP(F72,'PRECIO MERCADO'!D:E,2,0),"0")</f>
        <v>21700000</v>
      </c>
      <c r="P72" s="10">
        <f>_xlfn.XLOOKUP(F72,BBDD!$S:$S,BBDD!$AO:$AO)</f>
        <v>17750000</v>
      </c>
      <c r="Q72" s="10">
        <f>_xlfn.XLOOKUP(F72,BBDD!$S:$S,BBDD!$AR:$AR)</f>
        <v>18142280</v>
      </c>
    </row>
    <row r="73" spans="1:17" ht="13.5" customHeight="1" x14ac:dyDescent="0.3">
      <c r="A73" s="21" t="s">
        <v>194</v>
      </c>
      <c r="B73" s="20" t="s">
        <v>4504</v>
      </c>
      <c r="C73" s="20" t="s">
        <v>4512</v>
      </c>
      <c r="D73" s="20" t="s">
        <v>16</v>
      </c>
      <c r="E73" s="20">
        <v>2023</v>
      </c>
      <c r="F73" s="20" t="s">
        <v>3899</v>
      </c>
      <c r="G73" s="20">
        <v>18</v>
      </c>
      <c r="H73" s="20">
        <v>39280</v>
      </c>
      <c r="I73" s="19" t="s">
        <v>5161</v>
      </c>
      <c r="J73" s="11" t="str">
        <f t="shared" si="1"/>
        <v>RIORIO 5 6MT 1.42023</v>
      </c>
      <c r="K73" s="12"/>
      <c r="L73" s="10">
        <f>_xlfn.XLOOKUP(F73,'PRECIO TOMA HISTORICO '!$A:$A,'PRECIO TOMA HISTORICO '!$B:$B,"",0,-1)</f>
        <v>9650000</v>
      </c>
      <c r="M73" s="9"/>
      <c r="N73" s="10">
        <f>_xlfn.XLOOKUP(F73,BBDD!$S:$S,BBDD!$AS:$AS)</f>
        <v>12290000</v>
      </c>
      <c r="O73" s="10">
        <f>IFERROR(VLOOKUP(F73,'PRECIO MERCADO'!D:E,2,0),"0")</f>
        <v>11900000</v>
      </c>
      <c r="P73" s="10">
        <f>_xlfn.XLOOKUP(F73,BBDD!$S:$S,BBDD!$AO:$AO)</f>
        <v>9650000</v>
      </c>
      <c r="Q73" s="10">
        <f>_xlfn.XLOOKUP(F73,BBDD!$S:$S,BBDD!$AR:$AR)</f>
        <v>9923990</v>
      </c>
    </row>
    <row r="74" spans="1:17" ht="13.5" customHeight="1" x14ac:dyDescent="0.3">
      <c r="A74" s="21" t="s">
        <v>194</v>
      </c>
      <c r="B74" s="20" t="s">
        <v>204</v>
      </c>
      <c r="C74" s="20" t="s">
        <v>205</v>
      </c>
      <c r="D74" s="20" t="s">
        <v>27</v>
      </c>
      <c r="E74" s="20">
        <v>2024</v>
      </c>
      <c r="F74" s="20" t="s">
        <v>206</v>
      </c>
      <c r="G74" s="20">
        <v>141</v>
      </c>
      <c r="H74" s="20">
        <v>37000</v>
      </c>
      <c r="I74" s="19" t="s">
        <v>5161</v>
      </c>
      <c r="J74" s="11" t="str">
        <f t="shared" si="1"/>
        <v>SORENTOSORENTO 8DCT 4WD 2.2 AUT2024</v>
      </c>
      <c r="K74" s="13"/>
      <c r="L74" s="10">
        <f>_xlfn.XLOOKUP(F74,'PRECIO TOMA HISTORICO '!$A:$A,'PRECIO TOMA HISTORICO '!$B:$B,"",0,-1)</f>
        <v>28000000</v>
      </c>
      <c r="M74" s="9"/>
      <c r="N74" s="10">
        <f>_xlfn.XLOOKUP(F74,BBDD!$S:$S,BBDD!$AS:$AS)</f>
        <v>33490000</v>
      </c>
      <c r="O74" s="10">
        <f>IFERROR(VLOOKUP(F74,'PRECIO MERCADO'!D:E,2,0),"0")</f>
        <v>34600000</v>
      </c>
      <c r="P74" s="10">
        <f>_xlfn.XLOOKUP(F74,BBDD!$S:$S,BBDD!$AO:$AO)</f>
        <v>28000000</v>
      </c>
      <c r="Q74" s="10">
        <f>_xlfn.XLOOKUP(F74,BBDD!$S:$S,BBDD!$AR:$AR)</f>
        <v>29142194</v>
      </c>
    </row>
    <row r="75" spans="1:17" ht="13.5" customHeight="1" x14ac:dyDescent="0.3">
      <c r="A75" s="21" t="s">
        <v>194</v>
      </c>
      <c r="B75" s="20" t="s">
        <v>207</v>
      </c>
      <c r="C75" s="20" t="s">
        <v>208</v>
      </c>
      <c r="D75" s="20" t="s">
        <v>21</v>
      </c>
      <c r="E75" s="20">
        <v>2023</v>
      </c>
      <c r="F75" s="20" t="s">
        <v>209</v>
      </c>
      <c r="G75" s="20">
        <v>49</v>
      </c>
      <c r="H75" s="20">
        <v>43000</v>
      </c>
      <c r="I75" s="19" t="s">
        <v>5161</v>
      </c>
      <c r="J75" s="11" t="str">
        <f t="shared" si="1"/>
        <v>SPORTAGESPORTAGE EX 2.0 AUT2023</v>
      </c>
      <c r="K75" s="13"/>
      <c r="L75" s="10">
        <f>_xlfn.XLOOKUP(F75,'PRECIO TOMA HISTORICO '!$A:$A,'PRECIO TOMA HISTORICO '!$B:$B,"",0,-1)</f>
        <v>17000000</v>
      </c>
      <c r="M75" s="9"/>
      <c r="N75" s="10">
        <f>_xlfn.XLOOKUP(F75,BBDD!$S:$S,BBDD!$AS:$AS)</f>
        <v>19990000</v>
      </c>
      <c r="O75" s="10">
        <f>IFERROR(VLOOKUP(F75,'PRECIO MERCADO'!D:E,2,0),"0")</f>
        <v>20100000</v>
      </c>
      <c r="P75" s="10">
        <f>_xlfn.XLOOKUP(F75,BBDD!$S:$S,BBDD!$AO:$AO)</f>
        <v>17000000</v>
      </c>
      <c r="Q75" s="10">
        <f>_xlfn.XLOOKUP(F75,BBDD!$S:$S,BBDD!$AR:$AR)</f>
        <v>17384240</v>
      </c>
    </row>
    <row r="76" spans="1:17" ht="13.5" customHeight="1" x14ac:dyDescent="0.3">
      <c r="A76" s="21" t="s">
        <v>194</v>
      </c>
      <c r="B76" s="21" t="s">
        <v>207</v>
      </c>
      <c r="C76" s="20" t="s">
        <v>8610</v>
      </c>
      <c r="D76" s="20" t="s">
        <v>8615</v>
      </c>
      <c r="E76" s="20">
        <v>2014</v>
      </c>
      <c r="F76" s="20" t="s">
        <v>8613</v>
      </c>
      <c r="G76" s="20">
        <v>2275</v>
      </c>
      <c r="H76" s="20">
        <v>83000</v>
      </c>
      <c r="I76" s="19" t="s">
        <v>5161</v>
      </c>
      <c r="J76" s="11" t="str">
        <f t="shared" si="1"/>
        <v>SPORTAGESPORTAGE LX 4X4 2.0 AUT2014</v>
      </c>
      <c r="K76" s="12"/>
      <c r="L76" s="10" t="str">
        <f>_xlfn.XLOOKUP(F76,'PRECIO TOMA HISTORICO '!$A:$A,'PRECIO TOMA HISTORICO '!$B:$B,"",0,-1)</f>
        <v/>
      </c>
      <c r="M76" s="9"/>
      <c r="N76" s="10">
        <f>_xlfn.XLOOKUP(F76,BBDD!$S:$S,BBDD!$AS:$AS)</f>
        <v>8490000</v>
      </c>
      <c r="O76" s="10" t="str">
        <f>IFERROR(VLOOKUP(F76,'PRECIO MERCADO'!D:E,2,0),"0")</f>
        <v>0</v>
      </c>
      <c r="P76" s="10">
        <f>_xlfn.XLOOKUP(F76,BBDD!$S:$S,BBDD!$AO:$AO)</f>
        <v>0</v>
      </c>
      <c r="Q76" s="10">
        <f>_xlfn.XLOOKUP(F76,BBDD!$S:$S,BBDD!$AR:$AR)</f>
        <v>2523835</v>
      </c>
    </row>
    <row r="77" spans="1:17" ht="13.5" customHeight="1" x14ac:dyDescent="0.3">
      <c r="A77" s="20" t="s">
        <v>212</v>
      </c>
      <c r="B77" s="20" t="s">
        <v>212</v>
      </c>
      <c r="C77" s="20" t="s">
        <v>213</v>
      </c>
      <c r="D77" s="20" t="s">
        <v>41</v>
      </c>
      <c r="E77" s="20">
        <v>2022</v>
      </c>
      <c r="F77" s="20" t="s">
        <v>214</v>
      </c>
      <c r="G77" s="20">
        <v>164</v>
      </c>
      <c r="H77" s="20">
        <v>0</v>
      </c>
      <c r="I77" s="19" t="s">
        <v>5161</v>
      </c>
      <c r="J77" s="11" t="str">
        <f t="shared" si="1"/>
        <v>MAHINDRAKUV 100 HATCH BACK 1.22022</v>
      </c>
      <c r="K77" s="12"/>
      <c r="L77" s="10">
        <f>_xlfn.XLOOKUP(F77,'PRECIO TOMA HISTORICO '!$A:$A,'PRECIO TOMA HISTORICO '!$B:$B,"",0,-1)</f>
        <v>4850000</v>
      </c>
      <c r="M77" s="9"/>
      <c r="N77" s="10">
        <f>_xlfn.XLOOKUP(F77,BBDD!$S:$S,BBDD!$AS:$AS)</f>
        <v>6390000</v>
      </c>
      <c r="O77" s="10">
        <f>IFERROR(VLOOKUP(F77,'PRECIO MERCADO'!D:E,2,0),"0")</f>
        <v>6480000</v>
      </c>
      <c r="P77" s="10">
        <f>_xlfn.XLOOKUP(F77,BBDD!$S:$S,BBDD!$AO:$AO)</f>
        <v>8137896</v>
      </c>
      <c r="Q77" s="10">
        <f>_xlfn.XLOOKUP(F77,BBDD!$S:$S,BBDD!$AR:$AR)</f>
        <v>8385994</v>
      </c>
    </row>
    <row r="78" spans="1:17" ht="13.5" customHeight="1" x14ac:dyDescent="0.3">
      <c r="A78" s="20" t="s">
        <v>215</v>
      </c>
      <c r="B78" s="20" t="s">
        <v>216</v>
      </c>
      <c r="C78" s="20" t="s">
        <v>217</v>
      </c>
      <c r="D78" s="20" t="s">
        <v>21</v>
      </c>
      <c r="E78" s="20">
        <v>2025</v>
      </c>
      <c r="F78" s="20" t="s">
        <v>218</v>
      </c>
      <c r="G78" s="20">
        <v>44</v>
      </c>
      <c r="H78" s="20">
        <v>39700</v>
      </c>
      <c r="I78" s="19" t="s">
        <v>5161</v>
      </c>
      <c r="J78" s="11" t="str">
        <f t="shared" si="1"/>
        <v>CX-30CX30 4X2 2.0 AUT2025</v>
      </c>
      <c r="K78" s="12"/>
      <c r="L78" s="10">
        <f>_xlfn.XLOOKUP(F78,'PRECIO TOMA HISTORICO '!$A:$A,'PRECIO TOMA HISTORICO '!$B:$B,"",0,-1)</f>
        <v>18300000</v>
      </c>
      <c r="M78" s="9"/>
      <c r="N78" s="10">
        <f>_xlfn.XLOOKUP(F78,BBDD!$S:$S,BBDD!$AS:$AS)</f>
        <v>21990000</v>
      </c>
      <c r="O78" s="10">
        <f>IFERROR(VLOOKUP(F78,'PRECIO MERCADO'!D:E,2,0),"0")</f>
        <v>21600000</v>
      </c>
      <c r="P78" s="10">
        <f>_xlfn.XLOOKUP(F78,BBDD!$S:$S,BBDD!$AO:$AO)</f>
        <v>18300000</v>
      </c>
      <c r="Q78" s="10">
        <f>_xlfn.XLOOKUP(F78,BBDD!$S:$S,BBDD!$AR:$AR)</f>
        <v>18703740</v>
      </c>
    </row>
    <row r="79" spans="1:17" ht="13.5" customHeight="1" x14ac:dyDescent="0.3">
      <c r="A79" s="21" t="s">
        <v>215</v>
      </c>
      <c r="B79" s="20" t="s">
        <v>219</v>
      </c>
      <c r="C79" s="20" t="s">
        <v>220</v>
      </c>
      <c r="D79" s="20" t="s">
        <v>27</v>
      </c>
      <c r="E79" s="20">
        <v>2025</v>
      </c>
      <c r="F79" s="20" t="s">
        <v>221</v>
      </c>
      <c r="G79" s="20">
        <v>252</v>
      </c>
      <c r="H79" s="20">
        <v>19678</v>
      </c>
      <c r="I79" s="19" t="s">
        <v>5161</v>
      </c>
      <c r="J79" s="11" t="str">
        <f t="shared" si="1"/>
        <v>CX-60CX60 PREMIUM SPORT 4X4 3.3 AUT2025</v>
      </c>
      <c r="K79" s="12"/>
      <c r="L79" s="10">
        <f>_xlfn.XLOOKUP(F79,'PRECIO TOMA HISTORICO '!$A:$A,'PRECIO TOMA HISTORICO '!$B:$B,"",0,-1)</f>
        <v>38000000</v>
      </c>
      <c r="M79" s="9"/>
      <c r="N79" s="10">
        <f>_xlfn.XLOOKUP(F79,BBDD!$S:$S,BBDD!$AS:$AS)</f>
        <v>36990000</v>
      </c>
      <c r="O79" s="10">
        <f>IFERROR(VLOOKUP(F79,'PRECIO MERCADO'!D:E,2,0),"0")</f>
        <v>40700000</v>
      </c>
      <c r="P79" s="10">
        <f>_xlfn.XLOOKUP(F79,BBDD!$S:$S,BBDD!$AO:$AO)</f>
        <v>38000000</v>
      </c>
      <c r="Q79" s="10">
        <f>_xlfn.XLOOKUP(F79,BBDD!$S:$S,BBDD!$AR:$AR)</f>
        <v>39283058</v>
      </c>
    </row>
    <row r="80" spans="1:17" ht="13.5" customHeight="1" x14ac:dyDescent="0.3">
      <c r="A80" s="20" t="s">
        <v>2546</v>
      </c>
      <c r="B80" s="20" t="s">
        <v>4632</v>
      </c>
      <c r="C80" s="20" t="s">
        <v>4633</v>
      </c>
      <c r="D80" s="20" t="s">
        <v>16</v>
      </c>
      <c r="E80" s="20">
        <v>2024</v>
      </c>
      <c r="F80" s="20" t="s">
        <v>3938</v>
      </c>
      <c r="G80" s="20">
        <v>18</v>
      </c>
      <c r="H80" s="20">
        <v>18000</v>
      </c>
      <c r="I80" s="19" t="s">
        <v>5161</v>
      </c>
      <c r="J80" s="11" t="str">
        <f t="shared" si="1"/>
        <v>MGZXZX 1.52024</v>
      </c>
      <c r="K80" s="12"/>
      <c r="L80" s="10">
        <f>_xlfn.XLOOKUP(F80,'PRECIO TOMA HISTORICO '!$A:$A,'PRECIO TOMA HISTORICO '!$B:$B,"",0,-1)</f>
        <v>7800000</v>
      </c>
      <c r="M80" s="9"/>
      <c r="N80" s="10">
        <f>_xlfn.XLOOKUP(F80,BBDD!$S:$S,BBDD!$AS:$AS)</f>
        <v>9990000</v>
      </c>
      <c r="O80" s="10">
        <f>IFERROR(VLOOKUP(F80,'PRECIO MERCADO'!D:E,2,0),"0")</f>
        <v>9600000</v>
      </c>
      <c r="P80" s="10">
        <f>_xlfn.XLOOKUP(F80,BBDD!$S:$S,BBDD!$AO:$AO)</f>
        <v>7800000</v>
      </c>
      <c r="Q80" s="10">
        <f>_xlfn.XLOOKUP(F80,BBDD!$S:$S,BBDD!$AR:$AR)</f>
        <v>8046240</v>
      </c>
    </row>
    <row r="81" spans="1:17" ht="13.5" customHeight="1" x14ac:dyDescent="0.3">
      <c r="A81" s="20" t="s">
        <v>222</v>
      </c>
      <c r="B81" s="20" t="s">
        <v>4653</v>
      </c>
      <c r="C81" s="20" t="s">
        <v>4654</v>
      </c>
      <c r="D81" s="20" t="s">
        <v>27</v>
      </c>
      <c r="E81" s="20">
        <v>2023</v>
      </c>
      <c r="F81" s="20" t="s">
        <v>6051</v>
      </c>
      <c r="G81" s="20">
        <v>11</v>
      </c>
      <c r="H81" s="20">
        <v>67096</v>
      </c>
      <c r="I81" s="19" t="s">
        <v>5161</v>
      </c>
      <c r="J81" s="11" t="str">
        <f t="shared" si="1"/>
        <v>MONTEROMONTERO SPORT 2.42023</v>
      </c>
      <c r="K81" s="13"/>
      <c r="L81" s="10">
        <f>_xlfn.XLOOKUP(F81,'PRECIO TOMA HISTORICO '!$A:$A,'PRECIO TOMA HISTORICO '!$B:$B,"",0,-1)</f>
        <v>18300000</v>
      </c>
      <c r="M81" s="9"/>
      <c r="N81" s="10">
        <f>_xlfn.XLOOKUP(F81,BBDD!$S:$S,BBDD!$AS:$AS)</f>
        <v>22990000</v>
      </c>
      <c r="O81" s="10">
        <f>IFERROR(VLOOKUP(F81,'PRECIO MERCADO'!D:E,2,0),"0")</f>
        <v>23800000</v>
      </c>
      <c r="P81" s="10">
        <f>_xlfn.XLOOKUP(F81,BBDD!$S:$S,BBDD!$AO:$AO)</f>
        <v>18300000</v>
      </c>
      <c r="Q81" s="10">
        <f>_xlfn.XLOOKUP(F81,BBDD!$S:$S,BBDD!$AR:$AR)</f>
        <v>18703740</v>
      </c>
    </row>
    <row r="82" spans="1:17" ht="13.5" customHeight="1" x14ac:dyDescent="0.3">
      <c r="A82" s="21" t="s">
        <v>222</v>
      </c>
      <c r="B82" s="20" t="s">
        <v>223</v>
      </c>
      <c r="C82" s="20" t="s">
        <v>224</v>
      </c>
      <c r="D82" s="20" t="s">
        <v>21</v>
      </c>
      <c r="E82" s="20">
        <v>2023</v>
      </c>
      <c r="F82" s="20" t="s">
        <v>225</v>
      </c>
      <c r="G82" s="20">
        <v>86</v>
      </c>
      <c r="H82" s="20">
        <v>44000</v>
      </c>
      <c r="I82" s="19" t="s">
        <v>5161</v>
      </c>
      <c r="J82" s="11" t="str">
        <f t="shared" si="1"/>
        <v>OUTLANDEROUTLANDER GL 2.5 AUT2023</v>
      </c>
      <c r="K82" s="12"/>
      <c r="L82" s="10">
        <f>_xlfn.XLOOKUP(F82,'PRECIO TOMA HISTORICO '!$A:$A,'PRECIO TOMA HISTORICO '!$B:$B,"",0,-1)</f>
        <v>15200000</v>
      </c>
      <c r="M82" s="9"/>
      <c r="N82" s="10">
        <f>_xlfn.XLOOKUP(F82,BBDD!$S:$S,BBDD!$AS:$AS)</f>
        <v>18190000</v>
      </c>
      <c r="O82" s="10">
        <f>IFERROR(VLOOKUP(F82,'PRECIO MERCADO'!D:E,2,0),"0")</f>
        <v>18100000</v>
      </c>
      <c r="P82" s="10">
        <f>_xlfn.XLOOKUP(F82,BBDD!$S:$S,BBDD!$AO:$AO)</f>
        <v>15200000</v>
      </c>
      <c r="Q82" s="10">
        <f>_xlfn.XLOOKUP(F82,BBDD!$S:$S,BBDD!$AR:$AR)</f>
        <v>15554030</v>
      </c>
    </row>
    <row r="83" spans="1:17" ht="13.5" customHeight="1" x14ac:dyDescent="0.3">
      <c r="A83" s="21" t="s">
        <v>222</v>
      </c>
      <c r="B83" s="21" t="s">
        <v>223</v>
      </c>
      <c r="C83" s="20" t="s">
        <v>226</v>
      </c>
      <c r="D83" s="20" t="s">
        <v>27</v>
      </c>
      <c r="E83" s="20">
        <v>2025</v>
      </c>
      <c r="F83" s="20" t="s">
        <v>227</v>
      </c>
      <c r="G83" s="20">
        <v>37</v>
      </c>
      <c r="H83" s="20">
        <v>13500</v>
      </c>
      <c r="I83" s="19" t="s">
        <v>5161</v>
      </c>
      <c r="J83" s="11" t="str">
        <f t="shared" si="1"/>
        <v>OUTLANDEROUTLANDER GLS 4X4 2.5 AT2025</v>
      </c>
      <c r="K83" s="12"/>
      <c r="L83" s="10">
        <f>_xlfn.XLOOKUP(F83,'PRECIO TOMA HISTORICO '!$A:$A,'PRECIO TOMA HISTORICO '!$B:$B,"",0,-1)</f>
        <v>26300000</v>
      </c>
      <c r="M83" s="9"/>
      <c r="N83" s="10">
        <f>_xlfn.XLOOKUP(F83,BBDD!$S:$S,BBDD!$AS:$AS)</f>
        <v>31590000</v>
      </c>
      <c r="O83" s="10">
        <f>IFERROR(VLOOKUP(F83,'PRECIO MERCADO'!D:E,2,0),"0")</f>
        <v>27400000</v>
      </c>
      <c r="P83" s="10">
        <f>_xlfn.XLOOKUP(F83,BBDD!$S:$S,BBDD!$AO:$AO)</f>
        <v>26300000</v>
      </c>
      <c r="Q83" s="10">
        <f>_xlfn.XLOOKUP(F83,BBDD!$S:$S,BBDD!$AR:$AR)</f>
        <v>26823740</v>
      </c>
    </row>
    <row r="84" spans="1:17" ht="13.5" customHeight="1" x14ac:dyDescent="0.3">
      <c r="A84" s="20" t="s">
        <v>228</v>
      </c>
      <c r="B84" s="20" t="s">
        <v>229</v>
      </c>
      <c r="C84" s="20" t="s">
        <v>8687</v>
      </c>
      <c r="D84" s="20" t="s">
        <v>27</v>
      </c>
      <c r="E84" s="20">
        <v>2015</v>
      </c>
      <c r="F84" s="20" t="s">
        <v>230</v>
      </c>
      <c r="G84" s="20">
        <v>81</v>
      </c>
      <c r="H84" s="20">
        <v>96083</v>
      </c>
      <c r="I84" s="19" t="s">
        <v>5161</v>
      </c>
      <c r="J84" s="11" t="str">
        <f t="shared" si="1"/>
        <v>JUKEJUKE 1.6 AUT2015</v>
      </c>
      <c r="K84" s="12"/>
      <c r="L84" s="10">
        <f>_xlfn.XLOOKUP(F84,'PRECIO TOMA HISTORICO '!$A:$A,'PRECIO TOMA HISTORICO '!$B:$B,"",0,-1)</f>
        <v>6340000</v>
      </c>
      <c r="M84" s="9"/>
      <c r="N84" s="10">
        <f>_xlfn.XLOOKUP(F84,BBDD!$S:$S,BBDD!$AS:$AS)</f>
        <v>9890000</v>
      </c>
      <c r="O84" s="10">
        <f>IFERROR(VLOOKUP(F84,'PRECIO MERCADO'!D:E,2,0),"0")</f>
        <v>8800000</v>
      </c>
      <c r="P84" s="10">
        <f>_xlfn.XLOOKUP(F84,BBDD!$S:$S,BBDD!$AO:$AO)</f>
        <v>9300000</v>
      </c>
      <c r="Q84" s="10">
        <f>_xlfn.XLOOKUP(F84,BBDD!$S:$S,BBDD!$AR:$AR)</f>
        <v>10903570</v>
      </c>
    </row>
    <row r="85" spans="1:17" ht="13.5" customHeight="1" x14ac:dyDescent="0.3">
      <c r="A85" s="21" t="s">
        <v>228</v>
      </c>
      <c r="B85" s="20" t="s">
        <v>2904</v>
      </c>
      <c r="C85" s="20" t="s">
        <v>5871</v>
      </c>
      <c r="D85" s="20" t="s">
        <v>16</v>
      </c>
      <c r="E85" s="20">
        <v>2024</v>
      </c>
      <c r="F85" s="20" t="s">
        <v>5874</v>
      </c>
      <c r="G85" s="20">
        <v>21</v>
      </c>
      <c r="H85" s="20">
        <v>35000</v>
      </c>
      <c r="I85" s="19" t="s">
        <v>5161</v>
      </c>
      <c r="J85" s="11" t="str">
        <f t="shared" si="1"/>
        <v>PATHFINDERPATHFINDER R53 4X4 3.5 AUT2024</v>
      </c>
      <c r="K85" s="12"/>
      <c r="L85" s="10">
        <f>_xlfn.XLOOKUP(F85,'PRECIO TOMA HISTORICO '!$A:$A,'PRECIO TOMA HISTORICO '!$B:$B,"",0,-1)</f>
        <v>29300000</v>
      </c>
      <c r="M85" s="9"/>
      <c r="N85" s="10">
        <f>_xlfn.XLOOKUP(F85,BBDD!$S:$S,BBDD!$AS:$AS)</f>
        <v>35990000</v>
      </c>
      <c r="O85" s="10">
        <f>IFERROR(VLOOKUP(F85,'PRECIO MERCADO'!D:E,2,0),"0")</f>
        <v>36500000</v>
      </c>
      <c r="P85" s="10">
        <f>_xlfn.XLOOKUP(F85,BBDD!$S:$S,BBDD!$AO:$AO)</f>
        <v>29300000</v>
      </c>
      <c r="Q85" s="10">
        <f>_xlfn.XLOOKUP(F85,BBDD!$S:$S,BBDD!$AR:$AR)</f>
        <v>29868740</v>
      </c>
    </row>
    <row r="86" spans="1:17" ht="13.5" customHeight="1" x14ac:dyDescent="0.3">
      <c r="A86" s="21" t="s">
        <v>228</v>
      </c>
      <c r="B86" s="20" t="s">
        <v>231</v>
      </c>
      <c r="C86" s="20" t="s">
        <v>232</v>
      </c>
      <c r="D86" s="20" t="s">
        <v>27</v>
      </c>
      <c r="E86" s="20">
        <v>2023</v>
      </c>
      <c r="F86" s="20" t="s">
        <v>234</v>
      </c>
      <c r="G86" s="20">
        <v>196</v>
      </c>
      <c r="H86" s="20">
        <v>45000</v>
      </c>
      <c r="I86" s="19" t="s">
        <v>5161</v>
      </c>
      <c r="J86" s="11" t="str">
        <f t="shared" si="1"/>
        <v>QASHQAIQASHQAI TURBO 1.32023</v>
      </c>
      <c r="K86" s="12"/>
      <c r="L86" s="10">
        <f>_xlfn.XLOOKUP(F86,'PRECIO TOMA HISTORICO '!$A:$A,'PRECIO TOMA HISTORICO '!$B:$B,"",0,-1)</f>
        <v>15400000</v>
      </c>
      <c r="M86" s="9"/>
      <c r="N86" s="10">
        <f>_xlfn.XLOOKUP(F86,BBDD!$S:$S,BBDD!$AS:$AS)</f>
        <v>17390000</v>
      </c>
      <c r="O86" s="10">
        <f>IFERROR(VLOOKUP(F86,'PRECIO MERCADO'!D:E,2,0),"0")</f>
        <v>17400000</v>
      </c>
      <c r="P86" s="10">
        <f>_xlfn.XLOOKUP(F86,BBDD!$S:$S,BBDD!$AO:$AO)</f>
        <v>15400000</v>
      </c>
      <c r="Q86" s="10">
        <f>_xlfn.XLOOKUP(F86,BBDD!$S:$S,BBDD!$AR:$AR)</f>
        <v>15966967</v>
      </c>
    </row>
    <row r="87" spans="1:17" ht="13.5" customHeight="1" x14ac:dyDescent="0.3">
      <c r="A87" s="21" t="s">
        <v>228</v>
      </c>
      <c r="B87" s="21" t="s">
        <v>231</v>
      </c>
      <c r="C87" s="21" t="s">
        <v>232</v>
      </c>
      <c r="D87" s="21" t="s">
        <v>27</v>
      </c>
      <c r="E87" s="21">
        <v>2023</v>
      </c>
      <c r="F87" s="20" t="s">
        <v>235</v>
      </c>
      <c r="G87" s="20">
        <v>378</v>
      </c>
      <c r="H87" s="20">
        <v>45836</v>
      </c>
      <c r="I87" s="19" t="s">
        <v>5161</v>
      </c>
      <c r="J87" s="11" t="str">
        <f t="shared" si="1"/>
        <v>QASHQAIQASHQAI TURBO 1.32023</v>
      </c>
      <c r="K87" s="12"/>
      <c r="L87" s="10">
        <f>_xlfn.XLOOKUP(F87,'PRECIO TOMA HISTORICO '!$A:$A,'PRECIO TOMA HISTORICO '!$B:$B,"",0,-1)</f>
        <v>17500000</v>
      </c>
      <c r="M87" s="9"/>
      <c r="N87" s="10">
        <f>_xlfn.XLOOKUP(F87,BBDD!$S:$S,BBDD!$AS:$AS)</f>
        <v>17290000</v>
      </c>
      <c r="O87" s="10">
        <f>IFERROR(VLOOKUP(F87,'PRECIO MERCADO'!D:E,2,0),"0")</f>
        <v>17300000</v>
      </c>
      <c r="P87" s="10">
        <f>_xlfn.XLOOKUP(F87,BBDD!$S:$S,BBDD!$AO:$AO)</f>
        <v>17500000</v>
      </c>
      <c r="Q87" s="10">
        <f>_xlfn.XLOOKUP(F87,BBDD!$S:$S,BBDD!$AR:$AR)</f>
        <v>18098467</v>
      </c>
    </row>
    <row r="88" spans="1:17" ht="13.5" customHeight="1" x14ac:dyDescent="0.3">
      <c r="A88" s="21" t="s">
        <v>228</v>
      </c>
      <c r="B88" s="20" t="s">
        <v>236</v>
      </c>
      <c r="C88" s="20" t="s">
        <v>237</v>
      </c>
      <c r="D88" s="20" t="s">
        <v>27</v>
      </c>
      <c r="E88" s="20">
        <v>2020</v>
      </c>
      <c r="F88" s="20" t="s">
        <v>238</v>
      </c>
      <c r="G88" s="20">
        <v>128</v>
      </c>
      <c r="H88" s="20">
        <v>96000</v>
      </c>
      <c r="I88" s="19" t="s">
        <v>5161</v>
      </c>
      <c r="J88" s="11" t="str">
        <f t="shared" si="1"/>
        <v>SENTRASENTRA 1.8 AT2020</v>
      </c>
      <c r="K88" s="12"/>
      <c r="L88" s="10">
        <f>_xlfn.XLOOKUP(F88,'PRECIO TOMA HISTORICO '!$A:$A,'PRECIO TOMA HISTORICO '!$B:$B,"",0,-1)</f>
        <v>8500000</v>
      </c>
      <c r="M88" s="9"/>
      <c r="N88" s="10">
        <f>_xlfn.XLOOKUP(F88,BBDD!$S:$S,BBDD!$AS:$AS)</f>
        <v>10990000</v>
      </c>
      <c r="O88" s="10">
        <f>IFERROR(VLOOKUP(F88,'PRECIO MERCADO'!D:E,2,0),"0")</f>
        <v>11800000</v>
      </c>
      <c r="P88" s="10">
        <f>_xlfn.XLOOKUP(F88,BBDD!$S:$S,BBDD!$AO:$AO)</f>
        <v>8500000</v>
      </c>
      <c r="Q88" s="10">
        <f>_xlfn.XLOOKUP(F88,BBDD!$S:$S,BBDD!$AR:$AR)</f>
        <v>8753530</v>
      </c>
    </row>
    <row r="89" spans="1:17" ht="13.5" customHeight="1" x14ac:dyDescent="0.3">
      <c r="A89" s="21" t="s">
        <v>228</v>
      </c>
      <c r="B89" s="20" t="s">
        <v>4719</v>
      </c>
      <c r="C89" s="20" t="s">
        <v>4720</v>
      </c>
      <c r="D89" s="20" t="s">
        <v>27</v>
      </c>
      <c r="E89" s="20">
        <v>2023</v>
      </c>
      <c r="F89" s="20" t="s">
        <v>3370</v>
      </c>
      <c r="G89" s="20">
        <v>13</v>
      </c>
      <c r="H89" s="20">
        <v>71248</v>
      </c>
      <c r="I89" s="19" t="s">
        <v>5161</v>
      </c>
      <c r="J89" s="11" t="str">
        <f t="shared" si="1"/>
        <v>URVANURVAN 4X2 2.52023</v>
      </c>
      <c r="K89" s="12"/>
      <c r="L89" s="10">
        <f>_xlfn.XLOOKUP(F89,'PRECIO TOMA HISTORICO '!$A:$A,'PRECIO TOMA HISTORICO '!$B:$B,"",0,-1)</f>
        <v>15500000</v>
      </c>
      <c r="M89" s="9"/>
      <c r="N89" s="10">
        <f>_xlfn.XLOOKUP(F89,BBDD!$S:$S,BBDD!$AS:$AS)</f>
        <v>19990000</v>
      </c>
      <c r="O89" s="10">
        <f>IFERROR(VLOOKUP(F89,'PRECIO MERCADO'!D:E,2,0),"0")</f>
        <v>27600000</v>
      </c>
      <c r="P89" s="10">
        <f>_xlfn.XLOOKUP(F89,BBDD!$S:$S,BBDD!$AO:$AO)</f>
        <v>15500000</v>
      </c>
      <c r="Q89" s="10">
        <f>_xlfn.XLOOKUP(F89,BBDD!$S:$S,BBDD!$AR:$AR)</f>
        <v>15861740</v>
      </c>
    </row>
    <row r="90" spans="1:17" ht="13.5" customHeight="1" x14ac:dyDescent="0.3">
      <c r="A90" s="21" t="s">
        <v>228</v>
      </c>
      <c r="B90" s="20" t="s">
        <v>239</v>
      </c>
      <c r="C90" s="20" t="s">
        <v>240</v>
      </c>
      <c r="D90" s="20" t="s">
        <v>41</v>
      </c>
      <c r="E90" s="20">
        <v>2021</v>
      </c>
      <c r="F90" s="20" t="s">
        <v>241</v>
      </c>
      <c r="G90" s="20">
        <v>322</v>
      </c>
      <c r="H90" s="20">
        <v>85390</v>
      </c>
      <c r="I90" s="19" t="s">
        <v>5161</v>
      </c>
      <c r="J90" s="11" t="str">
        <f t="shared" si="1"/>
        <v>VERSAVERSA CVT 1.6 AUT2021</v>
      </c>
      <c r="K90" s="12"/>
      <c r="L90" s="10">
        <f>_xlfn.XLOOKUP(F90,'PRECIO TOMA HISTORICO '!$A:$A,'PRECIO TOMA HISTORICO '!$B:$B,"",0,-1)</f>
        <v>7700000</v>
      </c>
      <c r="M90" s="9"/>
      <c r="N90" s="10">
        <f>_xlfn.XLOOKUP(F90,BBDD!$S:$S,BBDD!$AS:$AS)</f>
        <v>9790000</v>
      </c>
      <c r="O90" s="10">
        <f>IFERROR(VLOOKUP(F90,'PRECIO MERCADO'!D:E,2,0),"0")</f>
        <v>9800000</v>
      </c>
      <c r="P90" s="10">
        <f>_xlfn.XLOOKUP(F90,BBDD!$S:$S,BBDD!$AO:$AO)</f>
        <v>7700000</v>
      </c>
      <c r="Q90" s="10">
        <f>_xlfn.XLOOKUP(F90,BBDD!$S:$S,BBDD!$AR:$AR)</f>
        <v>7941530</v>
      </c>
    </row>
    <row r="91" spans="1:17" ht="13.5" customHeight="1" x14ac:dyDescent="0.3">
      <c r="A91" s="21" t="s">
        <v>228</v>
      </c>
      <c r="B91" s="20" t="s">
        <v>242</v>
      </c>
      <c r="C91" s="20" t="s">
        <v>243</v>
      </c>
      <c r="D91" s="20" t="s">
        <v>27</v>
      </c>
      <c r="E91" s="20">
        <v>2024</v>
      </c>
      <c r="F91" s="20" t="s">
        <v>244</v>
      </c>
      <c r="G91" s="20">
        <v>127</v>
      </c>
      <c r="H91" s="20">
        <v>19000</v>
      </c>
      <c r="I91" s="19" t="s">
        <v>5161</v>
      </c>
      <c r="J91" s="11" t="str">
        <f t="shared" si="1"/>
        <v>XTRAILX TRAIL 4X2 7P CVT 2.52024</v>
      </c>
      <c r="K91" s="12"/>
      <c r="L91" s="10">
        <f>_xlfn.XLOOKUP(F91,'PRECIO TOMA HISTORICO '!$A:$A,'PRECIO TOMA HISTORICO '!$B:$B,"",0,-1)</f>
        <v>18500000</v>
      </c>
      <c r="M91" s="9"/>
      <c r="N91" s="10">
        <f>_xlfn.XLOOKUP(F91,BBDD!$S:$S,BBDD!$AS:$AS)</f>
        <v>21490000</v>
      </c>
      <c r="O91" s="10">
        <f>IFERROR(VLOOKUP(F91,'PRECIO MERCADO'!D:E,2,0),"0")</f>
        <v>23100000</v>
      </c>
      <c r="P91" s="10">
        <f>_xlfn.XLOOKUP(F91,BBDD!$S:$S,BBDD!$AO:$AO)</f>
        <v>18500000</v>
      </c>
      <c r="Q91" s="10">
        <f>_xlfn.XLOOKUP(F91,BBDD!$S:$S,BBDD!$AR:$AR)</f>
        <v>19189954</v>
      </c>
    </row>
    <row r="92" spans="1:17" ht="13.5" customHeight="1" x14ac:dyDescent="0.3">
      <c r="A92" s="21" t="s">
        <v>228</v>
      </c>
      <c r="B92" s="21" t="s">
        <v>242</v>
      </c>
      <c r="C92" s="20" t="s">
        <v>4738</v>
      </c>
      <c r="D92" s="20" t="s">
        <v>27</v>
      </c>
      <c r="E92" s="20">
        <v>2022</v>
      </c>
      <c r="F92" s="20" t="s">
        <v>8029</v>
      </c>
      <c r="G92" s="20">
        <v>9</v>
      </c>
      <c r="H92" s="20">
        <v>41227</v>
      </c>
      <c r="I92" s="19" t="s">
        <v>5161</v>
      </c>
      <c r="J92" s="11" t="str">
        <f t="shared" si="1"/>
        <v>XTRAILX TRAIL CVT 2.5 AT2022</v>
      </c>
      <c r="K92" s="12"/>
      <c r="L92" s="10">
        <f>_xlfn.XLOOKUP(F92,'PRECIO TOMA HISTORICO '!$A:$A,'PRECIO TOMA HISTORICO '!$B:$B,"",0,-1)</f>
        <v>12500000</v>
      </c>
      <c r="M92" s="9"/>
      <c r="N92" s="10">
        <f>_xlfn.XLOOKUP(F92,BBDD!$S:$S,BBDD!$AS:$AS)</f>
        <v>14990000</v>
      </c>
      <c r="O92" s="10">
        <f>IFERROR(VLOOKUP(F92,'PRECIO MERCADO'!D:E,2,0),"0")</f>
        <v>15300000</v>
      </c>
      <c r="P92" s="10">
        <f>_xlfn.XLOOKUP(F92,BBDD!$S:$S,BBDD!$AO:$AO)</f>
        <v>12500000</v>
      </c>
      <c r="Q92" s="10">
        <f>_xlfn.XLOOKUP(F92,BBDD!$S:$S,BBDD!$AR:$AR)</f>
        <v>12816740</v>
      </c>
    </row>
    <row r="93" spans="1:17" ht="13.5" customHeight="1" x14ac:dyDescent="0.3">
      <c r="A93" s="20" t="s">
        <v>245</v>
      </c>
      <c r="B93" s="20" t="s">
        <v>67</v>
      </c>
      <c r="C93" s="20" t="s">
        <v>246</v>
      </c>
      <c r="D93" s="20" t="s">
        <v>41</v>
      </c>
      <c r="E93" s="20">
        <v>2025</v>
      </c>
      <c r="F93" s="20" t="s">
        <v>247</v>
      </c>
      <c r="G93" s="20">
        <v>465</v>
      </c>
      <c r="H93" s="20">
        <v>1905</v>
      </c>
      <c r="I93" s="19" t="s">
        <v>5161</v>
      </c>
      <c r="J93" s="11" t="str">
        <f t="shared" si="1"/>
        <v>C5C5 1.5 AUT2025</v>
      </c>
      <c r="K93" s="12"/>
      <c r="L93" s="10">
        <f>_xlfn.XLOOKUP(F93,'PRECIO TOMA HISTORICO '!$A:$A,'PRECIO TOMA HISTORICO '!$B:$B,"",0,-1)</f>
        <v>10300000</v>
      </c>
      <c r="M93" s="9"/>
      <c r="N93" s="10">
        <f>_xlfn.XLOOKUP(F93,BBDD!$S:$S,BBDD!$AS:$AS)</f>
        <v>11290000</v>
      </c>
      <c r="O93" s="10">
        <f>IFERROR(VLOOKUP(F93,'PRECIO MERCADO'!D:E,2,0),"0")</f>
        <v>12800000</v>
      </c>
      <c r="P93" s="10">
        <f>_xlfn.XLOOKUP(F93,BBDD!$S:$S,BBDD!$AO:$AO)</f>
        <v>10300000</v>
      </c>
      <c r="Q93" s="10">
        <f>_xlfn.XLOOKUP(F93,BBDD!$S:$S,BBDD!$AR:$AR)</f>
        <v>10580530</v>
      </c>
    </row>
    <row r="94" spans="1:17" ht="13.5" customHeight="1" x14ac:dyDescent="0.3">
      <c r="A94" s="20" t="s">
        <v>249</v>
      </c>
      <c r="B94" s="20" t="s">
        <v>4769</v>
      </c>
      <c r="C94" s="20" t="s">
        <v>4771</v>
      </c>
      <c r="D94" s="20" t="s">
        <v>21</v>
      </c>
      <c r="E94" s="20">
        <v>2025</v>
      </c>
      <c r="F94" s="20" t="s">
        <v>340</v>
      </c>
      <c r="G94" s="20">
        <v>21</v>
      </c>
      <c r="H94" s="20">
        <v>22000</v>
      </c>
      <c r="I94" s="19" t="s">
        <v>5161</v>
      </c>
      <c r="J94" s="11" t="str">
        <f t="shared" si="1"/>
        <v>20082008 ACTIVE 130 1.22025</v>
      </c>
      <c r="K94" s="12"/>
      <c r="L94" s="10">
        <f>_xlfn.XLOOKUP(F94,'PRECIO TOMA HISTORICO '!$A:$A,'PRECIO TOMA HISTORICO '!$B:$B,"",0,-1)</f>
        <v>12246151</v>
      </c>
      <c r="M94" s="9"/>
      <c r="N94" s="10">
        <f>_xlfn.XLOOKUP(F94,BBDD!$S:$S,BBDD!$AS:$AS)</f>
        <v>14990000</v>
      </c>
      <c r="O94" s="10">
        <f>IFERROR(VLOOKUP(F94,'PRECIO MERCADO'!D:E,2,0),"0")</f>
        <v>14400000</v>
      </c>
      <c r="P94" s="10">
        <f>_xlfn.XLOOKUP(F94,BBDD!$S:$S,BBDD!$AO:$AO)</f>
        <v>12246151</v>
      </c>
      <c r="Q94" s="10">
        <f>_xlfn.XLOOKUP(F94,BBDD!$S:$S,BBDD!$AR:$AR)</f>
        <v>12559083</v>
      </c>
    </row>
    <row r="95" spans="1:17" ht="13.5" customHeight="1" x14ac:dyDescent="0.3">
      <c r="A95" s="21" t="s">
        <v>249</v>
      </c>
      <c r="B95" s="20" t="s">
        <v>4804</v>
      </c>
      <c r="C95" s="20" t="s">
        <v>253</v>
      </c>
      <c r="D95" s="20" t="s">
        <v>41</v>
      </c>
      <c r="E95" s="20">
        <v>2018</v>
      </c>
      <c r="F95" s="20" t="s">
        <v>254</v>
      </c>
      <c r="G95" s="20">
        <v>161</v>
      </c>
      <c r="H95" s="20">
        <v>95984</v>
      </c>
      <c r="I95" s="19" t="s">
        <v>5161</v>
      </c>
      <c r="J95" s="11" t="str">
        <f t="shared" si="1"/>
        <v>30083008 ACTIVE 1.62018</v>
      </c>
      <c r="K95" s="12"/>
      <c r="L95" s="10">
        <f>_xlfn.XLOOKUP(F95,'PRECIO TOMA HISTORICO '!$A:$A,'PRECIO TOMA HISTORICO '!$B:$B,"",0,-1)</f>
        <v>8800000</v>
      </c>
      <c r="M95" s="9"/>
      <c r="N95" s="10">
        <f>_xlfn.XLOOKUP(F95,BBDD!$S:$S,BBDD!$AS:$AS)</f>
        <v>10490000</v>
      </c>
      <c r="O95" s="10">
        <f>IFERROR(VLOOKUP(F95,'PRECIO MERCADO'!D:E,2,0),"0")</f>
        <v>12000000</v>
      </c>
      <c r="P95" s="10">
        <f>_xlfn.XLOOKUP(F95,BBDD!$S:$S,BBDD!$AO:$AO)</f>
        <v>8800000</v>
      </c>
      <c r="Q95" s="10">
        <f>_xlfn.XLOOKUP(F95,BBDD!$S:$S,BBDD!$AR:$AR)</f>
        <v>9058030</v>
      </c>
    </row>
    <row r="96" spans="1:17" ht="13.5" customHeight="1" x14ac:dyDescent="0.3">
      <c r="A96" s="21" t="s">
        <v>249</v>
      </c>
      <c r="B96" s="21" t="s">
        <v>4804</v>
      </c>
      <c r="C96" s="20" t="s">
        <v>255</v>
      </c>
      <c r="D96" s="20" t="s">
        <v>27</v>
      </c>
      <c r="E96" s="20">
        <v>2025</v>
      </c>
      <c r="F96" s="20" t="s">
        <v>256</v>
      </c>
      <c r="G96" s="20">
        <v>253</v>
      </c>
      <c r="H96" s="20">
        <v>4687</v>
      </c>
      <c r="I96" s="19" t="s">
        <v>5161</v>
      </c>
      <c r="J96" s="11" t="str">
        <f t="shared" si="1"/>
        <v>30083008 ALLURE 1.2 AUT2025</v>
      </c>
      <c r="K96" s="12"/>
      <c r="L96" s="10">
        <f>_xlfn.XLOOKUP(F96,'PRECIO TOMA HISTORICO '!$A:$A,'PRECIO TOMA HISTORICO '!$B:$B,"",0,-1)</f>
        <v>28490000</v>
      </c>
      <c r="M96" s="9"/>
      <c r="N96" s="10">
        <f>_xlfn.XLOOKUP(F96,BBDD!$S:$S,BBDD!$AS:$AS)</f>
        <v>23890000</v>
      </c>
      <c r="O96" s="10">
        <f>IFERROR(VLOOKUP(F96,'PRECIO MERCADO'!D:E,2,0),"0")</f>
        <v>23900000</v>
      </c>
      <c r="P96" s="10">
        <f>_xlfn.XLOOKUP(F96,BBDD!$S:$S,BBDD!$AO:$AO)</f>
        <v>28490000</v>
      </c>
      <c r="Q96" s="10">
        <f>_xlfn.XLOOKUP(F96,BBDD!$S:$S,BBDD!$AR:$AR)</f>
        <v>29404223</v>
      </c>
    </row>
    <row r="97" spans="1:17" ht="13.5" customHeight="1" x14ac:dyDescent="0.3">
      <c r="A97" s="21" t="s">
        <v>249</v>
      </c>
      <c r="B97" s="21" t="s">
        <v>4804</v>
      </c>
      <c r="C97" s="20" t="s">
        <v>8622</v>
      </c>
      <c r="D97" s="20" t="s">
        <v>41</v>
      </c>
      <c r="E97" s="20">
        <v>2018</v>
      </c>
      <c r="F97" s="20" t="s">
        <v>257</v>
      </c>
      <c r="G97" s="20">
        <v>1576</v>
      </c>
      <c r="H97" s="20">
        <v>120000</v>
      </c>
      <c r="I97" s="19" t="s">
        <v>5161</v>
      </c>
      <c r="J97" s="11" t="str">
        <f t="shared" si="1"/>
        <v>30083008 ALLURE 1.6 AT2018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14390000</v>
      </c>
      <c r="O97" s="10">
        <f>IFERROR(VLOOKUP(F97,'PRECIO MERCADO'!D:E,2,0),"0")</f>
        <v>12200000</v>
      </c>
      <c r="P97" s="10">
        <f>_xlfn.XLOOKUP(F97,BBDD!$S:$S,BBDD!$AO:$AO)</f>
        <v>17650000</v>
      </c>
      <c r="Q97" s="10">
        <f>_xlfn.XLOOKUP(F97,BBDD!$S:$S,BBDD!$AR:$AR)</f>
        <v>18403678</v>
      </c>
    </row>
    <row r="98" spans="1:17" ht="13.5" customHeight="1" x14ac:dyDescent="0.3">
      <c r="A98" s="21" t="s">
        <v>249</v>
      </c>
      <c r="B98" s="21" t="s">
        <v>4804</v>
      </c>
      <c r="C98" s="20" t="s">
        <v>260</v>
      </c>
      <c r="D98" s="20" t="s">
        <v>41</v>
      </c>
      <c r="E98" s="20">
        <v>2020</v>
      </c>
      <c r="F98" s="20" t="s">
        <v>261</v>
      </c>
      <c r="G98" s="20">
        <v>1502</v>
      </c>
      <c r="H98" s="20">
        <v>31000</v>
      </c>
      <c r="I98" s="19" t="s">
        <v>5161</v>
      </c>
      <c r="J98" s="11" t="str">
        <f t="shared" si="1"/>
        <v>30083008 BLUE HDI HP 1.5 AUT2020</v>
      </c>
      <c r="K98" s="12"/>
      <c r="L98" s="10" t="str">
        <f>_xlfn.XLOOKUP(F98,'PRECIO TOMA HISTORICO '!$A:$A,'PRECIO TOMA HISTORICO '!$B:$B,"",0,-1)</f>
        <v/>
      </c>
      <c r="M98" s="9"/>
      <c r="N98" s="10">
        <f>_xlfn.XLOOKUP(F98,BBDD!$S:$S,BBDD!$AS:$AS)</f>
        <v>14990000</v>
      </c>
      <c r="O98" s="10">
        <f>IFERROR(VLOOKUP(F98,'PRECIO MERCADO'!D:E,2,0),"0")</f>
        <v>15000000</v>
      </c>
      <c r="P98" s="10">
        <f>_xlfn.XLOOKUP(F98,BBDD!$S:$S,BBDD!$AO:$AO)</f>
        <v>20000000</v>
      </c>
      <c r="Q98" s="10">
        <f>_xlfn.XLOOKUP(F98,BBDD!$S:$S,BBDD!$AR:$AR)</f>
        <v>21051072</v>
      </c>
    </row>
    <row r="99" spans="1:17" ht="13.5" customHeight="1" x14ac:dyDescent="0.3">
      <c r="A99" s="21" t="s">
        <v>249</v>
      </c>
      <c r="B99" s="21" t="s">
        <v>4804</v>
      </c>
      <c r="C99" s="20" t="s">
        <v>262</v>
      </c>
      <c r="D99" s="20" t="s">
        <v>27</v>
      </c>
      <c r="E99" s="20">
        <v>2023</v>
      </c>
      <c r="F99" s="20" t="s">
        <v>263</v>
      </c>
      <c r="G99" s="20">
        <v>255</v>
      </c>
      <c r="H99" s="20">
        <v>45360</v>
      </c>
      <c r="I99" s="19" t="s">
        <v>5161</v>
      </c>
      <c r="J99" s="11" t="str">
        <f t="shared" si="1"/>
        <v>30083008 PURETECH 1.2L2023</v>
      </c>
      <c r="K99" s="12"/>
      <c r="L99" s="10">
        <f>_xlfn.XLOOKUP(F99,'PRECIO TOMA HISTORICO '!$A:$A,'PRECIO TOMA HISTORICO '!$B:$B,"",0,-1)</f>
        <v>12100000</v>
      </c>
      <c r="M99" s="9"/>
      <c r="N99" s="10">
        <f>_xlfn.XLOOKUP(F99,BBDD!$S:$S,BBDD!$AS:$AS)</f>
        <v>13990000</v>
      </c>
      <c r="O99" s="10">
        <f>IFERROR(VLOOKUP(F99,'PRECIO MERCADO'!D:E,2,0),"0")</f>
        <v>14500000</v>
      </c>
      <c r="P99" s="10">
        <f>_xlfn.XLOOKUP(F99,BBDD!$S:$S,BBDD!$AO:$AO)</f>
        <v>12100000</v>
      </c>
      <c r="Q99" s="10">
        <f>_xlfn.XLOOKUP(F99,BBDD!$S:$S,BBDD!$AR:$AR)</f>
        <v>12407530</v>
      </c>
    </row>
    <row r="100" spans="1:17" ht="13.5" customHeight="1" x14ac:dyDescent="0.3">
      <c r="A100" s="21" t="s">
        <v>249</v>
      </c>
      <c r="B100" s="21" t="s">
        <v>4804</v>
      </c>
      <c r="C100" s="21" t="s">
        <v>262</v>
      </c>
      <c r="D100" s="20" t="s">
        <v>16</v>
      </c>
      <c r="E100" s="20">
        <v>2023</v>
      </c>
      <c r="F100" s="20" t="s">
        <v>265</v>
      </c>
      <c r="G100" s="20">
        <v>36</v>
      </c>
      <c r="H100" s="20">
        <v>18500</v>
      </c>
      <c r="I100" s="19" t="s">
        <v>5161</v>
      </c>
      <c r="J100" s="11" t="str">
        <f t="shared" si="1"/>
        <v>30083008 PURETECH 1.2L2023</v>
      </c>
      <c r="K100" s="12"/>
      <c r="L100" s="10">
        <f>_xlfn.XLOOKUP(F100,'PRECIO TOMA HISTORICO '!$A:$A,'PRECIO TOMA HISTORICO '!$B:$B,"",0,-1)</f>
        <v>11200000</v>
      </c>
      <c r="M100" s="9"/>
      <c r="N100" s="10">
        <f>_xlfn.XLOOKUP(F100,BBDD!$S:$S,BBDD!$AS:$AS)</f>
        <v>13690000</v>
      </c>
      <c r="O100" s="10">
        <f>IFERROR(VLOOKUP(F100,'PRECIO MERCADO'!D:E,2,0),"0")</f>
        <v>14400000</v>
      </c>
      <c r="P100" s="10">
        <f>_xlfn.XLOOKUP(F100,BBDD!$S:$S,BBDD!$AO:$AO)</f>
        <v>11200000</v>
      </c>
      <c r="Q100" s="10">
        <f>_xlfn.XLOOKUP(F100,BBDD!$S:$S,BBDD!$AR:$AR)</f>
        <v>11497240</v>
      </c>
    </row>
    <row r="101" spans="1:17" ht="13.5" customHeight="1" x14ac:dyDescent="0.3">
      <c r="A101" s="21" t="s">
        <v>249</v>
      </c>
      <c r="B101" s="21" t="s">
        <v>4804</v>
      </c>
      <c r="C101" s="20" t="s">
        <v>266</v>
      </c>
      <c r="D101" s="20" t="s">
        <v>27</v>
      </c>
      <c r="E101" s="20">
        <v>2023</v>
      </c>
      <c r="F101" s="20" t="s">
        <v>267</v>
      </c>
      <c r="G101" s="20">
        <v>195</v>
      </c>
      <c r="H101" s="20">
        <v>25000</v>
      </c>
      <c r="I101" s="19" t="s">
        <v>5161</v>
      </c>
      <c r="J101" s="11" t="str">
        <f t="shared" si="1"/>
        <v>30083008 THP 165HP 1.6 AUT2023</v>
      </c>
      <c r="K101" s="12"/>
      <c r="L101" s="10">
        <f>_xlfn.XLOOKUP(F101,'PRECIO TOMA HISTORICO '!$A:$A,'PRECIO TOMA HISTORICO '!$B:$B,"",0,-1)</f>
        <v>16000000</v>
      </c>
      <c r="M101" s="9"/>
      <c r="N101" s="10">
        <f>_xlfn.XLOOKUP(F101,BBDD!$S:$S,BBDD!$AS:$AS)</f>
        <v>16990000</v>
      </c>
      <c r="O101" s="10">
        <f>IFERROR(VLOOKUP(F101,'PRECIO MERCADO'!D:E,2,0),"0")</f>
        <v>18200000</v>
      </c>
      <c r="P101" s="10">
        <f>_xlfn.XLOOKUP(F101,BBDD!$S:$S,BBDD!$AO:$AO)</f>
        <v>16000000</v>
      </c>
      <c r="Q101" s="10">
        <f>_xlfn.XLOOKUP(F101,BBDD!$S:$S,BBDD!$AR:$AR)</f>
        <v>16366030</v>
      </c>
    </row>
    <row r="102" spans="1:17" ht="13.5" customHeight="1" x14ac:dyDescent="0.3">
      <c r="A102" s="21" t="s">
        <v>249</v>
      </c>
      <c r="B102" s="21" t="s">
        <v>4804</v>
      </c>
      <c r="C102" s="21" t="s">
        <v>266</v>
      </c>
      <c r="D102" s="20" t="s">
        <v>16</v>
      </c>
      <c r="E102" s="20">
        <v>2023</v>
      </c>
      <c r="F102" s="20" t="s">
        <v>269</v>
      </c>
      <c r="G102" s="20">
        <v>67</v>
      </c>
      <c r="H102" s="20">
        <v>63000</v>
      </c>
      <c r="I102" s="19" t="s">
        <v>5161</v>
      </c>
      <c r="J102" s="11" t="str">
        <f t="shared" si="1"/>
        <v>30083008 THP 165HP 1.6 AUT2023</v>
      </c>
      <c r="K102" s="12"/>
      <c r="L102" s="10">
        <f>_xlfn.XLOOKUP(F102,'PRECIO TOMA HISTORICO '!$A:$A,'PRECIO TOMA HISTORICO '!$B:$B,"",0,-1)</f>
        <v>14000000</v>
      </c>
      <c r="M102" s="9"/>
      <c r="N102" s="10">
        <f>_xlfn.XLOOKUP(F102,BBDD!$S:$S,BBDD!$AS:$AS)</f>
        <v>16490000</v>
      </c>
      <c r="O102" s="10">
        <f>IFERROR(VLOOKUP(F102,'PRECIO MERCADO'!D:E,2,0),"0")</f>
        <v>17700000</v>
      </c>
      <c r="P102" s="10">
        <f>_xlfn.XLOOKUP(F102,BBDD!$S:$S,BBDD!$AO:$AO)</f>
        <v>14000000</v>
      </c>
      <c r="Q102" s="10">
        <f>_xlfn.XLOOKUP(F102,BBDD!$S:$S,BBDD!$AR:$AR)</f>
        <v>14339240</v>
      </c>
    </row>
    <row r="103" spans="1:17" ht="13.5" customHeight="1" x14ac:dyDescent="0.3">
      <c r="A103" s="21" t="s">
        <v>249</v>
      </c>
      <c r="B103" s="20" t="s">
        <v>4840</v>
      </c>
      <c r="C103" s="20" t="s">
        <v>270</v>
      </c>
      <c r="D103" s="20" t="s">
        <v>27</v>
      </c>
      <c r="E103" s="20">
        <v>2021</v>
      </c>
      <c r="F103" s="20" t="s">
        <v>271</v>
      </c>
      <c r="G103" s="20">
        <v>74</v>
      </c>
      <c r="H103" s="20">
        <v>77000</v>
      </c>
      <c r="I103" s="19" t="s">
        <v>5161</v>
      </c>
      <c r="J103" s="11" t="str">
        <f t="shared" si="1"/>
        <v>50085008 BLUEHDI 130 1.5 AUT2021</v>
      </c>
      <c r="K103" s="12"/>
      <c r="L103" s="10">
        <f>_xlfn.XLOOKUP(F103,'PRECIO TOMA HISTORICO '!$A:$A,'PRECIO TOMA HISTORICO '!$B:$B,"",0,-1)</f>
        <v>14600000</v>
      </c>
      <c r="M103" s="9"/>
      <c r="N103" s="10">
        <f>_xlfn.XLOOKUP(F103,BBDD!$S:$S,BBDD!$AS:$AS)</f>
        <v>16490000</v>
      </c>
      <c r="O103" s="10">
        <f>IFERROR(VLOOKUP(F103,'PRECIO MERCADO'!D:E,2,0),"0")</f>
        <v>17800000</v>
      </c>
      <c r="P103" s="10">
        <f>_xlfn.XLOOKUP(F103,BBDD!$S:$S,BBDD!$AO:$AO)</f>
        <v>14600000</v>
      </c>
      <c r="Q103" s="10">
        <f>_xlfn.XLOOKUP(F103,BBDD!$S:$S,BBDD!$AR:$AR)</f>
        <v>14948240</v>
      </c>
    </row>
    <row r="104" spans="1:17" ht="13.5" customHeight="1" x14ac:dyDescent="0.3">
      <c r="A104" s="21" t="s">
        <v>249</v>
      </c>
      <c r="B104" s="21" t="s">
        <v>4840</v>
      </c>
      <c r="C104" s="21" t="s">
        <v>270</v>
      </c>
      <c r="D104" s="21" t="s">
        <v>27</v>
      </c>
      <c r="E104" s="20">
        <v>2023</v>
      </c>
      <c r="F104" s="20" t="s">
        <v>272</v>
      </c>
      <c r="G104" s="20">
        <v>211</v>
      </c>
      <c r="H104" s="20">
        <v>66999</v>
      </c>
      <c r="I104" s="19" t="s">
        <v>5161</v>
      </c>
      <c r="J104" s="11" t="str">
        <f t="shared" si="1"/>
        <v>50085008 BLUEHDI 130 1.5 AUT2023</v>
      </c>
      <c r="K104" s="12"/>
      <c r="L104" s="10">
        <f>_xlfn.XLOOKUP(F104,'PRECIO TOMA HISTORICO '!$A:$A,'PRECIO TOMA HISTORICO '!$B:$B,"",0,-1)</f>
        <v>19800000</v>
      </c>
      <c r="M104" s="9"/>
      <c r="N104" s="10">
        <f>_xlfn.XLOOKUP(F104,BBDD!$S:$S,BBDD!$AS:$AS)</f>
        <v>22690000</v>
      </c>
      <c r="O104" s="10">
        <f>IFERROR(VLOOKUP(F104,'PRECIO MERCADO'!D:E,2,0),"0")</f>
        <v>23600000</v>
      </c>
      <c r="P104" s="10">
        <f>_xlfn.XLOOKUP(F104,BBDD!$S:$S,BBDD!$AO:$AO)</f>
        <v>19800000</v>
      </c>
      <c r="Q104" s="10">
        <f>_xlfn.XLOOKUP(F104,BBDD!$S:$S,BBDD!$AR:$AR)</f>
        <v>20223030</v>
      </c>
    </row>
    <row r="105" spans="1:17" ht="13.5" customHeight="1" x14ac:dyDescent="0.3">
      <c r="A105" s="21" t="s">
        <v>249</v>
      </c>
      <c r="B105" s="21" t="s">
        <v>4840</v>
      </c>
      <c r="C105" s="21" t="s">
        <v>270</v>
      </c>
      <c r="D105" s="21" t="s">
        <v>27</v>
      </c>
      <c r="E105" s="20">
        <v>2025</v>
      </c>
      <c r="F105" s="20" t="s">
        <v>273</v>
      </c>
      <c r="G105" s="20">
        <v>72</v>
      </c>
      <c r="H105" s="20">
        <v>20000</v>
      </c>
      <c r="I105" s="19" t="s">
        <v>5161</v>
      </c>
      <c r="J105" s="11" t="str">
        <f t="shared" si="1"/>
        <v>50085008 BLUEHDI 130 1.5 AUT2025</v>
      </c>
      <c r="K105" s="12"/>
      <c r="L105" s="10">
        <f>_xlfn.XLOOKUP(F105,'PRECIO TOMA HISTORICO '!$A:$A,'PRECIO TOMA HISTORICO '!$B:$B,"",0,-1)</f>
        <v>23500000</v>
      </c>
      <c r="M105" s="9"/>
      <c r="N105" s="10">
        <f>_xlfn.XLOOKUP(F105,BBDD!$S:$S,BBDD!$AS:$AS)</f>
        <v>26990000</v>
      </c>
      <c r="O105" s="10">
        <f>IFERROR(VLOOKUP(F105,'PRECIO MERCADO'!D:E,2,0),"0")</f>
        <v>27400000</v>
      </c>
      <c r="P105" s="10">
        <f>_xlfn.XLOOKUP(F105,BBDD!$S:$S,BBDD!$AO:$AO)</f>
        <v>23500000</v>
      </c>
      <c r="Q105" s="10">
        <f>_xlfn.XLOOKUP(F105,BBDD!$S:$S,BBDD!$AR:$AR)</f>
        <v>23981740</v>
      </c>
    </row>
    <row r="106" spans="1:17" ht="13.5" customHeight="1" x14ac:dyDescent="0.3">
      <c r="A106" s="21" t="s">
        <v>249</v>
      </c>
      <c r="B106" s="21" t="s">
        <v>4840</v>
      </c>
      <c r="C106" s="20" t="s">
        <v>274</v>
      </c>
      <c r="D106" s="20" t="s">
        <v>21</v>
      </c>
      <c r="E106" s="20">
        <v>2023</v>
      </c>
      <c r="F106" s="20" t="s">
        <v>275</v>
      </c>
      <c r="G106" s="20">
        <v>127</v>
      </c>
      <c r="H106" s="20">
        <v>76000</v>
      </c>
      <c r="I106" s="19" t="s">
        <v>5161</v>
      </c>
      <c r="J106" s="11" t="str">
        <f t="shared" si="1"/>
        <v>50085008 PURETECH 180 EAT8 1.6 AUT2023</v>
      </c>
      <c r="K106" s="12"/>
      <c r="L106" s="10">
        <f>_xlfn.XLOOKUP(F106,'PRECIO TOMA HISTORICO '!$A:$A,'PRECIO TOMA HISTORICO '!$B:$B,"",0,-1)</f>
        <v>16500000</v>
      </c>
      <c r="M106" s="9"/>
      <c r="N106" s="10">
        <f>_xlfn.XLOOKUP(F106,BBDD!$S:$S,BBDD!$AS:$AS)</f>
        <v>19290000</v>
      </c>
      <c r="O106" s="10">
        <f>IFERROR(VLOOKUP(F106,'PRECIO MERCADO'!D:E,2,0),"0")</f>
        <v>22800000</v>
      </c>
      <c r="P106" s="10">
        <f>_xlfn.XLOOKUP(F106,BBDD!$S:$S,BBDD!$AO:$AO)</f>
        <v>16500000</v>
      </c>
      <c r="Q106" s="10">
        <f>_xlfn.XLOOKUP(F106,BBDD!$S:$S,BBDD!$AR:$AR)</f>
        <v>16873530</v>
      </c>
    </row>
    <row r="107" spans="1:17" ht="13.5" customHeight="1" x14ac:dyDescent="0.3">
      <c r="A107" s="21" t="s">
        <v>249</v>
      </c>
      <c r="B107" s="21" t="s">
        <v>4840</v>
      </c>
      <c r="C107" s="21" t="s">
        <v>274</v>
      </c>
      <c r="D107" s="20" t="s">
        <v>27</v>
      </c>
      <c r="E107" s="20">
        <v>2023</v>
      </c>
      <c r="F107" s="20" t="s">
        <v>276</v>
      </c>
      <c r="G107" s="20">
        <v>318</v>
      </c>
      <c r="H107" s="20">
        <v>28000</v>
      </c>
      <c r="I107" s="19" t="s">
        <v>5161</v>
      </c>
      <c r="J107" s="11" t="str">
        <f t="shared" si="1"/>
        <v>50085008 PURETECH 180 EAT8 1.6 AUT2023</v>
      </c>
      <c r="K107" s="12"/>
      <c r="L107" s="10">
        <f>_xlfn.XLOOKUP(F107,'PRECIO TOMA HISTORICO '!$A:$A,'PRECIO TOMA HISTORICO '!$B:$B,"",0,-1)</f>
        <v>20600000</v>
      </c>
      <c r="M107" s="9"/>
      <c r="N107" s="10">
        <f>_xlfn.XLOOKUP(F107,BBDD!$S:$S,BBDD!$AS:$AS)</f>
        <v>19990000</v>
      </c>
      <c r="O107" s="10">
        <f>IFERROR(VLOOKUP(F107,'PRECIO MERCADO'!D:E,2,0),"0")</f>
        <v>24900000</v>
      </c>
      <c r="P107" s="10">
        <f>_xlfn.XLOOKUP(F107,BBDD!$S:$S,BBDD!$AO:$AO)</f>
        <v>20600000</v>
      </c>
      <c r="Q107" s="10">
        <f>_xlfn.XLOOKUP(F107,BBDD!$S:$S,BBDD!$AR:$AR)</f>
        <v>21035030</v>
      </c>
    </row>
    <row r="108" spans="1:17" ht="13.5" customHeight="1" x14ac:dyDescent="0.3">
      <c r="A108" s="21" t="s">
        <v>249</v>
      </c>
      <c r="B108" s="20" t="s">
        <v>277</v>
      </c>
      <c r="C108" s="20" t="s">
        <v>278</v>
      </c>
      <c r="D108" s="20" t="s">
        <v>34</v>
      </c>
      <c r="E108" s="20">
        <v>2023</v>
      </c>
      <c r="F108" s="20" t="s">
        <v>279</v>
      </c>
      <c r="G108" s="20">
        <v>288</v>
      </c>
      <c r="H108" s="20">
        <v>67000</v>
      </c>
      <c r="I108" s="19" t="s">
        <v>5161</v>
      </c>
      <c r="J108" s="11" t="str">
        <f t="shared" si="1"/>
        <v>LANDTREKLANDTREK 1.92023</v>
      </c>
      <c r="K108" s="12"/>
      <c r="L108" s="10">
        <f>_xlfn.XLOOKUP(F108,'PRECIO TOMA HISTORICO '!$A:$A,'PRECIO TOMA HISTORICO '!$B:$B,"",0,-1)</f>
        <v>14000000</v>
      </c>
      <c r="M108" s="9"/>
      <c r="N108" s="10">
        <f>_xlfn.XLOOKUP(F108,BBDD!$S:$S,BBDD!$AS:$AS)</f>
        <v>13750000</v>
      </c>
      <c r="O108" s="10">
        <f>IFERROR(VLOOKUP(F108,'PRECIO MERCADO'!D:E,2,0),"0")</f>
        <v>15300000</v>
      </c>
      <c r="P108" s="10">
        <f>_xlfn.XLOOKUP(F108,BBDD!$S:$S,BBDD!$AO:$AO)</f>
        <v>14000000</v>
      </c>
      <c r="Q108" s="10">
        <f>_xlfn.XLOOKUP(F108,BBDD!$S:$S,BBDD!$AR:$AR)</f>
        <v>14336030</v>
      </c>
    </row>
    <row r="109" spans="1:17" ht="13.5" customHeight="1" x14ac:dyDescent="0.3">
      <c r="A109" s="21" t="s">
        <v>249</v>
      </c>
      <c r="B109" s="21" t="s">
        <v>277</v>
      </c>
      <c r="C109" s="20" t="s">
        <v>280</v>
      </c>
      <c r="D109" s="20" t="s">
        <v>21</v>
      </c>
      <c r="E109" s="20">
        <v>2024</v>
      </c>
      <c r="F109" s="20" t="s">
        <v>281</v>
      </c>
      <c r="G109" s="20">
        <v>67</v>
      </c>
      <c r="H109" s="20">
        <v>29570</v>
      </c>
      <c r="I109" s="19" t="s">
        <v>5161</v>
      </c>
      <c r="J109" s="11" t="str">
        <f t="shared" si="1"/>
        <v>LANDTREKLANDTREK BLUEHDI 4X4 2.2 AUT2024</v>
      </c>
      <c r="K109" s="12"/>
      <c r="L109" s="10">
        <f>_xlfn.XLOOKUP(F109,'PRECIO TOMA HISTORICO '!$A:$A,'PRECIO TOMA HISTORICO '!$B:$B,"",0,-1)</f>
        <v>16000000</v>
      </c>
      <c r="M109" s="9"/>
      <c r="N109" s="10">
        <f>_xlfn.XLOOKUP(F109,BBDD!$S:$S,BBDD!$AS:$AS)</f>
        <v>19990000</v>
      </c>
      <c r="O109" s="10">
        <f>IFERROR(VLOOKUP(F109,'PRECIO MERCADO'!D:E,2,0),"0")</f>
        <v>21500000</v>
      </c>
      <c r="P109" s="10">
        <f>_xlfn.XLOOKUP(F109,BBDD!$S:$S,BBDD!$AO:$AO)</f>
        <v>16000000</v>
      </c>
      <c r="Q109" s="10">
        <f>_xlfn.XLOOKUP(F109,BBDD!$S:$S,BBDD!$AR:$AR)</f>
        <v>16369240</v>
      </c>
    </row>
    <row r="110" spans="1:17" ht="13.5" customHeight="1" x14ac:dyDescent="0.3">
      <c r="A110" s="21" t="s">
        <v>249</v>
      </c>
      <c r="B110" s="21" t="s">
        <v>277</v>
      </c>
      <c r="C110" s="21" t="s">
        <v>280</v>
      </c>
      <c r="D110" s="20" t="s">
        <v>27</v>
      </c>
      <c r="E110" s="20">
        <v>2025</v>
      </c>
      <c r="F110" s="20" t="s">
        <v>282</v>
      </c>
      <c r="G110" s="20">
        <v>253</v>
      </c>
      <c r="H110" s="20">
        <v>5800</v>
      </c>
      <c r="I110" s="19" t="s">
        <v>5161</v>
      </c>
      <c r="J110" s="11" t="str">
        <f t="shared" si="1"/>
        <v>LANDTREKLANDTREK BLUEHDI 4X4 2.2 AUT2025</v>
      </c>
      <c r="K110" s="12"/>
      <c r="L110" s="10">
        <f>_xlfn.XLOOKUP(F110,'PRECIO TOMA HISTORICO '!$A:$A,'PRECIO TOMA HISTORICO '!$B:$B,"",0,-1)</f>
        <v>27929100</v>
      </c>
      <c r="M110" s="9"/>
      <c r="N110" s="10">
        <f>_xlfn.XLOOKUP(F110,BBDD!$S:$S,BBDD!$AS:$AS)</f>
        <v>20990000</v>
      </c>
      <c r="O110" s="10">
        <f>IFERROR(VLOOKUP(F110,'PRECIO MERCADO'!D:E,2,0),"0")</f>
        <v>22900000</v>
      </c>
      <c r="P110" s="10">
        <f>_xlfn.XLOOKUP(F110,BBDD!$S:$S,BBDD!$AO:$AO)</f>
        <v>27929100</v>
      </c>
      <c r="Q110" s="10">
        <f>_xlfn.XLOOKUP(F110,BBDD!$S:$S,BBDD!$AR:$AR)</f>
        <v>28847714</v>
      </c>
    </row>
    <row r="111" spans="1:17" ht="13.5" customHeight="1" x14ac:dyDescent="0.3">
      <c r="A111" s="21" t="s">
        <v>249</v>
      </c>
      <c r="B111" s="21" t="s">
        <v>277</v>
      </c>
      <c r="C111" s="21" t="s">
        <v>280</v>
      </c>
      <c r="D111" s="20" t="s">
        <v>16</v>
      </c>
      <c r="E111" s="20">
        <v>2024</v>
      </c>
      <c r="F111" s="20" t="s">
        <v>283</v>
      </c>
      <c r="G111" s="20">
        <v>45</v>
      </c>
      <c r="H111" s="20">
        <v>81000</v>
      </c>
      <c r="I111" s="19" t="s">
        <v>5161</v>
      </c>
      <c r="J111" s="11" t="str">
        <f t="shared" si="1"/>
        <v>LANDTREKLANDTREK BLUEHDI 4X4 2.2 AUT2024</v>
      </c>
      <c r="K111" s="12"/>
      <c r="L111" s="10">
        <f>_xlfn.XLOOKUP(F111,'PRECIO TOMA HISTORICO '!$A:$A,'PRECIO TOMA HISTORICO '!$B:$B,"",0,-1)</f>
        <v>15500000</v>
      </c>
      <c r="M111" s="9"/>
      <c r="N111" s="10">
        <f>_xlfn.XLOOKUP(F111,BBDD!$S:$S,BBDD!$AS:$AS)</f>
        <v>18990000</v>
      </c>
      <c r="O111" s="10">
        <f>IFERROR(VLOOKUP(F111,'PRECIO MERCADO'!D:E,2,0),"0")</f>
        <v>20100000</v>
      </c>
      <c r="P111" s="10">
        <f>_xlfn.XLOOKUP(F111,BBDD!$S:$S,BBDD!$AO:$AO)</f>
        <v>15500000</v>
      </c>
      <c r="Q111" s="10">
        <f>_xlfn.XLOOKUP(F111,BBDD!$S:$S,BBDD!$AR:$AR)</f>
        <v>15861740</v>
      </c>
    </row>
    <row r="112" spans="1:17" ht="13.5" customHeight="1" x14ac:dyDescent="0.3">
      <c r="A112" s="21" t="s">
        <v>249</v>
      </c>
      <c r="B112" s="20" t="s">
        <v>284</v>
      </c>
      <c r="C112" s="20" t="s">
        <v>285</v>
      </c>
      <c r="D112" s="20" t="s">
        <v>21</v>
      </c>
      <c r="E112" s="20">
        <v>2025</v>
      </c>
      <c r="F112" s="20" t="s">
        <v>286</v>
      </c>
      <c r="G112" s="20">
        <v>44</v>
      </c>
      <c r="H112" s="20">
        <v>15700</v>
      </c>
      <c r="I112" s="19" t="s">
        <v>5161</v>
      </c>
      <c r="J112" s="11" t="str">
        <f t="shared" si="1"/>
        <v>PARTNERPARTNER BLUEHDI 1.52025</v>
      </c>
      <c r="K112" s="12"/>
      <c r="L112" s="10">
        <f>_xlfn.XLOOKUP(F112,'PRECIO TOMA HISTORICO '!$A:$A,'PRECIO TOMA HISTORICO '!$B:$B,"",0,-1)</f>
        <v>13500000</v>
      </c>
      <c r="M112" s="9"/>
      <c r="N112" s="10">
        <f>_xlfn.XLOOKUP(F112,BBDD!$S:$S,BBDD!$AS:$AS)</f>
        <v>16990000</v>
      </c>
      <c r="O112" s="10">
        <f>IFERROR(VLOOKUP(F112,'PRECIO MERCADO'!D:E,2,0),"0")</f>
        <v>16900000</v>
      </c>
      <c r="P112" s="10">
        <f>_xlfn.XLOOKUP(F112,BBDD!$S:$S,BBDD!$AO:$AO)</f>
        <v>13500000</v>
      </c>
      <c r="Q112" s="10">
        <f>_xlfn.XLOOKUP(F112,BBDD!$S:$S,BBDD!$AR:$AR)</f>
        <v>13831740</v>
      </c>
    </row>
    <row r="113" spans="1:17" ht="13.5" customHeight="1" x14ac:dyDescent="0.3">
      <c r="A113" s="20" t="s">
        <v>287</v>
      </c>
      <c r="B113" s="20" t="s">
        <v>288</v>
      </c>
      <c r="C113" s="20" t="s">
        <v>289</v>
      </c>
      <c r="D113" s="20" t="s">
        <v>27</v>
      </c>
      <c r="E113" s="20">
        <v>2023</v>
      </c>
      <c r="F113" s="20" t="s">
        <v>290</v>
      </c>
      <c r="G113" s="20">
        <v>171</v>
      </c>
      <c r="H113" s="20">
        <v>33892</v>
      </c>
      <c r="I113" s="19" t="s">
        <v>5161</v>
      </c>
      <c r="J113" s="11" t="str">
        <f t="shared" si="1"/>
        <v>RAM 15001500 CREW CAB SPORT DCAB 4X4 3.6 AT2023</v>
      </c>
      <c r="K113" s="12"/>
      <c r="L113" s="10">
        <f>_xlfn.XLOOKUP(F113,'PRECIO TOMA HISTORICO '!$A:$A,'PRECIO TOMA HISTORICO '!$B:$B,"",0,-1)</f>
        <v>26200000</v>
      </c>
      <c r="M113" s="9"/>
      <c r="N113" s="10">
        <f>_xlfn.XLOOKUP(F113,BBDD!$S:$S,BBDD!$AS:$AS)</f>
        <v>29490000</v>
      </c>
      <c r="O113" s="10">
        <f>IFERROR(VLOOKUP(F113,'PRECIO MERCADO'!D:E,2,0),"0")</f>
        <v>31400000</v>
      </c>
      <c r="P113" s="10">
        <f>_xlfn.XLOOKUP(F113,BBDD!$S:$S,BBDD!$AO:$AO)</f>
        <v>26200000</v>
      </c>
      <c r="Q113" s="10">
        <f>_xlfn.XLOOKUP(F113,BBDD!$S:$S,BBDD!$AR:$AR)</f>
        <v>26719030</v>
      </c>
    </row>
    <row r="114" spans="1:17" ht="13.5" customHeight="1" x14ac:dyDescent="0.3">
      <c r="A114" s="21" t="s">
        <v>287</v>
      </c>
      <c r="B114" s="21" t="s">
        <v>288</v>
      </c>
      <c r="C114" s="20" t="s">
        <v>291</v>
      </c>
      <c r="D114" s="20" t="s">
        <v>27</v>
      </c>
      <c r="E114" s="20">
        <v>2022</v>
      </c>
      <c r="F114" s="20" t="s">
        <v>292</v>
      </c>
      <c r="G114" s="20">
        <v>114</v>
      </c>
      <c r="H114" s="20">
        <v>72237</v>
      </c>
      <c r="I114" s="19" t="s">
        <v>5161</v>
      </c>
      <c r="J114" s="11" t="str">
        <f t="shared" si="1"/>
        <v>RAM 15001500 REBEL CREW DCAB 4X4 5.7 AUT2022</v>
      </c>
      <c r="K114" s="12"/>
      <c r="L114" s="10">
        <f>_xlfn.XLOOKUP(F114,'PRECIO TOMA HISTORICO '!$A:$A,'PRECIO TOMA HISTORICO '!$B:$B,"",0,-1)</f>
        <v>30400000</v>
      </c>
      <c r="M114" s="9"/>
      <c r="N114" s="10">
        <f>_xlfn.XLOOKUP(F114,BBDD!$S:$S,BBDD!$AS:$AS)</f>
        <v>35990000</v>
      </c>
      <c r="O114" s="10">
        <f>IFERROR(VLOOKUP(F114,'PRECIO MERCADO'!D:E,2,0),"0")</f>
        <v>34900000</v>
      </c>
      <c r="P114" s="10">
        <f>_xlfn.XLOOKUP(F114,BBDD!$S:$S,BBDD!$AO:$AO)</f>
        <v>30400000</v>
      </c>
      <c r="Q114" s="10">
        <f>_xlfn.XLOOKUP(F114,BBDD!$S:$S,BBDD!$AR:$AR)</f>
        <v>30982030</v>
      </c>
    </row>
    <row r="115" spans="1:17" ht="13.5" customHeight="1" x14ac:dyDescent="0.3">
      <c r="A115" s="21" t="s">
        <v>287</v>
      </c>
      <c r="B115" s="21" t="s">
        <v>288</v>
      </c>
      <c r="C115" s="20" t="s">
        <v>293</v>
      </c>
      <c r="D115" s="20" t="s">
        <v>27</v>
      </c>
      <c r="E115" s="20">
        <v>2025</v>
      </c>
      <c r="F115" s="20" t="s">
        <v>294</v>
      </c>
      <c r="G115" s="20">
        <v>126</v>
      </c>
      <c r="H115" s="20">
        <v>16869</v>
      </c>
      <c r="I115" s="19" t="s">
        <v>5161</v>
      </c>
      <c r="J115" s="11" t="str">
        <f t="shared" si="1"/>
        <v>RAM 1500RAMPAGE DS LARAMIE 4X4 2.0 AUT2025</v>
      </c>
      <c r="K115" s="12"/>
      <c r="L115" s="10">
        <f>_xlfn.XLOOKUP(F115,'PRECIO TOMA HISTORICO '!$A:$A,'PRECIO TOMA HISTORICO '!$B:$B,"",0,-1)</f>
        <v>29000000</v>
      </c>
      <c r="M115" s="9"/>
      <c r="N115" s="10">
        <f>_xlfn.XLOOKUP(F115,BBDD!$S:$S,BBDD!$AS:$AS)</f>
        <v>31590000</v>
      </c>
      <c r="O115" s="10">
        <f>IFERROR(VLOOKUP(F115,'PRECIO MERCADO'!D:E,2,0),"0")</f>
        <v>31700000</v>
      </c>
      <c r="P115" s="10">
        <f>_xlfn.XLOOKUP(F115,BBDD!$S:$S,BBDD!$AO:$AO)</f>
        <v>29000000</v>
      </c>
      <c r="Q115" s="10">
        <f>_xlfn.XLOOKUP(F115,BBDD!$S:$S,BBDD!$AR:$AR)</f>
        <v>29561030</v>
      </c>
    </row>
    <row r="116" spans="1:17" ht="13.5" customHeight="1" x14ac:dyDescent="0.3">
      <c r="A116" s="21" t="s">
        <v>287</v>
      </c>
      <c r="B116" s="20" t="s">
        <v>295</v>
      </c>
      <c r="C116" s="20" t="s">
        <v>296</v>
      </c>
      <c r="D116" s="20" t="s">
        <v>27</v>
      </c>
      <c r="E116" s="20">
        <v>2025</v>
      </c>
      <c r="F116" s="20" t="s">
        <v>297</v>
      </c>
      <c r="G116" s="20">
        <v>30</v>
      </c>
      <c r="H116" s="20">
        <v>7500</v>
      </c>
      <c r="I116" s="19" t="s">
        <v>5161</v>
      </c>
      <c r="J116" s="11" t="str">
        <f t="shared" si="1"/>
        <v>RAMPAGERAMPAGE DS BIGHORN 4X4 2.0 AUT2025</v>
      </c>
      <c r="K116" s="12"/>
      <c r="L116" s="10">
        <f>_xlfn.XLOOKUP(F116,'PRECIO TOMA HISTORICO '!$A:$A,'PRECIO TOMA HISTORICO '!$B:$B,"",0,-1)</f>
        <v>22120000</v>
      </c>
      <c r="M116" s="9"/>
      <c r="N116" s="10">
        <f>_xlfn.XLOOKUP(F116,BBDD!$S:$S,BBDD!$AS:$AS)</f>
        <v>27490000</v>
      </c>
      <c r="O116" s="10">
        <f>IFERROR(VLOOKUP(F116,'PRECIO MERCADO'!D:E,2,0),"0")</f>
        <v>27500000</v>
      </c>
      <c r="P116" s="10">
        <f>_xlfn.XLOOKUP(F116,BBDD!$S:$S,BBDD!$AO:$AO)</f>
        <v>22120000</v>
      </c>
      <c r="Q116" s="10">
        <f>_xlfn.XLOOKUP(F116,BBDD!$S:$S,BBDD!$AR:$AR)</f>
        <v>22581040</v>
      </c>
    </row>
    <row r="117" spans="1:17" ht="13.5" customHeight="1" x14ac:dyDescent="0.3">
      <c r="A117" s="20" t="s">
        <v>298</v>
      </c>
      <c r="B117" s="20" t="s">
        <v>298</v>
      </c>
      <c r="C117" s="20" t="s">
        <v>299</v>
      </c>
      <c r="D117" s="20" t="s">
        <v>41</v>
      </c>
      <c r="E117" s="20">
        <v>2019</v>
      </c>
      <c r="F117" s="20" t="s">
        <v>300</v>
      </c>
      <c r="G117" s="20">
        <v>43</v>
      </c>
      <c r="H117" s="20">
        <v>95000</v>
      </c>
      <c r="I117" s="19" t="s">
        <v>5161</v>
      </c>
      <c r="J117" s="11" t="str">
        <f t="shared" ref="J117:J126" si="2">CONCATENATE(B117,C117,E117)</f>
        <v>RENAULTDUSTER ZEN 1.62019</v>
      </c>
      <c r="K117" s="12"/>
      <c r="L117" s="10">
        <f>_xlfn.XLOOKUP(F117,'PRECIO TOMA HISTORICO '!$A:$A,'PRECIO TOMA HISTORICO '!$B:$B,"",0,-1)</f>
        <v>5800000</v>
      </c>
      <c r="M117" s="9"/>
      <c r="N117" s="10">
        <f>_xlfn.XLOOKUP(F117,BBDD!$S:$S,BBDD!$AS:$AS)</f>
        <v>7690000</v>
      </c>
      <c r="O117" s="10">
        <f>IFERROR(VLOOKUP(F117,'PRECIO MERCADO'!D:E,2,0),"0")</f>
        <v>7900000</v>
      </c>
      <c r="P117" s="10">
        <f>_xlfn.XLOOKUP(F117,BBDD!$S:$S,BBDD!$AO:$AO)</f>
        <v>5800000</v>
      </c>
      <c r="Q117" s="10">
        <f>_xlfn.XLOOKUP(F117,BBDD!$S:$S,BBDD!$AR:$AR)</f>
        <v>6016240</v>
      </c>
    </row>
    <row r="118" spans="1:17" ht="13.5" customHeight="1" x14ac:dyDescent="0.3">
      <c r="A118" s="20" t="s">
        <v>301</v>
      </c>
      <c r="B118" s="20" t="s">
        <v>302</v>
      </c>
      <c r="C118" s="20" t="s">
        <v>303</v>
      </c>
      <c r="D118" s="20" t="s">
        <v>41</v>
      </c>
      <c r="E118" s="20">
        <v>2021</v>
      </c>
      <c r="F118" s="20" t="s">
        <v>304</v>
      </c>
      <c r="G118" s="20">
        <v>332</v>
      </c>
      <c r="H118" s="20">
        <v>75000</v>
      </c>
      <c r="I118" s="19" t="s">
        <v>5161</v>
      </c>
      <c r="J118" s="11" t="str">
        <f t="shared" si="2"/>
        <v>KORANDONEW KORANDO 1.62021</v>
      </c>
      <c r="K118" s="12"/>
      <c r="L118" s="10">
        <f>_xlfn.XLOOKUP(F118,'PRECIO TOMA HISTORICO '!$A:$A,'PRECIO TOMA HISTORICO '!$B:$B,"",0,-1)</f>
        <v>11000000</v>
      </c>
      <c r="M118" s="9"/>
      <c r="N118" s="10">
        <f>_xlfn.XLOOKUP(F118,BBDD!$S:$S,BBDD!$AS:$AS)</f>
        <v>12990000</v>
      </c>
      <c r="O118" s="10">
        <f>IFERROR(VLOOKUP(F118,'PRECIO MERCADO'!D:E,2,0),"0")</f>
        <v>12100000</v>
      </c>
      <c r="P118" s="10">
        <f>_xlfn.XLOOKUP(F118,BBDD!$S:$S,BBDD!$AO:$AO)</f>
        <v>11000000</v>
      </c>
      <c r="Q118" s="10">
        <f>_xlfn.XLOOKUP(F118,BBDD!$S:$S,BBDD!$AR:$AR)</f>
        <v>11443877</v>
      </c>
    </row>
    <row r="119" spans="1:17" ht="13.5" customHeight="1" x14ac:dyDescent="0.3">
      <c r="A119" s="21" t="s">
        <v>301</v>
      </c>
      <c r="B119" s="20" t="s">
        <v>305</v>
      </c>
      <c r="C119" s="20" t="s">
        <v>8588</v>
      </c>
      <c r="D119" s="20" t="s">
        <v>65</v>
      </c>
      <c r="E119" s="20">
        <v>2015</v>
      </c>
      <c r="F119" s="20" t="s">
        <v>306</v>
      </c>
      <c r="G119" s="20">
        <v>1550</v>
      </c>
      <c r="H119" s="20">
        <v>169000</v>
      </c>
      <c r="I119" s="19" t="s">
        <v>5161</v>
      </c>
      <c r="J119" s="11" t="str">
        <f t="shared" si="2"/>
        <v>REXTONREXTON 2.02015</v>
      </c>
      <c r="K119" s="12"/>
      <c r="L119" s="10" t="str">
        <f>_xlfn.XLOOKUP(F119,'PRECIO TOMA HISTORICO '!$A:$A,'PRECIO TOMA HISTORICO '!$B:$B,"",0,-1)</f>
        <v/>
      </c>
      <c r="M119" s="9"/>
      <c r="N119" s="10">
        <f>_xlfn.XLOOKUP(F119,BBDD!$S:$S,BBDD!$AS:$AS)</f>
        <v>8490000</v>
      </c>
      <c r="O119" s="10">
        <f>IFERROR(VLOOKUP(F119,'PRECIO MERCADO'!D:E,2,0),"0")</f>
        <v>8300000</v>
      </c>
      <c r="P119" s="10">
        <f>_xlfn.XLOOKUP(F119,BBDD!$S:$S,BBDD!$AO:$AO)</f>
        <v>10500000</v>
      </c>
      <c r="Q119" s="10">
        <f>_xlfn.XLOOKUP(F119,BBDD!$S:$S,BBDD!$AR:$AR)</f>
        <v>10961694</v>
      </c>
    </row>
    <row r="120" spans="1:17" ht="13.5" customHeight="1" x14ac:dyDescent="0.3">
      <c r="A120" s="21" t="s">
        <v>301</v>
      </c>
      <c r="B120" s="20" t="s">
        <v>307</v>
      </c>
      <c r="C120" s="20" t="s">
        <v>308</v>
      </c>
      <c r="D120" s="20" t="s">
        <v>27</v>
      </c>
      <c r="E120" s="20">
        <v>2024</v>
      </c>
      <c r="F120" s="20" t="s">
        <v>309</v>
      </c>
      <c r="G120" s="20">
        <v>161</v>
      </c>
      <c r="H120" s="20">
        <v>35150</v>
      </c>
      <c r="I120" s="19" t="s">
        <v>5161</v>
      </c>
      <c r="J120" s="11" t="str">
        <f t="shared" si="2"/>
        <v>TORRESTORRES 4X2 1.52024</v>
      </c>
      <c r="K120" s="12"/>
      <c r="L120" s="10">
        <f>_xlfn.XLOOKUP(F120,'PRECIO TOMA HISTORICO '!$A:$A,'PRECIO TOMA HISTORICO '!$B:$B,"",0,-1)</f>
        <v>16400000</v>
      </c>
      <c r="M120" s="9"/>
      <c r="N120" s="10">
        <f>_xlfn.XLOOKUP(F120,BBDD!$S:$S,BBDD!$AS:$AS)</f>
        <v>18690000</v>
      </c>
      <c r="O120" s="10">
        <f>IFERROR(VLOOKUP(F120,'PRECIO MERCADO'!D:E,2,0),"0")</f>
        <v>19300000</v>
      </c>
      <c r="P120" s="10">
        <f>_xlfn.XLOOKUP(F120,BBDD!$S:$S,BBDD!$AO:$AO)</f>
        <v>16400000</v>
      </c>
      <c r="Q120" s="10">
        <f>_xlfn.XLOOKUP(F120,BBDD!$S:$S,BBDD!$AR:$AR)</f>
        <v>16772030</v>
      </c>
    </row>
    <row r="121" spans="1:17" ht="13.5" customHeight="1" x14ac:dyDescent="0.3">
      <c r="A121" s="20" t="s">
        <v>2558</v>
      </c>
      <c r="B121" s="20" t="s">
        <v>2869</v>
      </c>
      <c r="C121" s="20" t="s">
        <v>4943</v>
      </c>
      <c r="D121" s="20" t="s">
        <v>16</v>
      </c>
      <c r="E121" s="20">
        <v>2024</v>
      </c>
      <c r="F121" s="20" t="s">
        <v>5844</v>
      </c>
      <c r="G121" s="20">
        <v>16</v>
      </c>
      <c r="H121" s="20">
        <v>76000</v>
      </c>
      <c r="I121" s="19" t="s">
        <v>5161</v>
      </c>
      <c r="J121" s="11" t="str">
        <f t="shared" si="2"/>
        <v>FORESTERFORESTER 4X4 2.0 AT2024</v>
      </c>
      <c r="K121" s="12"/>
      <c r="L121" s="10">
        <f>_xlfn.XLOOKUP(F121,'PRECIO TOMA HISTORICO '!$A:$A,'PRECIO TOMA HISTORICO '!$B:$B,"",0,-1)</f>
        <v>19000000</v>
      </c>
      <c r="M121" s="9"/>
      <c r="N121" s="10">
        <f>_xlfn.XLOOKUP(F121,BBDD!$S:$S,BBDD!$AS:$AS)</f>
        <v>23990000</v>
      </c>
      <c r="O121" s="10">
        <f>IFERROR(VLOOKUP(F121,'PRECIO MERCADO'!D:E,2,0),"0")</f>
        <v>20900000</v>
      </c>
      <c r="P121" s="10">
        <f>_xlfn.XLOOKUP(F121,BBDD!$S:$S,BBDD!$AO:$AO)</f>
        <v>19000000</v>
      </c>
      <c r="Q121" s="10">
        <f>_xlfn.XLOOKUP(F121,BBDD!$S:$S,BBDD!$AR:$AR)</f>
        <v>19414240</v>
      </c>
    </row>
    <row r="122" spans="1:17" ht="13.5" customHeight="1" x14ac:dyDescent="0.3">
      <c r="A122" s="20" t="s">
        <v>310</v>
      </c>
      <c r="B122" s="20" t="s">
        <v>311</v>
      </c>
      <c r="C122" s="20" t="s">
        <v>312</v>
      </c>
      <c r="D122" s="20" t="s">
        <v>27</v>
      </c>
      <c r="E122" s="20">
        <v>2019</v>
      </c>
      <c r="F122" s="20" t="s">
        <v>313</v>
      </c>
      <c r="G122" s="20">
        <v>67</v>
      </c>
      <c r="H122" s="20">
        <v>63000</v>
      </c>
      <c r="I122" s="19" t="s">
        <v>5161</v>
      </c>
      <c r="J122" s="11" t="str">
        <f t="shared" si="2"/>
        <v>GRAND NOMADEGRAND NOMADE GLX 2.4 AUT2019</v>
      </c>
      <c r="K122" s="12"/>
      <c r="L122" s="10">
        <f>_xlfn.XLOOKUP(F122,'PRECIO TOMA HISTORICO '!$A:$A,'PRECIO TOMA HISTORICO '!$B:$B,"",0,-1)</f>
        <v>9100000</v>
      </c>
      <c r="M122" s="9"/>
      <c r="N122" s="10">
        <f>_xlfn.XLOOKUP(F122,BBDD!$S:$S,BBDD!$AS:$AS)</f>
        <v>11990000</v>
      </c>
      <c r="O122" s="10">
        <f>IFERROR(VLOOKUP(F122,'PRECIO MERCADO'!D:E,2,0),"0")</f>
        <v>12200000</v>
      </c>
      <c r="P122" s="10">
        <f>_xlfn.XLOOKUP(F122,BBDD!$S:$S,BBDD!$AO:$AO)</f>
        <v>9100000</v>
      </c>
      <c r="Q122" s="10">
        <f>_xlfn.XLOOKUP(F122,BBDD!$S:$S,BBDD!$AR:$AR)</f>
        <v>9365740</v>
      </c>
    </row>
    <row r="123" spans="1:17" ht="13.5" customHeight="1" x14ac:dyDescent="0.3">
      <c r="A123" s="20" t="s">
        <v>317</v>
      </c>
      <c r="B123" s="20" t="s">
        <v>3649</v>
      </c>
      <c r="C123" s="20" t="s">
        <v>8331</v>
      </c>
      <c r="D123" s="20" t="s">
        <v>27</v>
      </c>
      <c r="E123" s="20">
        <v>2025</v>
      </c>
      <c r="F123" s="20" t="s">
        <v>3765</v>
      </c>
      <c r="G123" s="20">
        <v>9</v>
      </c>
      <c r="H123" s="20">
        <v>4950</v>
      </c>
      <c r="I123" s="19" t="s">
        <v>5161</v>
      </c>
      <c r="J123" s="11" t="str">
        <f t="shared" si="2"/>
        <v>COROLLACOROLLA CROSS HEV 1.8 AUT2025</v>
      </c>
      <c r="K123" s="12"/>
      <c r="L123" s="10">
        <f>_xlfn.XLOOKUP(F123,'PRECIO TOMA HISTORICO '!$A:$A,'PRECIO TOMA HISTORICO '!$B:$B,"",0,-1)</f>
        <v>21000000</v>
      </c>
      <c r="M123" s="9"/>
      <c r="N123" s="10">
        <f>_xlfn.XLOOKUP(F123,BBDD!$S:$S,BBDD!$AS:$AS)</f>
        <v>25890000</v>
      </c>
      <c r="O123" s="10">
        <f>IFERROR(VLOOKUP(F123,'PRECIO MERCADO'!D:E,2,0),"0")</f>
        <v>25000000</v>
      </c>
      <c r="P123" s="10">
        <f>_xlfn.XLOOKUP(F123,BBDD!$S:$S,BBDD!$AO:$AO)</f>
        <v>21000000</v>
      </c>
      <c r="Q123" s="10">
        <f>_xlfn.XLOOKUP(F123,BBDD!$S:$S,BBDD!$AR:$AR)</f>
        <v>21444240</v>
      </c>
    </row>
    <row r="124" spans="1:17" ht="13.5" customHeight="1" x14ac:dyDescent="0.3">
      <c r="A124" s="20" t="s">
        <v>322</v>
      </c>
      <c r="B124" s="20" t="s">
        <v>323</v>
      </c>
      <c r="C124" s="20" t="s">
        <v>324</v>
      </c>
      <c r="D124" s="20" t="s">
        <v>65</v>
      </c>
      <c r="E124" s="20">
        <v>2023</v>
      </c>
      <c r="F124" s="20" t="s">
        <v>325</v>
      </c>
      <c r="G124" s="20">
        <v>773</v>
      </c>
      <c r="H124" s="20">
        <v>15600</v>
      </c>
      <c r="I124" s="19" t="s">
        <v>5161</v>
      </c>
      <c r="J124" s="11" t="str">
        <f t="shared" si="2"/>
        <v>AMAROKAMAROK DCAB TDI DOHC 4X4 2.0 AUT2023</v>
      </c>
      <c r="K124" s="12"/>
      <c r="L124" s="10">
        <f>_xlfn.XLOOKUP(F124,'PRECIO TOMA HISTORICO '!$A:$A,'PRECIO TOMA HISTORICO '!$B:$B,"",0,-1)</f>
        <v>28500000</v>
      </c>
      <c r="M124" s="9"/>
      <c r="N124" s="10">
        <f>_xlfn.XLOOKUP(F124,BBDD!$S:$S,BBDD!$AS:$AS)</f>
        <v>33190000</v>
      </c>
      <c r="O124" s="10">
        <f>IFERROR(VLOOKUP(F124,'PRECIO MERCADO'!D:E,2,0),"0")</f>
        <v>31500000</v>
      </c>
      <c r="P124" s="10">
        <f>_xlfn.XLOOKUP(F124,BBDD!$S:$S,BBDD!$AO:$AO)</f>
        <v>28500000</v>
      </c>
      <c r="Q124" s="10">
        <f>_xlfn.XLOOKUP(F124,BBDD!$S:$S,BBDD!$AR:$AR)</f>
        <v>29597663</v>
      </c>
    </row>
    <row r="125" spans="1:17" ht="15" customHeight="1" x14ac:dyDescent="0.3">
      <c r="A125" s="21" t="s">
        <v>322</v>
      </c>
      <c r="B125" s="20" t="s">
        <v>3878</v>
      </c>
      <c r="C125" s="20" t="s">
        <v>5091</v>
      </c>
      <c r="D125" s="20" t="s">
        <v>21</v>
      </c>
      <c r="E125" s="20">
        <v>2023</v>
      </c>
      <c r="F125" s="20" t="s">
        <v>336</v>
      </c>
      <c r="G125" s="20">
        <v>25</v>
      </c>
      <c r="H125" s="20">
        <v>41520</v>
      </c>
      <c r="I125" s="19" t="s">
        <v>5161</v>
      </c>
      <c r="J125" s="11" t="str">
        <f t="shared" si="2"/>
        <v>NIVUSNIVUS TSI 1.0 AUT2023</v>
      </c>
      <c r="K125" s="12"/>
      <c r="L125" s="10">
        <f>_xlfn.XLOOKUP(F125,'PRECIO TOMA HISTORICO '!$A:$A,'PRECIO TOMA HISTORICO '!$B:$B,"",0,-1)</f>
        <v>12900000</v>
      </c>
      <c r="M125" s="9"/>
      <c r="N125" s="10">
        <f>_xlfn.XLOOKUP(F125,BBDD!$S:$S,BBDD!$AS:$AS)</f>
        <v>15190000</v>
      </c>
      <c r="O125" s="10">
        <f>IFERROR(VLOOKUP(F125,'PRECIO MERCADO'!D:E,2,0),"0")</f>
        <v>15200000</v>
      </c>
      <c r="P125" s="10">
        <f>_xlfn.XLOOKUP(F125,BBDD!$S:$S,BBDD!$AO:$AO)</f>
        <v>12900000</v>
      </c>
      <c r="Q125" s="10">
        <f>_xlfn.XLOOKUP(F125,BBDD!$S:$S,BBDD!$AR:$AR)</f>
        <v>13222740</v>
      </c>
    </row>
    <row r="126" spans="1:17" ht="15" customHeight="1" x14ac:dyDescent="0.3">
      <c r="A126" s="21" t="s">
        <v>322</v>
      </c>
      <c r="B126" s="20" t="s">
        <v>326</v>
      </c>
      <c r="C126" s="20" t="s">
        <v>327</v>
      </c>
      <c r="D126" s="20" t="s">
        <v>21</v>
      </c>
      <c r="E126" s="20">
        <v>2024</v>
      </c>
      <c r="F126" s="20" t="s">
        <v>328</v>
      </c>
      <c r="G126" s="20">
        <v>45</v>
      </c>
      <c r="H126" s="20">
        <v>31107</v>
      </c>
      <c r="I126" s="19" t="s">
        <v>5161</v>
      </c>
      <c r="J126" s="11" t="str">
        <f t="shared" si="2"/>
        <v>SAVEIROSAVEIRO CD 4X2 1.62024</v>
      </c>
      <c r="K126" s="12"/>
      <c r="L126" s="10">
        <f>_xlfn.XLOOKUP(F126,'PRECIO TOMA HISTORICO '!$A:$A,'PRECIO TOMA HISTORICO '!$B:$B,"",0,-1)</f>
        <v>9600000</v>
      </c>
      <c r="M126" s="9"/>
      <c r="N126" s="10">
        <f>_xlfn.XLOOKUP(F126,BBDD!$S:$S,BBDD!$AS:$AS)</f>
        <v>11590000</v>
      </c>
      <c r="O126" s="10">
        <f>IFERROR(VLOOKUP(F126,'PRECIO MERCADO'!D:E,2,0),"0")</f>
        <v>11600000</v>
      </c>
      <c r="P126" s="10">
        <f>_xlfn.XLOOKUP(F126,BBDD!$S:$S,BBDD!$AO:$AO)</f>
        <v>9600000</v>
      </c>
      <c r="Q126" s="10">
        <f>_xlfn.XLOOKUP(F126,BBDD!$S:$S,BBDD!$AR:$AR)</f>
        <v>9873240</v>
      </c>
    </row>
    <row r="127" spans="1:17" ht="15" customHeight="1" x14ac:dyDescent="0.3">
      <c r="A127" s="22" t="s">
        <v>329</v>
      </c>
      <c r="B127" s="22" t="s">
        <v>330</v>
      </c>
      <c r="C127" s="22" t="s">
        <v>332</v>
      </c>
      <c r="D127" s="22" t="s">
        <v>27</v>
      </c>
      <c r="E127" s="22">
        <v>2022</v>
      </c>
      <c r="F127" s="22" t="s">
        <v>333</v>
      </c>
      <c r="G127" s="22">
        <v>45</v>
      </c>
      <c r="H127" s="22">
        <v>58000</v>
      </c>
      <c r="I127" s="23" t="s">
        <v>5161</v>
      </c>
      <c r="J127" s="11" t="str">
        <f t="shared" ref="J127" si="3">CONCATENATE(B127,C127,E127)</f>
        <v>TERRALORDTERRALORD DCAB DLX 2.52022</v>
      </c>
      <c r="K127" s="12"/>
      <c r="L127" s="10">
        <f>_xlfn.XLOOKUP(F127,'PRECIO TOMA HISTORICO '!$A:$A,'PRECIO TOMA HISTORICO '!$B:$B,"",0,-1)</f>
        <v>8900000</v>
      </c>
      <c r="M127" s="9"/>
      <c r="N127" s="10">
        <f>_xlfn.XLOOKUP(F127,BBDD!$S:$S,BBDD!$AS:$AS)</f>
        <v>11290000</v>
      </c>
      <c r="O127" s="10">
        <f>IFERROR(VLOOKUP(F127,'PRECIO MERCADO'!D:E,2,0),"0")</f>
        <v>11100000</v>
      </c>
      <c r="P127" s="10">
        <f>_xlfn.XLOOKUP(F127,BBDD!$S:$S,BBDD!$AO:$AO)</f>
        <v>8900000</v>
      </c>
      <c r="Q127" s="10">
        <f>_xlfn.XLOOKUP(F127,BBDD!$S:$S,BBDD!$AR:$AR)</f>
        <v>9162740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216" activePane="bottomLeft" state="frozen"/>
      <selection pane="bottomLeft" activeCell="D2230" sqref="D2230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4" t="s">
        <v>334</v>
      </c>
      <c r="B1" s="15" t="s">
        <v>335</v>
      </c>
    </row>
    <row r="2" spans="1:2" x14ac:dyDescent="0.3">
      <c r="A2" s="1" t="s">
        <v>1210</v>
      </c>
      <c r="B2" s="16">
        <v>14500000</v>
      </c>
    </row>
    <row r="3" spans="1:2" x14ac:dyDescent="0.3">
      <c r="A3" s="1" t="s">
        <v>2357</v>
      </c>
      <c r="B3" s="16">
        <v>15000000</v>
      </c>
    </row>
    <row r="4" spans="1:2" x14ac:dyDescent="0.3">
      <c r="A4" s="1" t="s">
        <v>2356</v>
      </c>
      <c r="B4" s="16">
        <v>17700000</v>
      </c>
    </row>
    <row r="5" spans="1:2" x14ac:dyDescent="0.3">
      <c r="A5" s="1" t="s">
        <v>2355</v>
      </c>
      <c r="B5" s="16">
        <v>20500000</v>
      </c>
    </row>
    <row r="6" spans="1:2" x14ac:dyDescent="0.3">
      <c r="A6" s="1" t="s">
        <v>2354</v>
      </c>
      <c r="B6" s="16">
        <v>11000000</v>
      </c>
    </row>
    <row r="7" spans="1:2" x14ac:dyDescent="0.3">
      <c r="A7" s="1" t="s">
        <v>2353</v>
      </c>
      <c r="B7" s="16">
        <v>11700000</v>
      </c>
    </row>
    <row r="8" spans="1:2" x14ac:dyDescent="0.3">
      <c r="A8" s="1" t="s">
        <v>2352</v>
      </c>
      <c r="B8" s="16">
        <v>6500000</v>
      </c>
    </row>
    <row r="9" spans="1:2" x14ac:dyDescent="0.3">
      <c r="A9" s="1" t="s">
        <v>2351</v>
      </c>
      <c r="B9" s="16">
        <v>8000000</v>
      </c>
    </row>
    <row r="10" spans="1:2" x14ac:dyDescent="0.3">
      <c r="A10" s="1" t="s">
        <v>2350</v>
      </c>
      <c r="B10" s="16">
        <v>8000000</v>
      </c>
    </row>
    <row r="11" spans="1:2" x14ac:dyDescent="0.3">
      <c r="A11" s="1" t="s">
        <v>2349</v>
      </c>
      <c r="B11" s="16">
        <v>7700000</v>
      </c>
    </row>
    <row r="12" spans="1:2" x14ac:dyDescent="0.3">
      <c r="A12" s="1" t="s">
        <v>2348</v>
      </c>
      <c r="B12" s="16">
        <v>16000000</v>
      </c>
    </row>
    <row r="13" spans="1:2" x14ac:dyDescent="0.3">
      <c r="A13" s="1" t="s">
        <v>2347</v>
      </c>
      <c r="B13" s="16">
        <v>14800000</v>
      </c>
    </row>
    <row r="14" spans="1:2" x14ac:dyDescent="0.3">
      <c r="A14" s="1" t="s">
        <v>2346</v>
      </c>
      <c r="B14" s="16">
        <v>6200000</v>
      </c>
    </row>
    <row r="15" spans="1:2" x14ac:dyDescent="0.3">
      <c r="A15" s="1" t="s">
        <v>2345</v>
      </c>
      <c r="B15" s="16">
        <v>9000000</v>
      </c>
    </row>
    <row r="16" spans="1:2" x14ac:dyDescent="0.3">
      <c r="A16" s="1" t="s">
        <v>887</v>
      </c>
      <c r="B16" s="16">
        <v>14300000</v>
      </c>
    </row>
    <row r="17" spans="1:2" x14ac:dyDescent="0.3">
      <c r="A17" s="1" t="s">
        <v>2344</v>
      </c>
      <c r="B17" s="16">
        <v>6500000</v>
      </c>
    </row>
    <row r="18" spans="1:2" x14ac:dyDescent="0.3">
      <c r="A18" s="1" t="s">
        <v>2343</v>
      </c>
      <c r="B18" s="16">
        <v>10000000</v>
      </c>
    </row>
    <row r="19" spans="1:2" x14ac:dyDescent="0.3">
      <c r="A19" s="1" t="s">
        <v>2342</v>
      </c>
      <c r="B19" s="16">
        <v>16000000</v>
      </c>
    </row>
    <row r="20" spans="1:2" x14ac:dyDescent="0.3">
      <c r="A20" s="1" t="s">
        <v>2341</v>
      </c>
      <c r="B20" s="16">
        <v>17000000</v>
      </c>
    </row>
    <row r="21" spans="1:2" x14ac:dyDescent="0.3">
      <c r="A21" s="1" t="s">
        <v>140</v>
      </c>
      <c r="B21" s="16">
        <v>15500000</v>
      </c>
    </row>
    <row r="22" spans="1:2" x14ac:dyDescent="0.3">
      <c r="A22" s="1" t="s">
        <v>2340</v>
      </c>
      <c r="B22" s="16">
        <v>11500000</v>
      </c>
    </row>
    <row r="23" spans="1:2" x14ac:dyDescent="0.3">
      <c r="A23" s="1" t="s">
        <v>2339</v>
      </c>
      <c r="B23" s="16">
        <v>6500000</v>
      </c>
    </row>
    <row r="24" spans="1:2" x14ac:dyDescent="0.3">
      <c r="A24" s="1" t="s">
        <v>2338</v>
      </c>
      <c r="B24" s="16">
        <v>5500000</v>
      </c>
    </row>
    <row r="25" spans="1:2" x14ac:dyDescent="0.3">
      <c r="A25" s="1" t="s">
        <v>2337</v>
      </c>
      <c r="B25" s="16">
        <v>24000000</v>
      </c>
    </row>
    <row r="26" spans="1:2" x14ac:dyDescent="0.3">
      <c r="A26" s="1" t="s">
        <v>2336</v>
      </c>
      <c r="B26" s="16">
        <v>12500000</v>
      </c>
    </row>
    <row r="27" spans="1:2" x14ac:dyDescent="0.3">
      <c r="A27" s="1" t="s">
        <v>2335</v>
      </c>
      <c r="B27" s="16">
        <v>12000000</v>
      </c>
    </row>
    <row r="28" spans="1:2" x14ac:dyDescent="0.3">
      <c r="A28" s="1" t="s">
        <v>140</v>
      </c>
      <c r="B28" s="16">
        <v>15500000</v>
      </c>
    </row>
    <row r="29" spans="1:2" x14ac:dyDescent="0.3">
      <c r="A29" s="1" t="s">
        <v>2334</v>
      </c>
      <c r="B29" s="16">
        <v>6000000</v>
      </c>
    </row>
    <row r="30" spans="1:2" x14ac:dyDescent="0.3">
      <c r="A30" s="1" t="s">
        <v>2333</v>
      </c>
      <c r="B30" s="16">
        <v>12500000</v>
      </c>
    </row>
    <row r="31" spans="1:2" x14ac:dyDescent="0.3">
      <c r="A31" s="1" t="s">
        <v>2332</v>
      </c>
      <c r="B31" s="16">
        <v>6000000</v>
      </c>
    </row>
    <row r="32" spans="1:2" x14ac:dyDescent="0.3">
      <c r="A32" s="1" t="s">
        <v>2331</v>
      </c>
      <c r="B32" s="16">
        <v>18000000</v>
      </c>
    </row>
    <row r="33" spans="1:2" x14ac:dyDescent="0.3">
      <c r="A33" s="1" t="s">
        <v>2330</v>
      </c>
      <c r="B33" s="16">
        <v>16000000</v>
      </c>
    </row>
    <row r="34" spans="1:2" x14ac:dyDescent="0.3">
      <c r="A34" s="1" t="s">
        <v>2329</v>
      </c>
      <c r="B34" s="16">
        <v>16250000</v>
      </c>
    </row>
    <row r="35" spans="1:2" x14ac:dyDescent="0.3">
      <c r="A35" s="1" t="s">
        <v>2328</v>
      </c>
      <c r="B35" s="16">
        <v>13000000</v>
      </c>
    </row>
    <row r="36" spans="1:2" x14ac:dyDescent="0.3">
      <c r="A36" s="1" t="s">
        <v>2327</v>
      </c>
      <c r="B36" s="16">
        <v>7200000</v>
      </c>
    </row>
    <row r="37" spans="1:2" x14ac:dyDescent="0.3">
      <c r="A37" s="1" t="s">
        <v>2326</v>
      </c>
      <c r="B37" s="16">
        <v>15500000</v>
      </c>
    </row>
    <row r="38" spans="1:2" x14ac:dyDescent="0.3">
      <c r="A38" s="1" t="s">
        <v>2325</v>
      </c>
      <c r="B38" s="16">
        <v>6800000</v>
      </c>
    </row>
    <row r="39" spans="1:2" x14ac:dyDescent="0.3">
      <c r="A39" s="1" t="s">
        <v>1275</v>
      </c>
      <c r="B39" s="16">
        <v>18000000</v>
      </c>
    </row>
    <row r="40" spans="1:2" x14ac:dyDescent="0.3">
      <c r="A40" s="1" t="s">
        <v>2324</v>
      </c>
      <c r="B40" s="16">
        <v>8500000</v>
      </c>
    </row>
    <row r="41" spans="1:2" x14ac:dyDescent="0.3">
      <c r="A41" s="1" t="s">
        <v>2323</v>
      </c>
      <c r="B41" s="16">
        <v>6600000</v>
      </c>
    </row>
    <row r="42" spans="1:2" x14ac:dyDescent="0.3">
      <c r="A42" s="1" t="s">
        <v>2322</v>
      </c>
      <c r="B42" s="16">
        <v>10700000</v>
      </c>
    </row>
    <row r="43" spans="1:2" x14ac:dyDescent="0.3">
      <c r="A43" s="1" t="s">
        <v>2321</v>
      </c>
      <c r="B43" s="16">
        <v>9000000</v>
      </c>
    </row>
    <row r="44" spans="1:2" x14ac:dyDescent="0.3">
      <c r="A44" s="1" t="s">
        <v>2320</v>
      </c>
      <c r="B44" s="16">
        <v>5000000</v>
      </c>
    </row>
    <row r="45" spans="1:2" x14ac:dyDescent="0.3">
      <c r="A45" s="1" t="s">
        <v>2319</v>
      </c>
      <c r="B45" s="16">
        <v>14500000</v>
      </c>
    </row>
    <row r="46" spans="1:2" x14ac:dyDescent="0.3">
      <c r="A46" s="1" t="s">
        <v>2318</v>
      </c>
      <c r="B46" s="16">
        <v>20000000</v>
      </c>
    </row>
    <row r="47" spans="1:2" x14ac:dyDescent="0.3">
      <c r="A47" s="1" t="s">
        <v>1500</v>
      </c>
      <c r="B47" s="16">
        <v>12100000</v>
      </c>
    </row>
    <row r="48" spans="1:2" x14ac:dyDescent="0.3">
      <c r="A48" s="1" t="s">
        <v>2317</v>
      </c>
      <c r="B48" s="16">
        <v>11800000</v>
      </c>
    </row>
    <row r="49" spans="1:2" x14ac:dyDescent="0.3">
      <c r="A49" s="1" t="s">
        <v>2316</v>
      </c>
      <c r="B49" s="16">
        <v>9000000</v>
      </c>
    </row>
    <row r="50" spans="1:2" x14ac:dyDescent="0.3">
      <c r="A50" s="1" t="s">
        <v>2315</v>
      </c>
      <c r="B50" s="16">
        <v>6000000</v>
      </c>
    </row>
    <row r="51" spans="1:2" x14ac:dyDescent="0.3">
      <c r="A51" s="1" t="s">
        <v>2314</v>
      </c>
      <c r="B51" s="16">
        <v>6800000</v>
      </c>
    </row>
    <row r="52" spans="1:2" x14ac:dyDescent="0.3">
      <c r="A52" s="1" t="s">
        <v>2313</v>
      </c>
      <c r="B52" s="16">
        <v>15000000</v>
      </c>
    </row>
    <row r="53" spans="1:2" x14ac:dyDescent="0.3">
      <c r="A53" s="1" t="s">
        <v>2312</v>
      </c>
      <c r="B53" s="16">
        <v>6500000</v>
      </c>
    </row>
    <row r="54" spans="1:2" x14ac:dyDescent="0.3">
      <c r="A54" s="1" t="s">
        <v>2311</v>
      </c>
      <c r="B54" s="16">
        <v>28000000</v>
      </c>
    </row>
    <row r="55" spans="1:2" x14ac:dyDescent="0.3">
      <c r="A55" s="1" t="s">
        <v>2310</v>
      </c>
      <c r="B55" s="16">
        <v>8000000</v>
      </c>
    </row>
    <row r="56" spans="1:2" x14ac:dyDescent="0.3">
      <c r="A56" s="1" t="s">
        <v>2309</v>
      </c>
      <c r="B56" s="16">
        <v>8500000</v>
      </c>
    </row>
    <row r="57" spans="1:2" x14ac:dyDescent="0.3">
      <c r="A57" s="1" t="s">
        <v>2307</v>
      </c>
      <c r="B57" s="16">
        <v>15000000</v>
      </c>
    </row>
    <row r="58" spans="1:2" x14ac:dyDescent="0.3">
      <c r="A58" s="1" t="s">
        <v>2308</v>
      </c>
      <c r="B58" s="16">
        <v>11000000</v>
      </c>
    </row>
    <row r="59" spans="1:2" x14ac:dyDescent="0.3">
      <c r="A59" s="1" t="s">
        <v>2306</v>
      </c>
      <c r="B59" s="16">
        <v>6000000</v>
      </c>
    </row>
    <row r="60" spans="1:2" x14ac:dyDescent="0.3">
      <c r="A60" s="1" t="s">
        <v>2305</v>
      </c>
      <c r="B60" s="16">
        <v>13000000</v>
      </c>
    </row>
    <row r="61" spans="1:2" x14ac:dyDescent="0.3">
      <c r="A61" s="1" t="s">
        <v>2304</v>
      </c>
      <c r="B61" s="16">
        <v>7000000</v>
      </c>
    </row>
    <row r="62" spans="1:2" x14ac:dyDescent="0.3">
      <c r="A62" s="1" t="s">
        <v>2303</v>
      </c>
      <c r="B62" s="16">
        <v>8500000</v>
      </c>
    </row>
    <row r="63" spans="1:2" x14ac:dyDescent="0.3">
      <c r="A63" s="1" t="s">
        <v>2302</v>
      </c>
      <c r="B63" s="16">
        <v>9000000</v>
      </c>
    </row>
    <row r="64" spans="1:2" x14ac:dyDescent="0.3">
      <c r="A64" s="1" t="s">
        <v>2301</v>
      </c>
      <c r="B64" s="16">
        <v>8000000</v>
      </c>
    </row>
    <row r="65" spans="1:2" x14ac:dyDescent="0.3">
      <c r="A65" s="1" t="s">
        <v>2300</v>
      </c>
      <c r="B65" s="16">
        <v>10000000</v>
      </c>
    </row>
    <row r="66" spans="1:2" x14ac:dyDescent="0.3">
      <c r="A66" s="1" t="s">
        <v>2299</v>
      </c>
      <c r="B66" s="16">
        <v>9000000</v>
      </c>
    </row>
    <row r="67" spans="1:2" x14ac:dyDescent="0.3">
      <c r="A67" s="1" t="s">
        <v>2298</v>
      </c>
      <c r="B67" s="16">
        <v>7750000</v>
      </c>
    </row>
    <row r="68" spans="1:2" x14ac:dyDescent="0.3">
      <c r="A68" s="1" t="s">
        <v>2297</v>
      </c>
      <c r="B68" s="16">
        <v>16500000</v>
      </c>
    </row>
    <row r="69" spans="1:2" x14ac:dyDescent="0.3">
      <c r="A69" s="1" t="s">
        <v>2296</v>
      </c>
      <c r="B69" s="16">
        <v>7000000</v>
      </c>
    </row>
    <row r="70" spans="1:2" x14ac:dyDescent="0.3">
      <c r="A70" s="1" t="s">
        <v>2295</v>
      </c>
      <c r="B70" s="16">
        <v>13500000</v>
      </c>
    </row>
    <row r="71" spans="1:2" x14ac:dyDescent="0.3">
      <c r="A71" s="1" t="s">
        <v>2294</v>
      </c>
      <c r="B71" s="16">
        <v>10700000</v>
      </c>
    </row>
    <row r="72" spans="1:2" x14ac:dyDescent="0.3">
      <c r="A72" s="1" t="s">
        <v>2293</v>
      </c>
      <c r="B72" s="16">
        <v>20000000</v>
      </c>
    </row>
    <row r="73" spans="1:2" x14ac:dyDescent="0.3">
      <c r="A73" s="1" t="s">
        <v>2292</v>
      </c>
      <c r="B73" s="16">
        <v>5800000</v>
      </c>
    </row>
    <row r="74" spans="1:2" x14ac:dyDescent="0.3">
      <c r="A74" s="1" t="s">
        <v>2291</v>
      </c>
      <c r="B74" s="16">
        <v>6700000</v>
      </c>
    </row>
    <row r="75" spans="1:2" x14ac:dyDescent="0.3">
      <c r="A75" s="1" t="s">
        <v>2290</v>
      </c>
      <c r="B75" s="16">
        <v>5100000</v>
      </c>
    </row>
    <row r="76" spans="1:2" x14ac:dyDescent="0.3">
      <c r="A76" s="1" t="s">
        <v>2289</v>
      </c>
      <c r="B76" s="16">
        <v>27400000</v>
      </c>
    </row>
    <row r="77" spans="1:2" x14ac:dyDescent="0.3">
      <c r="A77" s="1" t="s">
        <v>2288</v>
      </c>
      <c r="B77" s="16">
        <v>18000000</v>
      </c>
    </row>
    <row r="78" spans="1:2" x14ac:dyDescent="0.3">
      <c r="A78" s="1" t="s">
        <v>2287</v>
      </c>
      <c r="B78" s="16">
        <v>15900000</v>
      </c>
    </row>
    <row r="79" spans="1:2" x14ac:dyDescent="0.3">
      <c r="A79" s="1" t="s">
        <v>2286</v>
      </c>
      <c r="B79" s="16">
        <v>8300000</v>
      </c>
    </row>
    <row r="80" spans="1:2" x14ac:dyDescent="0.3">
      <c r="A80" s="1" t="s">
        <v>2285</v>
      </c>
      <c r="B80" s="16">
        <v>14500000</v>
      </c>
    </row>
    <row r="81" spans="1:2" x14ac:dyDescent="0.3">
      <c r="A81" s="1" t="s">
        <v>2284</v>
      </c>
      <c r="B81" s="16">
        <v>8000000</v>
      </c>
    </row>
    <row r="82" spans="1:2" x14ac:dyDescent="0.3">
      <c r="A82" s="1" t="s">
        <v>2283</v>
      </c>
      <c r="B82" s="16">
        <v>7700000</v>
      </c>
    </row>
    <row r="83" spans="1:2" x14ac:dyDescent="0.3">
      <c r="A83" s="1" t="s">
        <v>2282</v>
      </c>
      <c r="B83" s="16">
        <v>13000000</v>
      </c>
    </row>
    <row r="84" spans="1:2" x14ac:dyDescent="0.3">
      <c r="A84" s="1" t="s">
        <v>2281</v>
      </c>
      <c r="B84" s="16">
        <v>18000000</v>
      </c>
    </row>
    <row r="85" spans="1:2" x14ac:dyDescent="0.3">
      <c r="A85" s="1" t="s">
        <v>2280</v>
      </c>
      <c r="B85" s="16">
        <v>23000000</v>
      </c>
    </row>
    <row r="86" spans="1:2" x14ac:dyDescent="0.3">
      <c r="A86" s="1" t="s">
        <v>2279</v>
      </c>
      <c r="B86" s="16">
        <v>13500000</v>
      </c>
    </row>
    <row r="87" spans="1:2" x14ac:dyDescent="0.3">
      <c r="A87" s="1" t="s">
        <v>2278</v>
      </c>
      <c r="B87" s="16">
        <v>12000000</v>
      </c>
    </row>
    <row r="88" spans="1:2" x14ac:dyDescent="0.3">
      <c r="A88" s="1" t="s">
        <v>2277</v>
      </c>
      <c r="B88" s="16">
        <v>8500000</v>
      </c>
    </row>
    <row r="89" spans="1:2" x14ac:dyDescent="0.3">
      <c r="A89" s="1" t="s">
        <v>2276</v>
      </c>
      <c r="B89" s="16">
        <v>16500000</v>
      </c>
    </row>
    <row r="90" spans="1:2" x14ac:dyDescent="0.3">
      <c r="A90" s="1" t="s">
        <v>2201</v>
      </c>
      <c r="B90" s="16">
        <v>25000000</v>
      </c>
    </row>
    <row r="91" spans="1:2" x14ac:dyDescent="0.3">
      <c r="A91" s="1" t="s">
        <v>2275</v>
      </c>
      <c r="B91" s="16">
        <v>29000000</v>
      </c>
    </row>
    <row r="92" spans="1:2" x14ac:dyDescent="0.3">
      <c r="A92" s="1" t="s">
        <v>2274</v>
      </c>
      <c r="B92" s="16">
        <v>5300000</v>
      </c>
    </row>
    <row r="93" spans="1:2" x14ac:dyDescent="0.3">
      <c r="A93" s="1" t="s">
        <v>2273</v>
      </c>
      <c r="B93" s="16">
        <v>8800000</v>
      </c>
    </row>
    <row r="94" spans="1:2" x14ac:dyDescent="0.3">
      <c r="A94" s="1" t="s">
        <v>2272</v>
      </c>
      <c r="B94" s="16">
        <v>8000000</v>
      </c>
    </row>
    <row r="95" spans="1:2" x14ac:dyDescent="0.3">
      <c r="A95" s="1" t="s">
        <v>2271</v>
      </c>
      <c r="B95" s="16">
        <v>14000000</v>
      </c>
    </row>
    <row r="96" spans="1:2" x14ac:dyDescent="0.3">
      <c r="A96" s="1" t="s">
        <v>2270</v>
      </c>
      <c r="B96" s="16">
        <v>12800000</v>
      </c>
    </row>
    <row r="97" spans="1:2" x14ac:dyDescent="0.3">
      <c r="A97" s="1" t="s">
        <v>2269</v>
      </c>
      <c r="B97" s="16">
        <v>9750000</v>
      </c>
    </row>
    <row r="98" spans="1:2" x14ac:dyDescent="0.3">
      <c r="A98" s="1" t="s">
        <v>2268</v>
      </c>
      <c r="B98" s="16">
        <v>7000000</v>
      </c>
    </row>
    <row r="99" spans="1:2" x14ac:dyDescent="0.3">
      <c r="A99" s="1" t="s">
        <v>2266</v>
      </c>
      <c r="B99" s="16">
        <v>5200000</v>
      </c>
    </row>
    <row r="100" spans="1:2" x14ac:dyDescent="0.3">
      <c r="A100" s="1" t="s">
        <v>2267</v>
      </c>
      <c r="B100" s="16">
        <v>8000000</v>
      </c>
    </row>
    <row r="101" spans="1:2" x14ac:dyDescent="0.3">
      <c r="A101" s="1" t="s">
        <v>2265</v>
      </c>
      <c r="B101" s="16">
        <v>12000000</v>
      </c>
    </row>
    <row r="102" spans="1:2" x14ac:dyDescent="0.3">
      <c r="A102" s="1" t="s">
        <v>2264</v>
      </c>
      <c r="B102" s="16">
        <v>6500000</v>
      </c>
    </row>
    <row r="103" spans="1:2" x14ac:dyDescent="0.3">
      <c r="A103" s="1" t="s">
        <v>2263</v>
      </c>
      <c r="B103" s="16">
        <v>7350000</v>
      </c>
    </row>
    <row r="104" spans="1:2" x14ac:dyDescent="0.3">
      <c r="A104" s="1" t="s">
        <v>2262</v>
      </c>
      <c r="B104" s="16">
        <v>11400000</v>
      </c>
    </row>
    <row r="105" spans="1:2" x14ac:dyDescent="0.3">
      <c r="A105" s="1" t="s">
        <v>2261</v>
      </c>
      <c r="B105" s="16">
        <v>6000000</v>
      </c>
    </row>
    <row r="106" spans="1:2" x14ac:dyDescent="0.3">
      <c r="A106" s="1" t="s">
        <v>2260</v>
      </c>
      <c r="B106" s="16">
        <v>14000000</v>
      </c>
    </row>
    <row r="107" spans="1:2" x14ac:dyDescent="0.3">
      <c r="A107" s="1" t="s">
        <v>2259</v>
      </c>
      <c r="B107" s="16">
        <v>4200000</v>
      </c>
    </row>
    <row r="108" spans="1:2" x14ac:dyDescent="0.3">
      <c r="A108" s="1" t="s">
        <v>2258</v>
      </c>
      <c r="B108" s="16">
        <v>14000000</v>
      </c>
    </row>
    <row r="109" spans="1:2" x14ac:dyDescent="0.3">
      <c r="A109" s="1" t="s">
        <v>2257</v>
      </c>
      <c r="B109" s="16">
        <v>12990000</v>
      </c>
    </row>
    <row r="110" spans="1:2" x14ac:dyDescent="0.3">
      <c r="A110" s="1" t="s">
        <v>2256</v>
      </c>
      <c r="B110" s="16">
        <v>8900000</v>
      </c>
    </row>
    <row r="111" spans="1:2" x14ac:dyDescent="0.3">
      <c r="A111" s="1" t="s">
        <v>2255</v>
      </c>
      <c r="B111" s="16">
        <v>31300000</v>
      </c>
    </row>
    <row r="112" spans="1:2" x14ac:dyDescent="0.3">
      <c r="A112" s="1" t="s">
        <v>2254</v>
      </c>
      <c r="B112" s="16">
        <v>15500000</v>
      </c>
    </row>
    <row r="113" spans="1:2" x14ac:dyDescent="0.3">
      <c r="A113" s="1" t="s">
        <v>2253</v>
      </c>
      <c r="B113" s="16">
        <v>17000000</v>
      </c>
    </row>
    <row r="114" spans="1:2" x14ac:dyDescent="0.3">
      <c r="A114" s="1" t="s">
        <v>2252</v>
      </c>
      <c r="B114" s="16">
        <v>10000000</v>
      </c>
    </row>
    <row r="115" spans="1:2" x14ac:dyDescent="0.3">
      <c r="A115" s="1" t="s">
        <v>2251</v>
      </c>
      <c r="B115" s="16">
        <v>12500000</v>
      </c>
    </row>
    <row r="116" spans="1:2" x14ac:dyDescent="0.3">
      <c r="A116" s="1" t="s">
        <v>2250</v>
      </c>
      <c r="B116" s="16">
        <v>15500000</v>
      </c>
    </row>
    <row r="117" spans="1:2" x14ac:dyDescent="0.3">
      <c r="A117" s="1" t="s">
        <v>2249</v>
      </c>
      <c r="B117" s="16">
        <v>17000000</v>
      </c>
    </row>
    <row r="118" spans="1:2" x14ac:dyDescent="0.3">
      <c r="A118" s="1" t="s">
        <v>2248</v>
      </c>
      <c r="B118" s="16">
        <v>6300000</v>
      </c>
    </row>
    <row r="119" spans="1:2" x14ac:dyDescent="0.3">
      <c r="A119" s="1" t="s">
        <v>99</v>
      </c>
      <c r="B119" s="16">
        <v>18000000</v>
      </c>
    </row>
    <row r="120" spans="1:2" x14ac:dyDescent="0.3">
      <c r="A120" s="1" t="s">
        <v>2247</v>
      </c>
      <c r="B120" s="16">
        <v>17000000</v>
      </c>
    </row>
    <row r="121" spans="1:2" x14ac:dyDescent="0.3">
      <c r="A121" s="1" t="s">
        <v>2246</v>
      </c>
      <c r="B121" s="16">
        <v>17800000</v>
      </c>
    </row>
    <row r="122" spans="1:2" x14ac:dyDescent="0.3">
      <c r="A122" s="1" t="s">
        <v>2245</v>
      </c>
      <c r="B122" s="16">
        <v>10000000</v>
      </c>
    </row>
    <row r="123" spans="1:2" x14ac:dyDescent="0.3">
      <c r="A123" s="1" t="s">
        <v>2244</v>
      </c>
      <c r="B123" s="16">
        <v>15000000</v>
      </c>
    </row>
    <row r="124" spans="1:2" x14ac:dyDescent="0.3">
      <c r="A124" s="1" t="s">
        <v>2243</v>
      </c>
      <c r="B124" s="16">
        <v>16000000</v>
      </c>
    </row>
    <row r="125" spans="1:2" x14ac:dyDescent="0.3">
      <c r="A125" s="1" t="s">
        <v>2242</v>
      </c>
      <c r="B125" s="16">
        <v>28500000</v>
      </c>
    </row>
    <row r="126" spans="1:2" x14ac:dyDescent="0.3">
      <c r="A126" s="1" t="s">
        <v>2241</v>
      </c>
      <c r="B126" s="16">
        <v>13000000</v>
      </c>
    </row>
    <row r="127" spans="1:2" x14ac:dyDescent="0.3">
      <c r="A127" s="1" t="s">
        <v>2240</v>
      </c>
      <c r="B127" s="16">
        <v>15000000</v>
      </c>
    </row>
    <row r="128" spans="1:2" x14ac:dyDescent="0.3">
      <c r="A128" s="1" t="s">
        <v>2239</v>
      </c>
      <c r="B128" s="16">
        <v>10000000</v>
      </c>
    </row>
    <row r="129" spans="1:2" x14ac:dyDescent="0.3">
      <c r="A129" s="1" t="s">
        <v>2238</v>
      </c>
      <c r="B129" s="16">
        <v>14500000</v>
      </c>
    </row>
    <row r="130" spans="1:2" x14ac:dyDescent="0.3">
      <c r="A130" s="1" t="s">
        <v>2237</v>
      </c>
      <c r="B130" s="16">
        <v>14500000</v>
      </c>
    </row>
    <row r="131" spans="1:2" x14ac:dyDescent="0.3">
      <c r="A131" s="1" t="s">
        <v>2236</v>
      </c>
      <c r="B131" s="16">
        <v>13000000</v>
      </c>
    </row>
    <row r="132" spans="1:2" x14ac:dyDescent="0.3">
      <c r="A132" s="1" t="s">
        <v>2235</v>
      </c>
      <c r="B132" s="16">
        <v>9000000</v>
      </c>
    </row>
    <row r="133" spans="1:2" x14ac:dyDescent="0.3">
      <c r="A133" s="1" t="s">
        <v>2234</v>
      </c>
      <c r="B133" s="16">
        <v>12000000</v>
      </c>
    </row>
    <row r="134" spans="1:2" x14ac:dyDescent="0.3">
      <c r="A134" s="1" t="s">
        <v>1510</v>
      </c>
      <c r="B134" s="16">
        <v>27000000</v>
      </c>
    </row>
    <row r="135" spans="1:2" x14ac:dyDescent="0.3">
      <c r="A135" s="1" t="s">
        <v>2233</v>
      </c>
      <c r="B135" s="16">
        <v>9900000</v>
      </c>
    </row>
    <row r="136" spans="1:2" x14ac:dyDescent="0.3">
      <c r="A136" s="1" t="s">
        <v>2232</v>
      </c>
      <c r="B136" s="16">
        <v>12100000</v>
      </c>
    </row>
    <row r="137" spans="1:2" x14ac:dyDescent="0.3">
      <c r="A137" s="1" t="s">
        <v>2231</v>
      </c>
      <c r="B137" s="16">
        <v>9700000</v>
      </c>
    </row>
    <row r="138" spans="1:2" x14ac:dyDescent="0.3">
      <c r="A138" s="1" t="s">
        <v>2230</v>
      </c>
      <c r="B138" s="16">
        <v>9000000</v>
      </c>
    </row>
    <row r="139" spans="1:2" x14ac:dyDescent="0.3">
      <c r="A139" s="1" t="s">
        <v>2229</v>
      </c>
      <c r="B139" s="16">
        <v>7000000</v>
      </c>
    </row>
    <row r="140" spans="1:2" x14ac:dyDescent="0.3">
      <c r="A140" s="1" t="s">
        <v>2227</v>
      </c>
      <c r="B140" s="16">
        <v>12800000</v>
      </c>
    </row>
    <row r="141" spans="1:2" x14ac:dyDescent="0.3">
      <c r="A141" s="1" t="s">
        <v>2228</v>
      </c>
      <c r="B141" s="16">
        <v>11000000</v>
      </c>
    </row>
    <row r="142" spans="1:2" x14ac:dyDescent="0.3">
      <c r="A142" s="1" t="s">
        <v>2226</v>
      </c>
      <c r="B142" s="16">
        <v>7000000</v>
      </c>
    </row>
    <row r="143" spans="1:2" x14ac:dyDescent="0.3">
      <c r="A143" s="1" t="s">
        <v>2225</v>
      </c>
      <c r="B143" s="16">
        <v>27500000</v>
      </c>
    </row>
    <row r="144" spans="1:2" x14ac:dyDescent="0.3">
      <c r="A144" s="1" t="s">
        <v>2224</v>
      </c>
      <c r="B144" s="16">
        <v>7700000</v>
      </c>
    </row>
    <row r="145" spans="1:2" x14ac:dyDescent="0.3">
      <c r="A145" s="1" t="s">
        <v>2223</v>
      </c>
      <c r="B145" s="16">
        <v>14000000</v>
      </c>
    </row>
    <row r="146" spans="1:2" x14ac:dyDescent="0.3">
      <c r="A146" s="1" t="s">
        <v>2222</v>
      </c>
      <c r="B146" s="16">
        <v>25000000</v>
      </c>
    </row>
    <row r="147" spans="1:2" x14ac:dyDescent="0.3">
      <c r="A147" s="1" t="s">
        <v>2221</v>
      </c>
      <c r="B147" s="16">
        <v>5750000</v>
      </c>
    </row>
    <row r="148" spans="1:2" x14ac:dyDescent="0.3">
      <c r="A148" s="1" t="s">
        <v>1413</v>
      </c>
      <c r="B148" s="16">
        <v>14000000</v>
      </c>
    </row>
    <row r="149" spans="1:2" x14ac:dyDescent="0.3">
      <c r="A149" s="1" t="s">
        <v>2220</v>
      </c>
      <c r="B149" s="16">
        <v>6000000</v>
      </c>
    </row>
    <row r="150" spans="1:2" x14ac:dyDescent="0.3">
      <c r="A150" s="1" t="s">
        <v>2219</v>
      </c>
      <c r="B150" s="16">
        <v>6800000</v>
      </c>
    </row>
    <row r="151" spans="1:2" x14ac:dyDescent="0.3">
      <c r="A151" s="1" t="s">
        <v>2218</v>
      </c>
      <c r="B151" s="16">
        <v>7200000</v>
      </c>
    </row>
    <row r="152" spans="1:2" x14ac:dyDescent="0.3">
      <c r="A152" s="1" t="s">
        <v>2217</v>
      </c>
      <c r="B152" s="16">
        <v>12000000</v>
      </c>
    </row>
    <row r="153" spans="1:2" x14ac:dyDescent="0.3">
      <c r="A153" s="1" t="s">
        <v>2216</v>
      </c>
      <c r="B153" s="16">
        <v>29024100</v>
      </c>
    </row>
    <row r="154" spans="1:2" x14ac:dyDescent="0.3">
      <c r="A154" s="1" t="s">
        <v>2215</v>
      </c>
      <c r="B154" s="16">
        <v>5700000</v>
      </c>
    </row>
    <row r="155" spans="1:2" x14ac:dyDescent="0.3">
      <c r="A155" s="1" t="s">
        <v>2214</v>
      </c>
      <c r="B155" s="16">
        <v>11500000</v>
      </c>
    </row>
    <row r="156" spans="1:2" x14ac:dyDescent="0.3">
      <c r="A156" s="1" t="s">
        <v>2213</v>
      </c>
      <c r="B156" s="16">
        <v>9500000</v>
      </c>
    </row>
    <row r="157" spans="1:2" x14ac:dyDescent="0.3">
      <c r="A157" s="1" t="s">
        <v>2212</v>
      </c>
      <c r="B157" s="16">
        <v>6500000</v>
      </c>
    </row>
    <row r="158" spans="1:2" x14ac:dyDescent="0.3">
      <c r="A158" s="1" t="s">
        <v>2211</v>
      </c>
      <c r="B158" s="16">
        <v>6200000</v>
      </c>
    </row>
    <row r="159" spans="1:2" x14ac:dyDescent="0.3">
      <c r="A159" s="1" t="s">
        <v>2210</v>
      </c>
      <c r="B159" s="16">
        <v>7000000</v>
      </c>
    </row>
    <row r="160" spans="1:2" x14ac:dyDescent="0.3">
      <c r="A160" s="1" t="s">
        <v>2209</v>
      </c>
      <c r="B160" s="16">
        <v>5300000</v>
      </c>
    </row>
    <row r="161" spans="1:2" x14ac:dyDescent="0.3">
      <c r="A161" s="1" t="s">
        <v>2208</v>
      </c>
      <c r="B161" s="16">
        <v>5000000</v>
      </c>
    </row>
    <row r="162" spans="1:2" x14ac:dyDescent="0.3">
      <c r="A162" s="1" t="s">
        <v>2207</v>
      </c>
      <c r="B162" s="16">
        <v>22000000</v>
      </c>
    </row>
    <row r="163" spans="1:2" x14ac:dyDescent="0.3">
      <c r="A163" s="1" t="s">
        <v>304</v>
      </c>
      <c r="B163" s="16">
        <v>12000000</v>
      </c>
    </row>
    <row r="164" spans="1:2" x14ac:dyDescent="0.3">
      <c r="A164" s="1" t="s">
        <v>2206</v>
      </c>
      <c r="B164" s="16">
        <v>8000000</v>
      </c>
    </row>
    <row r="165" spans="1:2" x14ac:dyDescent="0.3">
      <c r="A165" s="1" t="s">
        <v>2205</v>
      </c>
      <c r="B165" s="16">
        <v>12900000</v>
      </c>
    </row>
    <row r="166" spans="1:2" x14ac:dyDescent="0.3">
      <c r="A166" s="1" t="s">
        <v>2204</v>
      </c>
      <c r="B166" s="16">
        <v>7000000</v>
      </c>
    </row>
    <row r="167" spans="1:2" x14ac:dyDescent="0.3">
      <c r="A167" s="1" t="s">
        <v>2203</v>
      </c>
      <c r="B167" s="16">
        <v>9000000</v>
      </c>
    </row>
    <row r="168" spans="1:2" x14ac:dyDescent="0.3">
      <c r="A168" s="1" t="s">
        <v>2202</v>
      </c>
      <c r="B168" s="16">
        <v>13000000</v>
      </c>
    </row>
    <row r="169" spans="1:2" x14ac:dyDescent="0.3">
      <c r="A169" s="1" t="s">
        <v>2200</v>
      </c>
      <c r="B169" s="16">
        <v>18000000</v>
      </c>
    </row>
    <row r="170" spans="1:2" x14ac:dyDescent="0.3">
      <c r="A170" s="1" t="s">
        <v>2199</v>
      </c>
      <c r="B170" s="16">
        <v>17500000</v>
      </c>
    </row>
    <row r="171" spans="1:2" x14ac:dyDescent="0.3">
      <c r="A171" s="1" t="s">
        <v>2198</v>
      </c>
      <c r="B171" s="16">
        <v>14500000</v>
      </c>
    </row>
    <row r="172" spans="1:2" x14ac:dyDescent="0.3">
      <c r="A172" s="1" t="s">
        <v>2197</v>
      </c>
      <c r="B172" s="16">
        <v>6200000</v>
      </c>
    </row>
    <row r="173" spans="1:2" x14ac:dyDescent="0.3">
      <c r="A173" s="1" t="s">
        <v>2196</v>
      </c>
      <c r="B173" s="16">
        <v>25100000</v>
      </c>
    </row>
    <row r="174" spans="1:2" x14ac:dyDescent="0.3">
      <c r="A174" s="1" t="s">
        <v>2195</v>
      </c>
      <c r="B174" s="16">
        <v>9000000</v>
      </c>
    </row>
    <row r="175" spans="1:2" x14ac:dyDescent="0.3">
      <c r="A175" s="1" t="s">
        <v>2194</v>
      </c>
      <c r="B175" s="16">
        <v>14000000</v>
      </c>
    </row>
    <row r="176" spans="1:2" x14ac:dyDescent="0.3">
      <c r="A176" s="1" t="s">
        <v>2193</v>
      </c>
      <c r="B176" s="16">
        <v>6200000</v>
      </c>
    </row>
    <row r="177" spans="1:2" x14ac:dyDescent="0.3">
      <c r="A177" s="1" t="s">
        <v>1023</v>
      </c>
      <c r="B177" s="16">
        <v>38500000</v>
      </c>
    </row>
    <row r="178" spans="1:2" x14ac:dyDescent="0.3">
      <c r="A178" s="1" t="s">
        <v>2192</v>
      </c>
      <c r="B178" s="16">
        <v>14000000</v>
      </c>
    </row>
    <row r="179" spans="1:2" x14ac:dyDescent="0.3">
      <c r="A179" s="1" t="s">
        <v>2191</v>
      </c>
      <c r="B179" s="16">
        <v>20500000</v>
      </c>
    </row>
    <row r="180" spans="1:2" x14ac:dyDescent="0.3">
      <c r="A180" s="1" t="s">
        <v>2190</v>
      </c>
      <c r="B180" s="16">
        <v>7500000</v>
      </c>
    </row>
    <row r="181" spans="1:2" x14ac:dyDescent="0.3">
      <c r="A181" s="1" t="s">
        <v>2189</v>
      </c>
      <c r="B181" s="16">
        <v>17000000</v>
      </c>
    </row>
    <row r="182" spans="1:2" x14ac:dyDescent="0.3">
      <c r="A182" s="1" t="s">
        <v>2188</v>
      </c>
      <c r="B182" s="16">
        <v>20500000</v>
      </c>
    </row>
    <row r="183" spans="1:2" x14ac:dyDescent="0.3">
      <c r="A183" s="1" t="s">
        <v>2187</v>
      </c>
      <c r="B183" s="16">
        <v>16000000</v>
      </c>
    </row>
    <row r="184" spans="1:2" x14ac:dyDescent="0.3">
      <c r="A184" s="1" t="s">
        <v>2186</v>
      </c>
      <c r="B184" s="16">
        <v>6700000</v>
      </c>
    </row>
    <row r="185" spans="1:2" x14ac:dyDescent="0.3">
      <c r="A185" s="1" t="s">
        <v>2185</v>
      </c>
      <c r="B185" s="16">
        <v>13000000</v>
      </c>
    </row>
    <row r="186" spans="1:2" x14ac:dyDescent="0.3">
      <c r="A186" s="1" t="s">
        <v>2184</v>
      </c>
      <c r="B186" s="16">
        <v>14900000</v>
      </c>
    </row>
    <row r="187" spans="1:2" x14ac:dyDescent="0.3">
      <c r="A187" s="1" t="s">
        <v>2183</v>
      </c>
      <c r="B187" s="16">
        <v>13236000</v>
      </c>
    </row>
    <row r="188" spans="1:2" x14ac:dyDescent="0.3">
      <c r="A188" s="1" t="s">
        <v>2182</v>
      </c>
      <c r="B188" s="16">
        <v>9700000</v>
      </c>
    </row>
    <row r="189" spans="1:2" x14ac:dyDescent="0.3">
      <c r="A189" s="1" t="s">
        <v>2181</v>
      </c>
      <c r="B189" s="16">
        <v>16000000</v>
      </c>
    </row>
    <row r="190" spans="1:2" x14ac:dyDescent="0.3">
      <c r="A190" s="1" t="s">
        <v>2180</v>
      </c>
      <c r="B190" s="16">
        <v>7100000</v>
      </c>
    </row>
    <row r="191" spans="1:2" x14ac:dyDescent="0.3">
      <c r="A191" s="1" t="s">
        <v>2179</v>
      </c>
      <c r="B191" s="16">
        <v>13270000</v>
      </c>
    </row>
    <row r="192" spans="1:2" x14ac:dyDescent="0.3">
      <c r="A192" s="1" t="s">
        <v>2178</v>
      </c>
      <c r="B192" s="16">
        <v>8000000</v>
      </c>
    </row>
    <row r="193" spans="1:2" x14ac:dyDescent="0.3">
      <c r="A193" s="1" t="s">
        <v>2177</v>
      </c>
      <c r="B193" s="16">
        <v>21000000</v>
      </c>
    </row>
    <row r="194" spans="1:2" x14ac:dyDescent="0.3">
      <c r="A194" s="1" t="s">
        <v>2176</v>
      </c>
      <c r="B194" s="16">
        <v>5500000</v>
      </c>
    </row>
    <row r="195" spans="1:2" x14ac:dyDescent="0.3">
      <c r="A195" s="1" t="s">
        <v>2175</v>
      </c>
      <c r="B195" s="16">
        <v>17000000</v>
      </c>
    </row>
    <row r="196" spans="1:2" x14ac:dyDescent="0.3">
      <c r="A196" s="1" t="s">
        <v>2174</v>
      </c>
      <c r="B196" s="16">
        <v>9000000</v>
      </c>
    </row>
    <row r="197" spans="1:2" x14ac:dyDescent="0.3">
      <c r="A197" s="1" t="s">
        <v>2173</v>
      </c>
      <c r="B197" s="16">
        <v>6100000</v>
      </c>
    </row>
    <row r="198" spans="1:2" x14ac:dyDescent="0.3">
      <c r="A198" s="1" t="s">
        <v>2172</v>
      </c>
      <c r="B198" s="16">
        <v>7300000</v>
      </c>
    </row>
    <row r="199" spans="1:2" x14ac:dyDescent="0.3">
      <c r="A199" s="1" t="s">
        <v>2171</v>
      </c>
      <c r="B199" s="16">
        <v>10500000</v>
      </c>
    </row>
    <row r="200" spans="1:2" x14ac:dyDescent="0.3">
      <c r="A200" s="1" t="s">
        <v>2170</v>
      </c>
      <c r="B200" s="16">
        <v>20000000</v>
      </c>
    </row>
    <row r="201" spans="1:2" x14ac:dyDescent="0.3">
      <c r="A201" s="1" t="s">
        <v>1159</v>
      </c>
      <c r="B201" s="16">
        <v>11500000</v>
      </c>
    </row>
    <row r="202" spans="1:2" x14ac:dyDescent="0.3">
      <c r="A202" s="1" t="s">
        <v>2169</v>
      </c>
      <c r="B202" s="16">
        <v>16800000</v>
      </c>
    </row>
    <row r="203" spans="1:2" x14ac:dyDescent="0.3">
      <c r="A203" s="1" t="s">
        <v>2168</v>
      </c>
      <c r="B203" s="16">
        <v>8700000</v>
      </c>
    </row>
    <row r="204" spans="1:2" x14ac:dyDescent="0.3">
      <c r="A204" s="1" t="s">
        <v>2167</v>
      </c>
      <c r="B204" s="16">
        <v>6500000</v>
      </c>
    </row>
    <row r="205" spans="1:2" x14ac:dyDescent="0.3">
      <c r="A205" s="1" t="s">
        <v>2166</v>
      </c>
      <c r="B205" s="16">
        <v>15000000</v>
      </c>
    </row>
    <row r="206" spans="1:2" x14ac:dyDescent="0.3">
      <c r="A206" s="1" t="s">
        <v>2165</v>
      </c>
      <c r="B206" s="16">
        <v>7000000</v>
      </c>
    </row>
    <row r="207" spans="1:2" x14ac:dyDescent="0.3">
      <c r="A207" s="1" t="s">
        <v>2164</v>
      </c>
      <c r="B207" s="16">
        <v>5100000</v>
      </c>
    </row>
    <row r="208" spans="1:2" x14ac:dyDescent="0.3">
      <c r="A208" s="1" t="s">
        <v>2163</v>
      </c>
      <c r="B208" s="16">
        <v>6000000</v>
      </c>
    </row>
    <row r="209" spans="1:2" x14ac:dyDescent="0.3">
      <c r="A209" s="1" t="s">
        <v>2162</v>
      </c>
      <c r="B209" s="16">
        <v>7500000</v>
      </c>
    </row>
    <row r="210" spans="1:2" x14ac:dyDescent="0.3">
      <c r="A210" s="1" t="s">
        <v>2161</v>
      </c>
      <c r="B210" s="16">
        <v>8990000</v>
      </c>
    </row>
    <row r="211" spans="1:2" x14ac:dyDescent="0.3">
      <c r="A211" s="1" t="s">
        <v>2160</v>
      </c>
      <c r="B211" s="16">
        <v>21500000</v>
      </c>
    </row>
    <row r="212" spans="1:2" x14ac:dyDescent="0.3">
      <c r="A212" s="1" t="s">
        <v>2159</v>
      </c>
      <c r="B212" s="16">
        <v>7700000</v>
      </c>
    </row>
    <row r="213" spans="1:2" x14ac:dyDescent="0.3">
      <c r="A213" s="1" t="s">
        <v>2158</v>
      </c>
      <c r="B213" s="16">
        <v>21000000</v>
      </c>
    </row>
    <row r="214" spans="1:2" x14ac:dyDescent="0.3">
      <c r="A214" s="1" t="s">
        <v>2157</v>
      </c>
      <c r="B214" s="16">
        <v>14500000</v>
      </c>
    </row>
    <row r="215" spans="1:2" x14ac:dyDescent="0.3">
      <c r="A215" s="1" t="s">
        <v>2156</v>
      </c>
      <c r="B215" s="16">
        <v>21700000</v>
      </c>
    </row>
    <row r="216" spans="1:2" x14ac:dyDescent="0.3">
      <c r="A216" s="1" t="s">
        <v>2155</v>
      </c>
      <c r="B216" s="16">
        <v>30000000</v>
      </c>
    </row>
    <row r="217" spans="1:2" x14ac:dyDescent="0.3">
      <c r="A217" s="1" t="s">
        <v>2154</v>
      </c>
      <c r="B217" s="16">
        <v>17000000</v>
      </c>
    </row>
    <row r="218" spans="1:2" x14ac:dyDescent="0.3">
      <c r="A218" s="1" t="s">
        <v>2153</v>
      </c>
      <c r="B218" s="16">
        <v>7000000</v>
      </c>
    </row>
    <row r="219" spans="1:2" x14ac:dyDescent="0.3">
      <c r="A219" s="1" t="s">
        <v>2152</v>
      </c>
      <c r="B219" s="16">
        <v>22000000</v>
      </c>
    </row>
    <row r="220" spans="1:2" x14ac:dyDescent="0.3">
      <c r="A220" s="1" t="s">
        <v>2151</v>
      </c>
      <c r="B220" s="16">
        <v>11800000</v>
      </c>
    </row>
    <row r="221" spans="1:2" x14ac:dyDescent="0.3">
      <c r="A221" s="1" t="s">
        <v>2150</v>
      </c>
      <c r="B221" s="16">
        <v>20000000</v>
      </c>
    </row>
    <row r="222" spans="1:2" x14ac:dyDescent="0.3">
      <c r="A222" s="1" t="s">
        <v>2149</v>
      </c>
      <c r="B222" s="16">
        <v>10000000</v>
      </c>
    </row>
    <row r="223" spans="1:2" x14ac:dyDescent="0.3">
      <c r="A223" s="1" t="s">
        <v>2148</v>
      </c>
      <c r="B223" s="16">
        <v>7500000</v>
      </c>
    </row>
    <row r="224" spans="1:2" x14ac:dyDescent="0.3">
      <c r="A224" s="1" t="s">
        <v>2147</v>
      </c>
      <c r="B224" s="16">
        <v>17000000</v>
      </c>
    </row>
    <row r="225" spans="1:2" x14ac:dyDescent="0.3">
      <c r="A225" s="1" t="s">
        <v>2146</v>
      </c>
      <c r="B225" s="16">
        <v>11000000</v>
      </c>
    </row>
    <row r="226" spans="1:2" x14ac:dyDescent="0.3">
      <c r="A226" s="1" t="s">
        <v>2144</v>
      </c>
      <c r="B226" s="16">
        <v>21900000</v>
      </c>
    </row>
    <row r="227" spans="1:2" x14ac:dyDescent="0.3">
      <c r="A227" s="1" t="s">
        <v>2145</v>
      </c>
      <c r="B227" s="16">
        <v>9000000</v>
      </c>
    </row>
    <row r="228" spans="1:2" x14ac:dyDescent="0.3">
      <c r="A228" s="1" t="s">
        <v>2143</v>
      </c>
      <c r="B228" s="16">
        <v>9500000</v>
      </c>
    </row>
    <row r="229" spans="1:2" x14ac:dyDescent="0.3">
      <c r="A229" s="1" t="s">
        <v>2141</v>
      </c>
      <c r="B229" s="16">
        <v>10000000</v>
      </c>
    </row>
    <row r="230" spans="1:2" x14ac:dyDescent="0.3">
      <c r="A230" s="1" t="s">
        <v>2142</v>
      </c>
      <c r="B230" s="16">
        <v>6400000</v>
      </c>
    </row>
    <row r="231" spans="1:2" x14ac:dyDescent="0.3">
      <c r="A231" s="1" t="s">
        <v>2140</v>
      </c>
      <c r="B231" s="16">
        <v>16000000</v>
      </c>
    </row>
    <row r="232" spans="1:2" x14ac:dyDescent="0.3">
      <c r="A232" s="1" t="s">
        <v>2139</v>
      </c>
      <c r="B232" s="16">
        <v>5500000</v>
      </c>
    </row>
    <row r="233" spans="1:2" x14ac:dyDescent="0.3">
      <c r="A233" s="1" t="s">
        <v>2138</v>
      </c>
      <c r="B233" s="16">
        <v>8400000</v>
      </c>
    </row>
    <row r="234" spans="1:2" x14ac:dyDescent="0.3">
      <c r="A234" s="1" t="s">
        <v>2137</v>
      </c>
      <c r="B234" s="16">
        <v>11450000</v>
      </c>
    </row>
    <row r="235" spans="1:2" x14ac:dyDescent="0.3">
      <c r="A235" s="1" t="s">
        <v>2136</v>
      </c>
      <c r="B235" s="16">
        <v>8300000</v>
      </c>
    </row>
    <row r="236" spans="1:2" x14ac:dyDescent="0.3">
      <c r="A236" s="1" t="s">
        <v>2135</v>
      </c>
      <c r="B236" s="16">
        <v>10520000</v>
      </c>
    </row>
    <row r="237" spans="1:2" x14ac:dyDescent="0.3">
      <c r="A237" s="1" t="s">
        <v>2134</v>
      </c>
      <c r="B237" s="16">
        <v>7000000</v>
      </c>
    </row>
    <row r="238" spans="1:2" x14ac:dyDescent="0.3">
      <c r="A238" s="1" t="s">
        <v>2133</v>
      </c>
      <c r="B238" s="16">
        <v>20000000</v>
      </c>
    </row>
    <row r="239" spans="1:2" x14ac:dyDescent="0.3">
      <c r="A239" s="1" t="s">
        <v>2132</v>
      </c>
      <c r="B239" s="16">
        <v>7700000</v>
      </c>
    </row>
    <row r="240" spans="1:2" x14ac:dyDescent="0.3">
      <c r="A240" s="1" t="s">
        <v>2131</v>
      </c>
      <c r="B240" s="16">
        <v>11200000</v>
      </c>
    </row>
    <row r="241" spans="1:2" x14ac:dyDescent="0.3">
      <c r="A241" s="1" t="s">
        <v>2130</v>
      </c>
      <c r="B241" s="16">
        <v>17500000</v>
      </c>
    </row>
    <row r="242" spans="1:2" x14ac:dyDescent="0.3">
      <c r="A242" s="1" t="s">
        <v>2129</v>
      </c>
      <c r="B242" s="16">
        <v>14000000</v>
      </c>
    </row>
    <row r="243" spans="1:2" x14ac:dyDescent="0.3">
      <c r="A243" s="1" t="s">
        <v>2128</v>
      </c>
      <c r="B243" s="16">
        <v>7500000</v>
      </c>
    </row>
    <row r="244" spans="1:2" x14ac:dyDescent="0.3">
      <c r="A244" s="1" t="s">
        <v>2127</v>
      </c>
      <c r="B244" s="16">
        <v>16500000</v>
      </c>
    </row>
    <row r="245" spans="1:2" x14ac:dyDescent="0.3">
      <c r="A245" s="1" t="s">
        <v>2126</v>
      </c>
      <c r="B245" s="16">
        <v>11500000</v>
      </c>
    </row>
    <row r="246" spans="1:2" x14ac:dyDescent="0.3">
      <c r="A246" s="1" t="s">
        <v>2125</v>
      </c>
      <c r="B246" s="16">
        <v>8000000</v>
      </c>
    </row>
    <row r="247" spans="1:2" x14ac:dyDescent="0.3">
      <c r="A247" s="1" t="s">
        <v>2124</v>
      </c>
      <c r="B247" s="16">
        <v>15300000</v>
      </c>
    </row>
    <row r="248" spans="1:2" x14ac:dyDescent="0.3">
      <c r="A248" s="1" t="s">
        <v>2123</v>
      </c>
      <c r="B248" s="16">
        <v>6500000</v>
      </c>
    </row>
    <row r="249" spans="1:2" x14ac:dyDescent="0.3">
      <c r="A249" s="1" t="s">
        <v>2122</v>
      </c>
      <c r="B249" s="16">
        <v>13500000</v>
      </c>
    </row>
    <row r="250" spans="1:2" x14ac:dyDescent="0.3">
      <c r="A250" s="1" t="s">
        <v>2121</v>
      </c>
      <c r="B250" s="16">
        <v>10500000</v>
      </c>
    </row>
    <row r="251" spans="1:2" x14ac:dyDescent="0.3">
      <c r="A251" s="1" t="s">
        <v>2120</v>
      </c>
      <c r="B251" s="16">
        <v>10200000</v>
      </c>
    </row>
    <row r="252" spans="1:2" x14ac:dyDescent="0.3">
      <c r="A252" s="1" t="s">
        <v>2119</v>
      </c>
      <c r="B252" s="16">
        <v>9130000</v>
      </c>
    </row>
    <row r="253" spans="1:2" x14ac:dyDescent="0.3">
      <c r="A253" s="1" t="s">
        <v>2118</v>
      </c>
      <c r="B253" s="16">
        <v>8000000</v>
      </c>
    </row>
    <row r="254" spans="1:2" x14ac:dyDescent="0.3">
      <c r="A254" s="1" t="s">
        <v>2103</v>
      </c>
      <c r="B254" s="16">
        <v>19000000</v>
      </c>
    </row>
    <row r="255" spans="1:2" x14ac:dyDescent="0.3">
      <c r="A255" s="1" t="s">
        <v>2117</v>
      </c>
      <c r="B255" s="16">
        <v>6000000</v>
      </c>
    </row>
    <row r="256" spans="1:2" x14ac:dyDescent="0.3">
      <c r="A256" s="1" t="s">
        <v>2116</v>
      </c>
      <c r="B256" s="16">
        <v>24000000</v>
      </c>
    </row>
    <row r="257" spans="1:2" x14ac:dyDescent="0.3">
      <c r="A257" s="1" t="s">
        <v>1987</v>
      </c>
      <c r="B257" s="16">
        <v>11500000</v>
      </c>
    </row>
    <row r="258" spans="1:2" x14ac:dyDescent="0.3">
      <c r="A258" s="1" t="s">
        <v>2115</v>
      </c>
      <c r="B258" s="16">
        <v>5500000</v>
      </c>
    </row>
    <row r="259" spans="1:2" x14ac:dyDescent="0.3">
      <c r="A259" s="1" t="s">
        <v>2111</v>
      </c>
      <c r="B259" s="16">
        <v>6300000</v>
      </c>
    </row>
    <row r="260" spans="1:2" x14ac:dyDescent="0.3">
      <c r="A260" s="1" t="s">
        <v>2114</v>
      </c>
      <c r="B260" s="16">
        <v>9700000</v>
      </c>
    </row>
    <row r="261" spans="1:2" x14ac:dyDescent="0.3">
      <c r="A261" s="1" t="s">
        <v>2112</v>
      </c>
      <c r="B261" s="16">
        <v>8000000</v>
      </c>
    </row>
    <row r="262" spans="1:2" x14ac:dyDescent="0.3">
      <c r="A262" s="1" t="s">
        <v>2113</v>
      </c>
      <c r="B262" s="16">
        <v>5500000</v>
      </c>
    </row>
    <row r="263" spans="1:2" x14ac:dyDescent="0.3">
      <c r="A263" s="1" t="s">
        <v>2110</v>
      </c>
      <c r="B263" s="16">
        <v>19700000</v>
      </c>
    </row>
    <row r="264" spans="1:2" x14ac:dyDescent="0.3">
      <c r="A264" s="1" t="s">
        <v>2109</v>
      </c>
      <c r="B264" s="16">
        <v>13200000</v>
      </c>
    </row>
    <row r="265" spans="1:2" x14ac:dyDescent="0.3">
      <c r="A265" s="1" t="s">
        <v>2108</v>
      </c>
      <c r="B265" s="16">
        <v>9000000</v>
      </c>
    </row>
    <row r="266" spans="1:2" x14ac:dyDescent="0.3">
      <c r="A266" s="1" t="s">
        <v>2107</v>
      </c>
      <c r="B266" s="16">
        <v>4400000</v>
      </c>
    </row>
    <row r="267" spans="1:2" x14ac:dyDescent="0.3">
      <c r="A267" s="1" t="s">
        <v>2106</v>
      </c>
      <c r="B267" s="16">
        <v>10000000</v>
      </c>
    </row>
    <row r="268" spans="1:2" x14ac:dyDescent="0.3">
      <c r="A268" s="1" t="s">
        <v>2105</v>
      </c>
      <c r="B268" s="16">
        <v>14000000</v>
      </c>
    </row>
    <row r="269" spans="1:2" x14ac:dyDescent="0.3">
      <c r="A269" s="1" t="s">
        <v>2104</v>
      </c>
      <c r="B269" s="16">
        <v>18000000</v>
      </c>
    </row>
    <row r="270" spans="1:2" x14ac:dyDescent="0.3">
      <c r="A270" s="1" t="s">
        <v>2101</v>
      </c>
      <c r="B270" s="16">
        <v>8000000</v>
      </c>
    </row>
    <row r="271" spans="1:2" x14ac:dyDescent="0.3">
      <c r="A271" s="1" t="s">
        <v>2102</v>
      </c>
      <c r="B271" s="16">
        <v>24700000</v>
      </c>
    </row>
    <row r="272" spans="1:2" x14ac:dyDescent="0.3">
      <c r="A272" s="1" t="s">
        <v>2100</v>
      </c>
      <c r="B272" s="16">
        <v>4000000</v>
      </c>
    </row>
    <row r="273" spans="1:2" x14ac:dyDescent="0.3">
      <c r="A273" s="1" t="s">
        <v>2099</v>
      </c>
      <c r="B273" s="16">
        <v>10300000</v>
      </c>
    </row>
    <row r="274" spans="1:2" x14ac:dyDescent="0.3">
      <c r="A274" s="1" t="s">
        <v>2098</v>
      </c>
      <c r="B274" s="16">
        <v>10500000</v>
      </c>
    </row>
    <row r="275" spans="1:2" x14ac:dyDescent="0.3">
      <c r="A275" s="1" t="s">
        <v>2097</v>
      </c>
      <c r="B275" s="16">
        <v>12200000</v>
      </c>
    </row>
    <row r="276" spans="1:2" x14ac:dyDescent="0.3">
      <c r="A276" s="1" t="s">
        <v>2096</v>
      </c>
      <c r="B276" s="16">
        <v>4500000</v>
      </c>
    </row>
    <row r="277" spans="1:2" x14ac:dyDescent="0.3">
      <c r="A277" s="1" t="s">
        <v>2095</v>
      </c>
      <c r="B277" s="16">
        <v>7200000</v>
      </c>
    </row>
    <row r="278" spans="1:2" x14ac:dyDescent="0.3">
      <c r="A278" s="1" t="s">
        <v>2094</v>
      </c>
      <c r="B278" s="16">
        <v>9000000</v>
      </c>
    </row>
    <row r="279" spans="1:2" x14ac:dyDescent="0.3">
      <c r="A279" s="1" t="s">
        <v>2093</v>
      </c>
      <c r="B279" s="16">
        <v>8000000</v>
      </c>
    </row>
    <row r="280" spans="1:2" x14ac:dyDescent="0.3">
      <c r="A280" s="1" t="s">
        <v>2092</v>
      </c>
      <c r="B280" s="16">
        <v>16200000</v>
      </c>
    </row>
    <row r="281" spans="1:2" x14ac:dyDescent="0.3">
      <c r="A281" s="1" t="s">
        <v>2091</v>
      </c>
      <c r="B281" s="16">
        <v>14200000</v>
      </c>
    </row>
    <row r="282" spans="1:2" x14ac:dyDescent="0.3">
      <c r="A282" s="1" t="s">
        <v>2090</v>
      </c>
      <c r="B282" s="16">
        <v>10300000</v>
      </c>
    </row>
    <row r="283" spans="1:2" x14ac:dyDescent="0.3">
      <c r="A283" s="1" t="s">
        <v>2089</v>
      </c>
      <c r="B283" s="16">
        <v>8800000</v>
      </c>
    </row>
    <row r="284" spans="1:2" x14ac:dyDescent="0.3">
      <c r="A284" s="1" t="s">
        <v>2088</v>
      </c>
      <c r="B284" s="16">
        <v>8500000</v>
      </c>
    </row>
    <row r="285" spans="1:2" x14ac:dyDescent="0.3">
      <c r="A285" s="1" t="s">
        <v>611</v>
      </c>
      <c r="B285" s="16">
        <v>6150000</v>
      </c>
    </row>
    <row r="286" spans="1:2" x14ac:dyDescent="0.3">
      <c r="A286" s="1" t="s">
        <v>2087</v>
      </c>
      <c r="B286" s="16">
        <v>24250000</v>
      </c>
    </row>
    <row r="287" spans="1:2" x14ac:dyDescent="0.3">
      <c r="A287" s="1" t="s">
        <v>2086</v>
      </c>
      <c r="B287" s="16">
        <v>5800000</v>
      </c>
    </row>
    <row r="288" spans="1:2" x14ac:dyDescent="0.3">
      <c r="A288" s="1" t="s">
        <v>2085</v>
      </c>
      <c r="B288" s="16">
        <v>22000000</v>
      </c>
    </row>
    <row r="289" spans="1:2" x14ac:dyDescent="0.3">
      <c r="A289" s="1" t="s">
        <v>2084</v>
      </c>
      <c r="B289" s="16">
        <v>6500000</v>
      </c>
    </row>
    <row r="290" spans="1:2" x14ac:dyDescent="0.3">
      <c r="A290" s="1" t="s">
        <v>2083</v>
      </c>
      <c r="B290" s="16">
        <v>15000000</v>
      </c>
    </row>
    <row r="291" spans="1:2" x14ac:dyDescent="0.3">
      <c r="A291" s="1" t="s">
        <v>2082</v>
      </c>
      <c r="B291" s="16">
        <v>19500000</v>
      </c>
    </row>
    <row r="292" spans="1:2" x14ac:dyDescent="0.3">
      <c r="A292" s="1" t="s">
        <v>2081</v>
      </c>
      <c r="B292" s="16">
        <v>22300000</v>
      </c>
    </row>
    <row r="293" spans="1:2" x14ac:dyDescent="0.3">
      <c r="A293" s="1" t="s">
        <v>2080</v>
      </c>
      <c r="B293" s="16">
        <v>11500000</v>
      </c>
    </row>
    <row r="294" spans="1:2" x14ac:dyDescent="0.3">
      <c r="A294" s="1" t="s">
        <v>2079</v>
      </c>
      <c r="B294" s="16">
        <v>17500000</v>
      </c>
    </row>
    <row r="295" spans="1:2" x14ac:dyDescent="0.3">
      <c r="A295" s="1" t="s">
        <v>2078</v>
      </c>
      <c r="B295" s="16">
        <v>7500000</v>
      </c>
    </row>
    <row r="296" spans="1:2" x14ac:dyDescent="0.3">
      <c r="A296" s="1" t="s">
        <v>2077</v>
      </c>
      <c r="B296" s="16">
        <v>14200000</v>
      </c>
    </row>
    <row r="297" spans="1:2" x14ac:dyDescent="0.3">
      <c r="A297" s="1" t="s">
        <v>2076</v>
      </c>
      <c r="B297" s="16">
        <v>8600000</v>
      </c>
    </row>
    <row r="298" spans="1:2" x14ac:dyDescent="0.3">
      <c r="A298" s="1" t="s">
        <v>2075</v>
      </c>
      <c r="B298" s="16">
        <v>8500000</v>
      </c>
    </row>
    <row r="299" spans="1:2" x14ac:dyDescent="0.3">
      <c r="A299" s="1" t="s">
        <v>2074</v>
      </c>
      <c r="B299" s="16">
        <v>17000000</v>
      </c>
    </row>
    <row r="300" spans="1:2" x14ac:dyDescent="0.3">
      <c r="A300" s="1" t="s">
        <v>2073</v>
      </c>
      <c r="B300" s="16">
        <v>4300000</v>
      </c>
    </row>
    <row r="301" spans="1:2" x14ac:dyDescent="0.3">
      <c r="A301" s="1" t="s">
        <v>2066</v>
      </c>
      <c r="B301" s="16">
        <v>11500000</v>
      </c>
    </row>
    <row r="302" spans="1:2" x14ac:dyDescent="0.3">
      <c r="A302" s="1" t="s">
        <v>2072</v>
      </c>
      <c r="B302" s="16">
        <v>6800000</v>
      </c>
    </row>
    <row r="303" spans="1:2" x14ac:dyDescent="0.3">
      <c r="A303" s="1" t="s">
        <v>2071</v>
      </c>
      <c r="B303" s="16">
        <v>8200000</v>
      </c>
    </row>
    <row r="304" spans="1:2" x14ac:dyDescent="0.3">
      <c r="A304" s="1" t="s">
        <v>2070</v>
      </c>
      <c r="B304" s="16">
        <v>6000000</v>
      </c>
    </row>
    <row r="305" spans="1:2" x14ac:dyDescent="0.3">
      <c r="A305" s="1" t="s">
        <v>2068</v>
      </c>
      <c r="B305" s="16">
        <v>16350000</v>
      </c>
    </row>
    <row r="306" spans="1:2" x14ac:dyDescent="0.3">
      <c r="A306" s="1" t="s">
        <v>2069</v>
      </c>
      <c r="B306" s="16">
        <v>16000000</v>
      </c>
    </row>
    <row r="307" spans="1:2" x14ac:dyDescent="0.3">
      <c r="A307" s="1" t="s">
        <v>2067</v>
      </c>
      <c r="B307" s="16">
        <v>9900000</v>
      </c>
    </row>
    <row r="308" spans="1:2" x14ac:dyDescent="0.3">
      <c r="A308" s="1" t="s">
        <v>2065</v>
      </c>
      <c r="B308" s="16">
        <v>14500000</v>
      </c>
    </row>
    <row r="309" spans="1:2" x14ac:dyDescent="0.3">
      <c r="A309" s="1" t="s">
        <v>2064</v>
      </c>
      <c r="B309" s="16">
        <v>13500000</v>
      </c>
    </row>
    <row r="310" spans="1:2" x14ac:dyDescent="0.3">
      <c r="A310" s="1" t="s">
        <v>2063</v>
      </c>
      <c r="B310" s="16">
        <v>7500000</v>
      </c>
    </row>
    <row r="311" spans="1:2" x14ac:dyDescent="0.3">
      <c r="A311" s="1" t="s">
        <v>2062</v>
      </c>
      <c r="B311" s="16">
        <v>14000000</v>
      </c>
    </row>
    <row r="312" spans="1:2" x14ac:dyDescent="0.3">
      <c r="A312" s="1" t="s">
        <v>2061</v>
      </c>
      <c r="B312" s="16">
        <v>7000000</v>
      </c>
    </row>
    <row r="313" spans="1:2" x14ac:dyDescent="0.3">
      <c r="A313" s="1" t="s">
        <v>2060</v>
      </c>
      <c r="B313" s="16">
        <v>15000000</v>
      </c>
    </row>
    <row r="314" spans="1:2" x14ac:dyDescent="0.3">
      <c r="A314" s="1" t="s">
        <v>2059</v>
      </c>
      <c r="B314" s="16">
        <v>9500000</v>
      </c>
    </row>
    <row r="315" spans="1:2" x14ac:dyDescent="0.3">
      <c r="A315" s="1" t="s">
        <v>411</v>
      </c>
      <c r="B315" s="16">
        <v>9500000</v>
      </c>
    </row>
    <row r="316" spans="1:2" x14ac:dyDescent="0.3">
      <c r="A316" s="1" t="s">
        <v>2058</v>
      </c>
      <c r="B316" s="16">
        <v>6750000</v>
      </c>
    </row>
    <row r="317" spans="1:2" x14ac:dyDescent="0.3">
      <c r="A317" s="1" t="s">
        <v>2057</v>
      </c>
      <c r="B317" s="16">
        <v>6000000</v>
      </c>
    </row>
    <row r="318" spans="1:2" x14ac:dyDescent="0.3">
      <c r="A318" s="1" t="s">
        <v>2056</v>
      </c>
      <c r="B318" s="16">
        <v>8200000</v>
      </c>
    </row>
    <row r="319" spans="1:2" x14ac:dyDescent="0.3">
      <c r="A319" s="1" t="s">
        <v>1029</v>
      </c>
      <c r="B319" s="16">
        <v>11000000</v>
      </c>
    </row>
    <row r="320" spans="1:2" x14ac:dyDescent="0.3">
      <c r="A320" s="1" t="s">
        <v>2055</v>
      </c>
      <c r="B320" s="16">
        <v>15000000</v>
      </c>
    </row>
    <row r="321" spans="1:2" x14ac:dyDescent="0.3">
      <c r="A321" s="1" t="s">
        <v>2054</v>
      </c>
      <c r="B321" s="16">
        <v>14000000</v>
      </c>
    </row>
    <row r="322" spans="1:2" x14ac:dyDescent="0.3">
      <c r="A322" s="1" t="s">
        <v>2053</v>
      </c>
      <c r="B322" s="16">
        <v>7000000</v>
      </c>
    </row>
    <row r="323" spans="1:2" x14ac:dyDescent="0.3">
      <c r="A323" s="1" t="s">
        <v>2052</v>
      </c>
      <c r="B323" s="16">
        <v>9100000</v>
      </c>
    </row>
    <row r="324" spans="1:2" x14ac:dyDescent="0.3">
      <c r="A324" s="1" t="s">
        <v>2051</v>
      </c>
      <c r="B324" s="16">
        <v>5000000</v>
      </c>
    </row>
    <row r="325" spans="1:2" x14ac:dyDescent="0.3">
      <c r="A325" s="1" t="s">
        <v>2050</v>
      </c>
      <c r="B325" s="16">
        <v>10000000</v>
      </c>
    </row>
    <row r="326" spans="1:2" x14ac:dyDescent="0.3">
      <c r="A326" s="1" t="s">
        <v>2049</v>
      </c>
      <c r="B326" s="16">
        <v>14500000</v>
      </c>
    </row>
    <row r="327" spans="1:2" x14ac:dyDescent="0.3">
      <c r="A327" s="1" t="s">
        <v>2048</v>
      </c>
      <c r="B327" s="16">
        <v>12500000</v>
      </c>
    </row>
    <row r="328" spans="1:2" x14ac:dyDescent="0.3">
      <c r="A328" s="1" t="s">
        <v>2047</v>
      </c>
      <c r="B328" s="16">
        <v>9800000</v>
      </c>
    </row>
    <row r="329" spans="1:2" x14ac:dyDescent="0.3">
      <c r="A329" s="1" t="s">
        <v>2046</v>
      </c>
      <c r="B329" s="16">
        <v>11000000</v>
      </c>
    </row>
    <row r="330" spans="1:2" x14ac:dyDescent="0.3">
      <c r="A330" s="1" t="s">
        <v>2045</v>
      </c>
      <c r="B330" s="16">
        <v>12000000</v>
      </c>
    </row>
    <row r="331" spans="1:2" x14ac:dyDescent="0.3">
      <c r="A331" s="1" t="s">
        <v>2044</v>
      </c>
      <c r="B331" s="16">
        <v>8200000</v>
      </c>
    </row>
    <row r="332" spans="1:2" x14ac:dyDescent="0.3">
      <c r="A332" s="1" t="s">
        <v>2043</v>
      </c>
      <c r="B332" s="16">
        <v>5800000</v>
      </c>
    </row>
    <row r="333" spans="1:2" x14ac:dyDescent="0.3">
      <c r="A333" s="1" t="s">
        <v>2042</v>
      </c>
      <c r="B333" s="16">
        <v>11500000</v>
      </c>
    </row>
    <row r="334" spans="1:2" x14ac:dyDescent="0.3">
      <c r="A334" s="1" t="s">
        <v>2040</v>
      </c>
      <c r="B334" s="16">
        <v>6200000</v>
      </c>
    </row>
    <row r="335" spans="1:2" x14ac:dyDescent="0.3">
      <c r="A335" s="1" t="s">
        <v>2041</v>
      </c>
      <c r="B335" s="16">
        <v>9500000</v>
      </c>
    </row>
    <row r="336" spans="1:2" x14ac:dyDescent="0.3">
      <c r="A336" s="1" t="s">
        <v>2039</v>
      </c>
      <c r="B336" s="16">
        <v>23000000</v>
      </c>
    </row>
    <row r="337" spans="1:2" x14ac:dyDescent="0.3">
      <c r="A337" s="1" t="s">
        <v>721</v>
      </c>
      <c r="B337" s="16">
        <v>14500000</v>
      </c>
    </row>
    <row r="338" spans="1:2" x14ac:dyDescent="0.3">
      <c r="A338" s="1" t="s">
        <v>2038</v>
      </c>
      <c r="B338" s="16">
        <v>7200000</v>
      </c>
    </row>
    <row r="339" spans="1:2" x14ac:dyDescent="0.3">
      <c r="A339" s="1" t="s">
        <v>2037</v>
      </c>
      <c r="B339" s="16">
        <v>5700000</v>
      </c>
    </row>
    <row r="340" spans="1:2" x14ac:dyDescent="0.3">
      <c r="A340" s="1" t="s">
        <v>2036</v>
      </c>
      <c r="B340" s="16">
        <v>12300000</v>
      </c>
    </row>
    <row r="341" spans="1:2" x14ac:dyDescent="0.3">
      <c r="A341" s="1" t="s">
        <v>2035</v>
      </c>
      <c r="B341" s="16">
        <v>37300000</v>
      </c>
    </row>
    <row r="342" spans="1:2" x14ac:dyDescent="0.3">
      <c r="A342" s="1" t="s">
        <v>2034</v>
      </c>
      <c r="B342" s="16">
        <v>12000000</v>
      </c>
    </row>
    <row r="343" spans="1:2" x14ac:dyDescent="0.3">
      <c r="A343" s="1" t="s">
        <v>2032</v>
      </c>
      <c r="B343" s="16">
        <v>7000000</v>
      </c>
    </row>
    <row r="344" spans="1:2" x14ac:dyDescent="0.3">
      <c r="A344" s="1" t="s">
        <v>2033</v>
      </c>
      <c r="B344" s="16">
        <v>8300000</v>
      </c>
    </row>
    <row r="345" spans="1:2" x14ac:dyDescent="0.3">
      <c r="A345" s="1" t="s">
        <v>2031</v>
      </c>
      <c r="B345" s="16">
        <v>12150000</v>
      </c>
    </row>
    <row r="346" spans="1:2" x14ac:dyDescent="0.3">
      <c r="A346" s="1" t="s">
        <v>2030</v>
      </c>
      <c r="B346" s="16">
        <v>10200000</v>
      </c>
    </row>
    <row r="347" spans="1:2" x14ac:dyDescent="0.3">
      <c r="A347" s="1" t="s">
        <v>2029</v>
      </c>
      <c r="B347" s="16">
        <v>16300000</v>
      </c>
    </row>
    <row r="348" spans="1:2" x14ac:dyDescent="0.3">
      <c r="A348" s="1" t="s">
        <v>2028</v>
      </c>
      <c r="B348" s="16">
        <v>20000000</v>
      </c>
    </row>
    <row r="349" spans="1:2" x14ac:dyDescent="0.3">
      <c r="A349" s="1" t="s">
        <v>2027</v>
      </c>
      <c r="B349" s="16">
        <v>13500000</v>
      </c>
    </row>
    <row r="350" spans="1:2" x14ac:dyDescent="0.3">
      <c r="A350" s="1" t="s">
        <v>2026</v>
      </c>
      <c r="B350" s="16">
        <v>7200000</v>
      </c>
    </row>
    <row r="351" spans="1:2" x14ac:dyDescent="0.3">
      <c r="A351" s="1" t="s">
        <v>2025</v>
      </c>
      <c r="B351" s="16">
        <v>12500000</v>
      </c>
    </row>
    <row r="352" spans="1:2" x14ac:dyDescent="0.3">
      <c r="A352" s="1" t="s">
        <v>1843</v>
      </c>
      <c r="B352" s="16">
        <v>13000000</v>
      </c>
    </row>
    <row r="353" spans="1:2" x14ac:dyDescent="0.3">
      <c r="A353" s="1" t="s">
        <v>2023</v>
      </c>
      <c r="B353" s="16">
        <v>6500000</v>
      </c>
    </row>
    <row r="354" spans="1:2" x14ac:dyDescent="0.3">
      <c r="A354" s="1" t="s">
        <v>2024</v>
      </c>
      <c r="B354" s="16">
        <v>7100000</v>
      </c>
    </row>
    <row r="355" spans="1:2" x14ac:dyDescent="0.3">
      <c r="A355" s="1" t="s">
        <v>2022</v>
      </c>
      <c r="B355" s="16">
        <v>10000000</v>
      </c>
    </row>
    <row r="356" spans="1:2" x14ac:dyDescent="0.3">
      <c r="A356" s="1" t="s">
        <v>2021</v>
      </c>
      <c r="B356" s="16">
        <v>9250000</v>
      </c>
    </row>
    <row r="357" spans="1:2" x14ac:dyDescent="0.3">
      <c r="A357" s="1" t="s">
        <v>1249</v>
      </c>
      <c r="B357" s="16">
        <v>10200000</v>
      </c>
    </row>
    <row r="358" spans="1:2" x14ac:dyDescent="0.3">
      <c r="A358" s="1" t="s">
        <v>2020</v>
      </c>
      <c r="B358" s="16">
        <v>29000000</v>
      </c>
    </row>
    <row r="359" spans="1:2" x14ac:dyDescent="0.3">
      <c r="A359" s="1" t="s">
        <v>2019</v>
      </c>
      <c r="B359" s="16">
        <v>5900000</v>
      </c>
    </row>
    <row r="360" spans="1:2" x14ac:dyDescent="0.3">
      <c r="A360" s="1" t="s">
        <v>2018</v>
      </c>
      <c r="B360" s="16">
        <v>21500000</v>
      </c>
    </row>
    <row r="361" spans="1:2" x14ac:dyDescent="0.3">
      <c r="A361" s="1" t="s">
        <v>2017</v>
      </c>
      <c r="B361" s="16">
        <v>13500000</v>
      </c>
    </row>
    <row r="362" spans="1:2" x14ac:dyDescent="0.3">
      <c r="A362" s="1" t="s">
        <v>2016</v>
      </c>
      <c r="B362" s="16">
        <v>7200000</v>
      </c>
    </row>
    <row r="363" spans="1:2" x14ac:dyDescent="0.3">
      <c r="A363" s="1" t="s">
        <v>2015</v>
      </c>
      <c r="B363" s="16">
        <v>18500000</v>
      </c>
    </row>
    <row r="364" spans="1:2" x14ac:dyDescent="0.3">
      <c r="A364" s="1" t="s">
        <v>2014</v>
      </c>
      <c r="B364" s="16">
        <v>10300000</v>
      </c>
    </row>
    <row r="365" spans="1:2" x14ac:dyDescent="0.3">
      <c r="A365" s="1" t="s">
        <v>2013</v>
      </c>
      <c r="B365" s="16">
        <v>9700000</v>
      </c>
    </row>
    <row r="366" spans="1:2" x14ac:dyDescent="0.3">
      <c r="A366" s="1" t="s">
        <v>2012</v>
      </c>
      <c r="B366" s="16">
        <v>13500000</v>
      </c>
    </row>
    <row r="367" spans="1:2" x14ac:dyDescent="0.3">
      <c r="A367" s="1" t="s">
        <v>2011</v>
      </c>
      <c r="B367" s="16">
        <v>11000000</v>
      </c>
    </row>
    <row r="368" spans="1:2" x14ac:dyDescent="0.3">
      <c r="A368" s="1" t="s">
        <v>2010</v>
      </c>
      <c r="B368" s="16">
        <v>12000000</v>
      </c>
    </row>
    <row r="369" spans="1:2" x14ac:dyDescent="0.3">
      <c r="A369" s="1" t="s">
        <v>2009</v>
      </c>
      <c r="B369" s="16">
        <v>22500000</v>
      </c>
    </row>
    <row r="370" spans="1:2" x14ac:dyDescent="0.3">
      <c r="A370" s="1" t="s">
        <v>2008</v>
      </c>
      <c r="B370" s="16">
        <v>9000000</v>
      </c>
    </row>
    <row r="371" spans="1:2" x14ac:dyDescent="0.3">
      <c r="A371" s="1" t="s">
        <v>2007</v>
      </c>
      <c r="B371" s="16">
        <v>22200000</v>
      </c>
    </row>
    <row r="372" spans="1:2" x14ac:dyDescent="0.3">
      <c r="A372" s="1" t="s">
        <v>2006</v>
      </c>
      <c r="B372" s="16">
        <v>12000000</v>
      </c>
    </row>
    <row r="373" spans="1:2" x14ac:dyDescent="0.3">
      <c r="A373" s="1" t="s">
        <v>2005</v>
      </c>
      <c r="B373" s="16">
        <v>10300000</v>
      </c>
    </row>
    <row r="374" spans="1:2" x14ac:dyDescent="0.3">
      <c r="A374" s="1" t="s">
        <v>2004</v>
      </c>
      <c r="B374" s="16">
        <v>17500000</v>
      </c>
    </row>
    <row r="375" spans="1:2" x14ac:dyDescent="0.3">
      <c r="A375" s="1" t="s">
        <v>2003</v>
      </c>
      <c r="B375" s="16">
        <v>16000000</v>
      </c>
    </row>
    <row r="376" spans="1:2" x14ac:dyDescent="0.3">
      <c r="A376" s="1" t="s">
        <v>2002</v>
      </c>
      <c r="B376" s="16">
        <v>14500000</v>
      </c>
    </row>
    <row r="377" spans="1:2" x14ac:dyDescent="0.3">
      <c r="A377" s="1" t="s">
        <v>2001</v>
      </c>
      <c r="B377" s="16">
        <v>16500000</v>
      </c>
    </row>
    <row r="378" spans="1:2" x14ac:dyDescent="0.3">
      <c r="A378" s="1" t="s">
        <v>1860</v>
      </c>
      <c r="B378" s="16">
        <v>38000000</v>
      </c>
    </row>
    <row r="379" spans="1:2" x14ac:dyDescent="0.3">
      <c r="A379" s="1" t="s">
        <v>2000</v>
      </c>
      <c r="B379" s="16">
        <v>18000000</v>
      </c>
    </row>
    <row r="380" spans="1:2" x14ac:dyDescent="0.3">
      <c r="A380" s="1" t="s">
        <v>1999</v>
      </c>
      <c r="B380" s="16">
        <v>8500000</v>
      </c>
    </row>
    <row r="381" spans="1:2" x14ac:dyDescent="0.3">
      <c r="A381" s="1" t="s">
        <v>1998</v>
      </c>
      <c r="B381" s="16">
        <v>8800000</v>
      </c>
    </row>
    <row r="382" spans="1:2" x14ac:dyDescent="0.3">
      <c r="A382" s="1" t="s">
        <v>1997</v>
      </c>
      <c r="B382" s="16">
        <v>11500000</v>
      </c>
    </row>
    <row r="383" spans="1:2" x14ac:dyDescent="0.3">
      <c r="A383" s="1" t="s">
        <v>1996</v>
      </c>
      <c r="B383" s="16">
        <v>7000000</v>
      </c>
    </row>
    <row r="384" spans="1:2" x14ac:dyDescent="0.3">
      <c r="A384" s="1" t="s">
        <v>1995</v>
      </c>
      <c r="B384" s="16">
        <v>10000000</v>
      </c>
    </row>
    <row r="385" spans="1:2" x14ac:dyDescent="0.3">
      <c r="A385" s="1" t="s">
        <v>1994</v>
      </c>
      <c r="B385" s="16">
        <v>8900000</v>
      </c>
    </row>
    <row r="386" spans="1:2" x14ac:dyDescent="0.3">
      <c r="A386" s="1" t="s">
        <v>1993</v>
      </c>
      <c r="B386" s="16">
        <v>18000000</v>
      </c>
    </row>
    <row r="387" spans="1:2" x14ac:dyDescent="0.3">
      <c r="A387" s="1" t="s">
        <v>1992</v>
      </c>
      <c r="B387" s="16">
        <v>15000000</v>
      </c>
    </row>
    <row r="388" spans="1:2" x14ac:dyDescent="0.3">
      <c r="A388" s="1" t="s">
        <v>1991</v>
      </c>
      <c r="B388" s="16">
        <v>19700000</v>
      </c>
    </row>
    <row r="389" spans="1:2" x14ac:dyDescent="0.3">
      <c r="A389" s="1" t="s">
        <v>1990</v>
      </c>
      <c r="B389" s="16">
        <v>8400000</v>
      </c>
    </row>
    <row r="390" spans="1:2" x14ac:dyDescent="0.3">
      <c r="A390" s="1" t="s">
        <v>1988</v>
      </c>
      <c r="B390" s="16">
        <v>11000000</v>
      </c>
    </row>
    <row r="391" spans="1:2" x14ac:dyDescent="0.3">
      <c r="A391" s="1" t="s">
        <v>1989</v>
      </c>
      <c r="B391" s="16">
        <v>15500000</v>
      </c>
    </row>
    <row r="392" spans="1:2" x14ac:dyDescent="0.3">
      <c r="A392" s="1" t="s">
        <v>1986</v>
      </c>
      <c r="B392" s="16">
        <v>12200000</v>
      </c>
    </row>
    <row r="393" spans="1:2" x14ac:dyDescent="0.3">
      <c r="A393" s="1" t="s">
        <v>1985</v>
      </c>
      <c r="B393" s="16">
        <v>15000000</v>
      </c>
    </row>
    <row r="394" spans="1:2" x14ac:dyDescent="0.3">
      <c r="A394" s="1" t="s">
        <v>1984</v>
      </c>
      <c r="B394" s="16">
        <v>10500000</v>
      </c>
    </row>
    <row r="395" spans="1:2" x14ac:dyDescent="0.3">
      <c r="A395" s="1" t="s">
        <v>1983</v>
      </c>
      <c r="B395" s="16">
        <v>9000000</v>
      </c>
    </row>
    <row r="396" spans="1:2" x14ac:dyDescent="0.3">
      <c r="A396" s="1" t="s">
        <v>1982</v>
      </c>
      <c r="B396" s="16">
        <v>8000000</v>
      </c>
    </row>
    <row r="397" spans="1:2" x14ac:dyDescent="0.3">
      <c r="A397" s="1" t="s">
        <v>1981</v>
      </c>
      <c r="B397" s="16">
        <v>19000000</v>
      </c>
    </row>
    <row r="398" spans="1:2" x14ac:dyDescent="0.3">
      <c r="A398" s="1" t="s">
        <v>1980</v>
      </c>
      <c r="B398" s="16">
        <v>5500000</v>
      </c>
    </row>
    <row r="399" spans="1:2" x14ac:dyDescent="0.3">
      <c r="A399" s="1" t="s">
        <v>1979</v>
      </c>
      <c r="B399" s="16">
        <v>10000000</v>
      </c>
    </row>
    <row r="400" spans="1:2" x14ac:dyDescent="0.3">
      <c r="A400" s="1" t="s">
        <v>1978</v>
      </c>
      <c r="B400" s="16">
        <v>7700000</v>
      </c>
    </row>
    <row r="401" spans="1:2" x14ac:dyDescent="0.3">
      <c r="A401" s="1" t="s">
        <v>1976</v>
      </c>
      <c r="B401" s="16">
        <v>10000000</v>
      </c>
    </row>
    <row r="402" spans="1:2" x14ac:dyDescent="0.3">
      <c r="A402" s="1" t="s">
        <v>1977</v>
      </c>
      <c r="B402" s="16">
        <v>13000000</v>
      </c>
    </row>
    <row r="403" spans="1:2" x14ac:dyDescent="0.3">
      <c r="A403" s="1" t="s">
        <v>1975</v>
      </c>
      <c r="B403" s="16">
        <v>15900000</v>
      </c>
    </row>
    <row r="404" spans="1:2" x14ac:dyDescent="0.3">
      <c r="A404" s="1" t="s">
        <v>1974</v>
      </c>
      <c r="B404" s="16">
        <v>27000000</v>
      </c>
    </row>
    <row r="405" spans="1:2" x14ac:dyDescent="0.3">
      <c r="A405" s="1" t="s">
        <v>1973</v>
      </c>
      <c r="B405" s="16">
        <v>5000000</v>
      </c>
    </row>
    <row r="406" spans="1:2" x14ac:dyDescent="0.3">
      <c r="A406" s="1" t="s">
        <v>1972</v>
      </c>
      <c r="B406" s="16">
        <v>9840000</v>
      </c>
    </row>
    <row r="407" spans="1:2" x14ac:dyDescent="0.3">
      <c r="A407" s="1" t="s">
        <v>1971</v>
      </c>
      <c r="B407" s="16">
        <v>11500000</v>
      </c>
    </row>
    <row r="408" spans="1:2" x14ac:dyDescent="0.3">
      <c r="A408" s="1" t="s">
        <v>1969</v>
      </c>
      <c r="B408" s="16">
        <v>9000000</v>
      </c>
    </row>
    <row r="409" spans="1:2" x14ac:dyDescent="0.3">
      <c r="A409" s="1" t="s">
        <v>1970</v>
      </c>
      <c r="B409" s="16">
        <v>17500000</v>
      </c>
    </row>
    <row r="410" spans="1:2" x14ac:dyDescent="0.3">
      <c r="A410" s="1" t="s">
        <v>1968</v>
      </c>
      <c r="B410" s="16">
        <v>15000000</v>
      </c>
    </row>
    <row r="411" spans="1:2" x14ac:dyDescent="0.3">
      <c r="A411" s="1" t="s">
        <v>1967</v>
      </c>
      <c r="B411" s="16">
        <v>6800000</v>
      </c>
    </row>
    <row r="412" spans="1:2" x14ac:dyDescent="0.3">
      <c r="A412" s="1" t="s">
        <v>1966</v>
      </c>
      <c r="B412" s="16">
        <v>21000000</v>
      </c>
    </row>
    <row r="413" spans="1:2" x14ac:dyDescent="0.3">
      <c r="A413" s="1" t="s">
        <v>1965</v>
      </c>
      <c r="B413" s="16">
        <v>17850000</v>
      </c>
    </row>
    <row r="414" spans="1:2" x14ac:dyDescent="0.3">
      <c r="A414" s="1" t="s">
        <v>1964</v>
      </c>
      <c r="B414" s="16">
        <v>13200000</v>
      </c>
    </row>
    <row r="415" spans="1:2" x14ac:dyDescent="0.3">
      <c r="A415" s="1" t="s">
        <v>1963</v>
      </c>
      <c r="B415" s="16">
        <v>8000000</v>
      </c>
    </row>
    <row r="416" spans="1:2" x14ac:dyDescent="0.3">
      <c r="A416" s="1" t="s">
        <v>1962</v>
      </c>
      <c r="B416" s="16">
        <v>6650000</v>
      </c>
    </row>
    <row r="417" spans="1:2" x14ac:dyDescent="0.3">
      <c r="A417" s="1" t="s">
        <v>1961</v>
      </c>
      <c r="B417" s="16">
        <v>9000000</v>
      </c>
    </row>
    <row r="418" spans="1:2" x14ac:dyDescent="0.3">
      <c r="A418" s="1" t="s">
        <v>1960</v>
      </c>
      <c r="B418" s="16">
        <v>6000000</v>
      </c>
    </row>
    <row r="419" spans="1:2" x14ac:dyDescent="0.3">
      <c r="A419" s="1" t="s">
        <v>1959</v>
      </c>
      <c r="B419" s="16">
        <v>18100000</v>
      </c>
    </row>
    <row r="420" spans="1:2" x14ac:dyDescent="0.3">
      <c r="A420" s="1" t="s">
        <v>1958</v>
      </c>
      <c r="B420" s="16">
        <v>5000000</v>
      </c>
    </row>
    <row r="421" spans="1:2" x14ac:dyDescent="0.3">
      <c r="A421" s="1" t="s">
        <v>1957</v>
      </c>
      <c r="B421" s="16">
        <v>9000000</v>
      </c>
    </row>
    <row r="422" spans="1:2" x14ac:dyDescent="0.3">
      <c r="A422" s="1" t="s">
        <v>1956</v>
      </c>
      <c r="B422" s="16">
        <v>4900000</v>
      </c>
    </row>
    <row r="423" spans="1:2" x14ac:dyDescent="0.3">
      <c r="A423" s="1" t="s">
        <v>1955</v>
      </c>
      <c r="B423" s="16">
        <v>6200000</v>
      </c>
    </row>
    <row r="424" spans="1:2" x14ac:dyDescent="0.3">
      <c r="A424" s="1" t="s">
        <v>1954</v>
      </c>
      <c r="B424" s="16">
        <v>24000000</v>
      </c>
    </row>
    <row r="425" spans="1:2" x14ac:dyDescent="0.3">
      <c r="A425" s="1" t="s">
        <v>1953</v>
      </c>
      <c r="B425" s="16">
        <v>22000000</v>
      </c>
    </row>
    <row r="426" spans="1:2" x14ac:dyDescent="0.3">
      <c r="A426" s="1" t="s">
        <v>1951</v>
      </c>
      <c r="B426" s="16">
        <v>14000000</v>
      </c>
    </row>
    <row r="427" spans="1:2" x14ac:dyDescent="0.3">
      <c r="A427" s="1" t="s">
        <v>1952</v>
      </c>
      <c r="B427" s="16">
        <v>10500000</v>
      </c>
    </row>
    <row r="428" spans="1:2" x14ac:dyDescent="0.3">
      <c r="A428" s="1" t="s">
        <v>1950</v>
      </c>
      <c r="B428" s="16">
        <v>4900000</v>
      </c>
    </row>
    <row r="429" spans="1:2" x14ac:dyDescent="0.3">
      <c r="A429" s="1" t="s">
        <v>1949</v>
      </c>
      <c r="B429" s="16">
        <v>14500000</v>
      </c>
    </row>
    <row r="430" spans="1:2" x14ac:dyDescent="0.3">
      <c r="A430" s="1" t="s">
        <v>1948</v>
      </c>
      <c r="B430" s="16">
        <v>10200000</v>
      </c>
    </row>
    <row r="431" spans="1:2" x14ac:dyDescent="0.3">
      <c r="A431" s="1" t="s">
        <v>1947</v>
      </c>
      <c r="B431" s="16">
        <v>9500000</v>
      </c>
    </row>
    <row r="432" spans="1:2" x14ac:dyDescent="0.3">
      <c r="A432" s="1" t="s">
        <v>1946</v>
      </c>
      <c r="B432" s="16">
        <v>9000000</v>
      </c>
    </row>
    <row r="433" spans="1:2" x14ac:dyDescent="0.3">
      <c r="A433" s="1" t="s">
        <v>1945</v>
      </c>
      <c r="B433" s="16">
        <v>10500000</v>
      </c>
    </row>
    <row r="434" spans="1:2" x14ac:dyDescent="0.3">
      <c r="A434" s="1" t="s">
        <v>453</v>
      </c>
      <c r="B434" s="16">
        <v>11200000</v>
      </c>
    </row>
    <row r="435" spans="1:2" x14ac:dyDescent="0.3">
      <c r="A435" s="1" t="s">
        <v>1944</v>
      </c>
      <c r="B435" s="16">
        <v>6000000</v>
      </c>
    </row>
    <row r="436" spans="1:2" x14ac:dyDescent="0.3">
      <c r="A436" s="1" t="s">
        <v>1943</v>
      </c>
      <c r="B436" s="16">
        <v>3500000</v>
      </c>
    </row>
    <row r="437" spans="1:2" x14ac:dyDescent="0.3">
      <c r="A437" s="1" t="s">
        <v>1934</v>
      </c>
      <c r="B437" s="16">
        <v>7000000</v>
      </c>
    </row>
    <row r="438" spans="1:2" x14ac:dyDescent="0.3">
      <c r="A438" s="1" t="s">
        <v>107</v>
      </c>
      <c r="B438" s="16">
        <v>18000000</v>
      </c>
    </row>
    <row r="439" spans="1:2" x14ac:dyDescent="0.3">
      <c r="A439" s="1" t="s">
        <v>1942</v>
      </c>
      <c r="B439" s="16">
        <v>32886100</v>
      </c>
    </row>
    <row r="440" spans="1:2" x14ac:dyDescent="0.3">
      <c r="A440" s="1" t="s">
        <v>1941</v>
      </c>
      <c r="B440" s="16">
        <v>12300000</v>
      </c>
    </row>
    <row r="441" spans="1:2" x14ac:dyDescent="0.3">
      <c r="A441" s="1" t="s">
        <v>1940</v>
      </c>
      <c r="B441" s="16">
        <v>4350000</v>
      </c>
    </row>
    <row r="442" spans="1:2" x14ac:dyDescent="0.3">
      <c r="A442" s="1" t="s">
        <v>1939</v>
      </c>
      <c r="B442" s="16">
        <v>28000000</v>
      </c>
    </row>
    <row r="443" spans="1:2" x14ac:dyDescent="0.3">
      <c r="A443" s="1" t="s">
        <v>1938</v>
      </c>
      <c r="B443" s="16">
        <v>9000000</v>
      </c>
    </row>
    <row r="444" spans="1:2" x14ac:dyDescent="0.3">
      <c r="A444" s="1" t="s">
        <v>1937</v>
      </c>
      <c r="B444" s="16">
        <v>8250000</v>
      </c>
    </row>
    <row r="445" spans="1:2" x14ac:dyDescent="0.3">
      <c r="A445" s="1" t="s">
        <v>1936</v>
      </c>
      <c r="B445" s="16">
        <v>12300000</v>
      </c>
    </row>
    <row r="446" spans="1:2" x14ac:dyDescent="0.3">
      <c r="A446" s="1" t="s">
        <v>1935</v>
      </c>
      <c r="B446" s="16">
        <v>6500000</v>
      </c>
    </row>
    <row r="447" spans="1:2" x14ac:dyDescent="0.3">
      <c r="A447" s="1" t="s">
        <v>1933</v>
      </c>
      <c r="B447" s="16">
        <v>19000000</v>
      </c>
    </row>
    <row r="448" spans="1:2" x14ac:dyDescent="0.3">
      <c r="A448" s="1" t="s">
        <v>1932</v>
      </c>
      <c r="B448" s="16">
        <v>8000000</v>
      </c>
    </row>
    <row r="449" spans="1:2" x14ac:dyDescent="0.3">
      <c r="A449" s="1" t="s">
        <v>1931</v>
      </c>
      <c r="B449" s="16">
        <v>18000000</v>
      </c>
    </row>
    <row r="450" spans="1:2" x14ac:dyDescent="0.3">
      <c r="A450" s="1" t="s">
        <v>1930</v>
      </c>
      <c r="B450" s="16">
        <v>4000000</v>
      </c>
    </row>
    <row r="451" spans="1:2" x14ac:dyDescent="0.3">
      <c r="A451" s="1" t="s">
        <v>1929</v>
      </c>
      <c r="B451" s="16">
        <v>4300000</v>
      </c>
    </row>
    <row r="452" spans="1:2" x14ac:dyDescent="0.3">
      <c r="A452" s="1" t="s">
        <v>1928</v>
      </c>
      <c r="B452" s="16">
        <v>12000000</v>
      </c>
    </row>
    <row r="453" spans="1:2" x14ac:dyDescent="0.3">
      <c r="A453" s="1" t="s">
        <v>1927</v>
      </c>
      <c r="B453" s="16">
        <v>9000000</v>
      </c>
    </row>
    <row r="454" spans="1:2" x14ac:dyDescent="0.3">
      <c r="A454" s="1" t="s">
        <v>1926</v>
      </c>
      <c r="B454" s="16">
        <v>10200000</v>
      </c>
    </row>
    <row r="455" spans="1:2" x14ac:dyDescent="0.3">
      <c r="A455" s="1" t="s">
        <v>1925</v>
      </c>
      <c r="B455" s="16">
        <v>4000000</v>
      </c>
    </row>
    <row r="456" spans="1:2" x14ac:dyDescent="0.3">
      <c r="A456" s="1" t="s">
        <v>1924</v>
      </c>
      <c r="B456" s="16">
        <v>8700000</v>
      </c>
    </row>
    <row r="457" spans="1:2" x14ac:dyDescent="0.3">
      <c r="A457" s="1" t="s">
        <v>1923</v>
      </c>
      <c r="B457" s="16">
        <v>4600000</v>
      </c>
    </row>
    <row r="458" spans="1:2" x14ac:dyDescent="0.3">
      <c r="A458" s="1" t="s">
        <v>1922</v>
      </c>
      <c r="B458" s="16">
        <v>6000000</v>
      </c>
    </row>
    <row r="459" spans="1:2" x14ac:dyDescent="0.3">
      <c r="A459" s="1" t="s">
        <v>1921</v>
      </c>
      <c r="B459" s="16">
        <v>8300000</v>
      </c>
    </row>
    <row r="460" spans="1:2" x14ac:dyDescent="0.3">
      <c r="A460" s="1" t="s">
        <v>1920</v>
      </c>
      <c r="B460" s="16">
        <v>6000000</v>
      </c>
    </row>
    <row r="461" spans="1:2" x14ac:dyDescent="0.3">
      <c r="A461" s="1" t="s">
        <v>1919</v>
      </c>
      <c r="B461" s="16">
        <v>5150000</v>
      </c>
    </row>
    <row r="462" spans="1:2" x14ac:dyDescent="0.3">
      <c r="A462" s="1" t="s">
        <v>1918</v>
      </c>
      <c r="B462" s="16">
        <v>7500000</v>
      </c>
    </row>
    <row r="463" spans="1:2" x14ac:dyDescent="0.3">
      <c r="A463" s="1" t="s">
        <v>1917</v>
      </c>
      <c r="B463" s="16">
        <v>7700000</v>
      </c>
    </row>
    <row r="464" spans="1:2" x14ac:dyDescent="0.3">
      <c r="A464" s="1" t="s">
        <v>1916</v>
      </c>
      <c r="B464" s="16">
        <v>10200000</v>
      </c>
    </row>
    <row r="465" spans="1:2" x14ac:dyDescent="0.3">
      <c r="A465" s="1" t="s">
        <v>1915</v>
      </c>
      <c r="B465" s="16">
        <v>43000000</v>
      </c>
    </row>
    <row r="466" spans="1:2" x14ac:dyDescent="0.3">
      <c r="A466" s="1" t="s">
        <v>1913</v>
      </c>
      <c r="B466" s="16">
        <v>8000000</v>
      </c>
    </row>
    <row r="467" spans="1:2" x14ac:dyDescent="0.3">
      <c r="A467" s="1" t="s">
        <v>1914</v>
      </c>
      <c r="B467" s="16">
        <v>6300000</v>
      </c>
    </row>
    <row r="468" spans="1:2" x14ac:dyDescent="0.3">
      <c r="A468" s="1" t="s">
        <v>1912</v>
      </c>
      <c r="B468" s="16">
        <v>8400000</v>
      </c>
    </row>
    <row r="469" spans="1:2" x14ac:dyDescent="0.3">
      <c r="A469" s="1" t="s">
        <v>1911</v>
      </c>
      <c r="B469" s="16">
        <v>11800000</v>
      </c>
    </row>
    <row r="470" spans="1:2" x14ac:dyDescent="0.3">
      <c r="A470" s="1" t="s">
        <v>1910</v>
      </c>
      <c r="B470" s="16">
        <v>11000000</v>
      </c>
    </row>
    <row r="471" spans="1:2" x14ac:dyDescent="0.3">
      <c r="A471" s="1" t="s">
        <v>1909</v>
      </c>
      <c r="B471" s="16">
        <v>14000000</v>
      </c>
    </row>
    <row r="472" spans="1:2" x14ac:dyDescent="0.3">
      <c r="A472" s="1" t="s">
        <v>1908</v>
      </c>
      <c r="B472" s="16">
        <v>6800000</v>
      </c>
    </row>
    <row r="473" spans="1:2" x14ac:dyDescent="0.3">
      <c r="A473" s="1" t="s">
        <v>1907</v>
      </c>
      <c r="B473" s="16">
        <v>19000000</v>
      </c>
    </row>
    <row r="474" spans="1:2" x14ac:dyDescent="0.3">
      <c r="A474" s="1" t="s">
        <v>1906</v>
      </c>
      <c r="B474" s="16">
        <v>12000000</v>
      </c>
    </row>
    <row r="475" spans="1:2" x14ac:dyDescent="0.3">
      <c r="A475" s="1" t="s">
        <v>1905</v>
      </c>
      <c r="B475" s="16">
        <v>13000000</v>
      </c>
    </row>
    <row r="476" spans="1:2" x14ac:dyDescent="0.3">
      <c r="A476" s="1" t="s">
        <v>1904</v>
      </c>
      <c r="B476" s="16">
        <v>10200000</v>
      </c>
    </row>
    <row r="477" spans="1:2" x14ac:dyDescent="0.3">
      <c r="A477" s="1" t="s">
        <v>1903</v>
      </c>
      <c r="B477" s="16">
        <v>11000000</v>
      </c>
    </row>
    <row r="478" spans="1:2" x14ac:dyDescent="0.3">
      <c r="A478" s="1" t="s">
        <v>1901</v>
      </c>
      <c r="B478" s="16">
        <v>12500000</v>
      </c>
    </row>
    <row r="479" spans="1:2" x14ac:dyDescent="0.3">
      <c r="A479" s="1" t="s">
        <v>1902</v>
      </c>
      <c r="B479" s="16">
        <v>16000000</v>
      </c>
    </row>
    <row r="480" spans="1:2" x14ac:dyDescent="0.3">
      <c r="A480" s="1" t="s">
        <v>1868</v>
      </c>
      <c r="B480" s="16">
        <v>32000000</v>
      </c>
    </row>
    <row r="481" spans="1:2" x14ac:dyDescent="0.3">
      <c r="A481" s="1" t="s">
        <v>1900</v>
      </c>
      <c r="B481" s="16">
        <v>22500000</v>
      </c>
    </row>
    <row r="482" spans="1:2" x14ac:dyDescent="0.3">
      <c r="A482" s="1" t="s">
        <v>1899</v>
      </c>
      <c r="B482" s="16">
        <v>7100000</v>
      </c>
    </row>
    <row r="483" spans="1:2" x14ac:dyDescent="0.3">
      <c r="A483" s="1" t="s">
        <v>1897</v>
      </c>
      <c r="B483" s="16">
        <v>21000000</v>
      </c>
    </row>
    <row r="484" spans="1:2" x14ac:dyDescent="0.3">
      <c r="A484" s="1" t="s">
        <v>1898</v>
      </c>
      <c r="B484" s="16">
        <v>18350000</v>
      </c>
    </row>
    <row r="485" spans="1:2" x14ac:dyDescent="0.3">
      <c r="A485" s="1" t="s">
        <v>1896</v>
      </c>
      <c r="B485" s="16">
        <v>3700000</v>
      </c>
    </row>
    <row r="486" spans="1:2" x14ac:dyDescent="0.3">
      <c r="A486" s="1" t="s">
        <v>1895</v>
      </c>
      <c r="B486" s="16">
        <v>10000000</v>
      </c>
    </row>
    <row r="487" spans="1:2" x14ac:dyDescent="0.3">
      <c r="A487" s="1" t="s">
        <v>1894</v>
      </c>
      <c r="B487" s="16">
        <v>11500000</v>
      </c>
    </row>
    <row r="488" spans="1:2" x14ac:dyDescent="0.3">
      <c r="A488" s="1" t="s">
        <v>1893</v>
      </c>
      <c r="B488" s="16">
        <v>29000000</v>
      </c>
    </row>
    <row r="489" spans="1:2" x14ac:dyDescent="0.3">
      <c r="A489" s="1" t="s">
        <v>1892</v>
      </c>
      <c r="B489" s="16">
        <v>17000000</v>
      </c>
    </row>
    <row r="490" spans="1:2" x14ac:dyDescent="0.3">
      <c r="A490" s="1" t="s">
        <v>1891</v>
      </c>
      <c r="B490" s="16">
        <v>13000000</v>
      </c>
    </row>
    <row r="491" spans="1:2" x14ac:dyDescent="0.3">
      <c r="A491" s="1" t="s">
        <v>1890</v>
      </c>
      <c r="B491" s="16">
        <v>19300000</v>
      </c>
    </row>
    <row r="492" spans="1:2" x14ac:dyDescent="0.3">
      <c r="A492" s="1" t="s">
        <v>1889</v>
      </c>
      <c r="B492" s="16">
        <v>7000000</v>
      </c>
    </row>
    <row r="493" spans="1:2" x14ac:dyDescent="0.3">
      <c r="A493" s="1" t="s">
        <v>1638</v>
      </c>
      <c r="B493" s="16">
        <v>19500000</v>
      </c>
    </row>
    <row r="494" spans="1:2" x14ac:dyDescent="0.3">
      <c r="A494" s="1" t="s">
        <v>1888</v>
      </c>
      <c r="B494" s="16">
        <v>9500000</v>
      </c>
    </row>
    <row r="495" spans="1:2" x14ac:dyDescent="0.3">
      <c r="A495" s="1" t="s">
        <v>1887</v>
      </c>
      <c r="B495" s="16">
        <v>13000000</v>
      </c>
    </row>
    <row r="496" spans="1:2" x14ac:dyDescent="0.3">
      <c r="A496" s="1" t="s">
        <v>1886</v>
      </c>
      <c r="B496" s="16">
        <v>1</v>
      </c>
    </row>
    <row r="497" spans="1:2" x14ac:dyDescent="0.3">
      <c r="A497" s="1" t="s">
        <v>1881</v>
      </c>
      <c r="B497" s="16">
        <v>9000000</v>
      </c>
    </row>
    <row r="498" spans="1:2" x14ac:dyDescent="0.3">
      <c r="A498" s="1" t="s">
        <v>1885</v>
      </c>
      <c r="B498" s="16">
        <v>10000000</v>
      </c>
    </row>
    <row r="499" spans="1:2" x14ac:dyDescent="0.3">
      <c r="A499" s="1" t="s">
        <v>1884</v>
      </c>
      <c r="B499" s="16">
        <v>7500000</v>
      </c>
    </row>
    <row r="500" spans="1:2" x14ac:dyDescent="0.3">
      <c r="A500" s="1" t="s">
        <v>1882</v>
      </c>
      <c r="B500" s="16">
        <v>13000000</v>
      </c>
    </row>
    <row r="501" spans="1:2" x14ac:dyDescent="0.3">
      <c r="A501" s="1" t="s">
        <v>1883</v>
      </c>
      <c r="B501" s="16">
        <v>8500000</v>
      </c>
    </row>
    <row r="502" spans="1:2" x14ac:dyDescent="0.3">
      <c r="A502" s="1" t="s">
        <v>1880</v>
      </c>
      <c r="B502" s="16">
        <v>11800000</v>
      </c>
    </row>
    <row r="503" spans="1:2" x14ac:dyDescent="0.3">
      <c r="A503" s="1" t="s">
        <v>1879</v>
      </c>
      <c r="B503" s="16">
        <v>6000000</v>
      </c>
    </row>
    <row r="504" spans="1:2" x14ac:dyDescent="0.3">
      <c r="A504" s="1" t="s">
        <v>1878</v>
      </c>
      <c r="B504" s="16">
        <v>14000000</v>
      </c>
    </row>
    <row r="505" spans="1:2" x14ac:dyDescent="0.3">
      <c r="A505" s="1" t="s">
        <v>1877</v>
      </c>
      <c r="B505" s="16">
        <v>10700000</v>
      </c>
    </row>
    <row r="506" spans="1:2" x14ac:dyDescent="0.3">
      <c r="A506" s="1" t="s">
        <v>1876</v>
      </c>
      <c r="B506" s="16">
        <v>19500000</v>
      </c>
    </row>
    <row r="507" spans="1:2" x14ac:dyDescent="0.3">
      <c r="A507" s="1" t="s">
        <v>1875</v>
      </c>
      <c r="B507" s="16">
        <v>18000000</v>
      </c>
    </row>
    <row r="508" spans="1:2" x14ac:dyDescent="0.3">
      <c r="A508" s="1" t="s">
        <v>1874</v>
      </c>
      <c r="B508" s="16">
        <v>9500000</v>
      </c>
    </row>
    <row r="509" spans="1:2" x14ac:dyDescent="0.3">
      <c r="A509" s="1" t="s">
        <v>1873</v>
      </c>
      <c r="B509" s="16">
        <v>8000000</v>
      </c>
    </row>
    <row r="510" spans="1:2" x14ac:dyDescent="0.3">
      <c r="A510" s="1" t="s">
        <v>1872</v>
      </c>
      <c r="B510" s="16">
        <v>4400000</v>
      </c>
    </row>
    <row r="511" spans="1:2" x14ac:dyDescent="0.3">
      <c r="A511" s="1" t="s">
        <v>1862</v>
      </c>
      <c r="B511" s="16">
        <v>13500000</v>
      </c>
    </row>
    <row r="512" spans="1:2" x14ac:dyDescent="0.3">
      <c r="A512" s="1" t="s">
        <v>1871</v>
      </c>
      <c r="B512" s="16">
        <v>26990000</v>
      </c>
    </row>
    <row r="513" spans="1:2" x14ac:dyDescent="0.3">
      <c r="A513" s="1" t="s">
        <v>1870</v>
      </c>
      <c r="B513" s="16">
        <v>5840000</v>
      </c>
    </row>
    <row r="514" spans="1:2" x14ac:dyDescent="0.3">
      <c r="A514" s="1" t="s">
        <v>1869</v>
      </c>
      <c r="B514" s="16">
        <v>7200000</v>
      </c>
    </row>
    <row r="515" spans="1:2" x14ac:dyDescent="0.3">
      <c r="A515" s="1" t="s">
        <v>1867</v>
      </c>
      <c r="B515" s="16">
        <v>12500000</v>
      </c>
    </row>
    <row r="516" spans="1:2" x14ac:dyDescent="0.3">
      <c r="A516" s="1" t="s">
        <v>1866</v>
      </c>
      <c r="B516" s="16">
        <v>5650000</v>
      </c>
    </row>
    <row r="517" spans="1:2" x14ac:dyDescent="0.3">
      <c r="A517" s="1" t="s">
        <v>1865</v>
      </c>
      <c r="B517" s="16">
        <v>14500000</v>
      </c>
    </row>
    <row r="518" spans="1:2" x14ac:dyDescent="0.3">
      <c r="A518" s="1" t="s">
        <v>1864</v>
      </c>
      <c r="B518" s="16">
        <v>7000000</v>
      </c>
    </row>
    <row r="519" spans="1:2" x14ac:dyDescent="0.3">
      <c r="A519" s="1" t="s">
        <v>1863</v>
      </c>
      <c r="B519" s="16">
        <v>7800000</v>
      </c>
    </row>
    <row r="520" spans="1:2" x14ac:dyDescent="0.3">
      <c r="A520" s="1" t="s">
        <v>1861</v>
      </c>
      <c r="B520" s="16">
        <v>30000000</v>
      </c>
    </row>
    <row r="521" spans="1:2" x14ac:dyDescent="0.3">
      <c r="A521" s="1" t="s">
        <v>1859</v>
      </c>
      <c r="B521" s="16">
        <v>13100000</v>
      </c>
    </row>
    <row r="522" spans="1:2" x14ac:dyDescent="0.3">
      <c r="A522" s="1" t="s">
        <v>1858</v>
      </c>
      <c r="B522" s="16">
        <v>7500000</v>
      </c>
    </row>
    <row r="523" spans="1:2" x14ac:dyDescent="0.3">
      <c r="A523" s="1" t="s">
        <v>1857</v>
      </c>
      <c r="B523" s="16">
        <v>11000000</v>
      </c>
    </row>
    <row r="524" spans="1:2" x14ac:dyDescent="0.3">
      <c r="A524" s="1" t="s">
        <v>1856</v>
      </c>
      <c r="B524" s="16">
        <v>24000000</v>
      </c>
    </row>
    <row r="525" spans="1:2" x14ac:dyDescent="0.3">
      <c r="A525" s="1" t="s">
        <v>1855</v>
      </c>
      <c r="B525" s="16">
        <v>14000000</v>
      </c>
    </row>
    <row r="526" spans="1:2" x14ac:dyDescent="0.3">
      <c r="A526" s="1" t="s">
        <v>1854</v>
      </c>
      <c r="B526" s="16">
        <v>10500000</v>
      </c>
    </row>
    <row r="527" spans="1:2" x14ac:dyDescent="0.3">
      <c r="A527" s="1" t="s">
        <v>1853</v>
      </c>
      <c r="B527" s="16">
        <v>14300000</v>
      </c>
    </row>
    <row r="528" spans="1:2" x14ac:dyDescent="0.3">
      <c r="A528" s="1" t="s">
        <v>1852</v>
      </c>
      <c r="B528" s="16">
        <v>7800000</v>
      </c>
    </row>
    <row r="529" spans="1:2" x14ac:dyDescent="0.3">
      <c r="A529" s="1" t="s">
        <v>1851</v>
      </c>
      <c r="B529" s="16">
        <v>8000000</v>
      </c>
    </row>
    <row r="530" spans="1:2" x14ac:dyDescent="0.3">
      <c r="A530" s="1" t="s">
        <v>1845</v>
      </c>
      <c r="B530" s="16">
        <v>22000000</v>
      </c>
    </row>
    <row r="531" spans="1:2" x14ac:dyDescent="0.3">
      <c r="A531" s="1" t="s">
        <v>1850</v>
      </c>
      <c r="B531" s="16">
        <v>4700000</v>
      </c>
    </row>
    <row r="532" spans="1:2" x14ac:dyDescent="0.3">
      <c r="A532" s="1" t="s">
        <v>1849</v>
      </c>
      <c r="B532" s="16">
        <v>7500000</v>
      </c>
    </row>
    <row r="533" spans="1:2" x14ac:dyDescent="0.3">
      <c r="A533" s="1" t="s">
        <v>1848</v>
      </c>
      <c r="B533" s="16">
        <v>25000000</v>
      </c>
    </row>
    <row r="534" spans="1:2" x14ac:dyDescent="0.3">
      <c r="A534" s="1" t="s">
        <v>1847</v>
      </c>
      <c r="B534" s="16">
        <v>12000000</v>
      </c>
    </row>
    <row r="535" spans="1:2" x14ac:dyDescent="0.3">
      <c r="A535" s="1" t="s">
        <v>1846</v>
      </c>
      <c r="B535" s="16">
        <v>38000000</v>
      </c>
    </row>
    <row r="536" spans="1:2" x14ac:dyDescent="0.3">
      <c r="A536" s="1" t="s">
        <v>1844</v>
      </c>
      <c r="B536" s="16">
        <v>18000000</v>
      </c>
    </row>
    <row r="537" spans="1:2" x14ac:dyDescent="0.3">
      <c r="A537" s="1" t="s">
        <v>1843</v>
      </c>
      <c r="B537" s="16">
        <v>14990000</v>
      </c>
    </row>
    <row r="538" spans="1:2" x14ac:dyDescent="0.3">
      <c r="A538" s="1" t="s">
        <v>1842</v>
      </c>
      <c r="B538" s="16">
        <v>4800000</v>
      </c>
    </row>
    <row r="539" spans="1:2" x14ac:dyDescent="0.3">
      <c r="A539" s="1" t="s">
        <v>1841</v>
      </c>
      <c r="B539" s="16">
        <v>10300000</v>
      </c>
    </row>
    <row r="540" spans="1:2" x14ac:dyDescent="0.3">
      <c r="A540" s="1" t="s">
        <v>1840</v>
      </c>
      <c r="B540" s="16">
        <v>12500000</v>
      </c>
    </row>
    <row r="541" spans="1:2" x14ac:dyDescent="0.3">
      <c r="A541" s="1" t="s">
        <v>1839</v>
      </c>
      <c r="B541" s="16">
        <v>12500000</v>
      </c>
    </row>
    <row r="542" spans="1:2" x14ac:dyDescent="0.3">
      <c r="A542" s="1" t="s">
        <v>1838</v>
      </c>
      <c r="B542" s="16">
        <v>8200000</v>
      </c>
    </row>
    <row r="543" spans="1:2" x14ac:dyDescent="0.3">
      <c r="A543" s="1" t="s">
        <v>1837</v>
      </c>
      <c r="B543" s="16">
        <v>18500000</v>
      </c>
    </row>
    <row r="544" spans="1:2" x14ac:dyDescent="0.3">
      <c r="A544" s="1" t="s">
        <v>1836</v>
      </c>
      <c r="B544" s="16">
        <v>12500000</v>
      </c>
    </row>
    <row r="545" spans="1:2" x14ac:dyDescent="0.3">
      <c r="A545" s="1" t="s">
        <v>1835</v>
      </c>
      <c r="B545" s="16">
        <v>17000000</v>
      </c>
    </row>
    <row r="546" spans="1:2" x14ac:dyDescent="0.3">
      <c r="A546" s="1" t="s">
        <v>1834</v>
      </c>
      <c r="B546" s="16">
        <v>27000000</v>
      </c>
    </row>
    <row r="547" spans="1:2" x14ac:dyDescent="0.3">
      <c r="A547" s="1" t="s">
        <v>1833</v>
      </c>
      <c r="B547" s="16">
        <v>13000000</v>
      </c>
    </row>
    <row r="548" spans="1:2" x14ac:dyDescent="0.3">
      <c r="A548" s="1" t="s">
        <v>1832</v>
      </c>
      <c r="B548" s="16">
        <v>5500000</v>
      </c>
    </row>
    <row r="549" spans="1:2" x14ac:dyDescent="0.3">
      <c r="A549" s="1" t="s">
        <v>1831</v>
      </c>
      <c r="B549" s="16">
        <v>12000000</v>
      </c>
    </row>
    <row r="550" spans="1:2" x14ac:dyDescent="0.3">
      <c r="A550" s="1" t="s">
        <v>1830</v>
      </c>
      <c r="B550" s="16">
        <v>8300000</v>
      </c>
    </row>
    <row r="551" spans="1:2" x14ac:dyDescent="0.3">
      <c r="A551" s="1" t="s">
        <v>1829</v>
      </c>
      <c r="B551" s="16">
        <v>10500000</v>
      </c>
    </row>
    <row r="552" spans="1:2" x14ac:dyDescent="0.3">
      <c r="A552" s="1" t="s">
        <v>1828</v>
      </c>
      <c r="B552" s="16">
        <v>9000000</v>
      </c>
    </row>
    <row r="553" spans="1:2" x14ac:dyDescent="0.3">
      <c r="A553" s="1" t="s">
        <v>1827</v>
      </c>
      <c r="B553" s="16">
        <v>36000000</v>
      </c>
    </row>
    <row r="554" spans="1:2" x14ac:dyDescent="0.3">
      <c r="A554" s="1" t="s">
        <v>1826</v>
      </c>
      <c r="B554" s="16">
        <v>5500000</v>
      </c>
    </row>
    <row r="555" spans="1:2" x14ac:dyDescent="0.3">
      <c r="A555" s="1" t="s">
        <v>1825</v>
      </c>
      <c r="B555" s="16">
        <v>14300000</v>
      </c>
    </row>
    <row r="556" spans="1:2" x14ac:dyDescent="0.3">
      <c r="A556" s="1" t="s">
        <v>1824</v>
      </c>
      <c r="B556" s="16">
        <v>7000000</v>
      </c>
    </row>
    <row r="557" spans="1:2" x14ac:dyDescent="0.3">
      <c r="A557" s="1" t="s">
        <v>1823</v>
      </c>
      <c r="B557" s="16">
        <v>7650000</v>
      </c>
    </row>
    <row r="558" spans="1:2" x14ac:dyDescent="0.3">
      <c r="A558" s="1" t="s">
        <v>1822</v>
      </c>
      <c r="B558" s="16">
        <v>14500000</v>
      </c>
    </row>
    <row r="559" spans="1:2" x14ac:dyDescent="0.3">
      <c r="A559" s="1" t="s">
        <v>1821</v>
      </c>
      <c r="B559" s="16">
        <v>9000000</v>
      </c>
    </row>
    <row r="560" spans="1:2" x14ac:dyDescent="0.3">
      <c r="A560" s="1" t="s">
        <v>1820</v>
      </c>
      <c r="B560" s="16">
        <v>11800000</v>
      </c>
    </row>
    <row r="561" spans="1:2" x14ac:dyDescent="0.3">
      <c r="A561" s="1" t="s">
        <v>1819</v>
      </c>
      <c r="B561" s="16">
        <v>14500000</v>
      </c>
    </row>
    <row r="562" spans="1:2" x14ac:dyDescent="0.3">
      <c r="A562" s="1" t="s">
        <v>1818</v>
      </c>
      <c r="B562" s="16">
        <v>9500000</v>
      </c>
    </row>
    <row r="563" spans="1:2" x14ac:dyDescent="0.3">
      <c r="A563" s="1" t="s">
        <v>1817</v>
      </c>
      <c r="B563" s="16">
        <v>10000000</v>
      </c>
    </row>
    <row r="564" spans="1:2" x14ac:dyDescent="0.3">
      <c r="A564" s="1" t="s">
        <v>1816</v>
      </c>
      <c r="B564" s="16">
        <v>9700000</v>
      </c>
    </row>
    <row r="565" spans="1:2" x14ac:dyDescent="0.3">
      <c r="A565" s="1" t="s">
        <v>1815</v>
      </c>
      <c r="B565" s="16">
        <v>8200000</v>
      </c>
    </row>
    <row r="566" spans="1:2" x14ac:dyDescent="0.3">
      <c r="A566" s="1" t="s">
        <v>1814</v>
      </c>
      <c r="B566" s="16">
        <v>14500000</v>
      </c>
    </row>
    <row r="567" spans="1:2" x14ac:dyDescent="0.3">
      <c r="A567" s="1" t="s">
        <v>1813</v>
      </c>
      <c r="B567" s="16">
        <v>11000000</v>
      </c>
    </row>
    <row r="568" spans="1:2" x14ac:dyDescent="0.3">
      <c r="A568" s="1" t="s">
        <v>387</v>
      </c>
      <c r="B568" s="16">
        <v>11000000</v>
      </c>
    </row>
    <row r="569" spans="1:2" x14ac:dyDescent="0.3">
      <c r="A569" s="1" t="s">
        <v>1812</v>
      </c>
      <c r="B569" s="16">
        <v>10000000</v>
      </c>
    </row>
    <row r="570" spans="1:2" x14ac:dyDescent="0.3">
      <c r="A570" s="1" t="s">
        <v>1811</v>
      </c>
      <c r="B570" s="16">
        <v>6000000</v>
      </c>
    </row>
    <row r="571" spans="1:2" x14ac:dyDescent="0.3">
      <c r="A571" s="1" t="s">
        <v>1810</v>
      </c>
      <c r="B571" s="16">
        <v>9500000</v>
      </c>
    </row>
    <row r="572" spans="1:2" x14ac:dyDescent="0.3">
      <c r="A572" s="1" t="s">
        <v>1373</v>
      </c>
      <c r="B572" s="16">
        <v>9700000</v>
      </c>
    </row>
    <row r="573" spans="1:2" x14ac:dyDescent="0.3">
      <c r="A573" s="1" t="s">
        <v>1809</v>
      </c>
      <c r="B573" s="16">
        <v>22000000</v>
      </c>
    </row>
    <row r="574" spans="1:2" x14ac:dyDescent="0.3">
      <c r="A574" s="1" t="s">
        <v>1808</v>
      </c>
      <c r="B574" s="16">
        <v>14500000</v>
      </c>
    </row>
    <row r="575" spans="1:2" x14ac:dyDescent="0.3">
      <c r="A575" s="1" t="s">
        <v>1807</v>
      </c>
      <c r="B575" s="16">
        <v>12200000</v>
      </c>
    </row>
    <row r="576" spans="1:2" x14ac:dyDescent="0.3">
      <c r="A576" s="1" t="s">
        <v>1806</v>
      </c>
      <c r="B576" s="16">
        <v>11000000</v>
      </c>
    </row>
    <row r="577" spans="1:2" x14ac:dyDescent="0.3">
      <c r="A577" s="1" t="s">
        <v>1805</v>
      </c>
      <c r="B577" s="16">
        <v>8000000</v>
      </c>
    </row>
    <row r="578" spans="1:2" x14ac:dyDescent="0.3">
      <c r="A578" s="1" t="s">
        <v>1804</v>
      </c>
      <c r="B578" s="16">
        <v>10500000</v>
      </c>
    </row>
    <row r="579" spans="1:2" x14ac:dyDescent="0.3">
      <c r="A579" s="1" t="s">
        <v>1803</v>
      </c>
      <c r="B579" s="16">
        <v>16500000</v>
      </c>
    </row>
    <row r="580" spans="1:2" x14ac:dyDescent="0.3">
      <c r="A580" s="1" t="s">
        <v>1802</v>
      </c>
      <c r="B580" s="16">
        <v>14500000</v>
      </c>
    </row>
    <row r="581" spans="1:2" x14ac:dyDescent="0.3">
      <c r="A581" s="1" t="s">
        <v>1801</v>
      </c>
      <c r="B581" s="16">
        <v>5300000</v>
      </c>
    </row>
    <row r="582" spans="1:2" x14ac:dyDescent="0.3">
      <c r="A582" s="1" t="s">
        <v>1800</v>
      </c>
      <c r="B582" s="16">
        <v>8300000</v>
      </c>
    </row>
    <row r="583" spans="1:2" x14ac:dyDescent="0.3">
      <c r="A583" s="1" t="s">
        <v>1799</v>
      </c>
      <c r="B583" s="16">
        <v>6000000</v>
      </c>
    </row>
    <row r="584" spans="1:2" x14ac:dyDescent="0.3">
      <c r="A584" s="1" t="s">
        <v>1798</v>
      </c>
      <c r="B584" s="16">
        <v>6000000</v>
      </c>
    </row>
    <row r="585" spans="1:2" x14ac:dyDescent="0.3">
      <c r="A585" s="1" t="s">
        <v>1797</v>
      </c>
      <c r="B585" s="16">
        <v>4500000</v>
      </c>
    </row>
    <row r="586" spans="1:2" x14ac:dyDescent="0.3">
      <c r="A586" s="1" t="s">
        <v>1796</v>
      </c>
      <c r="B586" s="16">
        <v>22500000</v>
      </c>
    </row>
    <row r="587" spans="1:2" x14ac:dyDescent="0.3">
      <c r="A587" s="1" t="s">
        <v>1795</v>
      </c>
      <c r="B587" s="16">
        <v>9000000</v>
      </c>
    </row>
    <row r="588" spans="1:2" x14ac:dyDescent="0.3">
      <c r="A588" s="1" t="s">
        <v>1794</v>
      </c>
      <c r="B588" s="16">
        <v>6300000</v>
      </c>
    </row>
    <row r="589" spans="1:2" x14ac:dyDescent="0.3">
      <c r="A589" s="1" t="s">
        <v>1793</v>
      </c>
      <c r="B589" s="16">
        <v>5350000</v>
      </c>
    </row>
    <row r="590" spans="1:2" x14ac:dyDescent="0.3">
      <c r="A590" s="1" t="s">
        <v>1792</v>
      </c>
      <c r="B590" s="16">
        <v>4600000</v>
      </c>
    </row>
    <row r="591" spans="1:2" x14ac:dyDescent="0.3">
      <c r="A591" s="1" t="s">
        <v>1791</v>
      </c>
      <c r="B591" s="16">
        <v>6500000</v>
      </c>
    </row>
    <row r="592" spans="1:2" x14ac:dyDescent="0.3">
      <c r="A592" s="1" t="s">
        <v>1790</v>
      </c>
      <c r="B592" s="16">
        <v>8000000</v>
      </c>
    </row>
    <row r="593" spans="1:2" x14ac:dyDescent="0.3">
      <c r="A593" s="1" t="s">
        <v>1789</v>
      </c>
      <c r="B593" s="16">
        <v>14000000</v>
      </c>
    </row>
    <row r="594" spans="1:2" x14ac:dyDescent="0.3">
      <c r="A594" s="1" t="s">
        <v>1788</v>
      </c>
      <c r="B594" s="16">
        <v>9500000</v>
      </c>
    </row>
    <row r="595" spans="1:2" x14ac:dyDescent="0.3">
      <c r="A595" s="1" t="s">
        <v>1787</v>
      </c>
      <c r="B595" s="16">
        <v>25000000</v>
      </c>
    </row>
    <row r="596" spans="1:2" x14ac:dyDescent="0.3">
      <c r="A596" s="1" t="s">
        <v>1786</v>
      </c>
      <c r="B596" s="16">
        <v>7000000</v>
      </c>
    </row>
    <row r="597" spans="1:2" x14ac:dyDescent="0.3">
      <c r="A597" s="1" t="s">
        <v>1785</v>
      </c>
      <c r="B597" s="16">
        <v>6500000</v>
      </c>
    </row>
    <row r="598" spans="1:2" x14ac:dyDescent="0.3">
      <c r="A598" s="1" t="s">
        <v>1784</v>
      </c>
      <c r="B598" s="16">
        <v>10800000</v>
      </c>
    </row>
    <row r="599" spans="1:2" x14ac:dyDescent="0.3">
      <c r="A599" s="1" t="s">
        <v>1783</v>
      </c>
      <c r="B599" s="16">
        <v>10500000</v>
      </c>
    </row>
    <row r="600" spans="1:2" x14ac:dyDescent="0.3">
      <c r="A600" s="1" t="s">
        <v>1782</v>
      </c>
      <c r="B600" s="16">
        <v>14000000</v>
      </c>
    </row>
    <row r="601" spans="1:2" x14ac:dyDescent="0.3">
      <c r="A601" s="1" t="s">
        <v>1781</v>
      </c>
      <c r="B601" s="16">
        <v>20000000</v>
      </c>
    </row>
    <row r="602" spans="1:2" x14ac:dyDescent="0.3">
      <c r="A602" s="1" t="s">
        <v>1780</v>
      </c>
      <c r="B602" s="16">
        <v>10000000</v>
      </c>
    </row>
    <row r="603" spans="1:2" x14ac:dyDescent="0.3">
      <c r="A603" s="1" t="s">
        <v>1779</v>
      </c>
      <c r="B603" s="16">
        <v>5200000</v>
      </c>
    </row>
    <row r="604" spans="1:2" x14ac:dyDescent="0.3">
      <c r="A604" s="1" t="s">
        <v>1778</v>
      </c>
      <c r="B604" s="16">
        <v>10000000</v>
      </c>
    </row>
    <row r="605" spans="1:2" x14ac:dyDescent="0.3">
      <c r="A605" s="1" t="s">
        <v>1777</v>
      </c>
      <c r="B605" s="16">
        <v>12500000</v>
      </c>
    </row>
    <row r="606" spans="1:2" x14ac:dyDescent="0.3">
      <c r="A606" s="1" t="s">
        <v>1776</v>
      </c>
      <c r="B606" s="16">
        <v>11500000</v>
      </c>
    </row>
    <row r="607" spans="1:2" x14ac:dyDescent="0.3">
      <c r="A607" s="1" t="s">
        <v>937</v>
      </c>
      <c r="B607" s="16">
        <v>17000000</v>
      </c>
    </row>
    <row r="608" spans="1:2" x14ac:dyDescent="0.3">
      <c r="A608" s="1" t="s">
        <v>1775</v>
      </c>
      <c r="B608" s="16">
        <v>22500000</v>
      </c>
    </row>
    <row r="609" spans="1:2" x14ac:dyDescent="0.3">
      <c r="A609" s="1" t="s">
        <v>1774</v>
      </c>
      <c r="B609" s="16">
        <v>11800000</v>
      </c>
    </row>
    <row r="610" spans="1:2" x14ac:dyDescent="0.3">
      <c r="A610" s="1" t="s">
        <v>1773</v>
      </c>
      <c r="B610" s="16">
        <v>8500000</v>
      </c>
    </row>
    <row r="611" spans="1:2" x14ac:dyDescent="0.3">
      <c r="A611" s="1" t="s">
        <v>1772</v>
      </c>
      <c r="B611" s="16">
        <v>16000000</v>
      </c>
    </row>
    <row r="612" spans="1:2" x14ac:dyDescent="0.3">
      <c r="A612" s="1" t="s">
        <v>1771</v>
      </c>
      <c r="B612" s="16">
        <v>22500000</v>
      </c>
    </row>
    <row r="613" spans="1:2" x14ac:dyDescent="0.3">
      <c r="A613" s="1" t="s">
        <v>1770</v>
      </c>
      <c r="B613" s="16">
        <v>8990000</v>
      </c>
    </row>
    <row r="614" spans="1:2" x14ac:dyDescent="0.3">
      <c r="A614" s="1" t="s">
        <v>1769</v>
      </c>
      <c r="B614" s="16">
        <v>39500000</v>
      </c>
    </row>
    <row r="615" spans="1:2" x14ac:dyDescent="0.3">
      <c r="A615" s="1" t="s">
        <v>1768</v>
      </c>
      <c r="B615" s="16">
        <v>6000000</v>
      </c>
    </row>
    <row r="616" spans="1:2" x14ac:dyDescent="0.3">
      <c r="A616" s="1" t="s">
        <v>1767</v>
      </c>
      <c r="B616" s="16">
        <v>7500000</v>
      </c>
    </row>
    <row r="617" spans="1:2" x14ac:dyDescent="0.3">
      <c r="A617" s="1" t="s">
        <v>1766</v>
      </c>
      <c r="B617" s="16">
        <v>19000000</v>
      </c>
    </row>
    <row r="618" spans="1:2" x14ac:dyDescent="0.3">
      <c r="A618" s="1" t="s">
        <v>1765</v>
      </c>
      <c r="B618" s="16">
        <v>7000000</v>
      </c>
    </row>
    <row r="619" spans="1:2" x14ac:dyDescent="0.3">
      <c r="A619" s="1" t="s">
        <v>1764</v>
      </c>
      <c r="B619" s="16">
        <v>9800000</v>
      </c>
    </row>
    <row r="620" spans="1:2" x14ac:dyDescent="0.3">
      <c r="A620" s="1" t="s">
        <v>1763</v>
      </c>
      <c r="B620" s="16">
        <v>13500000</v>
      </c>
    </row>
    <row r="621" spans="1:2" x14ac:dyDescent="0.3">
      <c r="A621" s="1" t="s">
        <v>1762</v>
      </c>
      <c r="B621" s="16">
        <v>5000000</v>
      </c>
    </row>
    <row r="622" spans="1:2" x14ac:dyDescent="0.3">
      <c r="A622" s="1" t="s">
        <v>1761</v>
      </c>
      <c r="B622" s="16">
        <v>4600000</v>
      </c>
    </row>
    <row r="623" spans="1:2" x14ac:dyDescent="0.3">
      <c r="A623" s="1" t="s">
        <v>1760</v>
      </c>
      <c r="B623" s="16">
        <v>6000000</v>
      </c>
    </row>
    <row r="624" spans="1:2" x14ac:dyDescent="0.3">
      <c r="A624" s="1" t="s">
        <v>1759</v>
      </c>
      <c r="B624" s="16">
        <v>9300000</v>
      </c>
    </row>
    <row r="625" spans="1:2" x14ac:dyDescent="0.3">
      <c r="A625" s="1" t="s">
        <v>1758</v>
      </c>
      <c r="B625" s="16">
        <v>14000000</v>
      </c>
    </row>
    <row r="626" spans="1:2" x14ac:dyDescent="0.3">
      <c r="A626" s="1" t="s">
        <v>1757</v>
      </c>
      <c r="B626" s="16">
        <v>6000000</v>
      </c>
    </row>
    <row r="627" spans="1:2" x14ac:dyDescent="0.3">
      <c r="A627" s="1" t="s">
        <v>1756</v>
      </c>
      <c r="B627" s="16">
        <v>17000000</v>
      </c>
    </row>
    <row r="628" spans="1:2" x14ac:dyDescent="0.3">
      <c r="A628" s="1" t="s">
        <v>1755</v>
      </c>
      <c r="B628" s="16">
        <v>9800000</v>
      </c>
    </row>
    <row r="629" spans="1:2" x14ac:dyDescent="0.3">
      <c r="A629" s="1" t="s">
        <v>1754</v>
      </c>
      <c r="B629" s="16">
        <v>4800000</v>
      </c>
    </row>
    <row r="630" spans="1:2" x14ac:dyDescent="0.3">
      <c r="A630" s="1" t="s">
        <v>1753</v>
      </c>
      <c r="B630" s="16">
        <v>10000000</v>
      </c>
    </row>
    <row r="631" spans="1:2" x14ac:dyDescent="0.3">
      <c r="A631" s="1" t="s">
        <v>1752</v>
      </c>
      <c r="B631" s="16">
        <v>6800000</v>
      </c>
    </row>
    <row r="632" spans="1:2" x14ac:dyDescent="0.3">
      <c r="A632" s="1" t="s">
        <v>1751</v>
      </c>
      <c r="B632" s="16">
        <v>24000000</v>
      </c>
    </row>
    <row r="633" spans="1:2" x14ac:dyDescent="0.3">
      <c r="A633" s="1" t="s">
        <v>1750</v>
      </c>
      <c r="B633" s="16">
        <v>11300000</v>
      </c>
    </row>
    <row r="634" spans="1:2" x14ac:dyDescent="0.3">
      <c r="A634" s="1" t="s">
        <v>1749</v>
      </c>
      <c r="B634" s="16">
        <v>18000000</v>
      </c>
    </row>
    <row r="635" spans="1:2" x14ac:dyDescent="0.3">
      <c r="A635" s="1" t="s">
        <v>1748</v>
      </c>
      <c r="B635" s="16">
        <v>15200000</v>
      </c>
    </row>
    <row r="636" spans="1:2" x14ac:dyDescent="0.3">
      <c r="A636" s="1" t="s">
        <v>1173</v>
      </c>
      <c r="B636" s="16">
        <v>8000000</v>
      </c>
    </row>
    <row r="637" spans="1:2" x14ac:dyDescent="0.3">
      <c r="A637" s="1" t="s">
        <v>1747</v>
      </c>
      <c r="B637" s="16">
        <v>4000000</v>
      </c>
    </row>
    <row r="638" spans="1:2" x14ac:dyDescent="0.3">
      <c r="A638" s="1" t="s">
        <v>1746</v>
      </c>
      <c r="B638" s="16">
        <v>11500000</v>
      </c>
    </row>
    <row r="639" spans="1:2" x14ac:dyDescent="0.3">
      <c r="A639" s="1" t="s">
        <v>1745</v>
      </c>
      <c r="B639" s="16">
        <v>15000000</v>
      </c>
    </row>
    <row r="640" spans="1:2" x14ac:dyDescent="0.3">
      <c r="A640" s="1" t="s">
        <v>1744</v>
      </c>
      <c r="B640" s="16">
        <v>11000000</v>
      </c>
    </row>
    <row r="641" spans="1:2" x14ac:dyDescent="0.3">
      <c r="A641" s="1" t="s">
        <v>1743</v>
      </c>
      <c r="B641" s="16">
        <v>13000000</v>
      </c>
    </row>
    <row r="642" spans="1:2" x14ac:dyDescent="0.3">
      <c r="A642" s="1" t="s">
        <v>1742</v>
      </c>
      <c r="B642" s="16">
        <v>6500000</v>
      </c>
    </row>
    <row r="643" spans="1:2" x14ac:dyDescent="0.3">
      <c r="A643" s="1" t="s">
        <v>1741</v>
      </c>
      <c r="B643" s="16">
        <v>31750000</v>
      </c>
    </row>
    <row r="644" spans="1:2" x14ac:dyDescent="0.3">
      <c r="A644" s="1" t="s">
        <v>1740</v>
      </c>
      <c r="B644" s="16">
        <v>7500000</v>
      </c>
    </row>
    <row r="645" spans="1:2" x14ac:dyDescent="0.3">
      <c r="A645" s="1" t="s">
        <v>1739</v>
      </c>
      <c r="B645" s="16">
        <v>12700000</v>
      </c>
    </row>
    <row r="646" spans="1:2" x14ac:dyDescent="0.3">
      <c r="A646" s="1" t="s">
        <v>1738</v>
      </c>
      <c r="B646" s="16">
        <v>8800000</v>
      </c>
    </row>
    <row r="647" spans="1:2" x14ac:dyDescent="0.3">
      <c r="A647" s="1" t="s">
        <v>1737</v>
      </c>
      <c r="B647" s="16">
        <v>9400000</v>
      </c>
    </row>
    <row r="648" spans="1:2" x14ac:dyDescent="0.3">
      <c r="A648" s="1" t="s">
        <v>1736</v>
      </c>
      <c r="B648" s="16">
        <v>7500000</v>
      </c>
    </row>
    <row r="649" spans="1:2" x14ac:dyDescent="0.3">
      <c r="A649" s="1" t="s">
        <v>1735</v>
      </c>
      <c r="B649" s="16">
        <v>8500000</v>
      </c>
    </row>
    <row r="650" spans="1:2" x14ac:dyDescent="0.3">
      <c r="A650" s="1" t="s">
        <v>1734</v>
      </c>
      <c r="B650" s="16">
        <v>12000000</v>
      </c>
    </row>
    <row r="651" spans="1:2" x14ac:dyDescent="0.3">
      <c r="A651" s="1" t="s">
        <v>1733</v>
      </c>
      <c r="B651" s="16">
        <v>5500000</v>
      </c>
    </row>
    <row r="652" spans="1:2" x14ac:dyDescent="0.3">
      <c r="A652" s="1" t="s">
        <v>1732</v>
      </c>
      <c r="B652" s="16">
        <v>10000000</v>
      </c>
    </row>
    <row r="653" spans="1:2" x14ac:dyDescent="0.3">
      <c r="A653" s="1" t="s">
        <v>1731</v>
      </c>
      <c r="B653" s="16">
        <v>22000000</v>
      </c>
    </row>
    <row r="654" spans="1:2" x14ac:dyDescent="0.3">
      <c r="A654" s="1" t="s">
        <v>1730</v>
      </c>
      <c r="B654" s="16">
        <v>13500000</v>
      </c>
    </row>
    <row r="655" spans="1:2" x14ac:dyDescent="0.3">
      <c r="A655" s="1" t="s">
        <v>1729</v>
      </c>
      <c r="B655" s="16">
        <v>20000000</v>
      </c>
    </row>
    <row r="656" spans="1:2" x14ac:dyDescent="0.3">
      <c r="A656" s="1" t="s">
        <v>1728</v>
      </c>
      <c r="B656" s="16">
        <v>5350000</v>
      </c>
    </row>
    <row r="657" spans="1:2" x14ac:dyDescent="0.3">
      <c r="A657" s="1" t="s">
        <v>1727</v>
      </c>
      <c r="B657" s="16">
        <v>11500000</v>
      </c>
    </row>
    <row r="658" spans="1:2" x14ac:dyDescent="0.3">
      <c r="A658" s="1" t="s">
        <v>1726</v>
      </c>
      <c r="B658" s="16">
        <v>36500000</v>
      </c>
    </row>
    <row r="659" spans="1:2" x14ac:dyDescent="0.3">
      <c r="A659" s="1" t="s">
        <v>1667</v>
      </c>
      <c r="B659" s="16">
        <v>17700000</v>
      </c>
    </row>
    <row r="660" spans="1:2" x14ac:dyDescent="0.3">
      <c r="A660" s="1" t="s">
        <v>1725</v>
      </c>
      <c r="B660" s="16">
        <v>9900000</v>
      </c>
    </row>
    <row r="661" spans="1:2" x14ac:dyDescent="0.3">
      <c r="A661" s="1" t="s">
        <v>1724</v>
      </c>
      <c r="B661" s="16">
        <v>18000000</v>
      </c>
    </row>
    <row r="662" spans="1:2" x14ac:dyDescent="0.3">
      <c r="A662" s="1" t="s">
        <v>1723</v>
      </c>
      <c r="B662" s="16">
        <v>10500000</v>
      </c>
    </row>
    <row r="663" spans="1:2" x14ac:dyDescent="0.3">
      <c r="A663" s="1" t="s">
        <v>1722</v>
      </c>
      <c r="B663" s="16">
        <v>7500000</v>
      </c>
    </row>
    <row r="664" spans="1:2" x14ac:dyDescent="0.3">
      <c r="A664" s="1" t="s">
        <v>1721</v>
      </c>
      <c r="B664" s="16">
        <v>45000000</v>
      </c>
    </row>
    <row r="665" spans="1:2" x14ac:dyDescent="0.3">
      <c r="A665" s="1" t="s">
        <v>1720</v>
      </c>
      <c r="B665" s="16">
        <v>6500000</v>
      </c>
    </row>
    <row r="666" spans="1:2" x14ac:dyDescent="0.3">
      <c r="A666" s="1" t="s">
        <v>1719</v>
      </c>
      <c r="B666" s="16">
        <v>11000000</v>
      </c>
    </row>
    <row r="667" spans="1:2" x14ac:dyDescent="0.3">
      <c r="A667" s="1" t="s">
        <v>1718</v>
      </c>
      <c r="B667" s="16">
        <v>14100000</v>
      </c>
    </row>
    <row r="668" spans="1:2" x14ac:dyDescent="0.3">
      <c r="A668" s="1" t="s">
        <v>1717</v>
      </c>
      <c r="B668" s="16">
        <v>4600000</v>
      </c>
    </row>
    <row r="669" spans="1:2" x14ac:dyDescent="0.3">
      <c r="A669" s="1" t="s">
        <v>1716</v>
      </c>
      <c r="B669" s="16">
        <v>12500000</v>
      </c>
    </row>
    <row r="670" spans="1:2" x14ac:dyDescent="0.3">
      <c r="A670" s="1" t="s">
        <v>1714</v>
      </c>
      <c r="B670" s="16">
        <v>9000000</v>
      </c>
    </row>
    <row r="671" spans="1:2" x14ac:dyDescent="0.3">
      <c r="A671" s="1" t="s">
        <v>1715</v>
      </c>
      <c r="B671" s="16">
        <v>10200000</v>
      </c>
    </row>
    <row r="672" spans="1:2" x14ac:dyDescent="0.3">
      <c r="A672" s="1" t="s">
        <v>1713</v>
      </c>
      <c r="B672" s="16">
        <v>19000000</v>
      </c>
    </row>
    <row r="673" spans="1:2" x14ac:dyDescent="0.3">
      <c r="A673" s="1" t="s">
        <v>1712</v>
      </c>
      <c r="B673" s="16">
        <v>12200000</v>
      </c>
    </row>
    <row r="674" spans="1:2" x14ac:dyDescent="0.3">
      <c r="A674" s="1" t="s">
        <v>1711</v>
      </c>
      <c r="B674" s="16">
        <v>7800000</v>
      </c>
    </row>
    <row r="675" spans="1:2" x14ac:dyDescent="0.3">
      <c r="A675" s="1" t="s">
        <v>1710</v>
      </c>
      <c r="B675" s="16">
        <v>6000000</v>
      </c>
    </row>
    <row r="676" spans="1:2" x14ac:dyDescent="0.3">
      <c r="A676" s="1" t="s">
        <v>1709</v>
      </c>
      <c r="B676" s="16">
        <v>8500000</v>
      </c>
    </row>
    <row r="677" spans="1:2" x14ac:dyDescent="0.3">
      <c r="A677" s="1" t="s">
        <v>1708</v>
      </c>
      <c r="B677" s="16">
        <v>18500000</v>
      </c>
    </row>
    <row r="678" spans="1:2" x14ac:dyDescent="0.3">
      <c r="A678" s="1" t="s">
        <v>1707</v>
      </c>
      <c r="B678" s="16">
        <v>6500000</v>
      </c>
    </row>
    <row r="679" spans="1:2" x14ac:dyDescent="0.3">
      <c r="A679" s="1" t="s">
        <v>1670</v>
      </c>
      <c r="B679" s="16">
        <v>21250000</v>
      </c>
    </row>
    <row r="680" spans="1:2" x14ac:dyDescent="0.3">
      <c r="A680" s="1" t="s">
        <v>1706</v>
      </c>
      <c r="B680" s="16">
        <v>32000000</v>
      </c>
    </row>
    <row r="681" spans="1:2" x14ac:dyDescent="0.3">
      <c r="A681" s="1" t="s">
        <v>1155</v>
      </c>
      <c r="B681" s="16">
        <v>30200000</v>
      </c>
    </row>
    <row r="682" spans="1:2" x14ac:dyDescent="0.3">
      <c r="A682" s="1" t="s">
        <v>1705</v>
      </c>
      <c r="B682" s="16">
        <v>21500000</v>
      </c>
    </row>
    <row r="683" spans="1:2" x14ac:dyDescent="0.3">
      <c r="A683" s="1" t="s">
        <v>1704</v>
      </c>
      <c r="B683" s="16">
        <v>16100000</v>
      </c>
    </row>
    <row r="684" spans="1:2" x14ac:dyDescent="0.3">
      <c r="A684" s="1" t="s">
        <v>1703</v>
      </c>
      <c r="B684" s="16">
        <v>18000000</v>
      </c>
    </row>
    <row r="685" spans="1:2" x14ac:dyDescent="0.3">
      <c r="A685" s="1" t="s">
        <v>1702</v>
      </c>
      <c r="B685" s="16">
        <v>7500000</v>
      </c>
    </row>
    <row r="686" spans="1:2" x14ac:dyDescent="0.3">
      <c r="A686" s="1" t="s">
        <v>1701</v>
      </c>
      <c r="B686" s="16">
        <v>28500000</v>
      </c>
    </row>
    <row r="687" spans="1:2" x14ac:dyDescent="0.3">
      <c r="A687" s="1" t="s">
        <v>1700</v>
      </c>
      <c r="B687" s="16">
        <v>10000000</v>
      </c>
    </row>
    <row r="688" spans="1:2" x14ac:dyDescent="0.3">
      <c r="A688" s="1" t="s">
        <v>1699</v>
      </c>
      <c r="B688" s="16">
        <v>9700000</v>
      </c>
    </row>
    <row r="689" spans="1:2" x14ac:dyDescent="0.3">
      <c r="A689" s="1" t="s">
        <v>1698</v>
      </c>
      <c r="B689" s="16">
        <v>7500000</v>
      </c>
    </row>
    <row r="690" spans="1:2" x14ac:dyDescent="0.3">
      <c r="A690" s="1" t="s">
        <v>1697</v>
      </c>
      <c r="B690" s="16">
        <v>23800000</v>
      </c>
    </row>
    <row r="691" spans="1:2" x14ac:dyDescent="0.3">
      <c r="A691" s="1" t="s">
        <v>1696</v>
      </c>
      <c r="B691" s="16">
        <v>17000000</v>
      </c>
    </row>
    <row r="692" spans="1:2" x14ac:dyDescent="0.3">
      <c r="A692" s="1" t="s">
        <v>1695</v>
      </c>
      <c r="B692" s="16">
        <v>6500000</v>
      </c>
    </row>
    <row r="693" spans="1:2" x14ac:dyDescent="0.3">
      <c r="A693" s="1" t="s">
        <v>1694</v>
      </c>
      <c r="B693" s="16">
        <v>11500000</v>
      </c>
    </row>
    <row r="694" spans="1:2" x14ac:dyDescent="0.3">
      <c r="A694" s="1" t="s">
        <v>1693</v>
      </c>
      <c r="B694" s="16">
        <v>9700000</v>
      </c>
    </row>
    <row r="695" spans="1:2" x14ac:dyDescent="0.3">
      <c r="A695" s="1" t="s">
        <v>1671</v>
      </c>
      <c r="B695" s="16">
        <v>32500000</v>
      </c>
    </row>
    <row r="696" spans="1:2" x14ac:dyDescent="0.3">
      <c r="A696" s="1" t="s">
        <v>1688</v>
      </c>
      <c r="B696" s="16">
        <v>13000000</v>
      </c>
    </row>
    <row r="697" spans="1:2" x14ac:dyDescent="0.3">
      <c r="A697" s="1" t="s">
        <v>1686</v>
      </c>
      <c r="B697" s="16">
        <v>11000000</v>
      </c>
    </row>
    <row r="698" spans="1:2" x14ac:dyDescent="0.3">
      <c r="A698" s="1" t="s">
        <v>1672</v>
      </c>
      <c r="B698" s="16">
        <v>12000000</v>
      </c>
    </row>
    <row r="699" spans="1:2" x14ac:dyDescent="0.3">
      <c r="A699" s="1" t="s">
        <v>1674</v>
      </c>
      <c r="B699" s="16">
        <v>9000000</v>
      </c>
    </row>
    <row r="700" spans="1:2" x14ac:dyDescent="0.3">
      <c r="A700" s="1" t="s">
        <v>1692</v>
      </c>
      <c r="B700" s="16">
        <v>4900000</v>
      </c>
    </row>
    <row r="701" spans="1:2" x14ac:dyDescent="0.3">
      <c r="A701" s="1" t="s">
        <v>1687</v>
      </c>
      <c r="B701" s="16">
        <v>7500000</v>
      </c>
    </row>
    <row r="702" spans="1:2" x14ac:dyDescent="0.3">
      <c r="A702" s="1" t="s">
        <v>1691</v>
      </c>
      <c r="B702" s="16">
        <v>6200000</v>
      </c>
    </row>
    <row r="703" spans="1:2" x14ac:dyDescent="0.3">
      <c r="A703" s="1" t="s">
        <v>1690</v>
      </c>
      <c r="B703" s="16">
        <v>13500000</v>
      </c>
    </row>
    <row r="704" spans="1:2" x14ac:dyDescent="0.3">
      <c r="A704" s="1" t="s">
        <v>1689</v>
      </c>
      <c r="B704" s="16">
        <v>5000000</v>
      </c>
    </row>
    <row r="705" spans="1:2" x14ac:dyDescent="0.3">
      <c r="A705" s="1" t="s">
        <v>1685</v>
      </c>
      <c r="B705" s="16">
        <v>18000000</v>
      </c>
    </row>
    <row r="706" spans="1:2" x14ac:dyDescent="0.3">
      <c r="A706" s="1" t="s">
        <v>1684</v>
      </c>
      <c r="B706" s="16">
        <v>5250000</v>
      </c>
    </row>
    <row r="707" spans="1:2" x14ac:dyDescent="0.3">
      <c r="A707" s="1" t="s">
        <v>1683</v>
      </c>
      <c r="B707" s="16">
        <v>17000000</v>
      </c>
    </row>
    <row r="708" spans="1:2" x14ac:dyDescent="0.3">
      <c r="A708" s="1" t="s">
        <v>1682</v>
      </c>
      <c r="B708" s="16">
        <v>15200000</v>
      </c>
    </row>
    <row r="709" spans="1:2" x14ac:dyDescent="0.3">
      <c r="A709" s="1" t="s">
        <v>1681</v>
      </c>
      <c r="B709" s="16">
        <v>10500000</v>
      </c>
    </row>
    <row r="710" spans="1:2" x14ac:dyDescent="0.3">
      <c r="A710" s="1" t="s">
        <v>1680</v>
      </c>
      <c r="B710" s="16">
        <v>15000000</v>
      </c>
    </row>
    <row r="711" spans="1:2" x14ac:dyDescent="0.3">
      <c r="A711" s="1" t="s">
        <v>1673</v>
      </c>
      <c r="B711" s="16">
        <v>5800000</v>
      </c>
    </row>
    <row r="712" spans="1:2" x14ac:dyDescent="0.3">
      <c r="A712" s="1" t="s">
        <v>1665</v>
      </c>
      <c r="B712" s="16">
        <v>11200000</v>
      </c>
    </row>
    <row r="713" spans="1:2" x14ac:dyDescent="0.3">
      <c r="A713" s="1" t="s">
        <v>1679</v>
      </c>
      <c r="B713" s="16">
        <v>6500000</v>
      </c>
    </row>
    <row r="714" spans="1:2" x14ac:dyDescent="0.3">
      <c r="A714" s="1" t="s">
        <v>1678</v>
      </c>
      <c r="B714" s="16">
        <v>25000000</v>
      </c>
    </row>
    <row r="715" spans="1:2" x14ac:dyDescent="0.3">
      <c r="A715" s="1" t="s">
        <v>1677</v>
      </c>
      <c r="B715" s="16">
        <v>12500000</v>
      </c>
    </row>
    <row r="716" spans="1:2" x14ac:dyDescent="0.3">
      <c r="A716" s="1" t="s">
        <v>1676</v>
      </c>
      <c r="B716" s="16">
        <v>31000000</v>
      </c>
    </row>
    <row r="717" spans="1:2" x14ac:dyDescent="0.3">
      <c r="A717" s="1" t="s">
        <v>1675</v>
      </c>
      <c r="B717" s="16">
        <v>5700000</v>
      </c>
    </row>
    <row r="718" spans="1:2" x14ac:dyDescent="0.3">
      <c r="A718" s="1" t="s">
        <v>1669</v>
      </c>
      <c r="B718" s="16">
        <v>10000000</v>
      </c>
    </row>
    <row r="719" spans="1:2" x14ac:dyDescent="0.3">
      <c r="A719" s="1" t="s">
        <v>1668</v>
      </c>
      <c r="B719" s="16">
        <v>10500000</v>
      </c>
    </row>
    <row r="720" spans="1:2" x14ac:dyDescent="0.3">
      <c r="A720" s="1" t="s">
        <v>1666</v>
      </c>
      <c r="B720" s="16">
        <v>9400000</v>
      </c>
    </row>
    <row r="721" spans="1:2" x14ac:dyDescent="0.3">
      <c r="A721" s="1" t="s">
        <v>1664</v>
      </c>
      <c r="B721" s="16">
        <v>7500000</v>
      </c>
    </row>
    <row r="722" spans="1:2" x14ac:dyDescent="0.3">
      <c r="A722" s="1" t="s">
        <v>1663</v>
      </c>
      <c r="B722" s="16">
        <v>10500000</v>
      </c>
    </row>
    <row r="723" spans="1:2" x14ac:dyDescent="0.3">
      <c r="A723" s="1" t="s">
        <v>1662</v>
      </c>
      <c r="B723" s="16">
        <v>7100000</v>
      </c>
    </row>
    <row r="724" spans="1:2" x14ac:dyDescent="0.3">
      <c r="A724" s="1" t="s">
        <v>1661</v>
      </c>
      <c r="B724" s="16">
        <v>17300000</v>
      </c>
    </row>
    <row r="725" spans="1:2" x14ac:dyDescent="0.3">
      <c r="A725" s="1" t="s">
        <v>1660</v>
      </c>
      <c r="B725" s="16">
        <v>6500000</v>
      </c>
    </row>
    <row r="726" spans="1:2" x14ac:dyDescent="0.3">
      <c r="A726" s="1" t="s">
        <v>1659</v>
      </c>
      <c r="B726" s="16">
        <v>7400000</v>
      </c>
    </row>
    <row r="727" spans="1:2" x14ac:dyDescent="0.3">
      <c r="A727" s="1" t="s">
        <v>1658</v>
      </c>
      <c r="B727" s="16">
        <v>6500000</v>
      </c>
    </row>
    <row r="728" spans="1:2" x14ac:dyDescent="0.3">
      <c r="A728" s="1" t="s">
        <v>1657</v>
      </c>
      <c r="B728" s="16">
        <v>15500000</v>
      </c>
    </row>
    <row r="729" spans="1:2" x14ac:dyDescent="0.3">
      <c r="A729" s="1" t="s">
        <v>1656</v>
      </c>
      <c r="B729" s="16">
        <v>25500000</v>
      </c>
    </row>
    <row r="730" spans="1:2" x14ac:dyDescent="0.3">
      <c r="A730" s="1" t="s">
        <v>1655</v>
      </c>
      <c r="B730" s="16">
        <v>12800000</v>
      </c>
    </row>
    <row r="731" spans="1:2" x14ac:dyDescent="0.3">
      <c r="A731" s="1" t="s">
        <v>1654</v>
      </c>
      <c r="B731" s="16">
        <v>19000000</v>
      </c>
    </row>
    <row r="732" spans="1:2" x14ac:dyDescent="0.3">
      <c r="A732" s="1" t="s">
        <v>1653</v>
      </c>
      <c r="B732" s="16">
        <v>5700000</v>
      </c>
    </row>
    <row r="733" spans="1:2" x14ac:dyDescent="0.3">
      <c r="A733" s="1" t="s">
        <v>1652</v>
      </c>
      <c r="B733" s="16">
        <v>18000000</v>
      </c>
    </row>
    <row r="734" spans="1:2" x14ac:dyDescent="0.3">
      <c r="A734" s="1" t="s">
        <v>1651</v>
      </c>
      <c r="B734" s="16">
        <v>8500000</v>
      </c>
    </row>
    <row r="735" spans="1:2" x14ac:dyDescent="0.3">
      <c r="A735" s="1" t="s">
        <v>1650</v>
      </c>
      <c r="B735" s="16">
        <v>26455000</v>
      </c>
    </row>
    <row r="736" spans="1:2" x14ac:dyDescent="0.3">
      <c r="A736" s="1" t="s">
        <v>1649</v>
      </c>
      <c r="B736" s="16">
        <v>9100000</v>
      </c>
    </row>
    <row r="737" spans="1:2" x14ac:dyDescent="0.3">
      <c r="A737" s="1" t="s">
        <v>1648</v>
      </c>
      <c r="B737" s="16">
        <v>19000000</v>
      </c>
    </row>
    <row r="738" spans="1:2" x14ac:dyDescent="0.3">
      <c r="A738" s="1" t="s">
        <v>325</v>
      </c>
      <c r="B738" s="16">
        <v>28500000</v>
      </c>
    </row>
    <row r="739" spans="1:2" x14ac:dyDescent="0.3">
      <c r="A739" s="1" t="s">
        <v>1647</v>
      </c>
      <c r="B739" s="16">
        <v>8000000</v>
      </c>
    </row>
    <row r="740" spans="1:2" x14ac:dyDescent="0.3">
      <c r="A740" s="1" t="s">
        <v>1646</v>
      </c>
      <c r="B740" s="16">
        <v>7000000</v>
      </c>
    </row>
    <row r="741" spans="1:2" x14ac:dyDescent="0.3">
      <c r="A741" s="1" t="s">
        <v>1645</v>
      </c>
      <c r="B741" s="16">
        <v>15000000</v>
      </c>
    </row>
    <row r="742" spans="1:2" x14ac:dyDescent="0.3">
      <c r="A742" s="1" t="s">
        <v>1050</v>
      </c>
      <c r="B742" s="16">
        <v>36386100</v>
      </c>
    </row>
    <row r="743" spans="1:2" x14ac:dyDescent="0.3">
      <c r="A743" s="1" t="s">
        <v>1644</v>
      </c>
      <c r="B743" s="16">
        <v>10500000</v>
      </c>
    </row>
    <row r="744" spans="1:2" x14ac:dyDescent="0.3">
      <c r="A744" s="1" t="s">
        <v>1643</v>
      </c>
      <c r="B744" s="16">
        <v>28500000</v>
      </c>
    </row>
    <row r="745" spans="1:2" x14ac:dyDescent="0.3">
      <c r="A745" s="1" t="s">
        <v>1642</v>
      </c>
      <c r="B745" s="16">
        <v>10150000</v>
      </c>
    </row>
    <row r="746" spans="1:2" x14ac:dyDescent="0.3">
      <c r="A746" s="1" t="s">
        <v>1641</v>
      </c>
      <c r="B746" s="16">
        <v>12300000</v>
      </c>
    </row>
    <row r="747" spans="1:2" x14ac:dyDescent="0.3">
      <c r="A747" s="1" t="s">
        <v>1640</v>
      </c>
      <c r="B747" s="16">
        <v>8000000</v>
      </c>
    </row>
    <row r="748" spans="1:2" x14ac:dyDescent="0.3">
      <c r="A748" s="1" t="s">
        <v>1639</v>
      </c>
      <c r="B748" s="16">
        <v>7700000</v>
      </c>
    </row>
    <row r="749" spans="1:2" x14ac:dyDescent="0.3">
      <c r="A749" s="1" t="s">
        <v>1638</v>
      </c>
      <c r="B749" s="16">
        <v>19000000</v>
      </c>
    </row>
    <row r="750" spans="1:2" x14ac:dyDescent="0.3">
      <c r="A750" s="1" t="s">
        <v>1636</v>
      </c>
      <c r="B750" s="16">
        <v>17950000</v>
      </c>
    </row>
    <row r="751" spans="1:2" x14ac:dyDescent="0.3">
      <c r="A751" s="1" t="s">
        <v>1637</v>
      </c>
      <c r="B751" s="16">
        <v>5500000</v>
      </c>
    </row>
    <row r="752" spans="1:2" x14ac:dyDescent="0.3">
      <c r="A752" s="1" t="s">
        <v>1635</v>
      </c>
      <c r="B752" s="16">
        <v>13500000</v>
      </c>
    </row>
    <row r="753" spans="1:2" x14ac:dyDescent="0.3">
      <c r="A753" s="1" t="s">
        <v>1634</v>
      </c>
      <c r="B753" s="16">
        <v>16500000</v>
      </c>
    </row>
    <row r="754" spans="1:2" x14ac:dyDescent="0.3">
      <c r="A754" s="1" t="s">
        <v>1633</v>
      </c>
      <c r="B754" s="16">
        <v>12500000</v>
      </c>
    </row>
    <row r="755" spans="1:2" x14ac:dyDescent="0.3">
      <c r="A755" s="1" t="s">
        <v>1632</v>
      </c>
      <c r="B755" s="16">
        <v>7000000</v>
      </c>
    </row>
    <row r="756" spans="1:2" x14ac:dyDescent="0.3">
      <c r="A756" s="1" t="s">
        <v>1631</v>
      </c>
      <c r="B756" s="16">
        <v>11000000</v>
      </c>
    </row>
    <row r="757" spans="1:2" x14ac:dyDescent="0.3">
      <c r="A757" s="1" t="s">
        <v>1630</v>
      </c>
      <c r="B757" s="16">
        <v>13000000</v>
      </c>
    </row>
    <row r="758" spans="1:2" x14ac:dyDescent="0.3">
      <c r="A758" s="1" t="s">
        <v>1629</v>
      </c>
      <c r="B758" s="16">
        <v>26500000</v>
      </c>
    </row>
    <row r="759" spans="1:2" x14ac:dyDescent="0.3">
      <c r="A759" s="1" t="s">
        <v>1628</v>
      </c>
      <c r="B759" s="16">
        <v>11500000</v>
      </c>
    </row>
    <row r="760" spans="1:2" x14ac:dyDescent="0.3">
      <c r="A760" s="1" t="s">
        <v>1627</v>
      </c>
      <c r="B760" s="16">
        <v>11500000</v>
      </c>
    </row>
    <row r="761" spans="1:2" x14ac:dyDescent="0.3">
      <c r="A761" s="1" t="s">
        <v>1626</v>
      </c>
      <c r="B761" s="16">
        <v>11500000</v>
      </c>
    </row>
    <row r="762" spans="1:2" x14ac:dyDescent="0.3">
      <c r="A762" s="1" t="s">
        <v>1625</v>
      </c>
      <c r="B762" s="16">
        <v>13000000</v>
      </c>
    </row>
    <row r="763" spans="1:2" x14ac:dyDescent="0.3">
      <c r="A763" s="1" t="s">
        <v>1624</v>
      </c>
      <c r="B763" s="16">
        <v>5200000</v>
      </c>
    </row>
    <row r="764" spans="1:2" x14ac:dyDescent="0.3">
      <c r="A764" s="1" t="s">
        <v>97</v>
      </c>
      <c r="B764" s="16">
        <v>33990000</v>
      </c>
    </row>
    <row r="765" spans="1:2" x14ac:dyDescent="0.3">
      <c r="A765" s="1" t="s">
        <v>1622</v>
      </c>
      <c r="B765" s="16">
        <v>5500000</v>
      </c>
    </row>
    <row r="766" spans="1:2" x14ac:dyDescent="0.3">
      <c r="A766" s="1" t="s">
        <v>1623</v>
      </c>
      <c r="B766" s="16">
        <v>6100000</v>
      </c>
    </row>
    <row r="767" spans="1:2" x14ac:dyDescent="0.3">
      <c r="A767" s="1" t="s">
        <v>1621</v>
      </c>
      <c r="B767" s="16">
        <v>7000000</v>
      </c>
    </row>
    <row r="768" spans="1:2" x14ac:dyDescent="0.3">
      <c r="A768" s="1" t="s">
        <v>1620</v>
      </c>
      <c r="B768" s="16">
        <v>5500000</v>
      </c>
    </row>
    <row r="769" spans="1:2" x14ac:dyDescent="0.3">
      <c r="A769" s="1" t="s">
        <v>1619</v>
      </c>
      <c r="B769" s="16">
        <v>12000000</v>
      </c>
    </row>
    <row r="770" spans="1:2" x14ac:dyDescent="0.3">
      <c r="A770" s="1" t="s">
        <v>713</v>
      </c>
      <c r="B770" s="16">
        <v>10900000</v>
      </c>
    </row>
    <row r="771" spans="1:2" x14ac:dyDescent="0.3">
      <c r="A771" s="1" t="s">
        <v>1618</v>
      </c>
      <c r="B771" s="16">
        <v>5000000</v>
      </c>
    </row>
    <row r="772" spans="1:2" x14ac:dyDescent="0.3">
      <c r="A772" s="1" t="s">
        <v>1617</v>
      </c>
      <c r="B772" s="16">
        <v>13500000</v>
      </c>
    </row>
    <row r="773" spans="1:2" x14ac:dyDescent="0.3">
      <c r="A773" s="1" t="s">
        <v>1616</v>
      </c>
      <c r="B773" s="16">
        <v>7900000</v>
      </c>
    </row>
    <row r="774" spans="1:2" x14ac:dyDescent="0.3">
      <c r="A774" s="1" t="s">
        <v>1615</v>
      </c>
      <c r="B774" s="16">
        <v>10000000</v>
      </c>
    </row>
    <row r="775" spans="1:2" x14ac:dyDescent="0.3">
      <c r="A775" s="1" t="s">
        <v>1614</v>
      </c>
      <c r="B775" s="16">
        <v>4500000</v>
      </c>
    </row>
    <row r="776" spans="1:2" x14ac:dyDescent="0.3">
      <c r="A776" s="1" t="s">
        <v>1613</v>
      </c>
      <c r="B776" s="16">
        <v>9500000</v>
      </c>
    </row>
    <row r="777" spans="1:2" x14ac:dyDescent="0.3">
      <c r="A777" s="1" t="s">
        <v>1612</v>
      </c>
      <c r="B777" s="16">
        <v>14300000</v>
      </c>
    </row>
    <row r="778" spans="1:2" x14ac:dyDescent="0.3">
      <c r="A778" s="1" t="s">
        <v>1611</v>
      </c>
      <c r="B778" s="16">
        <v>15000000</v>
      </c>
    </row>
    <row r="779" spans="1:2" x14ac:dyDescent="0.3">
      <c r="A779" s="1" t="s">
        <v>1610</v>
      </c>
      <c r="B779" s="16">
        <v>9500000</v>
      </c>
    </row>
    <row r="780" spans="1:2" x14ac:dyDescent="0.3">
      <c r="A780" s="1" t="s">
        <v>1594</v>
      </c>
      <c r="B780" s="16">
        <v>26000000</v>
      </c>
    </row>
    <row r="781" spans="1:2" x14ac:dyDescent="0.3">
      <c r="A781" s="1" t="s">
        <v>1609</v>
      </c>
      <c r="B781" s="16">
        <v>6000000</v>
      </c>
    </row>
    <row r="782" spans="1:2" x14ac:dyDescent="0.3">
      <c r="A782" s="1" t="s">
        <v>1608</v>
      </c>
      <c r="B782" s="16">
        <v>10500000</v>
      </c>
    </row>
    <row r="783" spans="1:2" x14ac:dyDescent="0.3">
      <c r="A783" s="1" t="s">
        <v>1607</v>
      </c>
      <c r="B783" s="16">
        <v>9500000</v>
      </c>
    </row>
    <row r="784" spans="1:2" x14ac:dyDescent="0.3">
      <c r="A784" s="1" t="s">
        <v>1606</v>
      </c>
      <c r="B784" s="16">
        <v>8300000</v>
      </c>
    </row>
    <row r="785" spans="1:2" x14ac:dyDescent="0.3">
      <c r="A785" s="1" t="s">
        <v>1605</v>
      </c>
      <c r="B785" s="16">
        <v>5000000</v>
      </c>
    </row>
    <row r="786" spans="1:2" x14ac:dyDescent="0.3">
      <c r="A786" s="1" t="s">
        <v>1604</v>
      </c>
      <c r="B786" s="16">
        <v>12000000</v>
      </c>
    </row>
    <row r="787" spans="1:2" x14ac:dyDescent="0.3">
      <c r="A787" s="1" t="s">
        <v>792</v>
      </c>
      <c r="B787" s="16">
        <v>12000000</v>
      </c>
    </row>
    <row r="788" spans="1:2" x14ac:dyDescent="0.3">
      <c r="A788" s="1" t="s">
        <v>1603</v>
      </c>
      <c r="B788" s="16">
        <v>7000000</v>
      </c>
    </row>
    <row r="789" spans="1:2" x14ac:dyDescent="0.3">
      <c r="A789" s="1" t="s">
        <v>1602</v>
      </c>
      <c r="B789" s="16">
        <v>5300000</v>
      </c>
    </row>
    <row r="790" spans="1:2" x14ac:dyDescent="0.3">
      <c r="A790" s="1" t="s">
        <v>1595</v>
      </c>
      <c r="B790" s="16">
        <v>10000000</v>
      </c>
    </row>
    <row r="791" spans="1:2" x14ac:dyDescent="0.3">
      <c r="A791" s="1" t="s">
        <v>1601</v>
      </c>
      <c r="B791" s="16">
        <v>5000000</v>
      </c>
    </row>
    <row r="792" spans="1:2" x14ac:dyDescent="0.3">
      <c r="A792" s="1" t="s">
        <v>1600</v>
      </c>
      <c r="B792" s="16">
        <v>16500000</v>
      </c>
    </row>
    <row r="793" spans="1:2" x14ac:dyDescent="0.3">
      <c r="A793" s="1" t="s">
        <v>1599</v>
      </c>
      <c r="B793" s="16">
        <v>8300000</v>
      </c>
    </row>
    <row r="794" spans="1:2" x14ac:dyDescent="0.3">
      <c r="A794" s="1" t="s">
        <v>1598</v>
      </c>
      <c r="B794" s="16">
        <v>13000000</v>
      </c>
    </row>
    <row r="795" spans="1:2" x14ac:dyDescent="0.3">
      <c r="A795" s="1" t="s">
        <v>1597</v>
      </c>
      <c r="B795" s="16">
        <v>16000000</v>
      </c>
    </row>
    <row r="796" spans="1:2" x14ac:dyDescent="0.3">
      <c r="A796" s="1" t="s">
        <v>1596</v>
      </c>
      <c r="B796" s="16">
        <v>8000000</v>
      </c>
    </row>
    <row r="797" spans="1:2" x14ac:dyDescent="0.3">
      <c r="A797" s="1" t="s">
        <v>1593</v>
      </c>
      <c r="B797" s="16">
        <v>16800000</v>
      </c>
    </row>
    <row r="798" spans="1:2" x14ac:dyDescent="0.3">
      <c r="A798" s="1" t="s">
        <v>1592</v>
      </c>
      <c r="B798" s="16">
        <v>11500000</v>
      </c>
    </row>
    <row r="799" spans="1:2" x14ac:dyDescent="0.3">
      <c r="A799" s="1" t="s">
        <v>1591</v>
      </c>
      <c r="B799" s="16">
        <v>11500000</v>
      </c>
    </row>
    <row r="800" spans="1:2" x14ac:dyDescent="0.3">
      <c r="A800" s="1" t="s">
        <v>1590</v>
      </c>
      <c r="B800" s="16">
        <v>7700000</v>
      </c>
    </row>
    <row r="801" spans="1:2" x14ac:dyDescent="0.3">
      <c r="A801" s="1" t="s">
        <v>1584</v>
      </c>
      <c r="B801" s="16">
        <v>15000000</v>
      </c>
    </row>
    <row r="802" spans="1:2" x14ac:dyDescent="0.3">
      <c r="A802" s="1" t="s">
        <v>1585</v>
      </c>
      <c r="B802" s="16">
        <v>8500000</v>
      </c>
    </row>
    <row r="803" spans="1:2" x14ac:dyDescent="0.3">
      <c r="A803" s="1" t="s">
        <v>1589</v>
      </c>
      <c r="B803" s="16">
        <v>11600000</v>
      </c>
    </row>
    <row r="804" spans="1:2" x14ac:dyDescent="0.3">
      <c r="A804" s="1" t="s">
        <v>1588</v>
      </c>
      <c r="B804" s="16">
        <v>8700000</v>
      </c>
    </row>
    <row r="805" spans="1:2" x14ac:dyDescent="0.3">
      <c r="A805" s="1" t="s">
        <v>1587</v>
      </c>
      <c r="B805" s="16">
        <v>6500000</v>
      </c>
    </row>
    <row r="806" spans="1:2" x14ac:dyDescent="0.3">
      <c r="A806" s="1" t="s">
        <v>1586</v>
      </c>
      <c r="B806" s="16">
        <v>7000000</v>
      </c>
    </row>
    <row r="807" spans="1:2" x14ac:dyDescent="0.3">
      <c r="A807" s="1" t="s">
        <v>1583</v>
      </c>
      <c r="B807" s="16">
        <v>10000000</v>
      </c>
    </row>
    <row r="808" spans="1:2" x14ac:dyDescent="0.3">
      <c r="A808" s="1" t="s">
        <v>1582</v>
      </c>
      <c r="B808" s="16">
        <v>3800000</v>
      </c>
    </row>
    <row r="809" spans="1:2" x14ac:dyDescent="0.3">
      <c r="A809" s="1" t="s">
        <v>1581</v>
      </c>
      <c r="B809" s="16">
        <v>11000000</v>
      </c>
    </row>
    <row r="810" spans="1:2" x14ac:dyDescent="0.3">
      <c r="A810" s="1" t="s">
        <v>1580</v>
      </c>
      <c r="B810" s="16">
        <v>6800000</v>
      </c>
    </row>
    <row r="811" spans="1:2" x14ac:dyDescent="0.3">
      <c r="A811" s="1" t="s">
        <v>1579</v>
      </c>
      <c r="B811" s="16">
        <v>4500000</v>
      </c>
    </row>
    <row r="812" spans="1:2" x14ac:dyDescent="0.3">
      <c r="A812" s="1" t="s">
        <v>1578</v>
      </c>
      <c r="B812" s="16">
        <v>24723805</v>
      </c>
    </row>
    <row r="813" spans="1:2" x14ac:dyDescent="0.3">
      <c r="A813" s="1" t="s">
        <v>1577</v>
      </c>
      <c r="B813" s="16">
        <v>7500000</v>
      </c>
    </row>
    <row r="814" spans="1:2" x14ac:dyDescent="0.3">
      <c r="A814" s="1" t="s">
        <v>1576</v>
      </c>
      <c r="B814" s="16">
        <v>12500000</v>
      </c>
    </row>
    <row r="815" spans="1:2" x14ac:dyDescent="0.3">
      <c r="A815" s="1" t="s">
        <v>1575</v>
      </c>
      <c r="B815" s="16">
        <v>12500000</v>
      </c>
    </row>
    <row r="816" spans="1:2" x14ac:dyDescent="0.3">
      <c r="A816" s="1" t="s">
        <v>1574</v>
      </c>
      <c r="B816" s="16">
        <v>10000000</v>
      </c>
    </row>
    <row r="817" spans="1:2" x14ac:dyDescent="0.3">
      <c r="A817" s="1" t="s">
        <v>1573</v>
      </c>
      <c r="B817" s="16">
        <v>5800000</v>
      </c>
    </row>
    <row r="818" spans="1:2" x14ac:dyDescent="0.3">
      <c r="A818" s="1" t="s">
        <v>1572</v>
      </c>
      <c r="B818" s="16">
        <v>30000000</v>
      </c>
    </row>
    <row r="819" spans="1:2" x14ac:dyDescent="0.3">
      <c r="A819" s="1" t="s">
        <v>1571</v>
      </c>
      <c r="B819" s="16">
        <v>5900000</v>
      </c>
    </row>
    <row r="820" spans="1:2" x14ac:dyDescent="0.3">
      <c r="A820" s="1" t="s">
        <v>1570</v>
      </c>
      <c r="B820" s="16">
        <v>12000000</v>
      </c>
    </row>
    <row r="821" spans="1:2" x14ac:dyDescent="0.3">
      <c r="A821" s="1" t="s">
        <v>1569</v>
      </c>
      <c r="B821" s="16">
        <v>4510000</v>
      </c>
    </row>
    <row r="822" spans="1:2" x14ac:dyDescent="0.3">
      <c r="A822" s="1" t="s">
        <v>1568</v>
      </c>
      <c r="B822" s="16">
        <v>9500000</v>
      </c>
    </row>
    <row r="823" spans="1:2" x14ac:dyDescent="0.3">
      <c r="A823" s="1" t="s">
        <v>1567</v>
      </c>
      <c r="B823" s="16">
        <v>8400000</v>
      </c>
    </row>
    <row r="824" spans="1:2" x14ac:dyDescent="0.3">
      <c r="A824" s="1" t="s">
        <v>1566</v>
      </c>
      <c r="B824" s="16">
        <v>10500000</v>
      </c>
    </row>
    <row r="825" spans="1:2" x14ac:dyDescent="0.3">
      <c r="A825" s="1" t="s">
        <v>1565</v>
      </c>
      <c r="B825" s="16">
        <v>13500000</v>
      </c>
    </row>
    <row r="826" spans="1:2" x14ac:dyDescent="0.3">
      <c r="A826" s="1" t="s">
        <v>1564</v>
      </c>
      <c r="B826" s="16">
        <v>7300000</v>
      </c>
    </row>
    <row r="827" spans="1:2" x14ac:dyDescent="0.3">
      <c r="A827" s="1" t="s">
        <v>1563</v>
      </c>
      <c r="B827" s="16">
        <v>18600000</v>
      </c>
    </row>
    <row r="828" spans="1:2" x14ac:dyDescent="0.3">
      <c r="A828" s="1" t="s">
        <v>1562</v>
      </c>
      <c r="B828" s="16">
        <v>9500000</v>
      </c>
    </row>
    <row r="829" spans="1:2" x14ac:dyDescent="0.3">
      <c r="A829" s="1" t="s">
        <v>1561</v>
      </c>
      <c r="B829" s="16">
        <v>19000000</v>
      </c>
    </row>
    <row r="830" spans="1:2" x14ac:dyDescent="0.3">
      <c r="A830" s="1" t="s">
        <v>1560</v>
      </c>
      <c r="B830" s="16">
        <v>13000000</v>
      </c>
    </row>
    <row r="831" spans="1:2" x14ac:dyDescent="0.3">
      <c r="A831" s="1" t="s">
        <v>1559</v>
      </c>
      <c r="B831" s="16">
        <v>14500000</v>
      </c>
    </row>
    <row r="832" spans="1:2" x14ac:dyDescent="0.3">
      <c r="A832" s="1" t="s">
        <v>1558</v>
      </c>
      <c r="B832" s="16">
        <v>5350000</v>
      </c>
    </row>
    <row r="833" spans="1:2" x14ac:dyDescent="0.3">
      <c r="A833" s="1" t="s">
        <v>1557</v>
      </c>
      <c r="B833" s="16">
        <v>31000000</v>
      </c>
    </row>
    <row r="834" spans="1:2" x14ac:dyDescent="0.3">
      <c r="A834" s="1" t="s">
        <v>1555</v>
      </c>
      <c r="B834" s="16">
        <v>5700000</v>
      </c>
    </row>
    <row r="835" spans="1:2" x14ac:dyDescent="0.3">
      <c r="A835" s="1" t="s">
        <v>1556</v>
      </c>
      <c r="B835" s="16">
        <v>8650000</v>
      </c>
    </row>
    <row r="836" spans="1:2" x14ac:dyDescent="0.3">
      <c r="A836" s="1" t="s">
        <v>1554</v>
      </c>
      <c r="B836" s="16">
        <v>21000000</v>
      </c>
    </row>
    <row r="837" spans="1:2" x14ac:dyDescent="0.3">
      <c r="A837" s="1" t="s">
        <v>1320</v>
      </c>
      <c r="B837" s="16">
        <v>9000000</v>
      </c>
    </row>
    <row r="838" spans="1:2" x14ac:dyDescent="0.3">
      <c r="A838" s="1" t="s">
        <v>1553</v>
      </c>
      <c r="B838" s="16">
        <v>11500000</v>
      </c>
    </row>
    <row r="839" spans="1:2" x14ac:dyDescent="0.3">
      <c r="A839" s="1" t="s">
        <v>1552</v>
      </c>
      <c r="B839" s="16">
        <v>10000000</v>
      </c>
    </row>
    <row r="840" spans="1:2" x14ac:dyDescent="0.3">
      <c r="A840" s="1" t="s">
        <v>1551</v>
      </c>
      <c r="B840" s="16">
        <v>4430000</v>
      </c>
    </row>
    <row r="841" spans="1:2" x14ac:dyDescent="0.3">
      <c r="A841" s="1" t="s">
        <v>1550</v>
      </c>
      <c r="B841" s="16">
        <v>5500000</v>
      </c>
    </row>
    <row r="842" spans="1:2" x14ac:dyDescent="0.3">
      <c r="A842" s="1" t="s">
        <v>1549</v>
      </c>
      <c r="B842" s="16">
        <v>9200000</v>
      </c>
    </row>
    <row r="843" spans="1:2" x14ac:dyDescent="0.3">
      <c r="A843" s="1" t="s">
        <v>1548</v>
      </c>
      <c r="B843" s="16">
        <v>19000000</v>
      </c>
    </row>
    <row r="844" spans="1:2" x14ac:dyDescent="0.3">
      <c r="A844" s="1" t="s">
        <v>1547</v>
      </c>
      <c r="B844" s="16">
        <v>7500000</v>
      </c>
    </row>
    <row r="845" spans="1:2" x14ac:dyDescent="0.3">
      <c r="A845" s="1" t="s">
        <v>1546</v>
      </c>
      <c r="B845" s="16">
        <v>10000000</v>
      </c>
    </row>
    <row r="846" spans="1:2" x14ac:dyDescent="0.3">
      <c r="A846" s="1" t="s">
        <v>1545</v>
      </c>
      <c r="B846" s="16">
        <v>10000000</v>
      </c>
    </row>
    <row r="847" spans="1:2" x14ac:dyDescent="0.3">
      <c r="A847" s="1" t="s">
        <v>1544</v>
      </c>
      <c r="B847" s="16">
        <v>7000000</v>
      </c>
    </row>
    <row r="848" spans="1:2" x14ac:dyDescent="0.3">
      <c r="A848" s="1" t="s">
        <v>1543</v>
      </c>
      <c r="B848" s="16">
        <v>7000000</v>
      </c>
    </row>
    <row r="849" spans="1:2" x14ac:dyDescent="0.3">
      <c r="A849" s="1" t="s">
        <v>1542</v>
      </c>
      <c r="B849" s="16">
        <v>4800000</v>
      </c>
    </row>
    <row r="850" spans="1:2" x14ac:dyDescent="0.3">
      <c r="A850" s="1" t="s">
        <v>1541</v>
      </c>
      <c r="B850" s="16">
        <v>4700000</v>
      </c>
    </row>
    <row r="851" spans="1:2" x14ac:dyDescent="0.3">
      <c r="A851" s="1" t="s">
        <v>1540</v>
      </c>
      <c r="B851" s="16">
        <v>12500000</v>
      </c>
    </row>
    <row r="852" spans="1:2" x14ac:dyDescent="0.3">
      <c r="A852" s="1" t="s">
        <v>1539</v>
      </c>
      <c r="B852" s="16">
        <v>5200000</v>
      </c>
    </row>
    <row r="853" spans="1:2" x14ac:dyDescent="0.3">
      <c r="A853" s="1" t="s">
        <v>1538</v>
      </c>
      <c r="B853" s="16">
        <v>8000000</v>
      </c>
    </row>
    <row r="854" spans="1:2" x14ac:dyDescent="0.3">
      <c r="A854" s="1" t="s">
        <v>1537</v>
      </c>
      <c r="B854" s="16">
        <v>15000000</v>
      </c>
    </row>
    <row r="855" spans="1:2" x14ac:dyDescent="0.3">
      <c r="A855" s="1" t="s">
        <v>1536</v>
      </c>
      <c r="B855" s="16">
        <v>12000000</v>
      </c>
    </row>
    <row r="856" spans="1:2" x14ac:dyDescent="0.3">
      <c r="A856" s="1" t="s">
        <v>1535</v>
      </c>
      <c r="B856" s="16">
        <v>9000000</v>
      </c>
    </row>
    <row r="857" spans="1:2" x14ac:dyDescent="0.3">
      <c r="A857" s="1" t="s">
        <v>1534</v>
      </c>
      <c r="B857" s="16">
        <v>6500000</v>
      </c>
    </row>
    <row r="858" spans="1:2" x14ac:dyDescent="0.3">
      <c r="A858" s="1" t="s">
        <v>1533</v>
      </c>
      <c r="B858" s="16">
        <v>6500000</v>
      </c>
    </row>
    <row r="859" spans="1:2" x14ac:dyDescent="0.3">
      <c r="A859" s="1" t="s">
        <v>1532</v>
      </c>
      <c r="B859" s="16">
        <v>12400000</v>
      </c>
    </row>
    <row r="860" spans="1:2" x14ac:dyDescent="0.3">
      <c r="A860" s="1" t="s">
        <v>1531</v>
      </c>
      <c r="B860" s="16">
        <v>5500000</v>
      </c>
    </row>
    <row r="861" spans="1:2" x14ac:dyDescent="0.3">
      <c r="A861" s="1" t="s">
        <v>1530</v>
      </c>
      <c r="B861" s="16">
        <v>9500000</v>
      </c>
    </row>
    <row r="862" spans="1:2" x14ac:dyDescent="0.3">
      <c r="A862" s="1" t="s">
        <v>1529</v>
      </c>
      <c r="B862" s="16">
        <v>5800000</v>
      </c>
    </row>
    <row r="863" spans="1:2" x14ac:dyDescent="0.3">
      <c r="A863" s="1" t="s">
        <v>1528</v>
      </c>
      <c r="B863" s="16">
        <v>20000000</v>
      </c>
    </row>
    <row r="864" spans="1:2" x14ac:dyDescent="0.3">
      <c r="A864" s="1" t="s">
        <v>1527</v>
      </c>
      <c r="B864" s="16">
        <v>15500000</v>
      </c>
    </row>
    <row r="865" spans="1:2" x14ac:dyDescent="0.3">
      <c r="A865" s="1" t="s">
        <v>1526</v>
      </c>
      <c r="B865" s="16">
        <v>14250000</v>
      </c>
    </row>
    <row r="866" spans="1:2" x14ac:dyDescent="0.3">
      <c r="A866" s="1" t="s">
        <v>1525</v>
      </c>
      <c r="B866" s="16">
        <v>15000000</v>
      </c>
    </row>
    <row r="867" spans="1:2" x14ac:dyDescent="0.3">
      <c r="A867" s="1" t="s">
        <v>1524</v>
      </c>
      <c r="B867" s="16">
        <v>11000000</v>
      </c>
    </row>
    <row r="868" spans="1:2" x14ac:dyDescent="0.3">
      <c r="A868" s="1" t="s">
        <v>1523</v>
      </c>
      <c r="B868" s="16">
        <v>11000000</v>
      </c>
    </row>
    <row r="869" spans="1:2" x14ac:dyDescent="0.3">
      <c r="A869" s="1" t="s">
        <v>1522</v>
      </c>
      <c r="B869" s="16">
        <v>4000000</v>
      </c>
    </row>
    <row r="870" spans="1:2" x14ac:dyDescent="0.3">
      <c r="A870" s="1" t="s">
        <v>1521</v>
      </c>
      <c r="B870" s="16">
        <v>7500000</v>
      </c>
    </row>
    <row r="871" spans="1:2" x14ac:dyDescent="0.3">
      <c r="A871" s="1" t="s">
        <v>1520</v>
      </c>
      <c r="B871" s="16">
        <v>20700000</v>
      </c>
    </row>
    <row r="872" spans="1:2" x14ac:dyDescent="0.3">
      <c r="A872" s="1" t="s">
        <v>1519</v>
      </c>
      <c r="B872" s="16">
        <v>14350000</v>
      </c>
    </row>
    <row r="873" spans="1:2" x14ac:dyDescent="0.3">
      <c r="A873" s="1" t="s">
        <v>1518</v>
      </c>
      <c r="B873" s="16">
        <v>12500000</v>
      </c>
    </row>
    <row r="874" spans="1:2" x14ac:dyDescent="0.3">
      <c r="A874" s="1" t="s">
        <v>1517</v>
      </c>
      <c r="B874" s="16">
        <v>9500000</v>
      </c>
    </row>
    <row r="875" spans="1:2" x14ac:dyDescent="0.3">
      <c r="A875" s="1" t="s">
        <v>1516</v>
      </c>
      <c r="B875" s="16">
        <v>6420000</v>
      </c>
    </row>
    <row r="876" spans="1:2" x14ac:dyDescent="0.3">
      <c r="A876" s="1" t="s">
        <v>1515</v>
      </c>
      <c r="B876" s="16">
        <v>6700000</v>
      </c>
    </row>
    <row r="877" spans="1:2" x14ac:dyDescent="0.3">
      <c r="A877" s="1" t="s">
        <v>1514</v>
      </c>
      <c r="B877" s="16">
        <v>17500000</v>
      </c>
    </row>
    <row r="878" spans="1:2" x14ac:dyDescent="0.3">
      <c r="A878" s="1" t="s">
        <v>1513</v>
      </c>
      <c r="B878" s="16">
        <v>19000000</v>
      </c>
    </row>
    <row r="879" spans="1:2" x14ac:dyDescent="0.3">
      <c r="A879" s="1" t="s">
        <v>1511</v>
      </c>
      <c r="B879" s="16">
        <v>12000000</v>
      </c>
    </row>
    <row r="880" spans="1:2" x14ac:dyDescent="0.3">
      <c r="A880" s="1" t="s">
        <v>1512</v>
      </c>
      <c r="B880" s="16">
        <v>30000000</v>
      </c>
    </row>
    <row r="881" spans="1:2" x14ac:dyDescent="0.3">
      <c r="A881" s="1" t="s">
        <v>1510</v>
      </c>
      <c r="B881" s="16">
        <v>22000000</v>
      </c>
    </row>
    <row r="882" spans="1:2" x14ac:dyDescent="0.3">
      <c r="A882" s="1" t="s">
        <v>1509</v>
      </c>
      <c r="B882" s="16">
        <v>16300000</v>
      </c>
    </row>
    <row r="883" spans="1:2" x14ac:dyDescent="0.3">
      <c r="A883" s="1" t="s">
        <v>1508</v>
      </c>
      <c r="B883" s="16">
        <v>7500000</v>
      </c>
    </row>
    <row r="884" spans="1:2" x14ac:dyDescent="0.3">
      <c r="A884" s="1" t="s">
        <v>1507</v>
      </c>
      <c r="B884" s="16">
        <v>12000000</v>
      </c>
    </row>
    <row r="885" spans="1:2" x14ac:dyDescent="0.3">
      <c r="A885" s="1" t="s">
        <v>1506</v>
      </c>
      <c r="B885" s="16">
        <v>10000000</v>
      </c>
    </row>
    <row r="886" spans="1:2" x14ac:dyDescent="0.3">
      <c r="A886" s="1" t="s">
        <v>1505</v>
      </c>
      <c r="B886" s="16">
        <v>13000000</v>
      </c>
    </row>
    <row r="887" spans="1:2" x14ac:dyDescent="0.3">
      <c r="A887" s="1" t="s">
        <v>1504</v>
      </c>
      <c r="B887" s="16">
        <v>13500000</v>
      </c>
    </row>
    <row r="888" spans="1:2" x14ac:dyDescent="0.3">
      <c r="A888" s="1" t="s">
        <v>1503</v>
      </c>
      <c r="B888" s="16">
        <v>21700000</v>
      </c>
    </row>
    <row r="889" spans="1:2" x14ac:dyDescent="0.3">
      <c r="A889" s="1" t="s">
        <v>1496</v>
      </c>
      <c r="B889" s="16">
        <v>9400000</v>
      </c>
    </row>
    <row r="890" spans="1:2" x14ac:dyDescent="0.3">
      <c r="A890" s="1" t="s">
        <v>1502</v>
      </c>
      <c r="B890" s="16">
        <v>11000000</v>
      </c>
    </row>
    <row r="891" spans="1:2" x14ac:dyDescent="0.3">
      <c r="A891" s="1" t="s">
        <v>1501</v>
      </c>
      <c r="B891" s="16">
        <v>35000000</v>
      </c>
    </row>
    <row r="892" spans="1:2" x14ac:dyDescent="0.3">
      <c r="A892" s="1" t="s">
        <v>1500</v>
      </c>
      <c r="B892" s="16">
        <v>9800000</v>
      </c>
    </row>
    <row r="893" spans="1:2" x14ac:dyDescent="0.3">
      <c r="A893" s="1" t="s">
        <v>1499</v>
      </c>
      <c r="B893" s="16">
        <v>17500000</v>
      </c>
    </row>
    <row r="894" spans="1:2" x14ac:dyDescent="0.3">
      <c r="A894" s="1" t="s">
        <v>1498</v>
      </c>
      <c r="B894" s="16">
        <v>9000000</v>
      </c>
    </row>
    <row r="895" spans="1:2" x14ac:dyDescent="0.3">
      <c r="A895" s="1" t="s">
        <v>1497</v>
      </c>
      <c r="B895" s="16">
        <v>11300000</v>
      </c>
    </row>
    <row r="896" spans="1:2" x14ac:dyDescent="0.3">
      <c r="A896" s="1" t="s">
        <v>443</v>
      </c>
      <c r="B896" s="16">
        <v>6100000</v>
      </c>
    </row>
    <row r="897" spans="1:2" x14ac:dyDescent="0.3">
      <c r="A897" s="1" t="s">
        <v>443</v>
      </c>
      <c r="B897" s="16">
        <v>6000000</v>
      </c>
    </row>
    <row r="898" spans="1:2" x14ac:dyDescent="0.3">
      <c r="A898" s="1" t="s">
        <v>1496</v>
      </c>
      <c r="B898" s="16">
        <v>9400000</v>
      </c>
    </row>
    <row r="899" spans="1:2" x14ac:dyDescent="0.3">
      <c r="A899" s="1" t="s">
        <v>1495</v>
      </c>
      <c r="B899" s="16">
        <v>10500000</v>
      </c>
    </row>
    <row r="900" spans="1:2" x14ac:dyDescent="0.3">
      <c r="A900" s="1" t="s">
        <v>443</v>
      </c>
      <c r="B900" s="16">
        <v>6000000</v>
      </c>
    </row>
    <row r="901" spans="1:2" x14ac:dyDescent="0.3">
      <c r="A901" s="1" t="s">
        <v>1494</v>
      </c>
      <c r="B901" s="16">
        <v>13500000</v>
      </c>
    </row>
    <row r="902" spans="1:2" x14ac:dyDescent="0.3">
      <c r="A902" s="1" t="s">
        <v>1493</v>
      </c>
      <c r="B902" s="16">
        <v>8500000</v>
      </c>
    </row>
    <row r="903" spans="1:2" x14ac:dyDescent="0.3">
      <c r="A903" s="1" t="s">
        <v>1492</v>
      </c>
      <c r="B903" s="16">
        <v>7500000</v>
      </c>
    </row>
    <row r="904" spans="1:2" x14ac:dyDescent="0.3">
      <c r="A904" s="1" t="s">
        <v>1491</v>
      </c>
      <c r="B904" s="16">
        <v>13200000</v>
      </c>
    </row>
    <row r="905" spans="1:2" x14ac:dyDescent="0.3">
      <c r="A905" s="1" t="s">
        <v>1490</v>
      </c>
      <c r="B905" s="16">
        <v>10200000</v>
      </c>
    </row>
    <row r="906" spans="1:2" x14ac:dyDescent="0.3">
      <c r="A906" s="1" t="s">
        <v>1489</v>
      </c>
      <c r="B906" s="16">
        <v>13800000</v>
      </c>
    </row>
    <row r="907" spans="1:2" x14ac:dyDescent="0.3">
      <c r="A907" s="1" t="s">
        <v>1488</v>
      </c>
      <c r="B907" s="16">
        <v>10500000</v>
      </c>
    </row>
    <row r="908" spans="1:2" x14ac:dyDescent="0.3">
      <c r="A908" s="1" t="s">
        <v>1487</v>
      </c>
      <c r="B908" s="16">
        <v>5760000</v>
      </c>
    </row>
    <row r="909" spans="1:2" x14ac:dyDescent="0.3">
      <c r="A909" s="1" t="s">
        <v>1486</v>
      </c>
      <c r="B909" s="16">
        <v>11500000</v>
      </c>
    </row>
    <row r="910" spans="1:2" x14ac:dyDescent="0.3">
      <c r="A910" s="1" t="s">
        <v>1485</v>
      </c>
      <c r="B910" s="16">
        <v>8500000</v>
      </c>
    </row>
    <row r="911" spans="1:2" x14ac:dyDescent="0.3">
      <c r="A911" s="1" t="s">
        <v>1484</v>
      </c>
      <c r="B911" s="16">
        <v>9500000</v>
      </c>
    </row>
    <row r="912" spans="1:2" x14ac:dyDescent="0.3">
      <c r="A912" s="1" t="s">
        <v>1483</v>
      </c>
      <c r="B912" s="16">
        <v>11500000</v>
      </c>
    </row>
    <row r="913" spans="1:2" x14ac:dyDescent="0.3">
      <c r="A913" s="1" t="s">
        <v>1482</v>
      </c>
      <c r="B913" s="16">
        <v>4200000</v>
      </c>
    </row>
    <row r="914" spans="1:2" x14ac:dyDescent="0.3">
      <c r="A914" s="1" t="s">
        <v>1481</v>
      </c>
      <c r="B914" s="16">
        <v>13250000</v>
      </c>
    </row>
    <row r="915" spans="1:2" x14ac:dyDescent="0.3">
      <c r="A915" s="1" t="s">
        <v>1480</v>
      </c>
      <c r="B915" s="16">
        <v>11500000</v>
      </c>
    </row>
    <row r="916" spans="1:2" x14ac:dyDescent="0.3">
      <c r="A916" s="1" t="s">
        <v>1479</v>
      </c>
      <c r="B916" s="16">
        <v>12300000</v>
      </c>
    </row>
    <row r="917" spans="1:2" x14ac:dyDescent="0.3">
      <c r="A917" s="1" t="s">
        <v>1478</v>
      </c>
      <c r="B917" s="16">
        <v>14500000</v>
      </c>
    </row>
    <row r="918" spans="1:2" x14ac:dyDescent="0.3">
      <c r="A918" s="1" t="s">
        <v>1476</v>
      </c>
      <c r="B918" s="16">
        <v>15000000</v>
      </c>
    </row>
    <row r="919" spans="1:2" x14ac:dyDescent="0.3">
      <c r="A919" s="1" t="s">
        <v>1477</v>
      </c>
      <c r="B919" s="16">
        <v>7600000</v>
      </c>
    </row>
    <row r="920" spans="1:2" x14ac:dyDescent="0.3">
      <c r="A920" s="1" t="s">
        <v>1475</v>
      </c>
      <c r="B920" s="16">
        <v>13700000</v>
      </c>
    </row>
    <row r="921" spans="1:2" x14ac:dyDescent="0.3">
      <c r="A921" s="1" t="s">
        <v>1474</v>
      </c>
      <c r="B921" s="16">
        <v>5000000</v>
      </c>
    </row>
    <row r="922" spans="1:2" x14ac:dyDescent="0.3">
      <c r="A922" s="1" t="s">
        <v>1473</v>
      </c>
      <c r="B922" s="16">
        <v>9800000</v>
      </c>
    </row>
    <row r="923" spans="1:2" x14ac:dyDescent="0.3">
      <c r="A923" s="1" t="s">
        <v>1472</v>
      </c>
      <c r="B923" s="16">
        <v>7800000</v>
      </c>
    </row>
    <row r="924" spans="1:2" x14ac:dyDescent="0.3">
      <c r="A924" s="1" t="s">
        <v>1471</v>
      </c>
      <c r="B924" s="16">
        <v>9700000</v>
      </c>
    </row>
    <row r="925" spans="1:2" x14ac:dyDescent="0.3">
      <c r="A925" s="1" t="s">
        <v>1470</v>
      </c>
      <c r="B925" s="16">
        <v>9500000</v>
      </c>
    </row>
    <row r="926" spans="1:2" x14ac:dyDescent="0.3">
      <c r="A926" s="1" t="s">
        <v>1469</v>
      </c>
      <c r="B926" s="16">
        <v>10500000</v>
      </c>
    </row>
    <row r="927" spans="1:2" x14ac:dyDescent="0.3">
      <c r="A927" s="1" t="s">
        <v>1468</v>
      </c>
      <c r="B927" s="16">
        <v>13500000</v>
      </c>
    </row>
    <row r="928" spans="1:2" x14ac:dyDescent="0.3">
      <c r="A928" s="1" t="s">
        <v>1467</v>
      </c>
      <c r="B928" s="16">
        <v>11700000</v>
      </c>
    </row>
    <row r="929" spans="1:2" x14ac:dyDescent="0.3">
      <c r="A929" s="1" t="s">
        <v>1466</v>
      </c>
      <c r="B929" s="16">
        <v>8000000</v>
      </c>
    </row>
    <row r="930" spans="1:2" x14ac:dyDescent="0.3">
      <c r="A930" s="1" t="s">
        <v>1465</v>
      </c>
      <c r="B930" s="16">
        <v>9700000</v>
      </c>
    </row>
    <row r="931" spans="1:2" x14ac:dyDescent="0.3">
      <c r="A931" s="1" t="s">
        <v>1464</v>
      </c>
      <c r="B931" s="16">
        <v>15000000</v>
      </c>
    </row>
    <row r="932" spans="1:2" x14ac:dyDescent="0.3">
      <c r="A932" s="1" t="s">
        <v>1463</v>
      </c>
      <c r="B932" s="16">
        <v>10500000</v>
      </c>
    </row>
    <row r="933" spans="1:2" x14ac:dyDescent="0.3">
      <c r="A933" s="1" t="s">
        <v>1462</v>
      </c>
      <c r="B933" s="16">
        <v>10000000</v>
      </c>
    </row>
    <row r="934" spans="1:2" x14ac:dyDescent="0.3">
      <c r="A934" s="1" t="s">
        <v>1461</v>
      </c>
      <c r="B934" s="16">
        <v>16350000</v>
      </c>
    </row>
    <row r="935" spans="1:2" x14ac:dyDescent="0.3">
      <c r="A935" s="1" t="s">
        <v>1459</v>
      </c>
      <c r="B935" s="16">
        <v>22000000</v>
      </c>
    </row>
    <row r="936" spans="1:2" x14ac:dyDescent="0.3">
      <c r="A936" s="1" t="s">
        <v>1460</v>
      </c>
      <c r="B936" s="16">
        <v>22500000</v>
      </c>
    </row>
    <row r="937" spans="1:2" x14ac:dyDescent="0.3">
      <c r="A937" s="1" t="s">
        <v>1458</v>
      </c>
      <c r="B937" s="16">
        <v>13300000</v>
      </c>
    </row>
    <row r="938" spans="1:2" x14ac:dyDescent="0.3">
      <c r="A938" s="1" t="s">
        <v>1457</v>
      </c>
      <c r="B938" s="16">
        <v>13500000</v>
      </c>
    </row>
    <row r="939" spans="1:2" x14ac:dyDescent="0.3">
      <c r="A939" s="1" t="s">
        <v>1456</v>
      </c>
      <c r="B939" s="16">
        <v>16500000</v>
      </c>
    </row>
    <row r="940" spans="1:2" x14ac:dyDescent="0.3">
      <c r="A940" s="1" t="s">
        <v>1455</v>
      </c>
      <c r="B940" s="16">
        <v>11500000</v>
      </c>
    </row>
    <row r="941" spans="1:2" x14ac:dyDescent="0.3">
      <c r="A941" s="1" t="s">
        <v>1454</v>
      </c>
      <c r="B941" s="16">
        <v>16500000</v>
      </c>
    </row>
    <row r="942" spans="1:2" x14ac:dyDescent="0.3">
      <c r="A942" s="1" t="s">
        <v>1453</v>
      </c>
      <c r="B942" s="16">
        <v>28800000</v>
      </c>
    </row>
    <row r="943" spans="1:2" x14ac:dyDescent="0.3">
      <c r="A943" s="1" t="s">
        <v>1452</v>
      </c>
      <c r="B943" s="16">
        <v>17000000</v>
      </c>
    </row>
    <row r="944" spans="1:2" x14ac:dyDescent="0.3">
      <c r="A944" s="1" t="s">
        <v>1451</v>
      </c>
      <c r="B944" s="16">
        <v>15500000</v>
      </c>
    </row>
    <row r="945" spans="1:2" x14ac:dyDescent="0.3">
      <c r="A945" s="1" t="s">
        <v>1450</v>
      </c>
      <c r="B945" s="16">
        <v>7000000</v>
      </c>
    </row>
    <row r="946" spans="1:2" x14ac:dyDescent="0.3">
      <c r="A946" s="1" t="s">
        <v>1449</v>
      </c>
      <c r="B946" s="16">
        <v>7500000</v>
      </c>
    </row>
    <row r="947" spans="1:2" x14ac:dyDescent="0.3">
      <c r="A947" s="1" t="s">
        <v>1448</v>
      </c>
      <c r="B947" s="16">
        <v>11900000</v>
      </c>
    </row>
    <row r="948" spans="1:2" x14ac:dyDescent="0.3">
      <c r="A948" s="1" t="s">
        <v>1447</v>
      </c>
      <c r="B948" s="16">
        <v>16500000</v>
      </c>
    </row>
    <row r="949" spans="1:2" x14ac:dyDescent="0.3">
      <c r="A949" s="1" t="s">
        <v>1446</v>
      </c>
      <c r="B949" s="16">
        <v>13700000</v>
      </c>
    </row>
    <row r="950" spans="1:2" x14ac:dyDescent="0.3">
      <c r="A950" s="1" t="s">
        <v>1445</v>
      </c>
      <c r="B950" s="16">
        <v>9000000</v>
      </c>
    </row>
    <row r="951" spans="1:2" x14ac:dyDescent="0.3">
      <c r="A951" s="1" t="s">
        <v>1444</v>
      </c>
      <c r="B951" s="16">
        <v>9500000</v>
      </c>
    </row>
    <row r="952" spans="1:2" x14ac:dyDescent="0.3">
      <c r="A952" s="1" t="s">
        <v>1443</v>
      </c>
      <c r="B952" s="16">
        <v>10270000</v>
      </c>
    </row>
    <row r="953" spans="1:2" x14ac:dyDescent="0.3">
      <c r="A953" s="1" t="s">
        <v>1442</v>
      </c>
      <c r="B953" s="16">
        <v>15500000</v>
      </c>
    </row>
    <row r="954" spans="1:2" x14ac:dyDescent="0.3">
      <c r="A954" s="1" t="s">
        <v>1441</v>
      </c>
      <c r="B954" s="16">
        <v>11700000</v>
      </c>
    </row>
    <row r="955" spans="1:2" x14ac:dyDescent="0.3">
      <c r="A955" s="1" t="s">
        <v>1440</v>
      </c>
      <c r="B955" s="16">
        <v>11700000</v>
      </c>
    </row>
    <row r="956" spans="1:2" x14ac:dyDescent="0.3">
      <c r="A956" s="1" t="s">
        <v>1274</v>
      </c>
      <c r="B956" s="16">
        <v>11500000</v>
      </c>
    </row>
    <row r="957" spans="1:2" x14ac:dyDescent="0.3">
      <c r="A957" s="1" t="s">
        <v>1439</v>
      </c>
      <c r="B957" s="16">
        <v>5100000</v>
      </c>
    </row>
    <row r="958" spans="1:2" x14ac:dyDescent="0.3">
      <c r="A958" s="1" t="s">
        <v>1438</v>
      </c>
      <c r="B958" s="16">
        <v>4850000</v>
      </c>
    </row>
    <row r="959" spans="1:2" x14ac:dyDescent="0.3">
      <c r="A959" s="1" t="s">
        <v>1437</v>
      </c>
      <c r="B959" s="16">
        <v>5800000</v>
      </c>
    </row>
    <row r="960" spans="1:2" x14ac:dyDescent="0.3">
      <c r="A960" s="1" t="s">
        <v>1436</v>
      </c>
      <c r="B960" s="16">
        <v>11000000</v>
      </c>
    </row>
    <row r="961" spans="1:2" x14ac:dyDescent="0.3">
      <c r="A961" s="1" t="s">
        <v>1435</v>
      </c>
      <c r="B961" s="16">
        <v>11000000</v>
      </c>
    </row>
    <row r="962" spans="1:2" x14ac:dyDescent="0.3">
      <c r="A962" s="1" t="s">
        <v>1434</v>
      </c>
      <c r="B962" s="16">
        <v>31000000</v>
      </c>
    </row>
    <row r="963" spans="1:2" x14ac:dyDescent="0.3">
      <c r="A963" s="1" t="s">
        <v>1433</v>
      </c>
      <c r="B963" s="16">
        <v>13000000</v>
      </c>
    </row>
    <row r="964" spans="1:2" x14ac:dyDescent="0.3">
      <c r="A964" s="1" t="s">
        <v>1432</v>
      </c>
      <c r="B964" s="16">
        <v>7500000</v>
      </c>
    </row>
    <row r="965" spans="1:2" x14ac:dyDescent="0.3">
      <c r="A965" s="1" t="s">
        <v>1431</v>
      </c>
      <c r="B965" s="16">
        <v>18000000</v>
      </c>
    </row>
    <row r="966" spans="1:2" x14ac:dyDescent="0.3">
      <c r="A966" s="1" t="s">
        <v>1430</v>
      </c>
      <c r="B966" s="16">
        <v>20000000</v>
      </c>
    </row>
    <row r="967" spans="1:2" x14ac:dyDescent="0.3">
      <c r="A967" s="1" t="s">
        <v>1429</v>
      </c>
      <c r="B967" s="16">
        <v>7000000</v>
      </c>
    </row>
    <row r="968" spans="1:2" x14ac:dyDescent="0.3">
      <c r="A968" s="1" t="s">
        <v>1428</v>
      </c>
      <c r="B968" s="16">
        <v>16000000</v>
      </c>
    </row>
    <row r="969" spans="1:2" x14ac:dyDescent="0.3">
      <c r="A969" s="1" t="s">
        <v>1427</v>
      </c>
      <c r="B969" s="16">
        <v>9300000</v>
      </c>
    </row>
    <row r="970" spans="1:2" x14ac:dyDescent="0.3">
      <c r="A970" s="1" t="s">
        <v>1426</v>
      </c>
      <c r="B970" s="16">
        <v>14700000</v>
      </c>
    </row>
    <row r="971" spans="1:2" x14ac:dyDescent="0.3">
      <c r="A971" s="1" t="s">
        <v>1425</v>
      </c>
      <c r="B971" s="16">
        <v>5600000</v>
      </c>
    </row>
    <row r="972" spans="1:2" x14ac:dyDescent="0.3">
      <c r="A972" s="1" t="s">
        <v>1424</v>
      </c>
      <c r="B972" s="16">
        <v>11500000</v>
      </c>
    </row>
    <row r="973" spans="1:2" x14ac:dyDescent="0.3">
      <c r="A973" s="1" t="s">
        <v>1423</v>
      </c>
      <c r="B973" s="16">
        <v>10200000</v>
      </c>
    </row>
    <row r="974" spans="1:2" x14ac:dyDescent="0.3">
      <c r="A974" s="1" t="s">
        <v>1422</v>
      </c>
      <c r="B974" s="16">
        <v>24000000</v>
      </c>
    </row>
    <row r="975" spans="1:2" x14ac:dyDescent="0.3">
      <c r="A975" s="1" t="s">
        <v>1421</v>
      </c>
      <c r="B975" s="16">
        <v>17500000</v>
      </c>
    </row>
    <row r="976" spans="1:2" x14ac:dyDescent="0.3">
      <c r="A976" s="1" t="s">
        <v>1420</v>
      </c>
      <c r="B976" s="16">
        <v>9000000</v>
      </c>
    </row>
    <row r="977" spans="1:2" x14ac:dyDescent="0.3">
      <c r="A977" s="1" t="s">
        <v>1419</v>
      </c>
      <c r="B977" s="16">
        <v>22000000</v>
      </c>
    </row>
    <row r="978" spans="1:2" x14ac:dyDescent="0.3">
      <c r="A978" s="1" t="s">
        <v>1418</v>
      </c>
      <c r="B978" s="16">
        <v>14700000</v>
      </c>
    </row>
    <row r="979" spans="1:2" x14ac:dyDescent="0.3">
      <c r="A979" s="1" t="s">
        <v>1417</v>
      </c>
      <c r="B979" s="16">
        <v>18000000</v>
      </c>
    </row>
    <row r="980" spans="1:2" x14ac:dyDescent="0.3">
      <c r="A980" s="1" t="s">
        <v>1416</v>
      </c>
      <c r="B980" s="16">
        <v>31000000</v>
      </c>
    </row>
    <row r="981" spans="1:2" x14ac:dyDescent="0.3">
      <c r="A981" s="1" t="s">
        <v>1415</v>
      </c>
      <c r="B981" s="16">
        <v>13500000</v>
      </c>
    </row>
    <row r="982" spans="1:2" x14ac:dyDescent="0.3">
      <c r="A982" s="1" t="s">
        <v>1414</v>
      </c>
      <c r="B982" s="16">
        <v>19500000</v>
      </c>
    </row>
    <row r="983" spans="1:2" x14ac:dyDescent="0.3">
      <c r="A983" s="1" t="s">
        <v>1413</v>
      </c>
      <c r="B983" s="16">
        <v>10100000</v>
      </c>
    </row>
    <row r="984" spans="1:2" x14ac:dyDescent="0.3">
      <c r="A984" s="1" t="s">
        <v>1412</v>
      </c>
      <c r="B984" s="16">
        <v>9500000</v>
      </c>
    </row>
    <row r="985" spans="1:2" x14ac:dyDescent="0.3">
      <c r="A985" s="1" t="s">
        <v>1410</v>
      </c>
      <c r="B985" s="16">
        <v>9000000</v>
      </c>
    </row>
    <row r="986" spans="1:2" x14ac:dyDescent="0.3">
      <c r="A986" s="1" t="s">
        <v>1411</v>
      </c>
      <c r="B986" s="16">
        <v>11000000</v>
      </c>
    </row>
    <row r="987" spans="1:2" x14ac:dyDescent="0.3">
      <c r="A987" s="1" t="s">
        <v>1409</v>
      </c>
      <c r="B987" s="16">
        <v>10000000</v>
      </c>
    </row>
    <row r="988" spans="1:2" x14ac:dyDescent="0.3">
      <c r="A988" s="1" t="s">
        <v>1408</v>
      </c>
      <c r="B988" s="16">
        <v>23800000</v>
      </c>
    </row>
    <row r="989" spans="1:2" x14ac:dyDescent="0.3">
      <c r="A989" s="1" t="s">
        <v>650</v>
      </c>
      <c r="B989" s="16">
        <v>10000000</v>
      </c>
    </row>
    <row r="990" spans="1:2" x14ac:dyDescent="0.3">
      <c r="A990" s="1" t="s">
        <v>1406</v>
      </c>
      <c r="B990" s="16">
        <v>16000000</v>
      </c>
    </row>
    <row r="991" spans="1:2" x14ac:dyDescent="0.3">
      <c r="A991" s="1" t="s">
        <v>1407</v>
      </c>
      <c r="B991" s="16">
        <v>17500000</v>
      </c>
    </row>
    <row r="992" spans="1:2" x14ac:dyDescent="0.3">
      <c r="A992" s="1" t="s">
        <v>1405</v>
      </c>
      <c r="B992" s="16">
        <v>14700000</v>
      </c>
    </row>
    <row r="993" spans="1:2" x14ac:dyDescent="0.3">
      <c r="A993" s="1" t="s">
        <v>1404</v>
      </c>
      <c r="B993" s="16">
        <v>6000000</v>
      </c>
    </row>
    <row r="994" spans="1:2" x14ac:dyDescent="0.3">
      <c r="A994" s="1" t="s">
        <v>1403</v>
      </c>
      <c r="B994" s="16">
        <v>7300000</v>
      </c>
    </row>
    <row r="995" spans="1:2" x14ac:dyDescent="0.3">
      <c r="A995" s="1" t="s">
        <v>1402</v>
      </c>
      <c r="B995" s="16">
        <v>9400000</v>
      </c>
    </row>
    <row r="996" spans="1:2" x14ac:dyDescent="0.3">
      <c r="A996" s="1" t="s">
        <v>1372</v>
      </c>
      <c r="B996" s="16">
        <v>17500000</v>
      </c>
    </row>
    <row r="997" spans="1:2" x14ac:dyDescent="0.3">
      <c r="A997" s="1" t="s">
        <v>1401</v>
      </c>
      <c r="B997" s="16">
        <v>8500000</v>
      </c>
    </row>
    <row r="998" spans="1:2" x14ac:dyDescent="0.3">
      <c r="A998" s="1" t="s">
        <v>1400</v>
      </c>
      <c r="B998" s="16">
        <v>11200000</v>
      </c>
    </row>
    <row r="999" spans="1:2" x14ac:dyDescent="0.3">
      <c r="A999" s="1" t="s">
        <v>1399</v>
      </c>
      <c r="B999" s="16">
        <v>14500000</v>
      </c>
    </row>
    <row r="1000" spans="1:2" x14ac:dyDescent="0.3">
      <c r="A1000" s="1" t="s">
        <v>1398</v>
      </c>
      <c r="B1000" s="16">
        <v>7500000</v>
      </c>
    </row>
    <row r="1001" spans="1:2" x14ac:dyDescent="0.3">
      <c r="A1001" s="1" t="s">
        <v>1397</v>
      </c>
      <c r="B1001" s="16">
        <v>13000000</v>
      </c>
    </row>
    <row r="1002" spans="1:2" x14ac:dyDescent="0.3">
      <c r="A1002" s="1" t="s">
        <v>1396</v>
      </c>
      <c r="B1002" s="16">
        <v>18000000</v>
      </c>
    </row>
    <row r="1003" spans="1:2" x14ac:dyDescent="0.3">
      <c r="A1003" s="1" t="s">
        <v>1395</v>
      </c>
      <c r="B1003" s="16">
        <v>30000000</v>
      </c>
    </row>
    <row r="1004" spans="1:2" x14ac:dyDescent="0.3">
      <c r="A1004" s="1" t="s">
        <v>1394</v>
      </c>
      <c r="B1004" s="16">
        <v>15000000</v>
      </c>
    </row>
    <row r="1005" spans="1:2" x14ac:dyDescent="0.3">
      <c r="A1005" s="1" t="s">
        <v>1393</v>
      </c>
      <c r="B1005" s="16">
        <v>7800000</v>
      </c>
    </row>
    <row r="1006" spans="1:2" x14ac:dyDescent="0.3">
      <c r="A1006" s="1" t="s">
        <v>1392</v>
      </c>
      <c r="B1006" s="16">
        <v>14000000</v>
      </c>
    </row>
    <row r="1007" spans="1:2" x14ac:dyDescent="0.3">
      <c r="A1007" s="1" t="s">
        <v>1391</v>
      </c>
      <c r="B1007" s="16">
        <v>7000000</v>
      </c>
    </row>
    <row r="1008" spans="1:2" x14ac:dyDescent="0.3">
      <c r="A1008" s="1" t="s">
        <v>1390</v>
      </c>
      <c r="B1008" s="16">
        <v>7000000</v>
      </c>
    </row>
    <row r="1009" spans="1:2" x14ac:dyDescent="0.3">
      <c r="A1009" s="1" t="s">
        <v>1389</v>
      </c>
      <c r="B1009" s="16">
        <v>5800000</v>
      </c>
    </row>
    <row r="1010" spans="1:2" x14ac:dyDescent="0.3">
      <c r="A1010" s="1" t="s">
        <v>1388</v>
      </c>
      <c r="B1010" s="16">
        <v>6000000</v>
      </c>
    </row>
    <row r="1011" spans="1:2" x14ac:dyDescent="0.3">
      <c r="A1011" s="1" t="s">
        <v>1387</v>
      </c>
      <c r="B1011" s="16">
        <v>11500000</v>
      </c>
    </row>
    <row r="1012" spans="1:2" x14ac:dyDescent="0.3">
      <c r="A1012" s="1" t="s">
        <v>1386</v>
      </c>
      <c r="B1012" s="16">
        <v>18000000</v>
      </c>
    </row>
    <row r="1013" spans="1:2" x14ac:dyDescent="0.3">
      <c r="A1013" s="1" t="s">
        <v>1385</v>
      </c>
      <c r="B1013" s="16">
        <v>17850000</v>
      </c>
    </row>
    <row r="1014" spans="1:2" x14ac:dyDescent="0.3">
      <c r="A1014" s="1" t="s">
        <v>1384</v>
      </c>
      <c r="B1014" s="16">
        <v>10000000</v>
      </c>
    </row>
    <row r="1015" spans="1:2" x14ac:dyDescent="0.3">
      <c r="A1015" s="1" t="s">
        <v>1383</v>
      </c>
      <c r="B1015" s="16">
        <v>9500000</v>
      </c>
    </row>
    <row r="1016" spans="1:2" x14ac:dyDescent="0.3">
      <c r="A1016" s="1" t="s">
        <v>1382</v>
      </c>
      <c r="B1016" s="16">
        <v>8000000</v>
      </c>
    </row>
    <row r="1017" spans="1:2" x14ac:dyDescent="0.3">
      <c r="A1017" s="1" t="s">
        <v>1381</v>
      </c>
      <c r="B1017" s="16">
        <v>16500000</v>
      </c>
    </row>
    <row r="1018" spans="1:2" x14ac:dyDescent="0.3">
      <c r="A1018" s="1" t="s">
        <v>1156</v>
      </c>
      <c r="B1018" s="16">
        <v>6800000</v>
      </c>
    </row>
    <row r="1019" spans="1:2" x14ac:dyDescent="0.3">
      <c r="A1019" s="1" t="s">
        <v>1380</v>
      </c>
      <c r="B1019" s="16">
        <v>6500000</v>
      </c>
    </row>
    <row r="1020" spans="1:2" x14ac:dyDescent="0.3">
      <c r="A1020" s="1" t="s">
        <v>1379</v>
      </c>
      <c r="B1020" s="16">
        <v>5000000</v>
      </c>
    </row>
    <row r="1021" spans="1:2" x14ac:dyDescent="0.3">
      <c r="A1021" s="1" t="s">
        <v>1378</v>
      </c>
      <c r="B1021" s="16">
        <v>19880000</v>
      </c>
    </row>
    <row r="1022" spans="1:2" x14ac:dyDescent="0.3">
      <c r="A1022" s="1" t="s">
        <v>1377</v>
      </c>
      <c r="B1022" s="16">
        <v>15500000</v>
      </c>
    </row>
    <row r="1023" spans="1:2" x14ac:dyDescent="0.3">
      <c r="A1023" s="1" t="s">
        <v>1374</v>
      </c>
      <c r="B1023" s="16">
        <v>8000000</v>
      </c>
    </row>
    <row r="1024" spans="1:2" x14ac:dyDescent="0.3">
      <c r="A1024" s="1" t="s">
        <v>1376</v>
      </c>
      <c r="B1024" s="16">
        <v>8500000</v>
      </c>
    </row>
    <row r="1025" spans="1:2" x14ac:dyDescent="0.3">
      <c r="A1025" s="1" t="s">
        <v>1375</v>
      </c>
      <c r="B1025" s="16">
        <v>15000000</v>
      </c>
    </row>
    <row r="1026" spans="1:2" x14ac:dyDescent="0.3">
      <c r="A1026" s="1" t="s">
        <v>1373</v>
      </c>
      <c r="B1026" s="16">
        <v>9400000</v>
      </c>
    </row>
    <row r="1027" spans="1:2" x14ac:dyDescent="0.3">
      <c r="A1027" s="1" t="s">
        <v>1371</v>
      </c>
      <c r="B1027" s="16">
        <v>11500000</v>
      </c>
    </row>
    <row r="1028" spans="1:2" x14ac:dyDescent="0.3">
      <c r="A1028" s="1" t="s">
        <v>1370</v>
      </c>
      <c r="B1028" s="16">
        <v>5000000</v>
      </c>
    </row>
    <row r="1029" spans="1:2" x14ac:dyDescent="0.3">
      <c r="A1029" s="1" t="s">
        <v>1369</v>
      </c>
      <c r="B1029" s="16">
        <v>13500000</v>
      </c>
    </row>
    <row r="1030" spans="1:2" x14ac:dyDescent="0.3">
      <c r="A1030" s="1" t="s">
        <v>1368</v>
      </c>
      <c r="B1030" s="16">
        <v>4700000</v>
      </c>
    </row>
    <row r="1031" spans="1:2" x14ac:dyDescent="0.3">
      <c r="A1031" s="1" t="s">
        <v>1367</v>
      </c>
      <c r="B1031" s="16">
        <v>5800000</v>
      </c>
    </row>
    <row r="1032" spans="1:2" x14ac:dyDescent="0.3">
      <c r="A1032" s="1" t="s">
        <v>1366</v>
      </c>
      <c r="B1032" s="16">
        <v>9000000</v>
      </c>
    </row>
    <row r="1033" spans="1:2" x14ac:dyDescent="0.3">
      <c r="A1033" s="1" t="s">
        <v>1365</v>
      </c>
      <c r="B1033" s="16">
        <v>8000000</v>
      </c>
    </row>
    <row r="1034" spans="1:2" x14ac:dyDescent="0.3">
      <c r="A1034" s="1" t="s">
        <v>1364</v>
      </c>
      <c r="B1034" s="16">
        <v>15000000</v>
      </c>
    </row>
    <row r="1035" spans="1:2" x14ac:dyDescent="0.3">
      <c r="A1035" s="1" t="s">
        <v>1363</v>
      </c>
      <c r="B1035" s="16">
        <v>10500000</v>
      </c>
    </row>
    <row r="1036" spans="1:2" x14ac:dyDescent="0.3">
      <c r="A1036" s="1" t="s">
        <v>1362</v>
      </c>
      <c r="B1036" s="16">
        <v>10000000</v>
      </c>
    </row>
    <row r="1037" spans="1:2" x14ac:dyDescent="0.3">
      <c r="A1037" s="1" t="s">
        <v>1361</v>
      </c>
      <c r="B1037" s="16">
        <v>5200000</v>
      </c>
    </row>
    <row r="1038" spans="1:2" x14ac:dyDescent="0.3">
      <c r="A1038" s="1" t="s">
        <v>1360</v>
      </c>
      <c r="B1038" s="16">
        <v>7000000</v>
      </c>
    </row>
    <row r="1039" spans="1:2" x14ac:dyDescent="0.3">
      <c r="A1039" s="1" t="s">
        <v>1359</v>
      </c>
      <c r="B1039" s="16">
        <v>11300000</v>
      </c>
    </row>
    <row r="1040" spans="1:2" x14ac:dyDescent="0.3">
      <c r="A1040" s="1" t="s">
        <v>1358</v>
      </c>
      <c r="B1040" s="16">
        <v>10000000</v>
      </c>
    </row>
    <row r="1041" spans="1:2" x14ac:dyDescent="0.3">
      <c r="A1041" s="1" t="s">
        <v>1357</v>
      </c>
      <c r="B1041" s="16">
        <v>17500000</v>
      </c>
    </row>
    <row r="1042" spans="1:2" x14ac:dyDescent="0.3">
      <c r="A1042" s="1" t="s">
        <v>1356</v>
      </c>
      <c r="B1042" s="16">
        <v>11300000</v>
      </c>
    </row>
    <row r="1043" spans="1:2" x14ac:dyDescent="0.3">
      <c r="A1043" s="1" t="s">
        <v>1355</v>
      </c>
      <c r="B1043" s="16">
        <v>14200000</v>
      </c>
    </row>
    <row r="1044" spans="1:2" x14ac:dyDescent="0.3">
      <c r="A1044" s="1" t="s">
        <v>1353</v>
      </c>
      <c r="B1044" s="16">
        <v>10800000</v>
      </c>
    </row>
    <row r="1045" spans="1:2" x14ac:dyDescent="0.3">
      <c r="A1045" s="1" t="s">
        <v>1354</v>
      </c>
      <c r="B1045" s="16">
        <v>37000000</v>
      </c>
    </row>
    <row r="1046" spans="1:2" x14ac:dyDescent="0.3">
      <c r="A1046" s="1" t="s">
        <v>1352</v>
      </c>
      <c r="B1046" s="16">
        <v>7000000</v>
      </c>
    </row>
    <row r="1047" spans="1:2" x14ac:dyDescent="0.3">
      <c r="A1047" s="1" t="s">
        <v>1351</v>
      </c>
      <c r="B1047" s="16">
        <v>10500000</v>
      </c>
    </row>
    <row r="1048" spans="1:2" x14ac:dyDescent="0.3">
      <c r="A1048" s="1" t="s">
        <v>1350</v>
      </c>
      <c r="B1048" s="16">
        <v>12000000</v>
      </c>
    </row>
    <row r="1049" spans="1:2" x14ac:dyDescent="0.3">
      <c r="A1049" s="1" t="s">
        <v>1349</v>
      </c>
      <c r="B1049" s="16">
        <v>14000000</v>
      </c>
    </row>
    <row r="1050" spans="1:2" x14ac:dyDescent="0.3">
      <c r="A1050" s="1" t="s">
        <v>1348</v>
      </c>
      <c r="B1050" s="16">
        <v>9800000</v>
      </c>
    </row>
    <row r="1051" spans="1:2" x14ac:dyDescent="0.3">
      <c r="A1051" s="1" t="s">
        <v>1347</v>
      </c>
      <c r="B1051" s="16">
        <v>7200000</v>
      </c>
    </row>
    <row r="1052" spans="1:2" x14ac:dyDescent="0.3">
      <c r="A1052" s="1" t="s">
        <v>1346</v>
      </c>
      <c r="B1052" s="16">
        <v>32500000</v>
      </c>
    </row>
    <row r="1053" spans="1:2" x14ac:dyDescent="0.3">
      <c r="A1053" s="1" t="s">
        <v>1345</v>
      </c>
      <c r="B1053" s="16">
        <v>5900000</v>
      </c>
    </row>
    <row r="1054" spans="1:2" x14ac:dyDescent="0.3">
      <c r="A1054" s="1" t="s">
        <v>69</v>
      </c>
      <c r="B1054" s="16">
        <v>12000000</v>
      </c>
    </row>
    <row r="1055" spans="1:2" x14ac:dyDescent="0.3">
      <c r="A1055" s="1" t="s">
        <v>1344</v>
      </c>
      <c r="B1055" s="16">
        <v>14850000</v>
      </c>
    </row>
    <row r="1056" spans="1:2" x14ac:dyDescent="0.3">
      <c r="A1056" s="1" t="s">
        <v>1343</v>
      </c>
      <c r="B1056" s="16">
        <v>6500000</v>
      </c>
    </row>
    <row r="1057" spans="1:2" x14ac:dyDescent="0.3">
      <c r="A1057" s="1" t="s">
        <v>1342</v>
      </c>
      <c r="B1057" s="16">
        <v>11500000</v>
      </c>
    </row>
    <row r="1058" spans="1:2" x14ac:dyDescent="0.3">
      <c r="A1058" s="1" t="s">
        <v>1341</v>
      </c>
      <c r="B1058" s="16">
        <v>10500000</v>
      </c>
    </row>
    <row r="1059" spans="1:2" x14ac:dyDescent="0.3">
      <c r="A1059" s="1" t="s">
        <v>1340</v>
      </c>
      <c r="B1059" s="16">
        <v>11500000</v>
      </c>
    </row>
    <row r="1060" spans="1:2" x14ac:dyDescent="0.3">
      <c r="A1060" s="1" t="s">
        <v>1339</v>
      </c>
      <c r="B1060" s="16">
        <v>15000000</v>
      </c>
    </row>
    <row r="1061" spans="1:2" x14ac:dyDescent="0.3">
      <c r="A1061" s="1" t="s">
        <v>1337</v>
      </c>
      <c r="B1061" s="16">
        <v>6500000</v>
      </c>
    </row>
    <row r="1062" spans="1:2" x14ac:dyDescent="0.3">
      <c r="A1062" s="1" t="s">
        <v>1338</v>
      </c>
      <c r="B1062" s="16">
        <v>15500000</v>
      </c>
    </row>
    <row r="1063" spans="1:2" x14ac:dyDescent="0.3">
      <c r="A1063" s="1" t="s">
        <v>1336</v>
      </c>
      <c r="B1063" s="16">
        <v>8000000</v>
      </c>
    </row>
    <row r="1064" spans="1:2" x14ac:dyDescent="0.3">
      <c r="A1064" s="1" t="s">
        <v>1335</v>
      </c>
      <c r="B1064" s="16">
        <v>9500000</v>
      </c>
    </row>
    <row r="1065" spans="1:2" x14ac:dyDescent="0.3">
      <c r="A1065" s="1" t="s">
        <v>1334</v>
      </c>
      <c r="B1065" s="16">
        <v>12000000</v>
      </c>
    </row>
    <row r="1066" spans="1:2" x14ac:dyDescent="0.3">
      <c r="A1066" s="1" t="s">
        <v>1333</v>
      </c>
      <c r="B1066" s="16">
        <v>7000000</v>
      </c>
    </row>
    <row r="1067" spans="1:2" x14ac:dyDescent="0.3">
      <c r="A1067" s="1" t="s">
        <v>1332</v>
      </c>
      <c r="B1067" s="16">
        <v>17500000</v>
      </c>
    </row>
    <row r="1068" spans="1:2" x14ac:dyDescent="0.3">
      <c r="A1068" s="1" t="s">
        <v>1331</v>
      </c>
      <c r="B1068" s="16">
        <v>18500000</v>
      </c>
    </row>
    <row r="1069" spans="1:2" x14ac:dyDescent="0.3">
      <c r="A1069" s="1" t="s">
        <v>1330</v>
      </c>
      <c r="B1069" s="16">
        <v>33000000</v>
      </c>
    </row>
    <row r="1070" spans="1:2" x14ac:dyDescent="0.3">
      <c r="A1070" s="1" t="s">
        <v>1329</v>
      </c>
      <c r="B1070" s="16">
        <v>11000000</v>
      </c>
    </row>
    <row r="1071" spans="1:2" x14ac:dyDescent="0.3">
      <c r="A1071" s="1" t="s">
        <v>1328</v>
      </c>
      <c r="B1071" s="16">
        <v>7000000</v>
      </c>
    </row>
    <row r="1072" spans="1:2" x14ac:dyDescent="0.3">
      <c r="A1072" s="1" t="s">
        <v>1327</v>
      </c>
      <c r="B1072" s="16">
        <v>6500000</v>
      </c>
    </row>
    <row r="1073" spans="1:2" x14ac:dyDescent="0.3">
      <c r="A1073" s="1" t="s">
        <v>1326</v>
      </c>
      <c r="B1073" s="16">
        <v>13000000</v>
      </c>
    </row>
    <row r="1074" spans="1:2" x14ac:dyDescent="0.3">
      <c r="A1074" s="1" t="s">
        <v>1325</v>
      </c>
      <c r="B1074" s="16">
        <v>6000000</v>
      </c>
    </row>
    <row r="1075" spans="1:2" x14ac:dyDescent="0.3">
      <c r="A1075" s="1" t="s">
        <v>1324</v>
      </c>
      <c r="B1075" s="16">
        <v>7200000</v>
      </c>
    </row>
    <row r="1076" spans="1:2" x14ac:dyDescent="0.3">
      <c r="A1076" s="1" t="s">
        <v>1323</v>
      </c>
      <c r="B1076" s="16">
        <v>9500000</v>
      </c>
    </row>
    <row r="1077" spans="1:2" x14ac:dyDescent="0.3">
      <c r="A1077" s="1" t="s">
        <v>1322</v>
      </c>
      <c r="B1077" s="16">
        <v>10500000</v>
      </c>
    </row>
    <row r="1078" spans="1:2" x14ac:dyDescent="0.3">
      <c r="A1078" s="1" t="s">
        <v>1321</v>
      </c>
      <c r="B1078" s="16">
        <v>7500000</v>
      </c>
    </row>
    <row r="1079" spans="1:2" x14ac:dyDescent="0.3">
      <c r="A1079" s="1" t="s">
        <v>1320</v>
      </c>
      <c r="B1079" s="16">
        <v>9000000</v>
      </c>
    </row>
    <row r="1080" spans="1:2" x14ac:dyDescent="0.3">
      <c r="A1080" s="1" t="s">
        <v>1319</v>
      </c>
      <c r="B1080" s="16">
        <v>14000000</v>
      </c>
    </row>
    <row r="1081" spans="1:2" x14ac:dyDescent="0.3">
      <c r="A1081" s="1" t="s">
        <v>1318</v>
      </c>
      <c r="B1081" s="16">
        <v>11500000</v>
      </c>
    </row>
    <row r="1082" spans="1:2" x14ac:dyDescent="0.3">
      <c r="A1082" s="1" t="s">
        <v>1317</v>
      </c>
      <c r="B1082" s="16">
        <v>8000000</v>
      </c>
    </row>
    <row r="1083" spans="1:2" x14ac:dyDescent="0.3">
      <c r="A1083" s="1" t="s">
        <v>1316</v>
      </c>
      <c r="B1083" s="16">
        <v>4300000</v>
      </c>
    </row>
    <row r="1084" spans="1:2" x14ac:dyDescent="0.3">
      <c r="A1084" s="1" t="s">
        <v>1295</v>
      </c>
      <c r="B1084" s="16">
        <v>15000000</v>
      </c>
    </row>
    <row r="1085" spans="1:2" x14ac:dyDescent="0.3">
      <c r="A1085" s="1" t="s">
        <v>1315</v>
      </c>
      <c r="B1085" s="16">
        <v>10500000</v>
      </c>
    </row>
    <row r="1086" spans="1:2" x14ac:dyDescent="0.3">
      <c r="A1086" s="1" t="s">
        <v>1314</v>
      </c>
      <c r="B1086" s="16">
        <v>5800000</v>
      </c>
    </row>
    <row r="1087" spans="1:2" x14ac:dyDescent="0.3">
      <c r="A1087" s="1" t="s">
        <v>1260</v>
      </c>
      <c r="B1087" s="16">
        <v>9500000</v>
      </c>
    </row>
    <row r="1088" spans="1:2" x14ac:dyDescent="0.3">
      <c r="A1088" s="1" t="s">
        <v>1313</v>
      </c>
      <c r="B1088" s="16">
        <v>24700000</v>
      </c>
    </row>
    <row r="1089" spans="1:2" x14ac:dyDescent="0.3">
      <c r="A1089" s="1" t="s">
        <v>1312</v>
      </c>
      <c r="B1089" s="16">
        <v>13500000</v>
      </c>
    </row>
    <row r="1090" spans="1:2" x14ac:dyDescent="0.3">
      <c r="A1090" s="1" t="s">
        <v>1311</v>
      </c>
      <c r="B1090" s="16">
        <v>19000000</v>
      </c>
    </row>
    <row r="1091" spans="1:2" x14ac:dyDescent="0.3">
      <c r="A1091" s="1" t="s">
        <v>1310</v>
      </c>
      <c r="B1091" s="16">
        <v>12000000</v>
      </c>
    </row>
    <row r="1092" spans="1:2" x14ac:dyDescent="0.3">
      <c r="A1092" s="1" t="s">
        <v>1309</v>
      </c>
      <c r="B1092" s="16">
        <v>7000000</v>
      </c>
    </row>
    <row r="1093" spans="1:2" x14ac:dyDescent="0.3">
      <c r="A1093" s="1" t="s">
        <v>1308</v>
      </c>
      <c r="B1093" s="16">
        <v>4000000</v>
      </c>
    </row>
    <row r="1094" spans="1:2" x14ac:dyDescent="0.3">
      <c r="A1094" s="1" t="s">
        <v>1307</v>
      </c>
      <c r="B1094" s="16">
        <v>4500000</v>
      </c>
    </row>
    <row r="1095" spans="1:2" x14ac:dyDescent="0.3">
      <c r="A1095" s="1" t="s">
        <v>1306</v>
      </c>
      <c r="B1095" s="16">
        <v>9000000</v>
      </c>
    </row>
    <row r="1096" spans="1:2" x14ac:dyDescent="0.3">
      <c r="A1096" s="1" t="s">
        <v>1305</v>
      </c>
      <c r="B1096" s="16">
        <v>7000000</v>
      </c>
    </row>
    <row r="1097" spans="1:2" x14ac:dyDescent="0.3">
      <c r="A1097" s="1" t="s">
        <v>1304</v>
      </c>
      <c r="B1097" s="16">
        <v>8250000</v>
      </c>
    </row>
    <row r="1098" spans="1:2" x14ac:dyDescent="0.3">
      <c r="A1098" s="1" t="s">
        <v>1302</v>
      </c>
      <c r="B1098" s="16">
        <v>16500000</v>
      </c>
    </row>
    <row r="1099" spans="1:2" x14ac:dyDescent="0.3">
      <c r="A1099" s="1" t="s">
        <v>1303</v>
      </c>
      <c r="B1099" s="16">
        <v>9000000</v>
      </c>
    </row>
    <row r="1100" spans="1:2" x14ac:dyDescent="0.3">
      <c r="A1100" s="1" t="s">
        <v>1301</v>
      </c>
      <c r="B1100" s="16">
        <v>16000000</v>
      </c>
    </row>
    <row r="1101" spans="1:2" x14ac:dyDescent="0.3">
      <c r="A1101" s="1" t="s">
        <v>1300</v>
      </c>
      <c r="B1101" s="16">
        <v>22500000</v>
      </c>
    </row>
    <row r="1102" spans="1:2" x14ac:dyDescent="0.3">
      <c r="A1102" s="1" t="s">
        <v>1299</v>
      </c>
      <c r="B1102" s="16">
        <v>16500000</v>
      </c>
    </row>
    <row r="1103" spans="1:2" x14ac:dyDescent="0.3">
      <c r="A1103" s="1" t="s">
        <v>1298</v>
      </c>
      <c r="B1103" s="16">
        <v>5800000</v>
      </c>
    </row>
    <row r="1104" spans="1:2" x14ac:dyDescent="0.3">
      <c r="A1104" s="1" t="s">
        <v>1296</v>
      </c>
      <c r="B1104" s="16">
        <v>15000000</v>
      </c>
    </row>
    <row r="1105" spans="1:2" x14ac:dyDescent="0.3">
      <c r="A1105" s="1" t="s">
        <v>1297</v>
      </c>
      <c r="B1105" s="16">
        <v>8100000</v>
      </c>
    </row>
    <row r="1106" spans="1:2" x14ac:dyDescent="0.3">
      <c r="A1106" s="1" t="s">
        <v>1294</v>
      </c>
      <c r="B1106" s="16">
        <v>14500000</v>
      </c>
    </row>
    <row r="1107" spans="1:2" x14ac:dyDescent="0.3">
      <c r="A1107" s="1" t="s">
        <v>1293</v>
      </c>
      <c r="B1107" s="16">
        <v>7000000</v>
      </c>
    </row>
    <row r="1108" spans="1:2" x14ac:dyDescent="0.3">
      <c r="A1108" s="1" t="s">
        <v>1292</v>
      </c>
      <c r="B1108" s="16">
        <v>6000000</v>
      </c>
    </row>
    <row r="1109" spans="1:2" x14ac:dyDescent="0.3">
      <c r="A1109" s="1" t="s">
        <v>1291</v>
      </c>
      <c r="B1109" s="16">
        <v>22000000</v>
      </c>
    </row>
    <row r="1110" spans="1:2" x14ac:dyDescent="0.3">
      <c r="A1110" s="1" t="s">
        <v>1290</v>
      </c>
      <c r="B1110" s="16">
        <v>24284433</v>
      </c>
    </row>
    <row r="1111" spans="1:2" x14ac:dyDescent="0.3">
      <c r="A1111" s="1" t="s">
        <v>1289</v>
      </c>
      <c r="B1111" s="16">
        <v>23000000</v>
      </c>
    </row>
    <row r="1112" spans="1:2" x14ac:dyDescent="0.3">
      <c r="A1112" s="1" t="s">
        <v>1288</v>
      </c>
      <c r="B1112" s="16">
        <v>15000000</v>
      </c>
    </row>
    <row r="1113" spans="1:2" x14ac:dyDescent="0.3">
      <c r="A1113" s="1" t="s">
        <v>1287</v>
      </c>
      <c r="B1113" s="16">
        <v>11000000</v>
      </c>
    </row>
    <row r="1114" spans="1:2" x14ac:dyDescent="0.3">
      <c r="A1114" s="1" t="s">
        <v>1286</v>
      </c>
      <c r="B1114" s="16">
        <v>17500000</v>
      </c>
    </row>
    <row r="1115" spans="1:2" x14ac:dyDescent="0.3">
      <c r="A1115" s="1" t="s">
        <v>1284</v>
      </c>
      <c r="B1115" s="16">
        <v>11300000</v>
      </c>
    </row>
    <row r="1116" spans="1:2" x14ac:dyDescent="0.3">
      <c r="A1116" s="1" t="s">
        <v>1285</v>
      </c>
      <c r="B1116" s="16">
        <v>11000000</v>
      </c>
    </row>
    <row r="1117" spans="1:2" x14ac:dyDescent="0.3">
      <c r="A1117" s="1" t="s">
        <v>1283</v>
      </c>
      <c r="B1117" s="16">
        <v>6600000</v>
      </c>
    </row>
    <row r="1118" spans="1:2" x14ac:dyDescent="0.3">
      <c r="A1118" s="1" t="s">
        <v>1281</v>
      </c>
      <c r="B1118" s="16">
        <v>14250000</v>
      </c>
    </row>
    <row r="1119" spans="1:2" x14ac:dyDescent="0.3">
      <c r="A1119" s="1" t="s">
        <v>1282</v>
      </c>
      <c r="B1119" s="16">
        <v>15200000</v>
      </c>
    </row>
    <row r="1120" spans="1:2" x14ac:dyDescent="0.3">
      <c r="A1120" s="1" t="s">
        <v>1279</v>
      </c>
      <c r="B1120" s="16">
        <v>8500000</v>
      </c>
    </row>
    <row r="1121" spans="1:2" x14ac:dyDescent="0.3">
      <c r="A1121" s="1" t="s">
        <v>1280</v>
      </c>
      <c r="B1121" s="16">
        <v>14000000</v>
      </c>
    </row>
    <row r="1122" spans="1:2" x14ac:dyDescent="0.3">
      <c r="A1122" s="1" t="s">
        <v>1278</v>
      </c>
      <c r="B1122" s="16">
        <v>8500000</v>
      </c>
    </row>
    <row r="1123" spans="1:2" x14ac:dyDescent="0.3">
      <c r="A1123" s="1" t="s">
        <v>1277</v>
      </c>
      <c r="B1123" s="16">
        <v>22000000</v>
      </c>
    </row>
    <row r="1124" spans="1:2" x14ac:dyDescent="0.3">
      <c r="A1124" s="1" t="s">
        <v>1276</v>
      </c>
      <c r="B1124" s="16">
        <v>7800000</v>
      </c>
    </row>
    <row r="1125" spans="1:2" x14ac:dyDescent="0.3">
      <c r="A1125" s="1" t="s">
        <v>1275</v>
      </c>
      <c r="B1125" s="16">
        <v>15300000</v>
      </c>
    </row>
    <row r="1126" spans="1:2" x14ac:dyDescent="0.3">
      <c r="A1126" s="1" t="s">
        <v>1273</v>
      </c>
      <c r="B1126" s="16">
        <v>13000000</v>
      </c>
    </row>
    <row r="1127" spans="1:2" x14ac:dyDescent="0.3">
      <c r="A1127" s="1" t="s">
        <v>1272</v>
      </c>
      <c r="B1127" s="16">
        <v>14000000</v>
      </c>
    </row>
    <row r="1128" spans="1:2" x14ac:dyDescent="0.3">
      <c r="A1128" s="1" t="s">
        <v>1271</v>
      </c>
      <c r="B1128" s="16">
        <v>10000000</v>
      </c>
    </row>
    <row r="1129" spans="1:2" x14ac:dyDescent="0.3">
      <c r="A1129" s="1" t="s">
        <v>1270</v>
      </c>
      <c r="B1129" s="16">
        <v>11500000</v>
      </c>
    </row>
    <row r="1130" spans="1:2" x14ac:dyDescent="0.3">
      <c r="A1130" s="1" t="s">
        <v>1269</v>
      </c>
      <c r="B1130" s="16">
        <v>10500000</v>
      </c>
    </row>
    <row r="1131" spans="1:2" x14ac:dyDescent="0.3">
      <c r="A1131" s="1" t="s">
        <v>1268</v>
      </c>
      <c r="B1131" s="16">
        <v>11700000</v>
      </c>
    </row>
    <row r="1132" spans="1:2" x14ac:dyDescent="0.3">
      <c r="A1132" s="1" t="s">
        <v>1267</v>
      </c>
      <c r="B1132" s="16">
        <v>8400000</v>
      </c>
    </row>
    <row r="1133" spans="1:2" x14ac:dyDescent="0.3">
      <c r="A1133" s="1" t="s">
        <v>1266</v>
      </c>
      <c r="B1133" s="16">
        <v>10900000</v>
      </c>
    </row>
    <row r="1134" spans="1:2" x14ac:dyDescent="0.3">
      <c r="A1134" s="1" t="s">
        <v>1265</v>
      </c>
      <c r="B1134" s="16">
        <v>10000000</v>
      </c>
    </row>
    <row r="1135" spans="1:2" x14ac:dyDescent="0.3">
      <c r="A1135" s="1" t="s">
        <v>1264</v>
      </c>
      <c r="B1135" s="16">
        <v>13500000</v>
      </c>
    </row>
    <row r="1136" spans="1:2" x14ac:dyDescent="0.3">
      <c r="A1136" s="1" t="s">
        <v>52</v>
      </c>
      <c r="B1136" s="16">
        <v>48000000</v>
      </c>
    </row>
    <row r="1137" spans="1:2" x14ac:dyDescent="0.3">
      <c r="A1137" s="1" t="s">
        <v>1263</v>
      </c>
      <c r="B1137" s="16">
        <v>7400000</v>
      </c>
    </row>
    <row r="1138" spans="1:2" x14ac:dyDescent="0.3">
      <c r="A1138" s="1" t="s">
        <v>1262</v>
      </c>
      <c r="B1138" s="16">
        <v>5500000</v>
      </c>
    </row>
    <row r="1139" spans="1:2" x14ac:dyDescent="0.3">
      <c r="A1139" s="1" t="s">
        <v>1261</v>
      </c>
      <c r="B1139" s="16">
        <v>12500000</v>
      </c>
    </row>
    <row r="1140" spans="1:2" x14ac:dyDescent="0.3">
      <c r="A1140" s="1" t="s">
        <v>1259</v>
      </c>
      <c r="B1140" s="16">
        <v>8900000</v>
      </c>
    </row>
    <row r="1141" spans="1:2" x14ac:dyDescent="0.3">
      <c r="A1141" s="1" t="s">
        <v>1258</v>
      </c>
      <c r="B1141" s="16">
        <v>9650000</v>
      </c>
    </row>
    <row r="1142" spans="1:2" x14ac:dyDescent="0.3">
      <c r="A1142" s="1" t="s">
        <v>1257</v>
      </c>
      <c r="B1142" s="16">
        <v>6500000</v>
      </c>
    </row>
    <row r="1143" spans="1:2" x14ac:dyDescent="0.3">
      <c r="A1143" s="1" t="s">
        <v>1256</v>
      </c>
      <c r="B1143" s="16">
        <v>11500000</v>
      </c>
    </row>
    <row r="1144" spans="1:2" x14ac:dyDescent="0.3">
      <c r="A1144" s="1" t="s">
        <v>1255</v>
      </c>
      <c r="B1144" s="16">
        <v>6500000</v>
      </c>
    </row>
    <row r="1145" spans="1:2" x14ac:dyDescent="0.3">
      <c r="A1145" s="1" t="s">
        <v>1254</v>
      </c>
      <c r="B1145" s="16">
        <v>10000000</v>
      </c>
    </row>
    <row r="1146" spans="1:2" x14ac:dyDescent="0.3">
      <c r="A1146" s="1" t="s">
        <v>1253</v>
      </c>
      <c r="B1146" s="16">
        <v>31000000</v>
      </c>
    </row>
    <row r="1147" spans="1:2" x14ac:dyDescent="0.3">
      <c r="A1147" s="1" t="s">
        <v>1252</v>
      </c>
      <c r="B1147" s="16">
        <v>13100000</v>
      </c>
    </row>
    <row r="1148" spans="1:2" x14ac:dyDescent="0.3">
      <c r="A1148" s="1" t="s">
        <v>1251</v>
      </c>
      <c r="B1148" s="16">
        <v>12000000</v>
      </c>
    </row>
    <row r="1149" spans="1:2" x14ac:dyDescent="0.3">
      <c r="A1149" s="1" t="s">
        <v>1234</v>
      </c>
      <c r="B1149" s="16">
        <v>10800000</v>
      </c>
    </row>
    <row r="1150" spans="1:2" x14ac:dyDescent="0.3">
      <c r="A1150" s="1" t="s">
        <v>1250</v>
      </c>
      <c r="B1150" s="16">
        <v>11000000</v>
      </c>
    </row>
    <row r="1151" spans="1:2" x14ac:dyDescent="0.3">
      <c r="A1151" s="1" t="s">
        <v>1249</v>
      </c>
      <c r="B1151" s="16">
        <v>10600000</v>
      </c>
    </row>
    <row r="1152" spans="1:2" x14ac:dyDescent="0.3">
      <c r="A1152" s="1" t="s">
        <v>1247</v>
      </c>
      <c r="B1152" s="16">
        <v>11000000</v>
      </c>
    </row>
    <row r="1153" spans="1:2" x14ac:dyDescent="0.3">
      <c r="A1153" s="1" t="s">
        <v>1248</v>
      </c>
      <c r="B1153" s="16">
        <v>9500000</v>
      </c>
    </row>
    <row r="1154" spans="1:2" x14ac:dyDescent="0.3">
      <c r="A1154" s="1" t="s">
        <v>1246</v>
      </c>
      <c r="B1154" s="16">
        <v>15500000</v>
      </c>
    </row>
    <row r="1155" spans="1:2" x14ac:dyDescent="0.3">
      <c r="A1155" s="1" t="s">
        <v>1245</v>
      </c>
      <c r="B1155" s="16">
        <v>15400000</v>
      </c>
    </row>
    <row r="1156" spans="1:2" x14ac:dyDescent="0.3">
      <c r="A1156" s="1" t="s">
        <v>1244</v>
      </c>
      <c r="B1156" s="16">
        <v>10000000</v>
      </c>
    </row>
    <row r="1157" spans="1:2" x14ac:dyDescent="0.3">
      <c r="A1157" s="1" t="s">
        <v>1243</v>
      </c>
      <c r="B1157" s="16">
        <v>9500000</v>
      </c>
    </row>
    <row r="1158" spans="1:2" x14ac:dyDescent="0.3">
      <c r="A1158" s="1" t="s">
        <v>1242</v>
      </c>
      <c r="B1158" s="16">
        <v>5300000</v>
      </c>
    </row>
    <row r="1159" spans="1:2" x14ac:dyDescent="0.3">
      <c r="A1159" s="1" t="s">
        <v>1241</v>
      </c>
      <c r="B1159" s="16">
        <v>21000000</v>
      </c>
    </row>
    <row r="1160" spans="1:2" x14ac:dyDescent="0.3">
      <c r="A1160" s="1" t="s">
        <v>1240</v>
      </c>
      <c r="B1160" s="16">
        <v>11200000</v>
      </c>
    </row>
    <row r="1161" spans="1:2" x14ac:dyDescent="0.3">
      <c r="A1161" s="1" t="s">
        <v>1239</v>
      </c>
      <c r="B1161" s="16">
        <v>12600000</v>
      </c>
    </row>
    <row r="1162" spans="1:2" x14ac:dyDescent="0.3">
      <c r="A1162" s="1" t="s">
        <v>1238</v>
      </c>
      <c r="B1162" s="16">
        <v>29000000</v>
      </c>
    </row>
    <row r="1163" spans="1:2" x14ac:dyDescent="0.3">
      <c r="A1163" s="1" t="s">
        <v>1237</v>
      </c>
      <c r="B1163" s="16">
        <v>18600000</v>
      </c>
    </row>
    <row r="1164" spans="1:2" x14ac:dyDescent="0.3">
      <c r="A1164" s="1" t="s">
        <v>1236</v>
      </c>
      <c r="B1164" s="16">
        <v>8000000</v>
      </c>
    </row>
    <row r="1165" spans="1:2" x14ac:dyDescent="0.3">
      <c r="A1165" s="1" t="s">
        <v>1235</v>
      </c>
      <c r="B1165" s="16">
        <v>14500000</v>
      </c>
    </row>
    <row r="1166" spans="1:2" x14ac:dyDescent="0.3">
      <c r="A1166" s="1" t="s">
        <v>238</v>
      </c>
      <c r="B1166" s="16">
        <v>8550000</v>
      </c>
    </row>
    <row r="1167" spans="1:2" x14ac:dyDescent="0.3">
      <c r="A1167" s="1" t="s">
        <v>1233</v>
      </c>
      <c r="B1167" s="16">
        <v>7000000</v>
      </c>
    </row>
    <row r="1168" spans="1:2" x14ac:dyDescent="0.3">
      <c r="A1168" s="1" t="s">
        <v>1232</v>
      </c>
      <c r="B1168" s="16">
        <v>24000000</v>
      </c>
    </row>
    <row r="1169" spans="1:2" x14ac:dyDescent="0.3">
      <c r="A1169" s="1" t="s">
        <v>1231</v>
      </c>
      <c r="B1169" s="16">
        <v>31000000</v>
      </c>
    </row>
    <row r="1170" spans="1:2" x14ac:dyDescent="0.3">
      <c r="A1170" s="1" t="s">
        <v>1230</v>
      </c>
      <c r="B1170" s="16">
        <v>13500000</v>
      </c>
    </row>
    <row r="1171" spans="1:2" x14ac:dyDescent="0.3">
      <c r="A1171" s="1" t="s">
        <v>1229</v>
      </c>
      <c r="B1171" s="16">
        <v>11000000</v>
      </c>
    </row>
    <row r="1172" spans="1:2" x14ac:dyDescent="0.3">
      <c r="A1172" s="1" t="s">
        <v>1228</v>
      </c>
      <c r="B1172" s="16">
        <v>19000000</v>
      </c>
    </row>
    <row r="1173" spans="1:2" x14ac:dyDescent="0.3">
      <c r="A1173" s="1" t="s">
        <v>1227</v>
      </c>
      <c r="B1173" s="16">
        <v>13400000</v>
      </c>
    </row>
    <row r="1174" spans="1:2" x14ac:dyDescent="0.3">
      <c r="A1174" s="1" t="s">
        <v>1226</v>
      </c>
      <c r="B1174" s="16">
        <v>10500000</v>
      </c>
    </row>
    <row r="1175" spans="1:2" x14ac:dyDescent="0.3">
      <c r="A1175" s="1" t="s">
        <v>1225</v>
      </c>
      <c r="B1175" s="16">
        <v>8500000</v>
      </c>
    </row>
    <row r="1176" spans="1:2" x14ac:dyDescent="0.3">
      <c r="A1176" s="1" t="s">
        <v>1224</v>
      </c>
      <c r="B1176" s="16">
        <v>8500000</v>
      </c>
    </row>
    <row r="1177" spans="1:2" x14ac:dyDescent="0.3">
      <c r="A1177" s="1" t="s">
        <v>1223</v>
      </c>
      <c r="B1177" s="16">
        <v>16000000</v>
      </c>
    </row>
    <row r="1178" spans="1:2" x14ac:dyDescent="0.3">
      <c r="A1178" s="1" t="s">
        <v>1222</v>
      </c>
      <c r="B1178" s="16">
        <v>9800000</v>
      </c>
    </row>
    <row r="1179" spans="1:2" x14ac:dyDescent="0.3">
      <c r="A1179" s="1" t="s">
        <v>1220</v>
      </c>
      <c r="B1179" s="16">
        <v>10000000</v>
      </c>
    </row>
    <row r="1180" spans="1:2" x14ac:dyDescent="0.3">
      <c r="A1180" s="1" t="s">
        <v>1221</v>
      </c>
      <c r="B1180" s="16">
        <v>5500000</v>
      </c>
    </row>
    <row r="1181" spans="1:2" x14ac:dyDescent="0.3">
      <c r="A1181" s="1" t="s">
        <v>1219</v>
      </c>
      <c r="B1181" s="16">
        <v>29000000</v>
      </c>
    </row>
    <row r="1182" spans="1:2" x14ac:dyDescent="0.3">
      <c r="A1182" s="1" t="s">
        <v>1218</v>
      </c>
      <c r="B1182" s="16">
        <v>9500000</v>
      </c>
    </row>
    <row r="1183" spans="1:2" x14ac:dyDescent="0.3">
      <c r="A1183" s="1" t="s">
        <v>1217</v>
      </c>
      <c r="B1183" s="16">
        <v>11000000</v>
      </c>
    </row>
    <row r="1184" spans="1:2" x14ac:dyDescent="0.3">
      <c r="A1184" s="1" t="s">
        <v>1216</v>
      </c>
      <c r="B1184" s="16">
        <v>26431805</v>
      </c>
    </row>
    <row r="1185" spans="1:2" x14ac:dyDescent="0.3">
      <c r="A1185" s="1" t="s">
        <v>1215</v>
      </c>
      <c r="B1185" s="16">
        <v>22000000</v>
      </c>
    </row>
    <row r="1186" spans="1:2" x14ac:dyDescent="0.3">
      <c r="A1186" s="1" t="s">
        <v>1214</v>
      </c>
      <c r="B1186" s="16">
        <v>15000000</v>
      </c>
    </row>
    <row r="1187" spans="1:2" x14ac:dyDescent="0.3">
      <c r="A1187" s="1" t="s">
        <v>1213</v>
      </c>
      <c r="B1187" s="16">
        <v>22000000</v>
      </c>
    </row>
    <row r="1188" spans="1:2" x14ac:dyDescent="0.3">
      <c r="A1188" s="1" t="s">
        <v>1212</v>
      </c>
      <c r="B1188" s="16">
        <v>15500000</v>
      </c>
    </row>
    <row r="1189" spans="1:2" x14ac:dyDescent="0.3">
      <c r="A1189" s="1" t="s">
        <v>1211</v>
      </c>
      <c r="B1189" s="16">
        <v>11000000</v>
      </c>
    </row>
    <row r="1190" spans="1:2" x14ac:dyDescent="0.3">
      <c r="A1190" s="1" t="s">
        <v>1209</v>
      </c>
      <c r="B1190" s="16">
        <v>13500000</v>
      </c>
    </row>
    <row r="1191" spans="1:2" x14ac:dyDescent="0.3">
      <c r="A1191" s="1" t="s">
        <v>1210</v>
      </c>
      <c r="B1191" s="16">
        <v>9300000</v>
      </c>
    </row>
    <row r="1192" spans="1:2" x14ac:dyDescent="0.3">
      <c r="A1192" s="1" t="s">
        <v>1208</v>
      </c>
      <c r="B1192" s="16">
        <v>19000000</v>
      </c>
    </row>
    <row r="1193" spans="1:2" x14ac:dyDescent="0.3">
      <c r="A1193" s="1" t="s">
        <v>1207</v>
      </c>
      <c r="B1193" s="16">
        <v>22800000</v>
      </c>
    </row>
    <row r="1194" spans="1:2" x14ac:dyDescent="0.3">
      <c r="A1194" s="1" t="s">
        <v>1206</v>
      </c>
      <c r="B1194" s="16">
        <v>9600000</v>
      </c>
    </row>
    <row r="1195" spans="1:2" x14ac:dyDescent="0.3">
      <c r="A1195" s="1" t="s">
        <v>1205</v>
      </c>
      <c r="B1195" s="16">
        <v>29000000</v>
      </c>
    </row>
    <row r="1196" spans="1:2" x14ac:dyDescent="0.3">
      <c r="A1196" s="1" t="s">
        <v>1204</v>
      </c>
      <c r="B1196" s="16">
        <v>5700000</v>
      </c>
    </row>
    <row r="1197" spans="1:2" x14ac:dyDescent="0.3">
      <c r="A1197" s="1" t="s">
        <v>1035</v>
      </c>
      <c r="B1197" s="16">
        <v>16500000</v>
      </c>
    </row>
    <row r="1198" spans="1:2" x14ac:dyDescent="0.3">
      <c r="A1198" s="1" t="s">
        <v>1203</v>
      </c>
      <c r="B1198" s="16">
        <v>7800000</v>
      </c>
    </row>
    <row r="1199" spans="1:2" x14ac:dyDescent="0.3">
      <c r="A1199" s="1" t="s">
        <v>1202</v>
      </c>
      <c r="B1199" s="16">
        <v>49000000</v>
      </c>
    </row>
    <row r="1200" spans="1:2" x14ac:dyDescent="0.3">
      <c r="A1200" s="1" t="s">
        <v>1201</v>
      </c>
      <c r="B1200" s="16">
        <v>18200000</v>
      </c>
    </row>
    <row r="1201" spans="1:2" x14ac:dyDescent="0.3">
      <c r="A1201" s="1" t="s">
        <v>1200</v>
      </c>
      <c r="B1201" s="16">
        <v>16000000</v>
      </c>
    </row>
    <row r="1202" spans="1:2" x14ac:dyDescent="0.3">
      <c r="A1202" s="1" t="s">
        <v>1199</v>
      </c>
      <c r="B1202" s="16">
        <v>11750000</v>
      </c>
    </row>
    <row r="1203" spans="1:2" x14ac:dyDescent="0.3">
      <c r="A1203" s="1" t="s">
        <v>1198</v>
      </c>
      <c r="B1203" s="16">
        <v>7000000</v>
      </c>
    </row>
    <row r="1204" spans="1:2" x14ac:dyDescent="0.3">
      <c r="A1204" s="1" t="s">
        <v>1197</v>
      </c>
      <c r="B1204" s="16">
        <v>11500000</v>
      </c>
    </row>
    <row r="1205" spans="1:2" x14ac:dyDescent="0.3">
      <c r="A1205" s="1" t="s">
        <v>1196</v>
      </c>
      <c r="B1205" s="16">
        <v>10500000</v>
      </c>
    </row>
    <row r="1206" spans="1:2" x14ac:dyDescent="0.3">
      <c r="A1206" s="1" t="s">
        <v>1195</v>
      </c>
      <c r="B1206" s="16">
        <v>5000000</v>
      </c>
    </row>
    <row r="1207" spans="1:2" x14ac:dyDescent="0.3">
      <c r="A1207" s="1" t="s">
        <v>1194</v>
      </c>
      <c r="B1207" s="16">
        <v>9800000</v>
      </c>
    </row>
    <row r="1208" spans="1:2" x14ac:dyDescent="0.3">
      <c r="A1208" s="1" t="s">
        <v>1193</v>
      </c>
      <c r="B1208" s="16">
        <v>12800000</v>
      </c>
    </row>
    <row r="1209" spans="1:2" x14ac:dyDescent="0.3">
      <c r="A1209" s="1" t="s">
        <v>1192</v>
      </c>
      <c r="B1209" s="16">
        <v>19500000</v>
      </c>
    </row>
    <row r="1210" spans="1:2" x14ac:dyDescent="0.3">
      <c r="A1210" s="1" t="s">
        <v>1191</v>
      </c>
      <c r="B1210" s="16">
        <v>21000000</v>
      </c>
    </row>
    <row r="1211" spans="1:2" x14ac:dyDescent="0.3">
      <c r="A1211" s="1" t="s">
        <v>1190</v>
      </c>
      <c r="B1211" s="16">
        <v>7600000</v>
      </c>
    </row>
    <row r="1212" spans="1:2" x14ac:dyDescent="0.3">
      <c r="A1212" s="1" t="s">
        <v>1189</v>
      </c>
      <c r="B1212" s="16">
        <v>20300000</v>
      </c>
    </row>
    <row r="1213" spans="1:2" x14ac:dyDescent="0.3">
      <c r="A1213" s="1" t="s">
        <v>1188</v>
      </c>
      <c r="B1213" s="16">
        <v>13500000</v>
      </c>
    </row>
    <row r="1214" spans="1:2" x14ac:dyDescent="0.3">
      <c r="A1214" s="1" t="s">
        <v>1186</v>
      </c>
      <c r="B1214" s="16">
        <v>11500000</v>
      </c>
    </row>
    <row r="1215" spans="1:2" x14ac:dyDescent="0.3">
      <c r="A1215" s="1" t="s">
        <v>1187</v>
      </c>
      <c r="B1215" s="16">
        <v>8100000</v>
      </c>
    </row>
    <row r="1216" spans="1:2" x14ac:dyDescent="0.3">
      <c r="A1216" s="1" t="s">
        <v>1185</v>
      </c>
      <c r="B1216" s="16">
        <v>6300000</v>
      </c>
    </row>
    <row r="1217" spans="1:2" x14ac:dyDescent="0.3">
      <c r="A1217" s="1" t="s">
        <v>1184</v>
      </c>
      <c r="B1217" s="16">
        <v>6500000</v>
      </c>
    </row>
    <row r="1218" spans="1:2" x14ac:dyDescent="0.3">
      <c r="A1218" s="1" t="s">
        <v>1183</v>
      </c>
      <c r="B1218" s="16">
        <v>5600000</v>
      </c>
    </row>
    <row r="1219" spans="1:2" x14ac:dyDescent="0.3">
      <c r="A1219" s="1" t="s">
        <v>1182</v>
      </c>
      <c r="B1219" s="16">
        <v>7500000</v>
      </c>
    </row>
    <row r="1220" spans="1:2" x14ac:dyDescent="0.3">
      <c r="A1220" s="1" t="s">
        <v>1181</v>
      </c>
      <c r="B1220" s="16">
        <v>9000000</v>
      </c>
    </row>
    <row r="1221" spans="1:2" x14ac:dyDescent="0.3">
      <c r="A1221" s="1" t="s">
        <v>1180</v>
      </c>
      <c r="B1221" s="16">
        <v>7900000</v>
      </c>
    </row>
    <row r="1222" spans="1:2" x14ac:dyDescent="0.3">
      <c r="A1222" s="1" t="s">
        <v>1179</v>
      </c>
      <c r="B1222" s="16">
        <v>6600000</v>
      </c>
    </row>
    <row r="1223" spans="1:2" x14ac:dyDescent="0.3">
      <c r="A1223" s="1" t="s">
        <v>1178</v>
      </c>
      <c r="B1223" s="16">
        <v>5300000</v>
      </c>
    </row>
    <row r="1224" spans="1:2" x14ac:dyDescent="0.3">
      <c r="A1224" s="1" t="s">
        <v>1177</v>
      </c>
      <c r="B1224" s="16">
        <v>10000000</v>
      </c>
    </row>
    <row r="1225" spans="1:2" x14ac:dyDescent="0.3">
      <c r="A1225" s="1" t="s">
        <v>69</v>
      </c>
      <c r="B1225" s="16">
        <v>14190000</v>
      </c>
    </row>
    <row r="1226" spans="1:2" x14ac:dyDescent="0.3">
      <c r="A1226" s="1" t="s">
        <v>1176</v>
      </c>
      <c r="B1226" s="16">
        <v>14200000</v>
      </c>
    </row>
    <row r="1227" spans="1:2" x14ac:dyDescent="0.3">
      <c r="A1227" s="1" t="s">
        <v>1175</v>
      </c>
      <c r="B1227" s="16">
        <v>9000000</v>
      </c>
    </row>
    <row r="1228" spans="1:2" x14ac:dyDescent="0.3">
      <c r="A1228" s="1" t="s">
        <v>1174</v>
      </c>
      <c r="B1228" s="16">
        <v>11800000</v>
      </c>
    </row>
    <row r="1229" spans="1:2" x14ac:dyDescent="0.3">
      <c r="A1229" s="1" t="s">
        <v>1173</v>
      </c>
      <c r="B1229" s="16">
        <v>5400000</v>
      </c>
    </row>
    <row r="1230" spans="1:2" x14ac:dyDescent="0.3">
      <c r="A1230" s="1" t="s">
        <v>1172</v>
      </c>
      <c r="B1230" s="16">
        <v>31500000</v>
      </c>
    </row>
    <row r="1231" spans="1:2" x14ac:dyDescent="0.3">
      <c r="A1231" s="1" t="s">
        <v>1171</v>
      </c>
      <c r="B1231" s="16">
        <v>10900000</v>
      </c>
    </row>
    <row r="1232" spans="1:2" x14ac:dyDescent="0.3">
      <c r="A1232" s="1" t="s">
        <v>1170</v>
      </c>
      <c r="B1232" s="16">
        <v>10200000</v>
      </c>
    </row>
    <row r="1233" spans="1:2" x14ac:dyDescent="0.3">
      <c r="A1233" s="1" t="s">
        <v>1169</v>
      </c>
      <c r="B1233" s="16">
        <v>16500000</v>
      </c>
    </row>
    <row r="1234" spans="1:2" x14ac:dyDescent="0.3">
      <c r="A1234" s="1" t="s">
        <v>1168</v>
      </c>
      <c r="B1234" s="16">
        <v>11500000</v>
      </c>
    </row>
    <row r="1235" spans="1:2" x14ac:dyDescent="0.3">
      <c r="A1235" s="1" t="s">
        <v>1167</v>
      </c>
      <c r="B1235" s="16">
        <v>18730000</v>
      </c>
    </row>
    <row r="1236" spans="1:2" x14ac:dyDescent="0.3">
      <c r="A1236" s="1" t="s">
        <v>1166</v>
      </c>
      <c r="B1236" s="16">
        <v>6000000</v>
      </c>
    </row>
    <row r="1237" spans="1:2" x14ac:dyDescent="0.3">
      <c r="A1237" s="1" t="s">
        <v>1165</v>
      </c>
      <c r="B1237" s="16">
        <v>19850000</v>
      </c>
    </row>
    <row r="1238" spans="1:2" x14ac:dyDescent="0.3">
      <c r="A1238" s="1" t="s">
        <v>1164</v>
      </c>
      <c r="B1238" s="16">
        <v>18200000</v>
      </c>
    </row>
    <row r="1239" spans="1:2" x14ac:dyDescent="0.3">
      <c r="A1239" s="1" t="s">
        <v>1163</v>
      </c>
      <c r="B1239" s="16">
        <v>16200000</v>
      </c>
    </row>
    <row r="1240" spans="1:2" x14ac:dyDescent="0.3">
      <c r="A1240" s="1" t="s">
        <v>1162</v>
      </c>
      <c r="B1240" s="16">
        <v>8000000</v>
      </c>
    </row>
    <row r="1241" spans="1:2" x14ac:dyDescent="0.3">
      <c r="A1241" s="1" t="s">
        <v>1091</v>
      </c>
      <c r="B1241" s="16">
        <v>32000000</v>
      </c>
    </row>
    <row r="1242" spans="1:2" x14ac:dyDescent="0.3">
      <c r="A1242" s="1" t="s">
        <v>1161</v>
      </c>
      <c r="B1242" s="16">
        <v>13000000</v>
      </c>
    </row>
    <row r="1243" spans="1:2" x14ac:dyDescent="0.3">
      <c r="A1243" s="1" t="s">
        <v>1160</v>
      </c>
      <c r="B1243" s="16">
        <v>5000000</v>
      </c>
    </row>
    <row r="1244" spans="1:2" x14ac:dyDescent="0.3">
      <c r="A1244" s="1" t="s">
        <v>1159</v>
      </c>
      <c r="B1244" s="16">
        <v>9700000</v>
      </c>
    </row>
    <row r="1245" spans="1:2" x14ac:dyDescent="0.3">
      <c r="A1245" s="1" t="s">
        <v>1158</v>
      </c>
      <c r="B1245" s="16">
        <v>11500000</v>
      </c>
    </row>
    <row r="1246" spans="1:2" x14ac:dyDescent="0.3">
      <c r="A1246" s="1" t="s">
        <v>1157</v>
      </c>
      <c r="B1246" s="16">
        <v>9300000</v>
      </c>
    </row>
    <row r="1247" spans="1:2" x14ac:dyDescent="0.3">
      <c r="A1247" s="1" t="s">
        <v>1156</v>
      </c>
      <c r="B1247" s="16">
        <v>5700000</v>
      </c>
    </row>
    <row r="1248" spans="1:2" x14ac:dyDescent="0.3">
      <c r="A1248" s="1" t="s">
        <v>1155</v>
      </c>
      <c r="B1248" s="16">
        <v>30000000</v>
      </c>
    </row>
    <row r="1249" spans="1:2" x14ac:dyDescent="0.3">
      <c r="A1249" s="1" t="s">
        <v>1154</v>
      </c>
      <c r="B1249" s="16">
        <v>15200000</v>
      </c>
    </row>
    <row r="1250" spans="1:2" x14ac:dyDescent="0.3">
      <c r="A1250" s="1" t="s">
        <v>1153</v>
      </c>
      <c r="B1250" s="16">
        <v>21000000</v>
      </c>
    </row>
    <row r="1251" spans="1:2" x14ac:dyDescent="0.3">
      <c r="A1251" s="1" t="s">
        <v>1152</v>
      </c>
      <c r="B1251" s="16">
        <v>5000000</v>
      </c>
    </row>
    <row r="1252" spans="1:2" x14ac:dyDescent="0.3">
      <c r="A1252" s="1" t="s">
        <v>1151</v>
      </c>
      <c r="B1252" s="16">
        <v>29000000</v>
      </c>
    </row>
    <row r="1253" spans="1:2" x14ac:dyDescent="0.3">
      <c r="A1253" s="1" t="s">
        <v>906</v>
      </c>
      <c r="B1253" s="16">
        <v>33000000</v>
      </c>
    </row>
    <row r="1254" spans="1:2" x14ac:dyDescent="0.3">
      <c r="A1254" s="1" t="s">
        <v>1150</v>
      </c>
      <c r="B1254" s="16">
        <v>15000000</v>
      </c>
    </row>
    <row r="1255" spans="1:2" x14ac:dyDescent="0.3">
      <c r="A1255" s="1" t="s">
        <v>1149</v>
      </c>
      <c r="B1255" s="16">
        <v>5850000</v>
      </c>
    </row>
    <row r="1256" spans="1:2" x14ac:dyDescent="0.3">
      <c r="A1256" s="1" t="s">
        <v>1148</v>
      </c>
      <c r="B1256" s="16">
        <v>9000000</v>
      </c>
    </row>
    <row r="1257" spans="1:2" x14ac:dyDescent="0.3">
      <c r="A1257" s="1" t="s">
        <v>1147</v>
      </c>
      <c r="B1257" s="16">
        <v>13800000</v>
      </c>
    </row>
    <row r="1258" spans="1:2" x14ac:dyDescent="0.3">
      <c r="A1258" s="1" t="s">
        <v>1146</v>
      </c>
      <c r="B1258" s="16">
        <v>12200000</v>
      </c>
    </row>
    <row r="1259" spans="1:2" x14ac:dyDescent="0.3">
      <c r="A1259" s="1" t="s">
        <v>1145</v>
      </c>
      <c r="B1259" s="16">
        <v>7000000</v>
      </c>
    </row>
    <row r="1260" spans="1:2" x14ac:dyDescent="0.3">
      <c r="A1260" s="1" t="s">
        <v>1144</v>
      </c>
      <c r="B1260" s="16">
        <v>25800000</v>
      </c>
    </row>
    <row r="1261" spans="1:2" x14ac:dyDescent="0.3">
      <c r="A1261" s="1" t="s">
        <v>1143</v>
      </c>
      <c r="B1261" s="16">
        <v>14300000</v>
      </c>
    </row>
    <row r="1262" spans="1:2" x14ac:dyDescent="0.3">
      <c r="A1262" s="1" t="s">
        <v>1142</v>
      </c>
      <c r="B1262" s="16">
        <v>7700000</v>
      </c>
    </row>
    <row r="1263" spans="1:2" x14ac:dyDescent="0.3">
      <c r="A1263" s="1" t="s">
        <v>1141</v>
      </c>
      <c r="B1263" s="16">
        <v>15000000</v>
      </c>
    </row>
    <row r="1264" spans="1:2" x14ac:dyDescent="0.3">
      <c r="A1264" s="1" t="s">
        <v>1140</v>
      </c>
      <c r="B1264" s="16">
        <v>7520000</v>
      </c>
    </row>
    <row r="1265" spans="1:2" x14ac:dyDescent="0.3">
      <c r="A1265" s="1" t="s">
        <v>1139</v>
      </c>
      <c r="B1265" s="16">
        <v>21800000</v>
      </c>
    </row>
    <row r="1266" spans="1:2" x14ac:dyDescent="0.3">
      <c r="A1266" s="1" t="s">
        <v>1138</v>
      </c>
      <c r="B1266" s="16">
        <v>11500000</v>
      </c>
    </row>
    <row r="1267" spans="1:2" x14ac:dyDescent="0.3">
      <c r="A1267" s="1" t="s">
        <v>656</v>
      </c>
      <c r="B1267" s="16">
        <v>9500000</v>
      </c>
    </row>
    <row r="1268" spans="1:2" x14ac:dyDescent="0.3">
      <c r="A1268" s="1" t="s">
        <v>1137</v>
      </c>
      <c r="B1268" s="16">
        <v>11500000</v>
      </c>
    </row>
    <row r="1269" spans="1:2" x14ac:dyDescent="0.3">
      <c r="A1269" s="1" t="s">
        <v>1136</v>
      </c>
      <c r="B1269" s="16">
        <v>10150000</v>
      </c>
    </row>
    <row r="1270" spans="1:2" x14ac:dyDescent="0.3">
      <c r="A1270" s="1" t="s">
        <v>1134</v>
      </c>
      <c r="B1270" s="16">
        <v>11000000</v>
      </c>
    </row>
    <row r="1271" spans="1:2" x14ac:dyDescent="0.3">
      <c r="A1271" s="1" t="s">
        <v>1135</v>
      </c>
      <c r="B1271" s="16">
        <v>29000000</v>
      </c>
    </row>
    <row r="1272" spans="1:2" x14ac:dyDescent="0.3">
      <c r="A1272" s="1" t="s">
        <v>1133</v>
      </c>
      <c r="B1272" s="16">
        <v>23200000</v>
      </c>
    </row>
    <row r="1273" spans="1:2" x14ac:dyDescent="0.3">
      <c r="A1273" s="1" t="s">
        <v>1132</v>
      </c>
      <c r="B1273" s="16">
        <v>6300000</v>
      </c>
    </row>
    <row r="1274" spans="1:2" x14ac:dyDescent="0.3">
      <c r="A1274" s="1" t="s">
        <v>1131</v>
      </c>
      <c r="B1274" s="16">
        <v>6700000</v>
      </c>
    </row>
    <row r="1275" spans="1:2" x14ac:dyDescent="0.3">
      <c r="A1275" s="1" t="s">
        <v>1130</v>
      </c>
      <c r="B1275" s="16">
        <v>12500000</v>
      </c>
    </row>
    <row r="1276" spans="1:2" x14ac:dyDescent="0.3">
      <c r="A1276" s="1" t="s">
        <v>1129</v>
      </c>
      <c r="B1276" s="16">
        <v>9400000</v>
      </c>
    </row>
    <row r="1277" spans="1:2" x14ac:dyDescent="0.3">
      <c r="A1277" s="1" t="s">
        <v>1128</v>
      </c>
      <c r="B1277" s="16">
        <v>23500000</v>
      </c>
    </row>
    <row r="1278" spans="1:2" x14ac:dyDescent="0.3">
      <c r="A1278" s="1" t="s">
        <v>1127</v>
      </c>
      <c r="B1278" s="16">
        <v>10000000</v>
      </c>
    </row>
    <row r="1279" spans="1:2" x14ac:dyDescent="0.3">
      <c r="A1279" s="1" t="s">
        <v>1126</v>
      </c>
      <c r="B1279" s="16">
        <v>15500000</v>
      </c>
    </row>
    <row r="1280" spans="1:2" x14ac:dyDescent="0.3">
      <c r="A1280" s="1" t="s">
        <v>1125</v>
      </c>
      <c r="B1280" s="16">
        <v>10000000</v>
      </c>
    </row>
    <row r="1281" spans="1:2" x14ac:dyDescent="0.3">
      <c r="A1281" s="1" t="s">
        <v>1124</v>
      </c>
      <c r="B1281" s="16">
        <v>10800000</v>
      </c>
    </row>
    <row r="1282" spans="1:2" x14ac:dyDescent="0.3">
      <c r="A1282" s="1" t="s">
        <v>133</v>
      </c>
      <c r="B1282" s="16">
        <v>44000000</v>
      </c>
    </row>
    <row r="1283" spans="1:2" x14ac:dyDescent="0.3">
      <c r="A1283" s="1" t="s">
        <v>1044</v>
      </c>
      <c r="B1283" s="16">
        <v>12000000</v>
      </c>
    </row>
    <row r="1284" spans="1:2" x14ac:dyDescent="0.3">
      <c r="A1284" s="1" t="s">
        <v>1123</v>
      </c>
      <c r="B1284" s="16">
        <v>10000000</v>
      </c>
    </row>
    <row r="1285" spans="1:2" x14ac:dyDescent="0.3">
      <c r="A1285" s="1" t="s">
        <v>1122</v>
      </c>
      <c r="B1285" s="16">
        <v>3000000</v>
      </c>
    </row>
    <row r="1286" spans="1:2" x14ac:dyDescent="0.3">
      <c r="A1286" s="1" t="s">
        <v>1121</v>
      </c>
      <c r="B1286" s="16">
        <v>6000000</v>
      </c>
    </row>
    <row r="1287" spans="1:2" x14ac:dyDescent="0.3">
      <c r="A1287" s="1" t="s">
        <v>1120</v>
      </c>
      <c r="B1287" s="16">
        <v>6500000</v>
      </c>
    </row>
    <row r="1288" spans="1:2" x14ac:dyDescent="0.3">
      <c r="A1288" s="1" t="s">
        <v>1119</v>
      </c>
      <c r="B1288" s="16">
        <v>12000000</v>
      </c>
    </row>
    <row r="1289" spans="1:2" x14ac:dyDescent="0.3">
      <c r="A1289" s="1" t="s">
        <v>1118</v>
      </c>
      <c r="B1289" s="16">
        <v>6400000</v>
      </c>
    </row>
    <row r="1290" spans="1:2" x14ac:dyDescent="0.3">
      <c r="A1290" s="1" t="s">
        <v>1117</v>
      </c>
      <c r="B1290" s="16">
        <v>10000000</v>
      </c>
    </row>
    <row r="1291" spans="1:2" x14ac:dyDescent="0.3">
      <c r="A1291" s="1" t="s">
        <v>214</v>
      </c>
      <c r="B1291" s="16">
        <v>4850000</v>
      </c>
    </row>
    <row r="1292" spans="1:2" x14ac:dyDescent="0.3">
      <c r="A1292" s="1" t="s">
        <v>1115</v>
      </c>
      <c r="B1292" s="16">
        <v>7000000</v>
      </c>
    </row>
    <row r="1293" spans="1:2" x14ac:dyDescent="0.3">
      <c r="A1293" s="1" t="s">
        <v>1116</v>
      </c>
      <c r="B1293" s="16">
        <v>7200000</v>
      </c>
    </row>
    <row r="1294" spans="1:2" x14ac:dyDescent="0.3">
      <c r="A1294" s="1" t="s">
        <v>1114</v>
      </c>
      <c r="B1294" s="16">
        <v>10000000</v>
      </c>
    </row>
    <row r="1295" spans="1:2" x14ac:dyDescent="0.3">
      <c r="A1295" s="1" t="s">
        <v>1113</v>
      </c>
      <c r="B1295" s="16">
        <v>6000000</v>
      </c>
    </row>
    <row r="1296" spans="1:2" x14ac:dyDescent="0.3">
      <c r="A1296" s="1" t="s">
        <v>1112</v>
      </c>
      <c r="B1296" s="16">
        <v>13500000</v>
      </c>
    </row>
    <row r="1297" spans="1:2" x14ac:dyDescent="0.3">
      <c r="A1297" s="1" t="s">
        <v>1110</v>
      </c>
      <c r="B1297" s="16">
        <v>5700000</v>
      </c>
    </row>
    <row r="1298" spans="1:2" x14ac:dyDescent="0.3">
      <c r="A1298" s="1" t="s">
        <v>1111</v>
      </c>
      <c r="B1298" s="16">
        <v>12100000</v>
      </c>
    </row>
    <row r="1299" spans="1:2" x14ac:dyDescent="0.3">
      <c r="A1299" s="1" t="s">
        <v>74</v>
      </c>
      <c r="B1299" s="16">
        <v>8700000</v>
      </c>
    </row>
    <row r="1300" spans="1:2" x14ac:dyDescent="0.3">
      <c r="A1300" s="1" t="s">
        <v>1109</v>
      </c>
      <c r="B1300" s="16">
        <v>9000000</v>
      </c>
    </row>
    <row r="1301" spans="1:2" x14ac:dyDescent="0.3">
      <c r="A1301" s="1" t="s">
        <v>1107</v>
      </c>
      <c r="B1301" s="16">
        <v>16000000</v>
      </c>
    </row>
    <row r="1302" spans="1:2" x14ac:dyDescent="0.3">
      <c r="A1302" s="1" t="s">
        <v>1108</v>
      </c>
      <c r="B1302" s="16">
        <v>5200000</v>
      </c>
    </row>
    <row r="1303" spans="1:2" x14ac:dyDescent="0.3">
      <c r="A1303" s="1" t="s">
        <v>1106</v>
      </c>
      <c r="B1303" s="16">
        <v>32000000</v>
      </c>
    </row>
    <row r="1304" spans="1:2" x14ac:dyDescent="0.3">
      <c r="A1304" s="1" t="s">
        <v>1105</v>
      </c>
      <c r="B1304" s="16">
        <v>10489616</v>
      </c>
    </row>
    <row r="1305" spans="1:2" x14ac:dyDescent="0.3">
      <c r="A1305" s="1" t="s">
        <v>1104</v>
      </c>
      <c r="B1305" s="16">
        <v>10350000</v>
      </c>
    </row>
    <row r="1306" spans="1:2" x14ac:dyDescent="0.3">
      <c r="A1306" s="1" t="s">
        <v>1103</v>
      </c>
      <c r="B1306" s="16">
        <v>5500000</v>
      </c>
    </row>
    <row r="1307" spans="1:2" x14ac:dyDescent="0.3">
      <c r="A1307" s="1" t="s">
        <v>1102</v>
      </c>
      <c r="B1307" s="16">
        <v>10000000</v>
      </c>
    </row>
    <row r="1308" spans="1:2" x14ac:dyDescent="0.3">
      <c r="A1308" s="1" t="s">
        <v>1101</v>
      </c>
      <c r="B1308" s="16">
        <v>9700000</v>
      </c>
    </row>
    <row r="1309" spans="1:2" x14ac:dyDescent="0.3">
      <c r="A1309" s="1" t="s">
        <v>1100</v>
      </c>
      <c r="B1309" s="16">
        <v>8900000</v>
      </c>
    </row>
    <row r="1310" spans="1:2" x14ac:dyDescent="0.3">
      <c r="A1310" s="1" t="s">
        <v>1099</v>
      </c>
      <c r="B1310" s="16">
        <v>47000000</v>
      </c>
    </row>
    <row r="1311" spans="1:2" x14ac:dyDescent="0.3">
      <c r="A1311" s="1" t="s">
        <v>1098</v>
      </c>
      <c r="B1311" s="16">
        <v>4700000</v>
      </c>
    </row>
    <row r="1312" spans="1:2" x14ac:dyDescent="0.3">
      <c r="A1312" s="1" t="s">
        <v>1097</v>
      </c>
      <c r="B1312" s="16">
        <v>12500000</v>
      </c>
    </row>
    <row r="1313" spans="1:2" x14ac:dyDescent="0.3">
      <c r="A1313" s="1" t="s">
        <v>1096</v>
      </c>
      <c r="B1313" s="16">
        <v>10000000</v>
      </c>
    </row>
    <row r="1314" spans="1:2" x14ac:dyDescent="0.3">
      <c r="A1314" s="1" t="s">
        <v>1095</v>
      </c>
      <c r="B1314" s="16">
        <v>24500000</v>
      </c>
    </row>
    <row r="1315" spans="1:2" x14ac:dyDescent="0.3">
      <c r="A1315" s="1" t="s">
        <v>1094</v>
      </c>
      <c r="B1315" s="16">
        <v>27000000</v>
      </c>
    </row>
    <row r="1316" spans="1:2" x14ac:dyDescent="0.3">
      <c r="A1316" s="1" t="s">
        <v>1093</v>
      </c>
      <c r="B1316" s="16">
        <v>7000000</v>
      </c>
    </row>
    <row r="1317" spans="1:2" x14ac:dyDescent="0.3">
      <c r="A1317" s="1" t="s">
        <v>1092</v>
      </c>
      <c r="B1317" s="16">
        <v>13300000</v>
      </c>
    </row>
    <row r="1318" spans="1:2" x14ac:dyDescent="0.3">
      <c r="A1318" s="1" t="s">
        <v>1091</v>
      </c>
      <c r="B1318" s="16">
        <v>32000000</v>
      </c>
    </row>
    <row r="1319" spans="1:2" x14ac:dyDescent="0.3">
      <c r="A1319" s="1" t="s">
        <v>1090</v>
      </c>
      <c r="B1319" s="16">
        <v>9000000</v>
      </c>
    </row>
    <row r="1320" spans="1:2" x14ac:dyDescent="0.3">
      <c r="A1320" s="1" t="s">
        <v>1089</v>
      </c>
      <c r="B1320" s="16">
        <v>13500000</v>
      </c>
    </row>
    <row r="1321" spans="1:2" x14ac:dyDescent="0.3">
      <c r="A1321" s="1" t="s">
        <v>1088</v>
      </c>
      <c r="B1321" s="16">
        <v>4700000</v>
      </c>
    </row>
    <row r="1322" spans="1:2" x14ac:dyDescent="0.3">
      <c r="A1322" s="1" t="s">
        <v>1087</v>
      </c>
      <c r="B1322" s="16">
        <v>9346000</v>
      </c>
    </row>
    <row r="1323" spans="1:2" x14ac:dyDescent="0.3">
      <c r="A1323" s="1" t="s">
        <v>1086</v>
      </c>
      <c r="B1323" s="16">
        <v>12500000</v>
      </c>
    </row>
    <row r="1324" spans="1:2" x14ac:dyDescent="0.3">
      <c r="A1324" s="1" t="s">
        <v>1085</v>
      </c>
      <c r="B1324" s="16">
        <v>15500000</v>
      </c>
    </row>
    <row r="1325" spans="1:2" x14ac:dyDescent="0.3">
      <c r="A1325" s="1" t="s">
        <v>1084</v>
      </c>
      <c r="B1325" s="16">
        <v>5350000</v>
      </c>
    </row>
    <row r="1326" spans="1:2" x14ac:dyDescent="0.3">
      <c r="A1326" s="1" t="s">
        <v>1083</v>
      </c>
      <c r="B1326" s="16">
        <v>30000000</v>
      </c>
    </row>
    <row r="1327" spans="1:2" x14ac:dyDescent="0.3">
      <c r="A1327" s="1" t="s">
        <v>1082</v>
      </c>
      <c r="B1327" s="16">
        <v>7800000</v>
      </c>
    </row>
    <row r="1328" spans="1:2" x14ac:dyDescent="0.3">
      <c r="A1328" s="1" t="s">
        <v>1081</v>
      </c>
      <c r="B1328" s="16">
        <v>25000000</v>
      </c>
    </row>
    <row r="1329" spans="1:2" x14ac:dyDescent="0.3">
      <c r="A1329" s="1" t="s">
        <v>1080</v>
      </c>
      <c r="B1329" s="16">
        <v>8000000</v>
      </c>
    </row>
    <row r="1330" spans="1:2" x14ac:dyDescent="0.3">
      <c r="A1330" s="1" t="s">
        <v>1079</v>
      </c>
      <c r="B1330" s="16">
        <v>5800000</v>
      </c>
    </row>
    <row r="1331" spans="1:2" x14ac:dyDescent="0.3">
      <c r="A1331" s="1" t="s">
        <v>1078</v>
      </c>
      <c r="B1331" s="16">
        <v>6800000</v>
      </c>
    </row>
    <row r="1332" spans="1:2" x14ac:dyDescent="0.3">
      <c r="A1332" s="1" t="s">
        <v>1077</v>
      </c>
      <c r="B1332" s="16">
        <v>12500000</v>
      </c>
    </row>
    <row r="1333" spans="1:2" x14ac:dyDescent="0.3">
      <c r="A1333" s="1" t="s">
        <v>1076</v>
      </c>
      <c r="B1333" s="16">
        <v>14500000</v>
      </c>
    </row>
    <row r="1334" spans="1:2" x14ac:dyDescent="0.3">
      <c r="A1334" s="1" t="s">
        <v>1075</v>
      </c>
      <c r="B1334" s="16">
        <v>13500000</v>
      </c>
    </row>
    <row r="1335" spans="1:2" x14ac:dyDescent="0.3">
      <c r="A1335" s="1" t="s">
        <v>1074</v>
      </c>
      <c r="B1335" s="16">
        <v>11500000</v>
      </c>
    </row>
    <row r="1336" spans="1:2" x14ac:dyDescent="0.3">
      <c r="A1336" s="1" t="s">
        <v>1073</v>
      </c>
      <c r="B1336" s="16">
        <v>11200000</v>
      </c>
    </row>
    <row r="1337" spans="1:2" x14ac:dyDescent="0.3">
      <c r="A1337" s="1" t="s">
        <v>1072</v>
      </c>
      <c r="B1337" s="16">
        <v>5500000</v>
      </c>
    </row>
    <row r="1338" spans="1:2" x14ac:dyDescent="0.3">
      <c r="A1338" s="1" t="s">
        <v>1071</v>
      </c>
      <c r="B1338" s="16">
        <v>12500000</v>
      </c>
    </row>
    <row r="1339" spans="1:2" x14ac:dyDescent="0.3">
      <c r="A1339" s="1" t="s">
        <v>1070</v>
      </c>
      <c r="B1339" s="16">
        <v>10700000</v>
      </c>
    </row>
    <row r="1340" spans="1:2" x14ac:dyDescent="0.3">
      <c r="A1340" s="1" t="s">
        <v>1069</v>
      </c>
      <c r="B1340" s="16">
        <v>12600000</v>
      </c>
    </row>
    <row r="1341" spans="1:2" x14ac:dyDescent="0.3">
      <c r="A1341" s="1" t="s">
        <v>1068</v>
      </c>
      <c r="B1341" s="16">
        <v>21100000</v>
      </c>
    </row>
    <row r="1342" spans="1:2" x14ac:dyDescent="0.3">
      <c r="A1342" s="1" t="s">
        <v>1067</v>
      </c>
      <c r="B1342" s="16">
        <v>7100000</v>
      </c>
    </row>
    <row r="1343" spans="1:2" x14ac:dyDescent="0.3">
      <c r="A1343" s="1" t="s">
        <v>1066</v>
      </c>
      <c r="B1343" s="16">
        <v>30000000</v>
      </c>
    </row>
    <row r="1344" spans="1:2" x14ac:dyDescent="0.3">
      <c r="A1344" s="1" t="s">
        <v>1065</v>
      </c>
      <c r="B1344" s="16">
        <v>5250000</v>
      </c>
    </row>
    <row r="1345" spans="1:2" x14ac:dyDescent="0.3">
      <c r="A1345" s="1" t="s">
        <v>1064</v>
      </c>
      <c r="B1345" s="16">
        <v>37000000</v>
      </c>
    </row>
    <row r="1346" spans="1:2" x14ac:dyDescent="0.3">
      <c r="A1346" s="1" t="s">
        <v>1063</v>
      </c>
      <c r="B1346" s="16">
        <v>16500000</v>
      </c>
    </row>
    <row r="1347" spans="1:2" x14ac:dyDescent="0.3">
      <c r="A1347" s="1" t="s">
        <v>1062</v>
      </c>
      <c r="B1347" s="16">
        <v>10200000</v>
      </c>
    </row>
    <row r="1348" spans="1:2" x14ac:dyDescent="0.3">
      <c r="A1348" s="1" t="s">
        <v>1061</v>
      </c>
      <c r="B1348" s="16">
        <v>10500000</v>
      </c>
    </row>
    <row r="1349" spans="1:2" x14ac:dyDescent="0.3">
      <c r="A1349" s="1" t="s">
        <v>1060</v>
      </c>
      <c r="B1349" s="16">
        <v>11143728</v>
      </c>
    </row>
    <row r="1350" spans="1:2" x14ac:dyDescent="0.3">
      <c r="A1350" s="1" t="s">
        <v>1059</v>
      </c>
      <c r="B1350" s="16">
        <v>10500000</v>
      </c>
    </row>
    <row r="1351" spans="1:2" x14ac:dyDescent="0.3">
      <c r="A1351" s="1" t="s">
        <v>1058</v>
      </c>
      <c r="B1351" s="16">
        <v>24000000</v>
      </c>
    </row>
    <row r="1352" spans="1:2" x14ac:dyDescent="0.3">
      <c r="A1352" s="1" t="s">
        <v>1057</v>
      </c>
      <c r="B1352" s="16">
        <v>13700000</v>
      </c>
    </row>
    <row r="1353" spans="1:2" x14ac:dyDescent="0.3">
      <c r="A1353" s="1" t="s">
        <v>1056</v>
      </c>
      <c r="B1353" s="16">
        <v>29000000</v>
      </c>
    </row>
    <row r="1354" spans="1:2" x14ac:dyDescent="0.3">
      <c r="A1354" s="1" t="s">
        <v>1055</v>
      </c>
      <c r="B1354" s="16">
        <v>37500000</v>
      </c>
    </row>
    <row r="1355" spans="1:2" x14ac:dyDescent="0.3">
      <c r="A1355" s="1" t="s">
        <v>1054</v>
      </c>
      <c r="B1355" s="16">
        <v>11200000</v>
      </c>
    </row>
    <row r="1356" spans="1:2" x14ac:dyDescent="0.3">
      <c r="A1356" s="1" t="s">
        <v>1053</v>
      </c>
      <c r="B1356" s="16">
        <v>10000000</v>
      </c>
    </row>
    <row r="1357" spans="1:2" x14ac:dyDescent="0.3">
      <c r="A1357" s="1" t="s">
        <v>1052</v>
      </c>
      <c r="B1357" s="16">
        <v>5800000</v>
      </c>
    </row>
    <row r="1358" spans="1:2" x14ac:dyDescent="0.3">
      <c r="A1358" s="1" t="s">
        <v>1051</v>
      </c>
      <c r="B1358" s="16">
        <v>4800000</v>
      </c>
    </row>
    <row r="1359" spans="1:2" x14ac:dyDescent="0.3">
      <c r="A1359" s="1" t="s">
        <v>1050</v>
      </c>
      <c r="B1359" s="16">
        <v>29000000</v>
      </c>
    </row>
    <row r="1360" spans="1:2" x14ac:dyDescent="0.3">
      <c r="A1360" s="1" t="s">
        <v>1049</v>
      </c>
      <c r="B1360" s="16">
        <v>10000000</v>
      </c>
    </row>
    <row r="1361" spans="1:2" x14ac:dyDescent="0.3">
      <c r="A1361" s="1" t="s">
        <v>1048</v>
      </c>
      <c r="B1361" s="16">
        <v>10200000</v>
      </c>
    </row>
    <row r="1362" spans="1:2" x14ac:dyDescent="0.3">
      <c r="A1362" s="1" t="s">
        <v>1047</v>
      </c>
      <c r="B1362" s="16">
        <v>15500000</v>
      </c>
    </row>
    <row r="1363" spans="1:2" x14ac:dyDescent="0.3">
      <c r="A1363" s="1" t="s">
        <v>1046</v>
      </c>
      <c r="B1363" s="16">
        <v>17500000</v>
      </c>
    </row>
    <row r="1364" spans="1:2" x14ac:dyDescent="0.3">
      <c r="A1364" s="1" t="s">
        <v>1045</v>
      </c>
      <c r="B1364" s="16">
        <v>26000000</v>
      </c>
    </row>
    <row r="1365" spans="1:2" x14ac:dyDescent="0.3">
      <c r="A1365" s="1" t="s">
        <v>1043</v>
      </c>
      <c r="B1365" s="16">
        <v>8000000</v>
      </c>
    </row>
    <row r="1366" spans="1:2" x14ac:dyDescent="0.3">
      <c r="A1366" s="1" t="s">
        <v>1042</v>
      </c>
      <c r="B1366" s="16">
        <v>15500000</v>
      </c>
    </row>
    <row r="1367" spans="1:2" x14ac:dyDescent="0.3">
      <c r="A1367" s="1" t="s">
        <v>1041</v>
      </c>
      <c r="B1367" s="16">
        <v>12000000</v>
      </c>
    </row>
    <row r="1368" spans="1:2" x14ac:dyDescent="0.3">
      <c r="A1368" s="1" t="s">
        <v>1040</v>
      </c>
      <c r="B1368" s="16">
        <v>10000000</v>
      </c>
    </row>
    <row r="1369" spans="1:2" x14ac:dyDescent="0.3">
      <c r="A1369" s="1" t="s">
        <v>1039</v>
      </c>
      <c r="B1369" s="16">
        <v>13500000</v>
      </c>
    </row>
    <row r="1370" spans="1:2" x14ac:dyDescent="0.3">
      <c r="A1370" s="1" t="s">
        <v>1038</v>
      </c>
      <c r="B1370" s="16">
        <v>8200000</v>
      </c>
    </row>
    <row r="1371" spans="1:2" x14ac:dyDescent="0.3">
      <c r="A1371" s="1" t="s">
        <v>1037</v>
      </c>
      <c r="B1371" s="16">
        <v>6000000</v>
      </c>
    </row>
    <row r="1372" spans="1:2" x14ac:dyDescent="0.3">
      <c r="A1372" s="1" t="s">
        <v>1036</v>
      </c>
      <c r="B1372" s="16">
        <v>9300000</v>
      </c>
    </row>
    <row r="1373" spans="1:2" x14ac:dyDescent="0.3">
      <c r="A1373" s="1" t="s">
        <v>1035</v>
      </c>
      <c r="B1373" s="16">
        <v>17112370</v>
      </c>
    </row>
    <row r="1374" spans="1:2" x14ac:dyDescent="0.3">
      <c r="A1374" s="1" t="s">
        <v>1034</v>
      </c>
      <c r="B1374" s="16">
        <v>57227100</v>
      </c>
    </row>
    <row r="1375" spans="1:2" x14ac:dyDescent="0.3">
      <c r="A1375" s="1" t="s">
        <v>247</v>
      </c>
      <c r="B1375" s="16">
        <v>10300000</v>
      </c>
    </row>
    <row r="1376" spans="1:2" x14ac:dyDescent="0.3">
      <c r="A1376" s="1" t="s">
        <v>1033</v>
      </c>
      <c r="B1376" s="16">
        <v>12100000</v>
      </c>
    </row>
    <row r="1377" spans="1:2" x14ac:dyDescent="0.3">
      <c r="A1377" s="1" t="s">
        <v>1032</v>
      </c>
      <c r="B1377" s="16">
        <v>8350000</v>
      </c>
    </row>
    <row r="1378" spans="1:2" x14ac:dyDescent="0.3">
      <c r="A1378" s="1" t="s">
        <v>1031</v>
      </c>
      <c r="B1378" s="16">
        <v>11300000</v>
      </c>
    </row>
    <row r="1379" spans="1:2" x14ac:dyDescent="0.3">
      <c r="A1379" s="1" t="s">
        <v>1030</v>
      </c>
      <c r="B1379" s="16">
        <v>4200000</v>
      </c>
    </row>
    <row r="1380" spans="1:2" x14ac:dyDescent="0.3">
      <c r="A1380" s="1" t="s">
        <v>1029</v>
      </c>
      <c r="B1380" s="16">
        <v>10600000</v>
      </c>
    </row>
    <row r="1381" spans="1:2" x14ac:dyDescent="0.3">
      <c r="A1381" s="1" t="s">
        <v>1028</v>
      </c>
      <c r="B1381" s="16">
        <v>5700000</v>
      </c>
    </row>
    <row r="1382" spans="1:2" x14ac:dyDescent="0.3">
      <c r="A1382" s="1" t="s">
        <v>1027</v>
      </c>
      <c r="B1382" s="16">
        <v>6300000</v>
      </c>
    </row>
    <row r="1383" spans="1:2" x14ac:dyDescent="0.3">
      <c r="A1383" s="1" t="s">
        <v>1026</v>
      </c>
      <c r="B1383" s="16">
        <v>10600000</v>
      </c>
    </row>
    <row r="1384" spans="1:2" x14ac:dyDescent="0.3">
      <c r="A1384" s="1" t="s">
        <v>1025</v>
      </c>
      <c r="B1384" s="16">
        <v>9300000</v>
      </c>
    </row>
    <row r="1385" spans="1:2" x14ac:dyDescent="0.3">
      <c r="A1385" s="1" t="s">
        <v>1024</v>
      </c>
      <c r="B1385" s="16">
        <v>6000000</v>
      </c>
    </row>
    <row r="1386" spans="1:2" x14ac:dyDescent="0.3">
      <c r="A1386" s="1" t="s">
        <v>1023</v>
      </c>
      <c r="B1386" s="16">
        <v>34850000</v>
      </c>
    </row>
    <row r="1387" spans="1:2" x14ac:dyDescent="0.3">
      <c r="A1387" s="1" t="s">
        <v>1022</v>
      </c>
      <c r="B1387" s="16">
        <v>10300000</v>
      </c>
    </row>
    <row r="1388" spans="1:2" x14ac:dyDescent="0.3">
      <c r="A1388" s="1" t="s">
        <v>1021</v>
      </c>
      <c r="B1388" s="16">
        <v>28990000</v>
      </c>
    </row>
    <row r="1389" spans="1:2" x14ac:dyDescent="0.3">
      <c r="A1389" s="1" t="s">
        <v>1020</v>
      </c>
      <c r="B1389" s="16">
        <v>8500000</v>
      </c>
    </row>
    <row r="1390" spans="1:2" x14ac:dyDescent="0.3">
      <c r="A1390" s="1" t="s">
        <v>1019</v>
      </c>
      <c r="B1390" s="16">
        <v>6160000</v>
      </c>
    </row>
    <row r="1391" spans="1:2" x14ac:dyDescent="0.3">
      <c r="A1391" s="1" t="s">
        <v>1018</v>
      </c>
      <c r="B1391" s="16">
        <v>30000000</v>
      </c>
    </row>
    <row r="1392" spans="1:2" x14ac:dyDescent="0.3">
      <c r="A1392" s="1" t="s">
        <v>1017</v>
      </c>
      <c r="B1392" s="16">
        <v>14000000</v>
      </c>
    </row>
    <row r="1393" spans="1:2" x14ac:dyDescent="0.3">
      <c r="A1393" s="1" t="s">
        <v>1016</v>
      </c>
      <c r="B1393" s="16">
        <v>15000000</v>
      </c>
    </row>
    <row r="1394" spans="1:2" x14ac:dyDescent="0.3">
      <c r="A1394" s="1" t="s">
        <v>1015</v>
      </c>
      <c r="B1394" s="16">
        <v>10250000</v>
      </c>
    </row>
    <row r="1395" spans="1:2" x14ac:dyDescent="0.3">
      <c r="A1395" s="1" t="s">
        <v>1014</v>
      </c>
      <c r="B1395" s="16">
        <v>5000000</v>
      </c>
    </row>
    <row r="1396" spans="1:2" x14ac:dyDescent="0.3">
      <c r="A1396" s="1" t="s">
        <v>1013</v>
      </c>
      <c r="B1396" s="16">
        <v>12800000</v>
      </c>
    </row>
    <row r="1397" spans="1:2" x14ac:dyDescent="0.3">
      <c r="A1397" s="1" t="s">
        <v>1012</v>
      </c>
      <c r="B1397" s="16">
        <v>12000000</v>
      </c>
    </row>
    <row r="1398" spans="1:2" x14ac:dyDescent="0.3">
      <c r="A1398" s="1" t="s">
        <v>1011</v>
      </c>
      <c r="B1398" s="16">
        <v>10800000</v>
      </c>
    </row>
    <row r="1399" spans="1:2" x14ac:dyDescent="0.3">
      <c r="A1399" s="1" t="s">
        <v>1010</v>
      </c>
      <c r="B1399" s="16">
        <v>17000000</v>
      </c>
    </row>
    <row r="1400" spans="1:2" x14ac:dyDescent="0.3">
      <c r="A1400" s="1" t="s">
        <v>1009</v>
      </c>
      <c r="B1400" s="16">
        <v>9000000</v>
      </c>
    </row>
    <row r="1401" spans="1:2" x14ac:dyDescent="0.3">
      <c r="A1401" s="1" t="s">
        <v>1008</v>
      </c>
      <c r="B1401" s="16">
        <v>10000000</v>
      </c>
    </row>
    <row r="1402" spans="1:2" x14ac:dyDescent="0.3">
      <c r="A1402" s="1" t="s">
        <v>1007</v>
      </c>
      <c r="B1402" s="16">
        <v>8000000</v>
      </c>
    </row>
    <row r="1403" spans="1:2" x14ac:dyDescent="0.3">
      <c r="A1403" s="1" t="s">
        <v>1006</v>
      </c>
      <c r="B1403" s="16">
        <v>28650000</v>
      </c>
    </row>
    <row r="1404" spans="1:2" x14ac:dyDescent="0.3">
      <c r="A1404" s="1" t="s">
        <v>1005</v>
      </c>
      <c r="B1404" s="16">
        <v>7000000</v>
      </c>
    </row>
    <row r="1405" spans="1:2" x14ac:dyDescent="0.3">
      <c r="A1405" s="1" t="s">
        <v>1004</v>
      </c>
      <c r="B1405" s="16">
        <v>10800000</v>
      </c>
    </row>
    <row r="1406" spans="1:2" x14ac:dyDescent="0.3">
      <c r="A1406" s="1" t="s">
        <v>1003</v>
      </c>
      <c r="B1406" s="16">
        <v>19400000</v>
      </c>
    </row>
    <row r="1407" spans="1:2" x14ac:dyDescent="0.3">
      <c r="A1407" s="1" t="s">
        <v>1002</v>
      </c>
      <c r="B1407" s="16">
        <v>57000000</v>
      </c>
    </row>
    <row r="1408" spans="1:2" x14ac:dyDescent="0.3">
      <c r="A1408" s="1" t="s">
        <v>1001</v>
      </c>
      <c r="B1408" s="16">
        <v>25000000</v>
      </c>
    </row>
    <row r="1409" spans="1:2" x14ac:dyDescent="0.3">
      <c r="A1409" s="1" t="s">
        <v>999</v>
      </c>
      <c r="B1409" s="16">
        <v>15000000</v>
      </c>
    </row>
    <row r="1410" spans="1:2" x14ac:dyDescent="0.3">
      <c r="A1410" s="1" t="s">
        <v>1000</v>
      </c>
      <c r="B1410" s="16">
        <v>25700000</v>
      </c>
    </row>
    <row r="1411" spans="1:2" x14ac:dyDescent="0.3">
      <c r="A1411" s="1" t="s">
        <v>998</v>
      </c>
      <c r="B1411" s="16">
        <v>3350000</v>
      </c>
    </row>
    <row r="1412" spans="1:2" x14ac:dyDescent="0.3">
      <c r="A1412" s="1" t="s">
        <v>997</v>
      </c>
      <c r="B1412" s="16">
        <v>15800000</v>
      </c>
    </row>
    <row r="1413" spans="1:2" x14ac:dyDescent="0.3">
      <c r="A1413" s="1" t="s">
        <v>996</v>
      </c>
      <c r="B1413" s="16">
        <v>5450000</v>
      </c>
    </row>
    <row r="1414" spans="1:2" x14ac:dyDescent="0.3">
      <c r="A1414" s="1" t="s">
        <v>995</v>
      </c>
      <c r="B1414" s="16">
        <v>10500000</v>
      </c>
    </row>
    <row r="1415" spans="1:2" x14ac:dyDescent="0.3">
      <c r="A1415" s="1" t="s">
        <v>994</v>
      </c>
      <c r="B1415" s="16">
        <v>14000000</v>
      </c>
    </row>
    <row r="1416" spans="1:2" x14ac:dyDescent="0.3">
      <c r="A1416" s="1" t="s">
        <v>993</v>
      </c>
      <c r="B1416" s="16">
        <v>11000000</v>
      </c>
    </row>
    <row r="1417" spans="1:2" x14ac:dyDescent="0.3">
      <c r="A1417" s="1" t="s">
        <v>992</v>
      </c>
      <c r="B1417" s="16">
        <v>6370000</v>
      </c>
    </row>
    <row r="1418" spans="1:2" x14ac:dyDescent="0.3">
      <c r="A1418" s="1" t="s">
        <v>991</v>
      </c>
      <c r="B1418" s="16">
        <v>25000000</v>
      </c>
    </row>
    <row r="1419" spans="1:2" x14ac:dyDescent="0.3">
      <c r="A1419" s="1" t="s">
        <v>990</v>
      </c>
      <c r="B1419" s="16">
        <v>21000000</v>
      </c>
    </row>
    <row r="1420" spans="1:2" x14ac:dyDescent="0.3">
      <c r="A1420" s="1" t="s">
        <v>989</v>
      </c>
      <c r="B1420" s="16">
        <v>13300000</v>
      </c>
    </row>
    <row r="1421" spans="1:2" x14ac:dyDescent="0.3">
      <c r="A1421" s="1" t="s">
        <v>264</v>
      </c>
      <c r="B1421" s="16">
        <v>15000000</v>
      </c>
    </row>
    <row r="1422" spans="1:2" x14ac:dyDescent="0.3">
      <c r="A1422" s="1" t="s">
        <v>988</v>
      </c>
      <c r="B1422" s="16">
        <v>5000000</v>
      </c>
    </row>
    <row r="1423" spans="1:2" x14ac:dyDescent="0.3">
      <c r="A1423" s="1" t="s">
        <v>987</v>
      </c>
      <c r="B1423" s="16">
        <v>10000000</v>
      </c>
    </row>
    <row r="1424" spans="1:2" x14ac:dyDescent="0.3">
      <c r="A1424" s="1" t="s">
        <v>986</v>
      </c>
      <c r="B1424" s="16">
        <v>7900000</v>
      </c>
    </row>
    <row r="1425" spans="1:2" x14ac:dyDescent="0.3">
      <c r="A1425" s="1" t="s">
        <v>985</v>
      </c>
      <c r="B1425" s="16">
        <v>12400000</v>
      </c>
    </row>
    <row r="1426" spans="1:2" x14ac:dyDescent="0.3">
      <c r="A1426" s="1" t="s">
        <v>984</v>
      </c>
      <c r="B1426" s="16">
        <v>15000000</v>
      </c>
    </row>
    <row r="1427" spans="1:2" x14ac:dyDescent="0.3">
      <c r="A1427" s="1" t="s">
        <v>983</v>
      </c>
      <c r="B1427" s="16">
        <v>23870000</v>
      </c>
    </row>
    <row r="1428" spans="1:2" x14ac:dyDescent="0.3">
      <c r="A1428" s="1" t="s">
        <v>982</v>
      </c>
      <c r="B1428" s="16">
        <v>16900000</v>
      </c>
    </row>
    <row r="1429" spans="1:2" x14ac:dyDescent="0.3">
      <c r="A1429" s="1" t="s">
        <v>981</v>
      </c>
      <c r="B1429" s="16">
        <v>22000000</v>
      </c>
    </row>
    <row r="1430" spans="1:2" x14ac:dyDescent="0.3">
      <c r="A1430" s="1" t="s">
        <v>980</v>
      </c>
      <c r="B1430" s="16">
        <v>5300000</v>
      </c>
    </row>
    <row r="1431" spans="1:2" x14ac:dyDescent="0.3">
      <c r="A1431" s="1" t="s">
        <v>979</v>
      </c>
      <c r="B1431" s="16">
        <v>6500000</v>
      </c>
    </row>
    <row r="1432" spans="1:2" x14ac:dyDescent="0.3">
      <c r="A1432" s="1" t="s">
        <v>978</v>
      </c>
      <c r="B1432" s="16">
        <v>7600000</v>
      </c>
    </row>
    <row r="1433" spans="1:2" x14ac:dyDescent="0.3">
      <c r="A1433" s="1" t="s">
        <v>977</v>
      </c>
      <c r="B1433" s="16">
        <v>16200000</v>
      </c>
    </row>
    <row r="1434" spans="1:2" x14ac:dyDescent="0.3">
      <c r="A1434" s="1" t="s">
        <v>976</v>
      </c>
      <c r="B1434" s="16">
        <v>29000000</v>
      </c>
    </row>
    <row r="1435" spans="1:2" x14ac:dyDescent="0.3">
      <c r="A1435" s="1" t="s">
        <v>975</v>
      </c>
      <c r="B1435" s="16">
        <v>12500000</v>
      </c>
    </row>
    <row r="1436" spans="1:2" x14ac:dyDescent="0.3">
      <c r="A1436" s="1" t="s">
        <v>588</v>
      </c>
      <c r="B1436" s="16">
        <v>12450000</v>
      </c>
    </row>
    <row r="1437" spans="1:2" x14ac:dyDescent="0.3">
      <c r="A1437" s="1" t="s">
        <v>974</v>
      </c>
      <c r="B1437" s="16">
        <v>9300000</v>
      </c>
    </row>
    <row r="1438" spans="1:2" x14ac:dyDescent="0.3">
      <c r="A1438" s="1" t="s">
        <v>973</v>
      </c>
      <c r="B1438" s="16">
        <v>4500000</v>
      </c>
    </row>
    <row r="1439" spans="1:2" x14ac:dyDescent="0.3">
      <c r="A1439" s="1" t="s">
        <v>972</v>
      </c>
      <c r="B1439" s="16">
        <v>12000000</v>
      </c>
    </row>
    <row r="1440" spans="1:2" x14ac:dyDescent="0.3">
      <c r="A1440" s="1" t="s">
        <v>971</v>
      </c>
      <c r="B1440" s="16">
        <v>17500000</v>
      </c>
    </row>
    <row r="1441" spans="1:2" x14ac:dyDescent="0.3">
      <c r="A1441" s="1" t="s">
        <v>970</v>
      </c>
      <c r="B1441" s="16">
        <v>9300000</v>
      </c>
    </row>
    <row r="1442" spans="1:2" x14ac:dyDescent="0.3">
      <c r="A1442" s="1" t="s">
        <v>969</v>
      </c>
      <c r="B1442" s="16">
        <v>23000000</v>
      </c>
    </row>
    <row r="1443" spans="1:2" x14ac:dyDescent="0.3">
      <c r="A1443" s="1" t="s">
        <v>968</v>
      </c>
      <c r="B1443" s="16">
        <v>5100000</v>
      </c>
    </row>
    <row r="1444" spans="1:2" x14ac:dyDescent="0.3">
      <c r="A1444" s="1" t="s">
        <v>933</v>
      </c>
      <c r="B1444" s="16">
        <v>6700000</v>
      </c>
    </row>
    <row r="1445" spans="1:2" x14ac:dyDescent="0.3">
      <c r="A1445" s="1" t="s">
        <v>967</v>
      </c>
      <c r="B1445" s="16">
        <v>18600000</v>
      </c>
    </row>
    <row r="1446" spans="1:2" x14ac:dyDescent="0.3">
      <c r="A1446" s="1" t="s">
        <v>966</v>
      </c>
      <c r="B1446" s="16">
        <v>5800000</v>
      </c>
    </row>
    <row r="1447" spans="1:2" x14ac:dyDescent="0.3">
      <c r="A1447" s="1" t="s">
        <v>965</v>
      </c>
      <c r="B1447" s="16">
        <v>6000000</v>
      </c>
    </row>
    <row r="1448" spans="1:2" x14ac:dyDescent="0.3">
      <c r="A1448" s="1" t="s">
        <v>964</v>
      </c>
      <c r="B1448" s="16">
        <v>18800000</v>
      </c>
    </row>
    <row r="1449" spans="1:2" x14ac:dyDescent="0.3">
      <c r="A1449" s="1" t="s">
        <v>963</v>
      </c>
      <c r="B1449" s="16">
        <v>22000000</v>
      </c>
    </row>
    <row r="1450" spans="1:2" x14ac:dyDescent="0.3">
      <c r="A1450" s="1" t="s">
        <v>962</v>
      </c>
      <c r="B1450" s="16">
        <v>24500000</v>
      </c>
    </row>
    <row r="1451" spans="1:2" x14ac:dyDescent="0.3">
      <c r="A1451" s="1" t="s">
        <v>961</v>
      </c>
      <c r="B1451" s="16">
        <v>24500000</v>
      </c>
    </row>
    <row r="1452" spans="1:2" x14ac:dyDescent="0.3">
      <c r="A1452" s="1" t="s">
        <v>960</v>
      </c>
      <c r="B1452" s="16">
        <v>5550000</v>
      </c>
    </row>
    <row r="1453" spans="1:2" x14ac:dyDescent="0.3">
      <c r="A1453" s="1" t="s">
        <v>959</v>
      </c>
      <c r="B1453" s="16">
        <v>16050000</v>
      </c>
    </row>
    <row r="1454" spans="1:2" x14ac:dyDescent="0.3">
      <c r="A1454" s="1" t="s">
        <v>141</v>
      </c>
      <c r="B1454" s="16">
        <v>10300000</v>
      </c>
    </row>
    <row r="1455" spans="1:2" x14ac:dyDescent="0.3">
      <c r="A1455" s="1" t="s">
        <v>958</v>
      </c>
      <c r="B1455" s="16">
        <v>14000000</v>
      </c>
    </row>
    <row r="1456" spans="1:2" x14ac:dyDescent="0.3">
      <c r="A1456" s="1" t="s">
        <v>957</v>
      </c>
      <c r="B1456" s="16">
        <v>10800000</v>
      </c>
    </row>
    <row r="1457" spans="1:2" x14ac:dyDescent="0.3">
      <c r="A1457" s="1" t="s">
        <v>956</v>
      </c>
      <c r="B1457" s="16">
        <v>7000000</v>
      </c>
    </row>
    <row r="1458" spans="1:2" x14ac:dyDescent="0.3">
      <c r="A1458" s="1" t="s">
        <v>955</v>
      </c>
      <c r="B1458" s="16">
        <v>6800000</v>
      </c>
    </row>
    <row r="1459" spans="1:2" x14ac:dyDescent="0.3">
      <c r="A1459" s="1" t="s">
        <v>698</v>
      </c>
      <c r="B1459" s="16">
        <v>16500000</v>
      </c>
    </row>
    <row r="1460" spans="1:2" x14ac:dyDescent="0.3">
      <c r="A1460" s="1" t="s">
        <v>954</v>
      </c>
      <c r="B1460" s="16">
        <v>29200000</v>
      </c>
    </row>
    <row r="1461" spans="1:2" x14ac:dyDescent="0.3">
      <c r="A1461" s="1" t="s">
        <v>775</v>
      </c>
      <c r="B1461" s="16">
        <v>40000000</v>
      </c>
    </row>
    <row r="1462" spans="1:2" x14ac:dyDescent="0.3">
      <c r="A1462" s="1" t="s">
        <v>953</v>
      </c>
      <c r="B1462" s="16">
        <v>12400000</v>
      </c>
    </row>
    <row r="1463" spans="1:2" x14ac:dyDescent="0.3">
      <c r="A1463" s="1" t="s">
        <v>952</v>
      </c>
      <c r="B1463" s="16">
        <v>13000000</v>
      </c>
    </row>
    <row r="1464" spans="1:2" x14ac:dyDescent="0.3">
      <c r="A1464" s="1" t="s">
        <v>267</v>
      </c>
      <c r="B1464" s="16">
        <v>17600000</v>
      </c>
    </row>
    <row r="1465" spans="1:2" x14ac:dyDescent="0.3">
      <c r="A1465" s="1" t="s">
        <v>951</v>
      </c>
      <c r="B1465" s="16">
        <v>6200000</v>
      </c>
    </row>
    <row r="1466" spans="1:2" x14ac:dyDescent="0.3">
      <c r="A1466" s="1" t="s">
        <v>948</v>
      </c>
      <c r="B1466" s="16">
        <v>22000000</v>
      </c>
    </row>
    <row r="1467" spans="1:2" x14ac:dyDescent="0.3">
      <c r="A1467" s="1" t="s">
        <v>950</v>
      </c>
      <c r="B1467" s="16">
        <v>8300000</v>
      </c>
    </row>
    <row r="1468" spans="1:2" x14ac:dyDescent="0.3">
      <c r="A1468" s="1" t="s">
        <v>949</v>
      </c>
      <c r="B1468" s="16">
        <v>6300000</v>
      </c>
    </row>
    <row r="1469" spans="1:2" x14ac:dyDescent="0.3">
      <c r="A1469" s="1" t="s">
        <v>947</v>
      </c>
      <c r="B1469" s="16">
        <v>26500000</v>
      </c>
    </row>
    <row r="1470" spans="1:2" x14ac:dyDescent="0.3">
      <c r="A1470" s="1" t="s">
        <v>946</v>
      </c>
      <c r="B1470" s="16">
        <v>19000000</v>
      </c>
    </row>
    <row r="1471" spans="1:2" x14ac:dyDescent="0.3">
      <c r="A1471" s="1" t="s">
        <v>945</v>
      </c>
      <c r="B1471" s="16">
        <v>6800000</v>
      </c>
    </row>
    <row r="1472" spans="1:2" x14ac:dyDescent="0.3">
      <c r="A1472" s="1" t="s">
        <v>944</v>
      </c>
      <c r="B1472" s="16">
        <v>6000000</v>
      </c>
    </row>
    <row r="1473" spans="1:2" x14ac:dyDescent="0.3">
      <c r="A1473" s="1" t="s">
        <v>943</v>
      </c>
      <c r="B1473" s="16">
        <v>12600000</v>
      </c>
    </row>
    <row r="1474" spans="1:2" x14ac:dyDescent="0.3">
      <c r="A1474" s="1" t="s">
        <v>942</v>
      </c>
      <c r="B1474" s="16">
        <v>21000000</v>
      </c>
    </row>
    <row r="1475" spans="1:2" x14ac:dyDescent="0.3">
      <c r="A1475" s="1" t="s">
        <v>941</v>
      </c>
      <c r="B1475" s="16">
        <v>11000000</v>
      </c>
    </row>
    <row r="1476" spans="1:2" x14ac:dyDescent="0.3">
      <c r="A1476" s="1" t="s">
        <v>940</v>
      </c>
      <c r="B1476" s="16">
        <v>12500000</v>
      </c>
    </row>
    <row r="1477" spans="1:2" x14ac:dyDescent="0.3">
      <c r="A1477" s="1" t="s">
        <v>939</v>
      </c>
      <c r="B1477" s="16">
        <v>10000000</v>
      </c>
    </row>
    <row r="1478" spans="1:2" x14ac:dyDescent="0.3">
      <c r="A1478" s="1" t="s">
        <v>938</v>
      </c>
      <c r="B1478" s="16">
        <v>5900000</v>
      </c>
    </row>
    <row r="1479" spans="1:2" x14ac:dyDescent="0.3">
      <c r="A1479" s="1" t="s">
        <v>937</v>
      </c>
      <c r="B1479" s="16">
        <v>13000000</v>
      </c>
    </row>
    <row r="1480" spans="1:2" x14ac:dyDescent="0.3">
      <c r="A1480" s="1" t="s">
        <v>936</v>
      </c>
      <c r="B1480" s="16">
        <v>14000000</v>
      </c>
    </row>
    <row r="1481" spans="1:2" x14ac:dyDescent="0.3">
      <c r="A1481" s="1" t="s">
        <v>935</v>
      </c>
      <c r="B1481" s="16">
        <v>4600000</v>
      </c>
    </row>
    <row r="1482" spans="1:2" x14ac:dyDescent="0.3">
      <c r="A1482" s="1" t="s">
        <v>934</v>
      </c>
      <c r="B1482" s="16">
        <v>6200000</v>
      </c>
    </row>
    <row r="1483" spans="1:2" x14ac:dyDescent="0.3">
      <c r="A1483" s="1" t="s">
        <v>933</v>
      </c>
      <c r="B1483" s="16">
        <v>6700000</v>
      </c>
    </row>
    <row r="1484" spans="1:2" x14ac:dyDescent="0.3">
      <c r="A1484" s="1" t="s">
        <v>932</v>
      </c>
      <c r="B1484" s="16">
        <v>15000000</v>
      </c>
    </row>
    <row r="1485" spans="1:2" x14ac:dyDescent="0.3">
      <c r="A1485" s="1" t="s">
        <v>931</v>
      </c>
      <c r="B1485" s="16">
        <v>10200000</v>
      </c>
    </row>
    <row r="1486" spans="1:2" x14ac:dyDescent="0.3">
      <c r="A1486" s="1" t="s">
        <v>930</v>
      </c>
      <c r="B1486" s="16">
        <v>11000000</v>
      </c>
    </row>
    <row r="1487" spans="1:2" x14ac:dyDescent="0.3">
      <c r="A1487" s="1" t="s">
        <v>929</v>
      </c>
      <c r="B1487" s="16">
        <v>22000000</v>
      </c>
    </row>
    <row r="1488" spans="1:2" x14ac:dyDescent="0.3">
      <c r="A1488" s="1" t="s">
        <v>928</v>
      </c>
      <c r="B1488" s="16">
        <v>12000000</v>
      </c>
    </row>
    <row r="1489" spans="1:2" x14ac:dyDescent="0.3">
      <c r="A1489" s="1" t="s">
        <v>927</v>
      </c>
      <c r="B1489" s="16">
        <v>6000000</v>
      </c>
    </row>
    <row r="1490" spans="1:2" x14ac:dyDescent="0.3">
      <c r="A1490" s="1" t="s">
        <v>926</v>
      </c>
      <c r="B1490" s="16">
        <v>6100000</v>
      </c>
    </row>
    <row r="1491" spans="1:2" x14ac:dyDescent="0.3">
      <c r="A1491" s="1" t="s">
        <v>925</v>
      </c>
      <c r="B1491" s="16">
        <v>22930500</v>
      </c>
    </row>
    <row r="1492" spans="1:2" x14ac:dyDescent="0.3">
      <c r="A1492" s="1" t="s">
        <v>924</v>
      </c>
      <c r="B1492" s="16">
        <v>13300000</v>
      </c>
    </row>
    <row r="1493" spans="1:2" x14ac:dyDescent="0.3">
      <c r="A1493" s="1" t="s">
        <v>923</v>
      </c>
      <c r="B1493" s="16">
        <v>12300000</v>
      </c>
    </row>
    <row r="1494" spans="1:2" x14ac:dyDescent="0.3">
      <c r="A1494" s="1" t="s">
        <v>922</v>
      </c>
      <c r="B1494" s="16">
        <v>18000000</v>
      </c>
    </row>
    <row r="1495" spans="1:2" x14ac:dyDescent="0.3">
      <c r="A1495" s="1" t="s">
        <v>921</v>
      </c>
      <c r="B1495" s="16">
        <v>6600000</v>
      </c>
    </row>
    <row r="1496" spans="1:2" x14ac:dyDescent="0.3">
      <c r="A1496" s="1" t="s">
        <v>920</v>
      </c>
      <c r="B1496" s="16">
        <v>14200000</v>
      </c>
    </row>
    <row r="1497" spans="1:2" x14ac:dyDescent="0.3">
      <c r="A1497" s="1" t="s">
        <v>919</v>
      </c>
      <c r="B1497" s="16">
        <v>8950000</v>
      </c>
    </row>
    <row r="1498" spans="1:2" x14ac:dyDescent="0.3">
      <c r="A1498" s="1" t="s">
        <v>918</v>
      </c>
      <c r="B1498" s="16">
        <v>6600000</v>
      </c>
    </row>
    <row r="1499" spans="1:2" x14ac:dyDescent="0.3">
      <c r="A1499" s="1" t="s">
        <v>917</v>
      </c>
      <c r="B1499" s="16">
        <v>6000000</v>
      </c>
    </row>
    <row r="1500" spans="1:2" x14ac:dyDescent="0.3">
      <c r="A1500" s="1" t="s">
        <v>916</v>
      </c>
      <c r="B1500" s="16">
        <v>5700000</v>
      </c>
    </row>
    <row r="1501" spans="1:2" x14ac:dyDescent="0.3">
      <c r="A1501" s="1" t="s">
        <v>915</v>
      </c>
      <c r="B1501" s="16">
        <v>18500000</v>
      </c>
    </row>
    <row r="1502" spans="1:2" x14ac:dyDescent="0.3">
      <c r="A1502" s="1" t="s">
        <v>914</v>
      </c>
      <c r="B1502" s="16">
        <v>10700000</v>
      </c>
    </row>
    <row r="1503" spans="1:2" x14ac:dyDescent="0.3">
      <c r="A1503" s="1" t="s">
        <v>913</v>
      </c>
      <c r="B1503" s="16">
        <v>6300000</v>
      </c>
    </row>
    <row r="1504" spans="1:2" x14ac:dyDescent="0.3">
      <c r="A1504" s="1" t="s">
        <v>912</v>
      </c>
      <c r="B1504" s="16">
        <v>9200000</v>
      </c>
    </row>
    <row r="1505" spans="1:2" x14ac:dyDescent="0.3">
      <c r="A1505" s="1" t="s">
        <v>911</v>
      </c>
      <c r="B1505" s="16">
        <v>14100000</v>
      </c>
    </row>
    <row r="1506" spans="1:2" x14ac:dyDescent="0.3">
      <c r="A1506" s="1" t="s">
        <v>910</v>
      </c>
      <c r="B1506" s="16">
        <v>8500000</v>
      </c>
    </row>
    <row r="1507" spans="1:2" x14ac:dyDescent="0.3">
      <c r="A1507" s="1" t="s">
        <v>909</v>
      </c>
      <c r="B1507" s="16">
        <v>10700000</v>
      </c>
    </row>
    <row r="1508" spans="1:2" x14ac:dyDescent="0.3">
      <c r="A1508" s="1" t="s">
        <v>908</v>
      </c>
      <c r="B1508" s="16">
        <v>7600000</v>
      </c>
    </row>
    <row r="1509" spans="1:2" x14ac:dyDescent="0.3">
      <c r="A1509" s="1" t="s">
        <v>907</v>
      </c>
      <c r="B1509" s="16">
        <v>7500000</v>
      </c>
    </row>
    <row r="1510" spans="1:2" x14ac:dyDescent="0.3">
      <c r="A1510" s="1" t="s">
        <v>905</v>
      </c>
      <c r="B1510" s="16">
        <v>18000000</v>
      </c>
    </row>
    <row r="1511" spans="1:2" x14ac:dyDescent="0.3">
      <c r="A1511" s="1" t="s">
        <v>904</v>
      </c>
      <c r="B1511" s="16">
        <v>25000000</v>
      </c>
    </row>
    <row r="1512" spans="1:2" x14ac:dyDescent="0.3">
      <c r="A1512" s="1" t="s">
        <v>903</v>
      </c>
      <c r="B1512" s="16">
        <v>8800000</v>
      </c>
    </row>
    <row r="1513" spans="1:2" x14ac:dyDescent="0.3">
      <c r="A1513" s="1" t="s">
        <v>902</v>
      </c>
      <c r="B1513" s="16">
        <v>12990000</v>
      </c>
    </row>
    <row r="1514" spans="1:2" x14ac:dyDescent="0.3">
      <c r="A1514" s="1" t="s">
        <v>901</v>
      </c>
      <c r="B1514" s="16">
        <v>19000000</v>
      </c>
    </row>
    <row r="1515" spans="1:2" x14ac:dyDescent="0.3">
      <c r="A1515" s="1" t="s">
        <v>900</v>
      </c>
      <c r="B1515" s="16">
        <v>15000000</v>
      </c>
    </row>
    <row r="1516" spans="1:2" x14ac:dyDescent="0.3">
      <c r="A1516" s="1" t="s">
        <v>899</v>
      </c>
      <c r="B1516" s="16">
        <v>21700000</v>
      </c>
    </row>
    <row r="1517" spans="1:2" x14ac:dyDescent="0.3">
      <c r="A1517" s="1" t="s">
        <v>898</v>
      </c>
      <c r="B1517" s="16">
        <v>16200000</v>
      </c>
    </row>
    <row r="1518" spans="1:2" x14ac:dyDescent="0.3">
      <c r="A1518" s="1" t="s">
        <v>897</v>
      </c>
      <c r="B1518" s="16">
        <v>16200000</v>
      </c>
    </row>
    <row r="1519" spans="1:2" x14ac:dyDescent="0.3">
      <c r="A1519" s="1" t="s">
        <v>896</v>
      </c>
      <c r="B1519" s="16">
        <v>15800000</v>
      </c>
    </row>
    <row r="1520" spans="1:2" x14ac:dyDescent="0.3">
      <c r="A1520" s="1" t="s">
        <v>895</v>
      </c>
      <c r="B1520" s="16">
        <v>16200000</v>
      </c>
    </row>
    <row r="1521" spans="1:2" x14ac:dyDescent="0.3">
      <c r="A1521" s="1" t="s">
        <v>894</v>
      </c>
      <c r="B1521" s="16">
        <v>3000000</v>
      </c>
    </row>
    <row r="1522" spans="1:2" x14ac:dyDescent="0.3">
      <c r="A1522" s="1" t="s">
        <v>893</v>
      </c>
      <c r="B1522" s="16">
        <v>16000000</v>
      </c>
    </row>
    <row r="1523" spans="1:2" x14ac:dyDescent="0.3">
      <c r="A1523" s="1" t="s">
        <v>892</v>
      </c>
      <c r="B1523" s="16">
        <v>25500000</v>
      </c>
    </row>
    <row r="1524" spans="1:2" x14ac:dyDescent="0.3">
      <c r="A1524" s="1" t="s">
        <v>235</v>
      </c>
      <c r="B1524" s="16">
        <v>17500000</v>
      </c>
    </row>
    <row r="1525" spans="1:2" x14ac:dyDescent="0.3">
      <c r="A1525" s="1" t="s">
        <v>891</v>
      </c>
      <c r="B1525" s="16">
        <v>17800000</v>
      </c>
    </row>
    <row r="1526" spans="1:2" x14ac:dyDescent="0.3">
      <c r="A1526" s="1" t="s">
        <v>890</v>
      </c>
      <c r="B1526" s="16">
        <v>6600000</v>
      </c>
    </row>
    <row r="1527" spans="1:2" x14ac:dyDescent="0.3">
      <c r="A1527" s="1" t="s">
        <v>889</v>
      </c>
      <c r="B1527" s="16">
        <v>4800000</v>
      </c>
    </row>
    <row r="1528" spans="1:2" x14ac:dyDescent="0.3">
      <c r="A1528" s="1" t="s">
        <v>888</v>
      </c>
      <c r="B1528" s="16">
        <v>28300000</v>
      </c>
    </row>
    <row r="1529" spans="1:2" x14ac:dyDescent="0.3">
      <c r="A1529" s="1" t="s">
        <v>887</v>
      </c>
      <c r="B1529" s="16">
        <v>7000000</v>
      </c>
    </row>
    <row r="1530" spans="1:2" x14ac:dyDescent="0.3">
      <c r="A1530" s="1" t="s">
        <v>61</v>
      </c>
      <c r="B1530" s="16">
        <v>9300000</v>
      </c>
    </row>
    <row r="1531" spans="1:2" x14ac:dyDescent="0.3">
      <c r="A1531" s="1" t="s">
        <v>886</v>
      </c>
      <c r="B1531" s="16">
        <v>14800000</v>
      </c>
    </row>
    <row r="1532" spans="1:2" x14ac:dyDescent="0.3">
      <c r="A1532" s="1" t="s">
        <v>885</v>
      </c>
      <c r="B1532" s="16">
        <v>18000000</v>
      </c>
    </row>
    <row r="1533" spans="1:2" x14ac:dyDescent="0.3">
      <c r="A1533" s="1" t="s">
        <v>884</v>
      </c>
      <c r="B1533" s="16">
        <v>9500000</v>
      </c>
    </row>
    <row r="1534" spans="1:2" x14ac:dyDescent="0.3">
      <c r="A1534" s="1" t="s">
        <v>883</v>
      </c>
      <c r="B1534" s="16">
        <v>17000000</v>
      </c>
    </row>
    <row r="1535" spans="1:2" x14ac:dyDescent="0.3">
      <c r="A1535" s="1" t="s">
        <v>882</v>
      </c>
      <c r="B1535" s="16">
        <v>5000000</v>
      </c>
    </row>
    <row r="1536" spans="1:2" x14ac:dyDescent="0.3">
      <c r="A1536" s="1" t="s">
        <v>881</v>
      </c>
      <c r="B1536" s="16">
        <v>10000000</v>
      </c>
    </row>
    <row r="1537" spans="1:2" x14ac:dyDescent="0.3">
      <c r="A1537" s="1" t="s">
        <v>880</v>
      </c>
      <c r="B1537" s="16">
        <v>15200000</v>
      </c>
    </row>
    <row r="1538" spans="1:2" x14ac:dyDescent="0.3">
      <c r="A1538" s="1" t="s">
        <v>879</v>
      </c>
      <c r="B1538" s="16">
        <v>44000000</v>
      </c>
    </row>
    <row r="1539" spans="1:2" x14ac:dyDescent="0.3">
      <c r="A1539" s="1" t="s">
        <v>878</v>
      </c>
      <c r="B1539" s="16">
        <v>8000000</v>
      </c>
    </row>
    <row r="1540" spans="1:2" x14ac:dyDescent="0.3">
      <c r="A1540" s="1" t="s">
        <v>877</v>
      </c>
      <c r="B1540" s="16">
        <v>17500000</v>
      </c>
    </row>
    <row r="1541" spans="1:2" x14ac:dyDescent="0.3">
      <c r="A1541" s="1" t="s">
        <v>876</v>
      </c>
      <c r="B1541" s="16">
        <v>10300000</v>
      </c>
    </row>
    <row r="1542" spans="1:2" x14ac:dyDescent="0.3">
      <c r="A1542" s="1" t="s">
        <v>875</v>
      </c>
      <c r="B1542" s="16">
        <v>5800000</v>
      </c>
    </row>
    <row r="1543" spans="1:2" x14ac:dyDescent="0.3">
      <c r="A1543" s="1" t="s">
        <v>874</v>
      </c>
      <c r="B1543" s="16">
        <v>29500000</v>
      </c>
    </row>
    <row r="1544" spans="1:2" x14ac:dyDescent="0.3">
      <c r="A1544" s="1" t="s">
        <v>873</v>
      </c>
      <c r="B1544" s="16">
        <v>20932100</v>
      </c>
    </row>
    <row r="1545" spans="1:2" x14ac:dyDescent="0.3">
      <c r="A1545" s="1" t="s">
        <v>872</v>
      </c>
      <c r="B1545" s="16">
        <v>4900000</v>
      </c>
    </row>
    <row r="1546" spans="1:2" x14ac:dyDescent="0.3">
      <c r="A1546" s="1" t="s">
        <v>871</v>
      </c>
      <c r="B1546" s="16">
        <v>7000000</v>
      </c>
    </row>
    <row r="1547" spans="1:2" x14ac:dyDescent="0.3">
      <c r="A1547" s="1" t="s">
        <v>870</v>
      </c>
      <c r="B1547" s="16">
        <v>11000000</v>
      </c>
    </row>
    <row r="1548" spans="1:2" x14ac:dyDescent="0.3">
      <c r="A1548" s="1" t="s">
        <v>869</v>
      </c>
      <c r="B1548" s="16">
        <v>10200000</v>
      </c>
    </row>
    <row r="1549" spans="1:2" x14ac:dyDescent="0.3">
      <c r="A1549" s="1" t="s">
        <v>868</v>
      </c>
      <c r="B1549" s="16">
        <v>10150000</v>
      </c>
    </row>
    <row r="1550" spans="1:2" x14ac:dyDescent="0.3">
      <c r="A1550" s="1" t="s">
        <v>867</v>
      </c>
      <c r="B1550" s="16">
        <v>19000000</v>
      </c>
    </row>
    <row r="1551" spans="1:2" x14ac:dyDescent="0.3">
      <c r="A1551" s="1" t="s">
        <v>866</v>
      </c>
      <c r="B1551" s="16">
        <v>10750000</v>
      </c>
    </row>
    <row r="1552" spans="1:2" x14ac:dyDescent="0.3">
      <c r="A1552" s="1" t="s">
        <v>865</v>
      </c>
      <c r="B1552" s="16">
        <v>12000000</v>
      </c>
    </row>
    <row r="1553" spans="1:2" x14ac:dyDescent="0.3">
      <c r="A1553" s="1" t="s">
        <v>864</v>
      </c>
      <c r="B1553" s="16">
        <v>15000000</v>
      </c>
    </row>
    <row r="1554" spans="1:2" x14ac:dyDescent="0.3">
      <c r="A1554" s="1" t="s">
        <v>863</v>
      </c>
      <c r="B1554" s="16">
        <v>11000000</v>
      </c>
    </row>
    <row r="1555" spans="1:2" x14ac:dyDescent="0.3">
      <c r="A1555" s="1" t="s">
        <v>862</v>
      </c>
      <c r="B1555" s="16">
        <v>8100000</v>
      </c>
    </row>
    <row r="1556" spans="1:2" x14ac:dyDescent="0.3">
      <c r="A1556" s="1" t="s">
        <v>861</v>
      </c>
      <c r="B1556" s="16">
        <v>13000000</v>
      </c>
    </row>
    <row r="1557" spans="1:2" x14ac:dyDescent="0.3">
      <c r="A1557" s="1" t="s">
        <v>860</v>
      </c>
      <c r="B1557" s="16">
        <v>11000000</v>
      </c>
    </row>
    <row r="1558" spans="1:2" x14ac:dyDescent="0.3">
      <c r="A1558" s="1" t="s">
        <v>123</v>
      </c>
      <c r="B1558" s="16">
        <v>18000000</v>
      </c>
    </row>
    <row r="1559" spans="1:2" x14ac:dyDescent="0.3">
      <c r="A1559" s="1" t="s">
        <v>859</v>
      </c>
      <c r="B1559" s="16">
        <v>10500000</v>
      </c>
    </row>
    <row r="1560" spans="1:2" x14ac:dyDescent="0.3">
      <c r="A1560" s="1" t="s">
        <v>858</v>
      </c>
      <c r="B1560" s="16">
        <v>10500000</v>
      </c>
    </row>
    <row r="1561" spans="1:2" x14ac:dyDescent="0.3">
      <c r="A1561" s="1" t="s">
        <v>857</v>
      </c>
      <c r="B1561" s="16">
        <v>8600000</v>
      </c>
    </row>
    <row r="1562" spans="1:2" x14ac:dyDescent="0.3">
      <c r="A1562" s="1" t="s">
        <v>856</v>
      </c>
      <c r="B1562" s="16">
        <v>19000000</v>
      </c>
    </row>
    <row r="1563" spans="1:2" x14ac:dyDescent="0.3">
      <c r="A1563" s="1" t="s">
        <v>855</v>
      </c>
      <c r="B1563" s="16">
        <v>16000000</v>
      </c>
    </row>
    <row r="1564" spans="1:2" x14ac:dyDescent="0.3">
      <c r="A1564" s="1" t="s">
        <v>854</v>
      </c>
      <c r="B1564" s="16">
        <v>7500000</v>
      </c>
    </row>
    <row r="1565" spans="1:2" x14ac:dyDescent="0.3">
      <c r="A1565" s="1" t="s">
        <v>853</v>
      </c>
      <c r="B1565" s="16">
        <v>8500000</v>
      </c>
    </row>
    <row r="1566" spans="1:2" x14ac:dyDescent="0.3">
      <c r="A1566" s="1" t="s">
        <v>852</v>
      </c>
      <c r="B1566" s="16">
        <v>6700000</v>
      </c>
    </row>
    <row r="1567" spans="1:2" x14ac:dyDescent="0.3">
      <c r="A1567" s="1" t="s">
        <v>851</v>
      </c>
      <c r="B1567" s="16">
        <v>6500000</v>
      </c>
    </row>
    <row r="1568" spans="1:2" x14ac:dyDescent="0.3">
      <c r="A1568" s="1" t="s">
        <v>850</v>
      </c>
      <c r="B1568" s="16">
        <v>6800000</v>
      </c>
    </row>
    <row r="1569" spans="1:2" x14ac:dyDescent="0.3">
      <c r="A1569" s="1" t="s">
        <v>849</v>
      </c>
      <c r="B1569" s="16">
        <v>8500000</v>
      </c>
    </row>
    <row r="1570" spans="1:2" x14ac:dyDescent="0.3">
      <c r="A1570" s="1" t="s">
        <v>848</v>
      </c>
      <c r="B1570" s="16">
        <v>10500000</v>
      </c>
    </row>
    <row r="1571" spans="1:2" x14ac:dyDescent="0.3">
      <c r="A1571" s="1" t="s">
        <v>847</v>
      </c>
      <c r="B1571" s="16">
        <v>7200000</v>
      </c>
    </row>
    <row r="1572" spans="1:2" x14ac:dyDescent="0.3">
      <c r="A1572" s="1" t="s">
        <v>846</v>
      </c>
      <c r="B1572" s="16">
        <v>11000000</v>
      </c>
    </row>
    <row r="1573" spans="1:2" x14ac:dyDescent="0.3">
      <c r="A1573" s="1" t="s">
        <v>845</v>
      </c>
      <c r="B1573" s="16">
        <v>11000000</v>
      </c>
    </row>
    <row r="1574" spans="1:2" x14ac:dyDescent="0.3">
      <c r="A1574" s="1" t="s">
        <v>844</v>
      </c>
      <c r="B1574" s="16">
        <v>6850000</v>
      </c>
    </row>
    <row r="1575" spans="1:2" x14ac:dyDescent="0.3">
      <c r="A1575" s="1" t="s">
        <v>843</v>
      </c>
      <c r="B1575" s="16">
        <v>7000000</v>
      </c>
    </row>
    <row r="1576" spans="1:2" x14ac:dyDescent="0.3">
      <c r="A1576" s="1" t="s">
        <v>527</v>
      </c>
      <c r="B1576" s="16">
        <v>6000000</v>
      </c>
    </row>
    <row r="1577" spans="1:2" x14ac:dyDescent="0.3">
      <c r="A1577" s="1" t="s">
        <v>842</v>
      </c>
      <c r="B1577" s="16">
        <v>7200000</v>
      </c>
    </row>
    <row r="1578" spans="1:2" x14ac:dyDescent="0.3">
      <c r="A1578" s="1" t="s">
        <v>841</v>
      </c>
      <c r="B1578" s="16">
        <v>14500000</v>
      </c>
    </row>
    <row r="1579" spans="1:2" x14ac:dyDescent="0.3">
      <c r="A1579" s="1" t="s">
        <v>840</v>
      </c>
      <c r="B1579" s="16">
        <v>7200000</v>
      </c>
    </row>
    <row r="1580" spans="1:2" x14ac:dyDescent="0.3">
      <c r="A1580" s="1" t="s">
        <v>839</v>
      </c>
      <c r="B1580" s="16">
        <v>8800000</v>
      </c>
    </row>
    <row r="1581" spans="1:2" x14ac:dyDescent="0.3">
      <c r="A1581" s="1" t="s">
        <v>838</v>
      </c>
      <c r="B1581" s="16">
        <v>22200000</v>
      </c>
    </row>
    <row r="1582" spans="1:2" x14ac:dyDescent="0.3">
      <c r="A1582" s="1" t="s">
        <v>837</v>
      </c>
      <c r="B1582" s="16">
        <v>10500000</v>
      </c>
    </row>
    <row r="1583" spans="1:2" x14ac:dyDescent="0.3">
      <c r="A1583" s="1" t="s">
        <v>836</v>
      </c>
      <c r="B1583" s="16">
        <v>10200000</v>
      </c>
    </row>
    <row r="1584" spans="1:2" x14ac:dyDescent="0.3">
      <c r="A1584" s="1" t="s">
        <v>835</v>
      </c>
      <c r="B1584" s="16">
        <v>10500000</v>
      </c>
    </row>
    <row r="1585" spans="1:2" x14ac:dyDescent="0.3">
      <c r="A1585" s="1" t="s">
        <v>646</v>
      </c>
      <c r="B1585" s="16">
        <v>8500000</v>
      </c>
    </row>
    <row r="1586" spans="1:2" x14ac:dyDescent="0.3">
      <c r="A1586" s="1" t="s">
        <v>834</v>
      </c>
      <c r="B1586" s="16">
        <v>7500000</v>
      </c>
    </row>
    <row r="1587" spans="1:2" x14ac:dyDescent="0.3">
      <c r="A1587" s="1" t="s">
        <v>833</v>
      </c>
      <c r="B1587" s="16">
        <v>26000000</v>
      </c>
    </row>
    <row r="1588" spans="1:2" x14ac:dyDescent="0.3">
      <c r="A1588" s="1" t="s">
        <v>832</v>
      </c>
      <c r="B1588" s="16">
        <v>23000000</v>
      </c>
    </row>
    <row r="1589" spans="1:2" x14ac:dyDescent="0.3">
      <c r="A1589" s="1" t="s">
        <v>830</v>
      </c>
      <c r="B1589" s="16">
        <v>16500000</v>
      </c>
    </row>
    <row r="1590" spans="1:2" x14ac:dyDescent="0.3">
      <c r="A1590" s="1" t="s">
        <v>831</v>
      </c>
      <c r="B1590" s="16">
        <v>7000000</v>
      </c>
    </row>
    <row r="1591" spans="1:2" x14ac:dyDescent="0.3">
      <c r="A1591" s="1" t="s">
        <v>829</v>
      </c>
      <c r="B1591" s="16">
        <v>7300000</v>
      </c>
    </row>
    <row r="1592" spans="1:2" x14ac:dyDescent="0.3">
      <c r="A1592" s="1" t="s">
        <v>828</v>
      </c>
      <c r="B1592" s="16">
        <v>12500000</v>
      </c>
    </row>
    <row r="1593" spans="1:2" x14ac:dyDescent="0.3">
      <c r="A1593" s="1" t="s">
        <v>827</v>
      </c>
      <c r="B1593" s="16">
        <v>20500000</v>
      </c>
    </row>
    <row r="1594" spans="1:2" x14ac:dyDescent="0.3">
      <c r="A1594" s="1" t="s">
        <v>825</v>
      </c>
      <c r="B1594" s="16">
        <v>12500000</v>
      </c>
    </row>
    <row r="1595" spans="1:2" x14ac:dyDescent="0.3">
      <c r="A1595" s="1" t="s">
        <v>826</v>
      </c>
      <c r="B1595" s="16">
        <v>7300000</v>
      </c>
    </row>
    <row r="1596" spans="1:2" x14ac:dyDescent="0.3">
      <c r="A1596" s="1" t="s">
        <v>824</v>
      </c>
      <c r="B1596" s="16">
        <v>26000000</v>
      </c>
    </row>
    <row r="1597" spans="1:2" x14ac:dyDescent="0.3">
      <c r="A1597" s="1" t="s">
        <v>823</v>
      </c>
      <c r="B1597" s="16">
        <v>5000000</v>
      </c>
    </row>
    <row r="1598" spans="1:2" x14ac:dyDescent="0.3">
      <c r="A1598" s="1" t="s">
        <v>822</v>
      </c>
      <c r="B1598" s="16">
        <v>6100000</v>
      </c>
    </row>
    <row r="1599" spans="1:2" x14ac:dyDescent="0.3">
      <c r="A1599" s="1" t="s">
        <v>669</v>
      </c>
      <c r="B1599" s="16">
        <v>16000000</v>
      </c>
    </row>
    <row r="1600" spans="1:2" x14ac:dyDescent="0.3">
      <c r="A1600" s="1" t="s">
        <v>821</v>
      </c>
      <c r="B1600" s="16">
        <v>19500000</v>
      </c>
    </row>
    <row r="1601" spans="1:2" x14ac:dyDescent="0.3">
      <c r="A1601" s="1" t="s">
        <v>820</v>
      </c>
      <c r="B1601" s="16">
        <v>7000000</v>
      </c>
    </row>
    <row r="1602" spans="1:2" x14ac:dyDescent="0.3">
      <c r="A1602" s="1" t="s">
        <v>819</v>
      </c>
      <c r="B1602" s="16">
        <v>7400000</v>
      </c>
    </row>
    <row r="1603" spans="1:2" x14ac:dyDescent="0.3">
      <c r="A1603" s="1" t="s">
        <v>818</v>
      </c>
      <c r="B1603" s="16">
        <v>7000000</v>
      </c>
    </row>
    <row r="1604" spans="1:2" x14ac:dyDescent="0.3">
      <c r="A1604" s="1" t="s">
        <v>817</v>
      </c>
      <c r="B1604" s="16">
        <v>16000000</v>
      </c>
    </row>
    <row r="1605" spans="1:2" x14ac:dyDescent="0.3">
      <c r="A1605" s="1" t="s">
        <v>816</v>
      </c>
      <c r="B1605" s="16">
        <v>9500000</v>
      </c>
    </row>
    <row r="1606" spans="1:2" x14ac:dyDescent="0.3">
      <c r="A1606" s="1" t="s">
        <v>815</v>
      </c>
      <c r="B1606" s="16">
        <v>9000000</v>
      </c>
    </row>
    <row r="1607" spans="1:2" x14ac:dyDescent="0.3">
      <c r="A1607" s="1" t="s">
        <v>814</v>
      </c>
      <c r="B1607" s="16">
        <v>8500000</v>
      </c>
    </row>
    <row r="1608" spans="1:2" x14ac:dyDescent="0.3">
      <c r="A1608" s="1" t="s">
        <v>304</v>
      </c>
      <c r="B1608" s="16">
        <v>11000000</v>
      </c>
    </row>
    <row r="1609" spans="1:2" x14ac:dyDescent="0.3">
      <c r="A1609" s="1" t="s">
        <v>813</v>
      </c>
      <c r="B1609" s="16">
        <v>16000000</v>
      </c>
    </row>
    <row r="1610" spans="1:2" x14ac:dyDescent="0.3">
      <c r="A1610" s="1" t="s">
        <v>812</v>
      </c>
      <c r="B1610" s="16">
        <v>9400000</v>
      </c>
    </row>
    <row r="1611" spans="1:2" x14ac:dyDescent="0.3">
      <c r="A1611" s="1" t="s">
        <v>811</v>
      </c>
      <c r="B1611" s="16">
        <v>14500000</v>
      </c>
    </row>
    <row r="1612" spans="1:2" x14ac:dyDescent="0.3">
      <c r="A1612" s="1" t="s">
        <v>810</v>
      </c>
      <c r="B1612" s="16">
        <v>17000000</v>
      </c>
    </row>
    <row r="1613" spans="1:2" x14ac:dyDescent="0.3">
      <c r="A1613" s="1" t="s">
        <v>809</v>
      </c>
      <c r="B1613" s="16">
        <v>8000000</v>
      </c>
    </row>
    <row r="1614" spans="1:2" x14ac:dyDescent="0.3">
      <c r="A1614" s="1" t="s">
        <v>808</v>
      </c>
      <c r="B1614" s="16">
        <v>11000000</v>
      </c>
    </row>
    <row r="1615" spans="1:2" x14ac:dyDescent="0.3">
      <c r="A1615" s="1" t="s">
        <v>807</v>
      </c>
      <c r="B1615" s="16">
        <v>9000000</v>
      </c>
    </row>
    <row r="1616" spans="1:2" x14ac:dyDescent="0.3">
      <c r="A1616" s="1" t="s">
        <v>806</v>
      </c>
      <c r="B1616" s="16">
        <v>15000000</v>
      </c>
    </row>
    <row r="1617" spans="1:2" x14ac:dyDescent="0.3">
      <c r="A1617" s="1" t="s">
        <v>805</v>
      </c>
      <c r="B1617" s="16">
        <v>6500000</v>
      </c>
    </row>
    <row r="1618" spans="1:2" x14ac:dyDescent="0.3">
      <c r="A1618" s="1" t="s">
        <v>804</v>
      </c>
      <c r="B1618" s="16">
        <v>5200000</v>
      </c>
    </row>
    <row r="1619" spans="1:2" x14ac:dyDescent="0.3">
      <c r="A1619" s="1" t="s">
        <v>803</v>
      </c>
      <c r="B1619" s="16">
        <v>8650000</v>
      </c>
    </row>
    <row r="1620" spans="1:2" x14ac:dyDescent="0.3">
      <c r="A1620" s="1" t="s">
        <v>52</v>
      </c>
      <c r="B1620" s="16">
        <v>50000000</v>
      </c>
    </row>
    <row r="1621" spans="1:2" x14ac:dyDescent="0.3">
      <c r="A1621" s="1" t="s">
        <v>802</v>
      </c>
      <c r="B1621" s="16">
        <v>16500000</v>
      </c>
    </row>
    <row r="1622" spans="1:2" x14ac:dyDescent="0.3">
      <c r="A1622" s="1" t="s">
        <v>801</v>
      </c>
      <c r="B1622" s="16">
        <v>8150000</v>
      </c>
    </row>
    <row r="1623" spans="1:2" x14ac:dyDescent="0.3">
      <c r="A1623" s="1" t="s">
        <v>800</v>
      </c>
      <c r="B1623" s="16">
        <v>10350000</v>
      </c>
    </row>
    <row r="1624" spans="1:2" x14ac:dyDescent="0.3">
      <c r="A1624" s="1" t="s">
        <v>782</v>
      </c>
      <c r="B1624" s="16">
        <v>15100000</v>
      </c>
    </row>
    <row r="1625" spans="1:2" x14ac:dyDescent="0.3">
      <c r="A1625" s="1" t="s">
        <v>799</v>
      </c>
      <c r="B1625" s="16">
        <v>24000000</v>
      </c>
    </row>
    <row r="1626" spans="1:2" x14ac:dyDescent="0.3">
      <c r="A1626" s="1" t="s">
        <v>241</v>
      </c>
      <c r="B1626" s="16">
        <v>7700000</v>
      </c>
    </row>
    <row r="1627" spans="1:2" x14ac:dyDescent="0.3">
      <c r="A1627" s="1" t="s">
        <v>798</v>
      </c>
      <c r="B1627" s="16">
        <v>7240000</v>
      </c>
    </row>
    <row r="1628" spans="1:2" x14ac:dyDescent="0.3">
      <c r="A1628" s="1" t="s">
        <v>797</v>
      </c>
      <c r="B1628" s="16">
        <v>14000000</v>
      </c>
    </row>
    <row r="1629" spans="1:2" x14ac:dyDescent="0.3">
      <c r="A1629" s="1" t="s">
        <v>796</v>
      </c>
      <c r="B1629" s="16">
        <v>6500000</v>
      </c>
    </row>
    <row r="1630" spans="1:2" x14ac:dyDescent="0.3">
      <c r="A1630" s="1" t="s">
        <v>795</v>
      </c>
      <c r="B1630" s="16">
        <v>25000000</v>
      </c>
    </row>
    <row r="1631" spans="1:2" x14ac:dyDescent="0.3">
      <c r="A1631" s="1" t="s">
        <v>794</v>
      </c>
      <c r="B1631" s="16">
        <v>13000000</v>
      </c>
    </row>
    <row r="1632" spans="1:2" x14ac:dyDescent="0.3">
      <c r="A1632" s="1" t="s">
        <v>793</v>
      </c>
      <c r="B1632" s="16">
        <v>8000000</v>
      </c>
    </row>
    <row r="1633" spans="1:2" x14ac:dyDescent="0.3">
      <c r="A1633" s="1" t="s">
        <v>792</v>
      </c>
      <c r="B1633" s="16">
        <v>9000000</v>
      </c>
    </row>
    <row r="1634" spans="1:2" x14ac:dyDescent="0.3">
      <c r="A1634" s="1" t="s">
        <v>791</v>
      </c>
      <c r="B1634" s="16">
        <v>8000000</v>
      </c>
    </row>
    <row r="1635" spans="1:2" x14ac:dyDescent="0.3">
      <c r="A1635" s="1" t="s">
        <v>276</v>
      </c>
      <c r="B1635" s="16">
        <v>20600000</v>
      </c>
    </row>
    <row r="1636" spans="1:2" x14ac:dyDescent="0.3">
      <c r="A1636" s="1" t="s">
        <v>133</v>
      </c>
      <c r="B1636" s="16">
        <v>45000000</v>
      </c>
    </row>
    <row r="1637" spans="1:2" x14ac:dyDescent="0.3">
      <c r="A1637" s="1" t="s">
        <v>790</v>
      </c>
      <c r="B1637" s="16">
        <v>14200000</v>
      </c>
    </row>
    <row r="1638" spans="1:2" x14ac:dyDescent="0.3">
      <c r="A1638" s="1" t="s">
        <v>789</v>
      </c>
      <c r="B1638" s="16">
        <v>8620000</v>
      </c>
    </row>
    <row r="1639" spans="1:2" x14ac:dyDescent="0.3">
      <c r="A1639" s="1" t="s">
        <v>788</v>
      </c>
      <c r="B1639" s="16">
        <v>10000000</v>
      </c>
    </row>
    <row r="1640" spans="1:2" x14ac:dyDescent="0.3">
      <c r="A1640" s="1" t="s">
        <v>787</v>
      </c>
      <c r="B1640" s="16">
        <v>11000000</v>
      </c>
    </row>
    <row r="1641" spans="1:2" x14ac:dyDescent="0.3">
      <c r="A1641" s="1" t="s">
        <v>786</v>
      </c>
      <c r="B1641" s="16">
        <v>17500000</v>
      </c>
    </row>
    <row r="1642" spans="1:2" x14ac:dyDescent="0.3">
      <c r="A1642" s="1" t="s">
        <v>785</v>
      </c>
      <c r="B1642" s="16">
        <v>11700000</v>
      </c>
    </row>
    <row r="1643" spans="1:2" x14ac:dyDescent="0.3">
      <c r="A1643" s="1" t="s">
        <v>610</v>
      </c>
      <c r="B1643" s="16">
        <v>8800000</v>
      </c>
    </row>
    <row r="1644" spans="1:2" x14ac:dyDescent="0.3">
      <c r="A1644" s="1" t="s">
        <v>784</v>
      </c>
      <c r="B1644" s="16">
        <v>16000000</v>
      </c>
    </row>
    <row r="1645" spans="1:2" x14ac:dyDescent="0.3">
      <c r="A1645" s="1" t="s">
        <v>783</v>
      </c>
      <c r="B1645" s="16">
        <v>22390000</v>
      </c>
    </row>
    <row r="1646" spans="1:2" x14ac:dyDescent="0.3">
      <c r="A1646" s="1" t="s">
        <v>781</v>
      </c>
      <c r="B1646" s="16">
        <v>31490000</v>
      </c>
    </row>
    <row r="1647" spans="1:2" x14ac:dyDescent="0.3">
      <c r="A1647" s="1" t="s">
        <v>780</v>
      </c>
      <c r="B1647" s="16">
        <v>13750000</v>
      </c>
    </row>
    <row r="1648" spans="1:2" x14ac:dyDescent="0.3">
      <c r="A1648" s="1" t="s">
        <v>779</v>
      </c>
      <c r="B1648" s="16">
        <v>5500000</v>
      </c>
    </row>
    <row r="1649" spans="1:2" x14ac:dyDescent="0.3">
      <c r="A1649" s="1" t="s">
        <v>778</v>
      </c>
      <c r="B1649" s="16">
        <v>7000000</v>
      </c>
    </row>
    <row r="1650" spans="1:2" x14ac:dyDescent="0.3">
      <c r="A1650" s="1" t="s">
        <v>777</v>
      </c>
      <c r="B1650" s="16">
        <v>8000000</v>
      </c>
    </row>
    <row r="1651" spans="1:2" x14ac:dyDescent="0.3">
      <c r="A1651" s="1" t="s">
        <v>776</v>
      </c>
      <c r="B1651" s="16">
        <v>13000000</v>
      </c>
    </row>
    <row r="1652" spans="1:2" x14ac:dyDescent="0.3">
      <c r="A1652" s="1" t="s">
        <v>774</v>
      </c>
      <c r="B1652" s="16">
        <v>6100000</v>
      </c>
    </row>
    <row r="1653" spans="1:2" x14ac:dyDescent="0.3">
      <c r="A1653" s="1" t="s">
        <v>259</v>
      </c>
      <c r="B1653" s="16">
        <v>11500000</v>
      </c>
    </row>
    <row r="1654" spans="1:2" x14ac:dyDescent="0.3">
      <c r="A1654" s="1" t="s">
        <v>773</v>
      </c>
      <c r="B1654" s="16">
        <v>15150000</v>
      </c>
    </row>
    <row r="1655" spans="1:2" x14ac:dyDescent="0.3">
      <c r="A1655" s="1" t="s">
        <v>772</v>
      </c>
      <c r="B1655" s="16">
        <v>6100000</v>
      </c>
    </row>
    <row r="1656" spans="1:2" x14ac:dyDescent="0.3">
      <c r="A1656" s="1" t="s">
        <v>771</v>
      </c>
      <c r="B1656" s="16">
        <v>12500000</v>
      </c>
    </row>
    <row r="1657" spans="1:2" x14ac:dyDescent="0.3">
      <c r="A1657" s="1" t="s">
        <v>770</v>
      </c>
      <c r="B1657" s="16">
        <v>14000000</v>
      </c>
    </row>
    <row r="1658" spans="1:2" x14ac:dyDescent="0.3">
      <c r="A1658" s="1" t="s">
        <v>769</v>
      </c>
      <c r="B1658" s="16">
        <v>7200000</v>
      </c>
    </row>
    <row r="1659" spans="1:2" x14ac:dyDescent="0.3">
      <c r="A1659" s="1" t="s">
        <v>768</v>
      </c>
      <c r="B1659" s="16">
        <v>6200000</v>
      </c>
    </row>
    <row r="1660" spans="1:2" x14ac:dyDescent="0.3">
      <c r="A1660" s="1" t="s">
        <v>767</v>
      </c>
      <c r="B1660" s="16">
        <v>16300000</v>
      </c>
    </row>
    <row r="1661" spans="1:2" x14ac:dyDescent="0.3">
      <c r="A1661" s="1" t="s">
        <v>766</v>
      </c>
      <c r="B1661" s="16">
        <v>11000000</v>
      </c>
    </row>
    <row r="1662" spans="1:2" x14ac:dyDescent="0.3">
      <c r="A1662" s="1" t="s">
        <v>765</v>
      </c>
      <c r="B1662" s="16">
        <v>7600000</v>
      </c>
    </row>
    <row r="1663" spans="1:2" x14ac:dyDescent="0.3">
      <c r="A1663" s="1" t="s">
        <v>764</v>
      </c>
      <c r="B1663" s="16">
        <v>15500000</v>
      </c>
    </row>
    <row r="1664" spans="1:2" x14ac:dyDescent="0.3">
      <c r="A1664" s="1" t="s">
        <v>763</v>
      </c>
      <c r="B1664" s="16">
        <v>13400000</v>
      </c>
    </row>
    <row r="1665" spans="1:2" x14ac:dyDescent="0.3">
      <c r="A1665" s="1" t="s">
        <v>762</v>
      </c>
      <c r="B1665" s="16">
        <v>5350000</v>
      </c>
    </row>
    <row r="1666" spans="1:2" x14ac:dyDescent="0.3">
      <c r="A1666" s="1" t="s">
        <v>761</v>
      </c>
      <c r="B1666" s="16">
        <v>10350000</v>
      </c>
    </row>
    <row r="1667" spans="1:2" x14ac:dyDescent="0.3">
      <c r="A1667" s="1" t="s">
        <v>760</v>
      </c>
      <c r="B1667" s="16">
        <v>11800000</v>
      </c>
    </row>
    <row r="1668" spans="1:2" x14ac:dyDescent="0.3">
      <c r="A1668" s="1" t="s">
        <v>759</v>
      </c>
      <c r="B1668" s="16">
        <v>16000000</v>
      </c>
    </row>
    <row r="1669" spans="1:2" x14ac:dyDescent="0.3">
      <c r="A1669" s="1" t="s">
        <v>756</v>
      </c>
      <c r="B1669" s="16">
        <v>9000000</v>
      </c>
    </row>
    <row r="1670" spans="1:2" x14ac:dyDescent="0.3">
      <c r="A1670" s="1" t="s">
        <v>758</v>
      </c>
      <c r="B1670" s="16">
        <v>22000000</v>
      </c>
    </row>
    <row r="1671" spans="1:2" x14ac:dyDescent="0.3">
      <c r="A1671" s="1" t="s">
        <v>757</v>
      </c>
      <c r="B1671" s="16">
        <v>6500000</v>
      </c>
    </row>
    <row r="1672" spans="1:2" x14ac:dyDescent="0.3">
      <c r="A1672" s="1" t="s">
        <v>755</v>
      </c>
      <c r="B1672" s="16">
        <v>7600000</v>
      </c>
    </row>
    <row r="1673" spans="1:2" x14ac:dyDescent="0.3">
      <c r="A1673" s="1" t="s">
        <v>754</v>
      </c>
      <c r="B1673" s="16">
        <v>17800000</v>
      </c>
    </row>
    <row r="1674" spans="1:2" x14ac:dyDescent="0.3">
      <c r="A1674" s="1" t="s">
        <v>753</v>
      </c>
      <c r="B1674" s="16">
        <v>9000000</v>
      </c>
    </row>
    <row r="1675" spans="1:2" x14ac:dyDescent="0.3">
      <c r="A1675" s="1" t="s">
        <v>752</v>
      </c>
      <c r="B1675" s="16">
        <v>26953052</v>
      </c>
    </row>
    <row r="1676" spans="1:2" x14ac:dyDescent="0.3">
      <c r="A1676" s="1" t="s">
        <v>750</v>
      </c>
      <c r="B1676" s="16">
        <v>5200000</v>
      </c>
    </row>
    <row r="1677" spans="1:2" x14ac:dyDescent="0.3">
      <c r="A1677" s="1" t="s">
        <v>751</v>
      </c>
      <c r="B1677" s="16">
        <v>17000000</v>
      </c>
    </row>
    <row r="1678" spans="1:2" x14ac:dyDescent="0.3">
      <c r="A1678" s="1" t="s">
        <v>749</v>
      </c>
      <c r="B1678" s="16">
        <v>19500000</v>
      </c>
    </row>
    <row r="1679" spans="1:2" x14ac:dyDescent="0.3">
      <c r="A1679" s="1" t="s">
        <v>748</v>
      </c>
      <c r="B1679" s="16">
        <v>17000000</v>
      </c>
    </row>
    <row r="1680" spans="1:2" x14ac:dyDescent="0.3">
      <c r="A1680" s="1" t="s">
        <v>747</v>
      </c>
      <c r="B1680" s="16">
        <v>11500000</v>
      </c>
    </row>
    <row r="1681" spans="1:2" x14ac:dyDescent="0.3">
      <c r="A1681" s="1" t="s">
        <v>746</v>
      </c>
      <c r="B1681" s="16">
        <v>10000000</v>
      </c>
    </row>
    <row r="1682" spans="1:2" x14ac:dyDescent="0.3">
      <c r="A1682" s="1" t="s">
        <v>745</v>
      </c>
      <c r="B1682" s="16">
        <v>17000000</v>
      </c>
    </row>
    <row r="1683" spans="1:2" x14ac:dyDescent="0.3">
      <c r="A1683" s="1" t="s">
        <v>744</v>
      </c>
      <c r="B1683" s="16">
        <v>10750000</v>
      </c>
    </row>
    <row r="1684" spans="1:2" x14ac:dyDescent="0.3">
      <c r="A1684" s="1" t="s">
        <v>743</v>
      </c>
      <c r="B1684" s="16">
        <v>23000000</v>
      </c>
    </row>
    <row r="1685" spans="1:2" x14ac:dyDescent="0.3">
      <c r="A1685" s="1" t="s">
        <v>742</v>
      </c>
      <c r="B1685" s="16">
        <v>24000000</v>
      </c>
    </row>
    <row r="1686" spans="1:2" x14ac:dyDescent="0.3">
      <c r="A1686" s="1" t="s">
        <v>741</v>
      </c>
      <c r="B1686" s="16">
        <v>10300000</v>
      </c>
    </row>
    <row r="1687" spans="1:2" x14ac:dyDescent="0.3">
      <c r="A1687" s="1" t="s">
        <v>740</v>
      </c>
      <c r="B1687" s="16">
        <v>12500000</v>
      </c>
    </row>
    <row r="1688" spans="1:2" x14ac:dyDescent="0.3">
      <c r="A1688" s="1" t="s">
        <v>739</v>
      </c>
      <c r="B1688" s="16">
        <v>18000000</v>
      </c>
    </row>
    <row r="1689" spans="1:2" x14ac:dyDescent="0.3">
      <c r="A1689" s="1" t="s">
        <v>738</v>
      </c>
      <c r="B1689" s="16">
        <v>9400000</v>
      </c>
    </row>
    <row r="1690" spans="1:2" x14ac:dyDescent="0.3">
      <c r="A1690" s="1" t="s">
        <v>737</v>
      </c>
      <c r="B1690" s="16">
        <v>10600000</v>
      </c>
    </row>
    <row r="1691" spans="1:2" x14ac:dyDescent="0.3">
      <c r="A1691" s="1" t="s">
        <v>49</v>
      </c>
      <c r="B1691" s="16">
        <v>7300000</v>
      </c>
    </row>
    <row r="1692" spans="1:2" x14ac:dyDescent="0.3">
      <c r="A1692" s="1" t="s">
        <v>736</v>
      </c>
      <c r="B1692" s="16">
        <v>9650000</v>
      </c>
    </row>
    <row r="1693" spans="1:2" x14ac:dyDescent="0.3">
      <c r="A1693" s="1" t="s">
        <v>733</v>
      </c>
      <c r="B1693" s="16">
        <v>6000000</v>
      </c>
    </row>
    <row r="1694" spans="1:2" x14ac:dyDescent="0.3">
      <c r="A1694" s="1" t="s">
        <v>735</v>
      </c>
      <c r="B1694" s="16">
        <v>7200000</v>
      </c>
    </row>
    <row r="1695" spans="1:2" x14ac:dyDescent="0.3">
      <c r="A1695" s="1" t="s">
        <v>734</v>
      </c>
      <c r="B1695" s="16">
        <v>9000000</v>
      </c>
    </row>
    <row r="1696" spans="1:2" x14ac:dyDescent="0.3">
      <c r="A1696" s="1" t="s">
        <v>732</v>
      </c>
      <c r="B1696" s="16">
        <v>17800000</v>
      </c>
    </row>
    <row r="1697" spans="1:2" x14ac:dyDescent="0.3">
      <c r="A1697" s="1" t="s">
        <v>279</v>
      </c>
      <c r="B1697" s="16">
        <v>14000000</v>
      </c>
    </row>
    <row r="1698" spans="1:2" x14ac:dyDescent="0.3">
      <c r="A1698" s="1" t="s">
        <v>731</v>
      </c>
      <c r="B1698" s="16">
        <v>7300000</v>
      </c>
    </row>
    <row r="1699" spans="1:2" x14ac:dyDescent="0.3">
      <c r="A1699" s="1" t="s">
        <v>730</v>
      </c>
      <c r="B1699" s="16">
        <v>12000000</v>
      </c>
    </row>
    <row r="1700" spans="1:2" x14ac:dyDescent="0.3">
      <c r="A1700" s="1" t="s">
        <v>282</v>
      </c>
      <c r="B1700" s="16">
        <v>27929100</v>
      </c>
    </row>
    <row r="1701" spans="1:2" x14ac:dyDescent="0.3">
      <c r="A1701" s="1" t="s">
        <v>729</v>
      </c>
      <c r="B1701" s="16">
        <v>11800000</v>
      </c>
    </row>
    <row r="1702" spans="1:2" x14ac:dyDescent="0.3">
      <c r="A1702" s="1" t="s">
        <v>728</v>
      </c>
      <c r="B1702" s="16">
        <v>12071500</v>
      </c>
    </row>
    <row r="1703" spans="1:2" x14ac:dyDescent="0.3">
      <c r="A1703" s="1" t="s">
        <v>727</v>
      </c>
      <c r="B1703" s="16">
        <v>18500000</v>
      </c>
    </row>
    <row r="1704" spans="1:2" x14ac:dyDescent="0.3">
      <c r="A1704" s="1" t="s">
        <v>726</v>
      </c>
      <c r="B1704" s="16">
        <v>37000000</v>
      </c>
    </row>
    <row r="1705" spans="1:2" x14ac:dyDescent="0.3">
      <c r="A1705" s="1" t="s">
        <v>725</v>
      </c>
      <c r="B1705" s="16">
        <v>9350000</v>
      </c>
    </row>
    <row r="1706" spans="1:2" x14ac:dyDescent="0.3">
      <c r="A1706" s="1" t="s">
        <v>724</v>
      </c>
      <c r="B1706" s="16">
        <v>12700000</v>
      </c>
    </row>
    <row r="1707" spans="1:2" x14ac:dyDescent="0.3">
      <c r="A1707" s="1" t="s">
        <v>723</v>
      </c>
      <c r="B1707" s="16">
        <v>7000000</v>
      </c>
    </row>
    <row r="1708" spans="1:2" x14ac:dyDescent="0.3">
      <c r="A1708" s="1" t="s">
        <v>722</v>
      </c>
      <c r="B1708" s="16">
        <v>6000000</v>
      </c>
    </row>
    <row r="1709" spans="1:2" x14ac:dyDescent="0.3">
      <c r="A1709" s="1" t="s">
        <v>721</v>
      </c>
      <c r="B1709" s="16">
        <v>11352592</v>
      </c>
    </row>
    <row r="1710" spans="1:2" x14ac:dyDescent="0.3">
      <c r="A1710" s="1" t="s">
        <v>720</v>
      </c>
      <c r="B1710" s="16">
        <v>25000000</v>
      </c>
    </row>
    <row r="1711" spans="1:2" x14ac:dyDescent="0.3">
      <c r="A1711" s="1" t="s">
        <v>719</v>
      </c>
      <c r="B1711" s="16">
        <v>21500000</v>
      </c>
    </row>
    <row r="1712" spans="1:2" x14ac:dyDescent="0.3">
      <c r="A1712" s="1" t="s">
        <v>718</v>
      </c>
      <c r="B1712" s="16">
        <v>8300000</v>
      </c>
    </row>
    <row r="1713" spans="1:2" x14ac:dyDescent="0.3">
      <c r="A1713" s="1" t="s">
        <v>319</v>
      </c>
      <c r="B1713" s="16">
        <v>16350000</v>
      </c>
    </row>
    <row r="1714" spans="1:2" x14ac:dyDescent="0.3">
      <c r="A1714" s="1" t="s">
        <v>717</v>
      </c>
      <c r="B1714" s="16">
        <v>10500000</v>
      </c>
    </row>
    <row r="1715" spans="1:2" x14ac:dyDescent="0.3">
      <c r="A1715" s="1" t="s">
        <v>716</v>
      </c>
      <c r="B1715" s="16">
        <v>7900000</v>
      </c>
    </row>
    <row r="1716" spans="1:2" x14ac:dyDescent="0.3">
      <c r="A1716" s="1" t="s">
        <v>256</v>
      </c>
      <c r="B1716" s="16">
        <v>28490000</v>
      </c>
    </row>
    <row r="1717" spans="1:2" x14ac:dyDescent="0.3">
      <c r="A1717" s="1" t="s">
        <v>715</v>
      </c>
      <c r="B1717" s="16">
        <v>10000000</v>
      </c>
    </row>
    <row r="1718" spans="1:2" x14ac:dyDescent="0.3">
      <c r="A1718" s="1" t="s">
        <v>702</v>
      </c>
      <c r="B1718" s="16">
        <v>9000000</v>
      </c>
    </row>
    <row r="1719" spans="1:2" x14ac:dyDescent="0.3">
      <c r="A1719" s="1" t="s">
        <v>714</v>
      </c>
      <c r="B1719" s="16">
        <v>9500000</v>
      </c>
    </row>
    <row r="1720" spans="1:2" x14ac:dyDescent="0.3">
      <c r="A1720" s="1" t="s">
        <v>713</v>
      </c>
      <c r="B1720" s="16">
        <v>11300000</v>
      </c>
    </row>
    <row r="1721" spans="1:2" x14ac:dyDescent="0.3">
      <c r="A1721" s="1" t="s">
        <v>712</v>
      </c>
      <c r="B1721" s="16">
        <v>11300000</v>
      </c>
    </row>
    <row r="1722" spans="1:2" x14ac:dyDescent="0.3">
      <c r="A1722" s="1" t="s">
        <v>711</v>
      </c>
      <c r="B1722" s="16">
        <v>11000000</v>
      </c>
    </row>
    <row r="1723" spans="1:2" x14ac:dyDescent="0.3">
      <c r="A1723" s="1" t="s">
        <v>710</v>
      </c>
      <c r="B1723" s="16">
        <v>27750000</v>
      </c>
    </row>
    <row r="1724" spans="1:2" x14ac:dyDescent="0.3">
      <c r="A1724" s="1" t="s">
        <v>190</v>
      </c>
      <c r="B1724" s="16">
        <v>21500000</v>
      </c>
    </row>
    <row r="1725" spans="1:2" x14ac:dyDescent="0.3">
      <c r="A1725" s="1" t="s">
        <v>709</v>
      </c>
      <c r="B1725" s="16">
        <v>9800000</v>
      </c>
    </row>
    <row r="1726" spans="1:2" x14ac:dyDescent="0.3">
      <c r="A1726" s="1" t="s">
        <v>708</v>
      </c>
      <c r="B1726" s="16">
        <v>11500000</v>
      </c>
    </row>
    <row r="1727" spans="1:2" x14ac:dyDescent="0.3">
      <c r="A1727" s="1" t="s">
        <v>707</v>
      </c>
      <c r="B1727" s="16">
        <v>17000000</v>
      </c>
    </row>
    <row r="1728" spans="1:2" x14ac:dyDescent="0.3">
      <c r="A1728" s="1" t="s">
        <v>173</v>
      </c>
      <c r="B1728" s="16">
        <v>20000000</v>
      </c>
    </row>
    <row r="1729" spans="1:2" x14ac:dyDescent="0.3">
      <c r="A1729" s="1" t="s">
        <v>706</v>
      </c>
      <c r="B1729" s="16">
        <v>11000000</v>
      </c>
    </row>
    <row r="1730" spans="1:2" x14ac:dyDescent="0.3">
      <c r="A1730" s="1" t="s">
        <v>705</v>
      </c>
      <c r="B1730" s="16">
        <v>21000000</v>
      </c>
    </row>
    <row r="1731" spans="1:2" x14ac:dyDescent="0.3">
      <c r="A1731" s="1" t="s">
        <v>704</v>
      </c>
      <c r="B1731" s="16">
        <v>10500000</v>
      </c>
    </row>
    <row r="1732" spans="1:2" x14ac:dyDescent="0.3">
      <c r="A1732" s="1" t="s">
        <v>703</v>
      </c>
      <c r="B1732" s="16">
        <v>31626783</v>
      </c>
    </row>
    <row r="1733" spans="1:2" x14ac:dyDescent="0.3">
      <c r="A1733" s="1" t="s">
        <v>680</v>
      </c>
      <c r="B1733" s="16">
        <v>7800000</v>
      </c>
    </row>
    <row r="1734" spans="1:2" x14ac:dyDescent="0.3">
      <c r="A1734" s="1" t="s">
        <v>701</v>
      </c>
      <c r="B1734" s="16">
        <v>10000000</v>
      </c>
    </row>
    <row r="1735" spans="1:2" x14ac:dyDescent="0.3">
      <c r="A1735" s="1" t="s">
        <v>695</v>
      </c>
      <c r="B1735" s="16">
        <v>10200000</v>
      </c>
    </row>
    <row r="1736" spans="1:2" x14ac:dyDescent="0.3">
      <c r="A1736" s="1" t="s">
        <v>700</v>
      </c>
      <c r="B1736" s="16">
        <v>10500000</v>
      </c>
    </row>
    <row r="1737" spans="1:2" x14ac:dyDescent="0.3">
      <c r="A1737" s="1" t="s">
        <v>699</v>
      </c>
      <c r="B1737" s="16">
        <v>5840000</v>
      </c>
    </row>
    <row r="1738" spans="1:2" x14ac:dyDescent="0.3">
      <c r="A1738" s="1" t="s">
        <v>697</v>
      </c>
      <c r="B1738" s="16">
        <v>9800000</v>
      </c>
    </row>
    <row r="1739" spans="1:2" x14ac:dyDescent="0.3">
      <c r="A1739" s="1" t="s">
        <v>696</v>
      </c>
      <c r="B1739" s="16">
        <v>11200000</v>
      </c>
    </row>
    <row r="1740" spans="1:2" x14ac:dyDescent="0.3">
      <c r="A1740" s="1" t="s">
        <v>694</v>
      </c>
      <c r="B1740" s="16">
        <v>12000000</v>
      </c>
    </row>
    <row r="1741" spans="1:2" x14ac:dyDescent="0.3">
      <c r="A1741" s="1" t="s">
        <v>693</v>
      </c>
      <c r="B1741" s="16">
        <v>13450000</v>
      </c>
    </row>
    <row r="1742" spans="1:2" x14ac:dyDescent="0.3">
      <c r="A1742" s="1" t="s">
        <v>692</v>
      </c>
      <c r="B1742" s="16">
        <v>18400000</v>
      </c>
    </row>
    <row r="1743" spans="1:2" x14ac:dyDescent="0.3">
      <c r="A1743" s="1" t="s">
        <v>180</v>
      </c>
      <c r="B1743" s="16">
        <v>10600000</v>
      </c>
    </row>
    <row r="1744" spans="1:2" x14ac:dyDescent="0.3">
      <c r="A1744" s="1" t="s">
        <v>691</v>
      </c>
      <c r="B1744" s="16">
        <v>9500000</v>
      </c>
    </row>
    <row r="1745" spans="1:2" x14ac:dyDescent="0.3">
      <c r="A1745" s="1" t="s">
        <v>690</v>
      </c>
      <c r="B1745" s="16">
        <v>15500000</v>
      </c>
    </row>
    <row r="1746" spans="1:2" x14ac:dyDescent="0.3">
      <c r="A1746" s="1" t="s">
        <v>689</v>
      </c>
      <c r="B1746" s="16">
        <v>45000000</v>
      </c>
    </row>
    <row r="1747" spans="1:2" x14ac:dyDescent="0.3">
      <c r="A1747" s="1" t="s">
        <v>687</v>
      </c>
      <c r="B1747" s="16">
        <v>7000000</v>
      </c>
    </row>
    <row r="1748" spans="1:2" x14ac:dyDescent="0.3">
      <c r="A1748" s="1" t="s">
        <v>688</v>
      </c>
      <c r="B1748" s="16">
        <v>14562895</v>
      </c>
    </row>
    <row r="1749" spans="1:2" x14ac:dyDescent="0.3">
      <c r="A1749" s="1" t="s">
        <v>686</v>
      </c>
      <c r="B1749" s="16">
        <v>8000000</v>
      </c>
    </row>
    <row r="1750" spans="1:2" x14ac:dyDescent="0.3">
      <c r="A1750" s="1" t="s">
        <v>685</v>
      </c>
      <c r="B1750" s="16">
        <v>10600000</v>
      </c>
    </row>
    <row r="1751" spans="1:2" x14ac:dyDescent="0.3">
      <c r="A1751" s="1" t="s">
        <v>684</v>
      </c>
      <c r="B1751" s="16">
        <v>28199795</v>
      </c>
    </row>
    <row r="1752" spans="1:2" x14ac:dyDescent="0.3">
      <c r="A1752" s="1" t="s">
        <v>683</v>
      </c>
      <c r="B1752" s="16">
        <v>21000000</v>
      </c>
    </row>
    <row r="1753" spans="1:2" x14ac:dyDescent="0.3">
      <c r="A1753" s="1" t="s">
        <v>682</v>
      </c>
      <c r="B1753" s="16">
        <v>6450000</v>
      </c>
    </row>
    <row r="1754" spans="1:2" x14ac:dyDescent="0.3">
      <c r="A1754" s="1" t="s">
        <v>681</v>
      </c>
      <c r="B1754" s="16">
        <v>8750000</v>
      </c>
    </row>
    <row r="1755" spans="1:2" x14ac:dyDescent="0.3">
      <c r="A1755" s="1" t="s">
        <v>128</v>
      </c>
      <c r="B1755" s="16">
        <v>34000000</v>
      </c>
    </row>
    <row r="1756" spans="1:2" x14ac:dyDescent="0.3">
      <c r="A1756" s="1" t="s">
        <v>679</v>
      </c>
      <c r="B1756" s="16">
        <v>43000000</v>
      </c>
    </row>
    <row r="1757" spans="1:2" x14ac:dyDescent="0.3">
      <c r="A1757" s="1" t="s">
        <v>678</v>
      </c>
      <c r="B1757" s="16">
        <v>9000000</v>
      </c>
    </row>
    <row r="1758" spans="1:2" x14ac:dyDescent="0.3">
      <c r="A1758" s="1" t="s">
        <v>677</v>
      </c>
      <c r="B1758" s="16">
        <v>5700000</v>
      </c>
    </row>
    <row r="1759" spans="1:2" x14ac:dyDescent="0.3">
      <c r="A1759" s="1" t="s">
        <v>676</v>
      </c>
      <c r="B1759" s="16">
        <v>10300000</v>
      </c>
    </row>
    <row r="1760" spans="1:2" x14ac:dyDescent="0.3">
      <c r="A1760" s="1" t="s">
        <v>675</v>
      </c>
      <c r="B1760" s="16">
        <v>8800000</v>
      </c>
    </row>
    <row r="1761" spans="1:2" x14ac:dyDescent="0.3">
      <c r="A1761" s="1" t="s">
        <v>674</v>
      </c>
      <c r="B1761" s="16">
        <v>16000000</v>
      </c>
    </row>
    <row r="1762" spans="1:2" x14ac:dyDescent="0.3">
      <c r="A1762" s="1" t="s">
        <v>673</v>
      </c>
      <c r="B1762" s="16">
        <v>11500000</v>
      </c>
    </row>
    <row r="1763" spans="1:2" x14ac:dyDescent="0.3">
      <c r="A1763" s="1" t="s">
        <v>672</v>
      </c>
      <c r="B1763" s="16">
        <v>12800000</v>
      </c>
    </row>
    <row r="1764" spans="1:2" x14ac:dyDescent="0.3">
      <c r="A1764" s="1" t="s">
        <v>671</v>
      </c>
      <c r="B1764" s="16">
        <v>8100000</v>
      </c>
    </row>
    <row r="1765" spans="1:2" x14ac:dyDescent="0.3">
      <c r="A1765" s="1" t="s">
        <v>263</v>
      </c>
      <c r="B1765" s="16">
        <v>12100000</v>
      </c>
    </row>
    <row r="1766" spans="1:2" x14ac:dyDescent="0.3">
      <c r="A1766" s="1" t="s">
        <v>670</v>
      </c>
      <c r="B1766" s="16">
        <v>5800000</v>
      </c>
    </row>
    <row r="1767" spans="1:2" x14ac:dyDescent="0.3">
      <c r="A1767" s="1" t="s">
        <v>669</v>
      </c>
      <c r="B1767" s="16">
        <v>17000000</v>
      </c>
    </row>
    <row r="1768" spans="1:2" x14ac:dyDescent="0.3">
      <c r="A1768" s="1" t="s">
        <v>668</v>
      </c>
      <c r="B1768" s="16">
        <v>8000000</v>
      </c>
    </row>
    <row r="1769" spans="1:2" x14ac:dyDescent="0.3">
      <c r="A1769" s="1" t="s">
        <v>667</v>
      </c>
      <c r="B1769" s="16">
        <v>4900000</v>
      </c>
    </row>
    <row r="1770" spans="1:2" x14ac:dyDescent="0.3">
      <c r="A1770" s="1" t="s">
        <v>666</v>
      </c>
      <c r="B1770" s="16">
        <v>23000000</v>
      </c>
    </row>
    <row r="1771" spans="1:2" x14ac:dyDescent="0.3">
      <c r="A1771" s="1" t="s">
        <v>665</v>
      </c>
      <c r="B1771" s="16">
        <v>18000000</v>
      </c>
    </row>
    <row r="1772" spans="1:2" x14ac:dyDescent="0.3">
      <c r="A1772" s="1" t="s">
        <v>664</v>
      </c>
      <c r="B1772" s="16">
        <v>5000000</v>
      </c>
    </row>
    <row r="1773" spans="1:2" x14ac:dyDescent="0.3">
      <c r="A1773" s="1" t="s">
        <v>663</v>
      </c>
      <c r="B1773" s="16">
        <v>5000000</v>
      </c>
    </row>
    <row r="1774" spans="1:2" x14ac:dyDescent="0.3">
      <c r="A1774" s="1" t="s">
        <v>658</v>
      </c>
      <c r="B1774" s="16">
        <v>13650000</v>
      </c>
    </row>
    <row r="1775" spans="1:2" x14ac:dyDescent="0.3">
      <c r="A1775" s="1" t="s">
        <v>221</v>
      </c>
      <c r="B1775" s="16">
        <v>38000000</v>
      </c>
    </row>
    <row r="1776" spans="1:2" x14ac:dyDescent="0.3">
      <c r="A1776" s="1" t="s">
        <v>662</v>
      </c>
      <c r="B1776" s="16">
        <v>8250000</v>
      </c>
    </row>
    <row r="1777" spans="1:2" x14ac:dyDescent="0.3">
      <c r="A1777" s="1" t="s">
        <v>168</v>
      </c>
      <c r="B1777" s="16">
        <v>28700000</v>
      </c>
    </row>
    <row r="1778" spans="1:2" x14ac:dyDescent="0.3">
      <c r="A1778" s="1" t="s">
        <v>661</v>
      </c>
      <c r="B1778" s="16">
        <v>12000000</v>
      </c>
    </row>
    <row r="1779" spans="1:2" x14ac:dyDescent="0.3">
      <c r="A1779" s="1" t="s">
        <v>660</v>
      </c>
      <c r="B1779" s="16">
        <v>9000000</v>
      </c>
    </row>
    <row r="1780" spans="1:2" x14ac:dyDescent="0.3">
      <c r="A1780" s="1" t="s">
        <v>659</v>
      </c>
      <c r="B1780" s="16">
        <v>15500000</v>
      </c>
    </row>
    <row r="1781" spans="1:2" x14ac:dyDescent="0.3">
      <c r="A1781" s="1" t="s">
        <v>657</v>
      </c>
      <c r="B1781" s="16">
        <v>23000000</v>
      </c>
    </row>
    <row r="1782" spans="1:2" x14ac:dyDescent="0.3">
      <c r="A1782" s="1" t="s">
        <v>656</v>
      </c>
      <c r="B1782" s="16">
        <v>8700000</v>
      </c>
    </row>
    <row r="1783" spans="1:2" x14ac:dyDescent="0.3">
      <c r="A1783" s="1" t="s">
        <v>655</v>
      </c>
      <c r="B1783" s="16">
        <v>6600000</v>
      </c>
    </row>
    <row r="1784" spans="1:2" x14ac:dyDescent="0.3">
      <c r="A1784" s="1" t="s">
        <v>654</v>
      </c>
      <c r="B1784" s="16">
        <v>6900000</v>
      </c>
    </row>
    <row r="1785" spans="1:2" x14ac:dyDescent="0.3">
      <c r="A1785" s="1" t="s">
        <v>653</v>
      </c>
      <c r="B1785" s="16">
        <v>11300000</v>
      </c>
    </row>
    <row r="1786" spans="1:2" x14ac:dyDescent="0.3">
      <c r="A1786" s="1" t="s">
        <v>652</v>
      </c>
      <c r="B1786" s="16">
        <v>8000000</v>
      </c>
    </row>
    <row r="1787" spans="1:2" x14ac:dyDescent="0.3">
      <c r="A1787" s="1" t="s">
        <v>79</v>
      </c>
      <c r="B1787" s="16">
        <v>9100000</v>
      </c>
    </row>
    <row r="1788" spans="1:2" x14ac:dyDescent="0.3">
      <c r="A1788" s="1" t="s">
        <v>651</v>
      </c>
      <c r="B1788" s="16">
        <v>7300000</v>
      </c>
    </row>
    <row r="1789" spans="1:2" x14ac:dyDescent="0.3">
      <c r="A1789" s="1" t="s">
        <v>650</v>
      </c>
      <c r="B1789" s="16">
        <v>8650000</v>
      </c>
    </row>
    <row r="1790" spans="1:2" x14ac:dyDescent="0.3">
      <c r="A1790" s="1" t="s">
        <v>649</v>
      </c>
      <c r="B1790" s="16">
        <v>9790000</v>
      </c>
    </row>
    <row r="1791" spans="1:2" x14ac:dyDescent="0.3">
      <c r="A1791" s="1" t="s">
        <v>648</v>
      </c>
      <c r="B1791" s="16">
        <v>10500000</v>
      </c>
    </row>
    <row r="1792" spans="1:2" x14ac:dyDescent="0.3">
      <c r="A1792" s="1" t="s">
        <v>647</v>
      </c>
      <c r="B1792" s="16">
        <v>15000000</v>
      </c>
    </row>
    <row r="1793" spans="1:2" x14ac:dyDescent="0.3">
      <c r="A1793" s="1" t="s">
        <v>646</v>
      </c>
      <c r="B1793" s="16">
        <v>10290000</v>
      </c>
    </row>
    <row r="1794" spans="1:2" x14ac:dyDescent="0.3">
      <c r="A1794" s="1" t="s">
        <v>645</v>
      </c>
      <c r="B1794" s="16">
        <v>8000000</v>
      </c>
    </row>
    <row r="1795" spans="1:2" x14ac:dyDescent="0.3">
      <c r="A1795" s="1" t="s">
        <v>644</v>
      </c>
      <c r="B1795" s="16">
        <v>6450000</v>
      </c>
    </row>
    <row r="1796" spans="1:2" x14ac:dyDescent="0.3">
      <c r="A1796" s="1" t="s">
        <v>643</v>
      </c>
      <c r="B1796" s="16">
        <v>16000000</v>
      </c>
    </row>
    <row r="1797" spans="1:2" x14ac:dyDescent="0.3">
      <c r="A1797" s="1" t="s">
        <v>642</v>
      </c>
      <c r="B1797" s="16">
        <v>29381100</v>
      </c>
    </row>
    <row r="1798" spans="1:2" x14ac:dyDescent="0.3">
      <c r="A1798" s="1" t="s">
        <v>641</v>
      </c>
      <c r="B1798" s="16">
        <v>8800000</v>
      </c>
    </row>
    <row r="1799" spans="1:2" x14ac:dyDescent="0.3">
      <c r="A1799" s="1" t="s">
        <v>640</v>
      </c>
      <c r="B1799" s="16">
        <v>12500000</v>
      </c>
    </row>
    <row r="1800" spans="1:2" x14ac:dyDescent="0.3">
      <c r="A1800" s="1" t="s">
        <v>35</v>
      </c>
      <c r="B1800" s="16">
        <v>6200000</v>
      </c>
    </row>
    <row r="1801" spans="1:2" x14ac:dyDescent="0.3">
      <c r="A1801" s="1" t="s">
        <v>52</v>
      </c>
      <c r="B1801" s="16">
        <v>48000000</v>
      </c>
    </row>
    <row r="1802" spans="1:2" x14ac:dyDescent="0.3">
      <c r="A1802" s="1" t="s">
        <v>639</v>
      </c>
      <c r="B1802" s="16">
        <v>7600000</v>
      </c>
    </row>
    <row r="1803" spans="1:2" x14ac:dyDescent="0.3">
      <c r="A1803" s="1" t="s">
        <v>638</v>
      </c>
      <c r="B1803" s="16">
        <v>7450000</v>
      </c>
    </row>
    <row r="1804" spans="1:2" x14ac:dyDescent="0.3">
      <c r="A1804" s="1" t="s">
        <v>637</v>
      </c>
      <c r="B1804" s="16">
        <v>24300000</v>
      </c>
    </row>
    <row r="1805" spans="1:2" x14ac:dyDescent="0.3">
      <c r="A1805" s="1" t="s">
        <v>636</v>
      </c>
      <c r="B1805" s="16">
        <v>9500000</v>
      </c>
    </row>
    <row r="1806" spans="1:2" x14ac:dyDescent="0.3">
      <c r="A1806" s="1" t="s">
        <v>635</v>
      </c>
      <c r="B1806" s="16">
        <v>6450000</v>
      </c>
    </row>
    <row r="1807" spans="1:2" x14ac:dyDescent="0.3">
      <c r="A1807" s="1" t="s">
        <v>634</v>
      </c>
      <c r="B1807" s="16">
        <v>9400000</v>
      </c>
    </row>
    <row r="1808" spans="1:2" x14ac:dyDescent="0.3">
      <c r="A1808" s="1" t="s">
        <v>633</v>
      </c>
      <c r="B1808" s="16">
        <v>14300000</v>
      </c>
    </row>
    <row r="1809" spans="1:2" x14ac:dyDescent="0.3">
      <c r="A1809" s="1" t="s">
        <v>632</v>
      </c>
      <c r="B1809" s="16">
        <v>18000000</v>
      </c>
    </row>
    <row r="1810" spans="1:2" x14ac:dyDescent="0.3">
      <c r="A1810" s="1" t="s">
        <v>631</v>
      </c>
      <c r="B1810" s="16">
        <v>15000000</v>
      </c>
    </row>
    <row r="1811" spans="1:2" x14ac:dyDescent="0.3">
      <c r="A1811" s="1" t="s">
        <v>630</v>
      </c>
      <c r="B1811" s="16">
        <v>36000000</v>
      </c>
    </row>
    <row r="1812" spans="1:2" x14ac:dyDescent="0.3">
      <c r="A1812" s="1" t="s">
        <v>629</v>
      </c>
      <c r="B1812" s="16">
        <v>11000000</v>
      </c>
    </row>
    <row r="1813" spans="1:2" x14ac:dyDescent="0.3">
      <c r="A1813" s="1" t="s">
        <v>628</v>
      </c>
      <c r="B1813" s="16">
        <v>6400000</v>
      </c>
    </row>
    <row r="1814" spans="1:2" x14ac:dyDescent="0.3">
      <c r="A1814" s="1" t="s">
        <v>621</v>
      </c>
      <c r="B1814" s="16">
        <v>17800000</v>
      </c>
    </row>
    <row r="1815" spans="1:2" x14ac:dyDescent="0.3">
      <c r="A1815" s="1" t="s">
        <v>627</v>
      </c>
      <c r="B1815" s="16">
        <v>12650000</v>
      </c>
    </row>
    <row r="1816" spans="1:2" x14ac:dyDescent="0.3">
      <c r="A1816" s="1" t="s">
        <v>626</v>
      </c>
      <c r="B1816" s="16">
        <v>8500000</v>
      </c>
    </row>
    <row r="1817" spans="1:2" x14ac:dyDescent="0.3">
      <c r="A1817" s="1" t="s">
        <v>625</v>
      </c>
      <c r="B1817" s="16">
        <v>9300000</v>
      </c>
    </row>
    <row r="1818" spans="1:2" x14ac:dyDescent="0.3">
      <c r="A1818" s="1" t="s">
        <v>624</v>
      </c>
      <c r="B1818" s="16">
        <v>9500000</v>
      </c>
    </row>
    <row r="1819" spans="1:2" x14ac:dyDescent="0.3">
      <c r="A1819" s="1" t="s">
        <v>623</v>
      </c>
      <c r="B1819" s="16">
        <v>20000000</v>
      </c>
    </row>
    <row r="1820" spans="1:2" x14ac:dyDescent="0.3">
      <c r="A1820" s="1" t="s">
        <v>530</v>
      </c>
      <c r="B1820" s="16">
        <v>6900000</v>
      </c>
    </row>
    <row r="1821" spans="1:2" x14ac:dyDescent="0.3">
      <c r="A1821" s="1" t="s">
        <v>622</v>
      </c>
      <c r="B1821" s="16">
        <v>13800000</v>
      </c>
    </row>
    <row r="1822" spans="1:2" x14ac:dyDescent="0.3">
      <c r="A1822" s="1" t="s">
        <v>110</v>
      </c>
      <c r="B1822" s="16">
        <v>27000000</v>
      </c>
    </row>
    <row r="1823" spans="1:2" x14ac:dyDescent="0.3">
      <c r="A1823" s="1" t="s">
        <v>620</v>
      </c>
      <c r="B1823" s="16">
        <v>10500000</v>
      </c>
    </row>
    <row r="1824" spans="1:2" x14ac:dyDescent="0.3">
      <c r="A1824" s="1" t="s">
        <v>619</v>
      </c>
      <c r="B1824" s="16">
        <v>7000000</v>
      </c>
    </row>
    <row r="1825" spans="1:2" x14ac:dyDescent="0.3">
      <c r="A1825" s="1" t="s">
        <v>119</v>
      </c>
      <c r="B1825" s="16">
        <v>37200000</v>
      </c>
    </row>
    <row r="1826" spans="1:2" x14ac:dyDescent="0.3">
      <c r="A1826" s="1" t="s">
        <v>121</v>
      </c>
      <c r="B1826" s="16">
        <v>34200000</v>
      </c>
    </row>
    <row r="1827" spans="1:2" x14ac:dyDescent="0.3">
      <c r="A1827" s="1" t="s">
        <v>618</v>
      </c>
      <c r="B1827" s="16">
        <v>5700000</v>
      </c>
    </row>
    <row r="1828" spans="1:2" x14ac:dyDescent="0.3">
      <c r="A1828" s="1" t="s">
        <v>617</v>
      </c>
      <c r="B1828" s="16">
        <v>8000000</v>
      </c>
    </row>
    <row r="1829" spans="1:2" x14ac:dyDescent="0.3">
      <c r="A1829" s="1" t="s">
        <v>616</v>
      </c>
      <c r="B1829" s="16">
        <v>6400000</v>
      </c>
    </row>
    <row r="1830" spans="1:2" x14ac:dyDescent="0.3">
      <c r="A1830" s="1" t="s">
        <v>615</v>
      </c>
      <c r="B1830" s="16">
        <v>14700000</v>
      </c>
    </row>
    <row r="1831" spans="1:2" x14ac:dyDescent="0.3">
      <c r="A1831" s="1" t="s">
        <v>614</v>
      </c>
      <c r="B1831" s="16">
        <v>5850000</v>
      </c>
    </row>
    <row r="1832" spans="1:2" x14ac:dyDescent="0.3">
      <c r="A1832" s="1" t="s">
        <v>613</v>
      </c>
      <c r="B1832" s="16">
        <v>8300000</v>
      </c>
    </row>
    <row r="1833" spans="1:2" x14ac:dyDescent="0.3">
      <c r="A1833" s="1" t="s">
        <v>612</v>
      </c>
      <c r="B1833" s="16">
        <v>9300000</v>
      </c>
    </row>
    <row r="1834" spans="1:2" x14ac:dyDescent="0.3">
      <c r="A1834" s="1" t="s">
        <v>611</v>
      </c>
      <c r="B1834" s="16">
        <v>4400000</v>
      </c>
    </row>
    <row r="1835" spans="1:2" x14ac:dyDescent="0.3">
      <c r="A1835" s="1" t="s">
        <v>610</v>
      </c>
      <c r="B1835" s="16">
        <v>8650000</v>
      </c>
    </row>
    <row r="1836" spans="1:2" x14ac:dyDescent="0.3">
      <c r="A1836" s="1" t="s">
        <v>609</v>
      </c>
      <c r="B1836" s="16">
        <v>7000000</v>
      </c>
    </row>
    <row r="1837" spans="1:2" x14ac:dyDescent="0.3">
      <c r="A1837" s="1" t="s">
        <v>187</v>
      </c>
      <c r="B1837" s="16">
        <v>15500000</v>
      </c>
    </row>
    <row r="1838" spans="1:2" x14ac:dyDescent="0.3">
      <c r="A1838" s="1" t="s">
        <v>608</v>
      </c>
      <c r="B1838" s="16">
        <v>18250000</v>
      </c>
    </row>
    <row r="1839" spans="1:2" x14ac:dyDescent="0.3">
      <c r="A1839" s="1" t="s">
        <v>607</v>
      </c>
      <c r="B1839" s="16">
        <v>17650000</v>
      </c>
    </row>
    <row r="1840" spans="1:2" x14ac:dyDescent="0.3">
      <c r="A1840" s="1" t="s">
        <v>606</v>
      </c>
      <c r="B1840" s="16">
        <v>8000000</v>
      </c>
    </row>
    <row r="1841" spans="1:2" x14ac:dyDescent="0.3">
      <c r="A1841" s="1" t="s">
        <v>605</v>
      </c>
      <c r="B1841" s="16">
        <v>17700000</v>
      </c>
    </row>
    <row r="1842" spans="1:2" x14ac:dyDescent="0.3">
      <c r="A1842" s="1" t="s">
        <v>604</v>
      </c>
      <c r="B1842" s="16">
        <v>3500000</v>
      </c>
    </row>
    <row r="1843" spans="1:2" x14ac:dyDescent="0.3">
      <c r="A1843" s="1" t="s">
        <v>603</v>
      </c>
      <c r="B1843" s="16">
        <v>10800000</v>
      </c>
    </row>
    <row r="1844" spans="1:2" x14ac:dyDescent="0.3">
      <c r="A1844" s="1" t="s">
        <v>272</v>
      </c>
      <c r="B1844" s="16">
        <v>19800000</v>
      </c>
    </row>
    <row r="1845" spans="1:2" x14ac:dyDescent="0.3">
      <c r="A1845" s="1" t="s">
        <v>602</v>
      </c>
      <c r="B1845" s="16">
        <v>5200000</v>
      </c>
    </row>
    <row r="1846" spans="1:2" x14ac:dyDescent="0.3">
      <c r="A1846" s="1" t="s">
        <v>601</v>
      </c>
      <c r="B1846" s="16">
        <v>8900000</v>
      </c>
    </row>
    <row r="1847" spans="1:2" x14ac:dyDescent="0.3">
      <c r="A1847" s="1" t="s">
        <v>600</v>
      </c>
      <c r="B1847" s="16">
        <v>8400000</v>
      </c>
    </row>
    <row r="1848" spans="1:2" x14ac:dyDescent="0.3">
      <c r="A1848" s="1" t="s">
        <v>599</v>
      </c>
      <c r="B1848" s="16">
        <v>9000000</v>
      </c>
    </row>
    <row r="1849" spans="1:2" x14ac:dyDescent="0.3">
      <c r="A1849" s="1" t="s">
        <v>598</v>
      </c>
      <c r="B1849" s="16">
        <v>15300000</v>
      </c>
    </row>
    <row r="1850" spans="1:2" x14ac:dyDescent="0.3">
      <c r="A1850" s="1" t="s">
        <v>597</v>
      </c>
      <c r="B1850" s="16">
        <v>19900000</v>
      </c>
    </row>
    <row r="1851" spans="1:2" x14ac:dyDescent="0.3">
      <c r="A1851" s="1" t="s">
        <v>596</v>
      </c>
      <c r="B1851" s="16">
        <v>13300000</v>
      </c>
    </row>
    <row r="1852" spans="1:2" x14ac:dyDescent="0.3">
      <c r="A1852" s="1" t="s">
        <v>259</v>
      </c>
      <c r="B1852" s="16">
        <v>13490000</v>
      </c>
    </row>
    <row r="1853" spans="1:2" x14ac:dyDescent="0.3">
      <c r="A1853" s="1" t="s">
        <v>595</v>
      </c>
      <c r="B1853" s="16">
        <v>15000000</v>
      </c>
    </row>
    <row r="1854" spans="1:2" x14ac:dyDescent="0.3">
      <c r="A1854" s="1" t="s">
        <v>594</v>
      </c>
      <c r="B1854" s="16">
        <v>9300000</v>
      </c>
    </row>
    <row r="1855" spans="1:2" x14ac:dyDescent="0.3">
      <c r="A1855" s="1" t="s">
        <v>593</v>
      </c>
      <c r="B1855" s="16">
        <v>15000000</v>
      </c>
    </row>
    <row r="1856" spans="1:2" x14ac:dyDescent="0.3">
      <c r="A1856" s="1" t="s">
        <v>592</v>
      </c>
      <c r="B1856" s="16">
        <v>6800000</v>
      </c>
    </row>
    <row r="1857" spans="1:2" x14ac:dyDescent="0.3">
      <c r="A1857" s="1" t="s">
        <v>591</v>
      </c>
      <c r="B1857" s="16">
        <v>8500000</v>
      </c>
    </row>
    <row r="1858" spans="1:2" x14ac:dyDescent="0.3">
      <c r="A1858" s="1" t="s">
        <v>590</v>
      </c>
      <c r="B1858" s="16">
        <v>10000000</v>
      </c>
    </row>
    <row r="1859" spans="1:2" x14ac:dyDescent="0.3">
      <c r="A1859" s="1" t="s">
        <v>589</v>
      </c>
      <c r="B1859" s="16">
        <v>27500000</v>
      </c>
    </row>
    <row r="1860" spans="1:2" x14ac:dyDescent="0.3">
      <c r="A1860" s="1" t="s">
        <v>588</v>
      </c>
      <c r="B1860" s="16">
        <v>12000000</v>
      </c>
    </row>
    <row r="1861" spans="1:2" x14ac:dyDescent="0.3">
      <c r="A1861" s="1" t="s">
        <v>581</v>
      </c>
      <c r="B1861" s="16">
        <v>9250000</v>
      </c>
    </row>
    <row r="1862" spans="1:2" x14ac:dyDescent="0.3">
      <c r="A1862" s="1" t="s">
        <v>587</v>
      </c>
      <c r="B1862" s="16">
        <v>11300000</v>
      </c>
    </row>
    <row r="1863" spans="1:2" x14ac:dyDescent="0.3">
      <c r="A1863" s="1" t="s">
        <v>586</v>
      </c>
      <c r="B1863" s="16">
        <v>10600000</v>
      </c>
    </row>
    <row r="1864" spans="1:2" x14ac:dyDescent="0.3">
      <c r="A1864" s="1" t="s">
        <v>585</v>
      </c>
      <c r="B1864" s="16">
        <v>8200000</v>
      </c>
    </row>
    <row r="1865" spans="1:2" x14ac:dyDescent="0.3">
      <c r="A1865" s="1" t="s">
        <v>584</v>
      </c>
      <c r="B1865" s="16">
        <v>16800000</v>
      </c>
    </row>
    <row r="1866" spans="1:2" x14ac:dyDescent="0.3">
      <c r="A1866" s="1" t="s">
        <v>583</v>
      </c>
      <c r="B1866" s="16">
        <v>12700000</v>
      </c>
    </row>
    <row r="1867" spans="1:2" x14ac:dyDescent="0.3">
      <c r="A1867" s="1" t="s">
        <v>582</v>
      </c>
      <c r="B1867" s="16">
        <v>27953100</v>
      </c>
    </row>
    <row r="1868" spans="1:2" x14ac:dyDescent="0.3">
      <c r="A1868" s="1" t="s">
        <v>580</v>
      </c>
      <c r="B1868" s="16">
        <v>48476099</v>
      </c>
    </row>
    <row r="1869" spans="1:2" x14ac:dyDescent="0.3">
      <c r="A1869" s="1" t="s">
        <v>579</v>
      </c>
      <c r="B1869" s="16">
        <v>16000000</v>
      </c>
    </row>
    <row r="1870" spans="1:2" x14ac:dyDescent="0.3">
      <c r="A1870" s="1" t="s">
        <v>578</v>
      </c>
      <c r="B1870" s="16">
        <v>11700000</v>
      </c>
    </row>
    <row r="1871" spans="1:2" x14ac:dyDescent="0.3">
      <c r="A1871" s="1" t="s">
        <v>577</v>
      </c>
      <c r="B1871" s="16">
        <v>9150000</v>
      </c>
    </row>
    <row r="1872" spans="1:2" x14ac:dyDescent="0.3">
      <c r="A1872" s="1" t="s">
        <v>576</v>
      </c>
      <c r="B1872" s="16">
        <v>52300000</v>
      </c>
    </row>
    <row r="1873" spans="1:2" x14ac:dyDescent="0.3">
      <c r="A1873" s="1" t="s">
        <v>575</v>
      </c>
      <c r="B1873" s="16">
        <v>10900000</v>
      </c>
    </row>
    <row r="1874" spans="1:2" x14ac:dyDescent="0.3">
      <c r="A1874" s="1" t="s">
        <v>574</v>
      </c>
      <c r="B1874" s="16">
        <v>8550000</v>
      </c>
    </row>
    <row r="1875" spans="1:2" x14ac:dyDescent="0.3">
      <c r="A1875" s="1" t="s">
        <v>573</v>
      </c>
      <c r="B1875" s="16">
        <v>15500000</v>
      </c>
    </row>
    <row r="1876" spans="1:2" x14ac:dyDescent="0.3">
      <c r="A1876" s="1" t="s">
        <v>572</v>
      </c>
      <c r="B1876" s="16">
        <v>45290000</v>
      </c>
    </row>
    <row r="1877" spans="1:2" x14ac:dyDescent="0.3">
      <c r="A1877" s="1" t="s">
        <v>571</v>
      </c>
      <c r="B1877" s="16">
        <v>22200000</v>
      </c>
    </row>
    <row r="1878" spans="1:2" x14ac:dyDescent="0.3">
      <c r="A1878" s="1" t="s">
        <v>570</v>
      </c>
      <c r="B1878" s="16">
        <v>14200000</v>
      </c>
    </row>
    <row r="1879" spans="1:2" x14ac:dyDescent="0.3">
      <c r="A1879" s="1" t="s">
        <v>546</v>
      </c>
      <c r="B1879" s="16">
        <v>39151000</v>
      </c>
    </row>
    <row r="1880" spans="1:2" x14ac:dyDescent="0.3">
      <c r="A1880" s="1" t="s">
        <v>569</v>
      </c>
      <c r="B1880" s="16">
        <v>10200000</v>
      </c>
    </row>
    <row r="1881" spans="1:2" x14ac:dyDescent="0.3">
      <c r="A1881" s="1" t="s">
        <v>568</v>
      </c>
      <c r="B1881" s="16">
        <v>26500000</v>
      </c>
    </row>
    <row r="1882" spans="1:2" x14ac:dyDescent="0.3">
      <c r="A1882" s="1" t="s">
        <v>567</v>
      </c>
      <c r="B1882" s="16">
        <v>10000000</v>
      </c>
    </row>
    <row r="1883" spans="1:2" x14ac:dyDescent="0.3">
      <c r="A1883" s="1" t="s">
        <v>566</v>
      </c>
      <c r="B1883" s="16">
        <v>14000000</v>
      </c>
    </row>
    <row r="1884" spans="1:2" x14ac:dyDescent="0.3">
      <c r="A1884" s="1" t="s">
        <v>565</v>
      </c>
      <c r="B1884" s="16">
        <v>10000000</v>
      </c>
    </row>
    <row r="1885" spans="1:2" x14ac:dyDescent="0.3">
      <c r="A1885" s="1" t="s">
        <v>564</v>
      </c>
      <c r="B1885" s="16">
        <v>18500000</v>
      </c>
    </row>
    <row r="1886" spans="1:2" x14ac:dyDescent="0.3">
      <c r="A1886" s="1" t="s">
        <v>563</v>
      </c>
      <c r="B1886" s="16">
        <v>8000000</v>
      </c>
    </row>
    <row r="1887" spans="1:2" x14ac:dyDescent="0.3">
      <c r="A1887" s="1" t="s">
        <v>562</v>
      </c>
      <c r="B1887" s="16">
        <v>12300000</v>
      </c>
    </row>
    <row r="1888" spans="1:2" x14ac:dyDescent="0.3">
      <c r="A1888" s="1" t="s">
        <v>561</v>
      </c>
      <c r="B1888" s="16">
        <v>8300000</v>
      </c>
    </row>
    <row r="1889" spans="1:2" x14ac:dyDescent="0.3">
      <c r="A1889" s="1" t="s">
        <v>560</v>
      </c>
      <c r="B1889" s="16">
        <v>10900000</v>
      </c>
    </row>
    <row r="1890" spans="1:2" x14ac:dyDescent="0.3">
      <c r="A1890" s="1" t="s">
        <v>559</v>
      </c>
      <c r="B1890" s="16">
        <v>30000000</v>
      </c>
    </row>
    <row r="1891" spans="1:2" x14ac:dyDescent="0.3">
      <c r="A1891" s="1" t="s">
        <v>558</v>
      </c>
      <c r="B1891" s="16">
        <v>14250000</v>
      </c>
    </row>
    <row r="1892" spans="1:2" x14ac:dyDescent="0.3">
      <c r="A1892" s="1" t="s">
        <v>556</v>
      </c>
      <c r="B1892" s="16">
        <v>12200000</v>
      </c>
    </row>
    <row r="1893" spans="1:2" x14ac:dyDescent="0.3">
      <c r="A1893" s="1" t="s">
        <v>557</v>
      </c>
      <c r="B1893" s="16">
        <v>13000000</v>
      </c>
    </row>
    <row r="1894" spans="1:2" x14ac:dyDescent="0.3">
      <c r="A1894" s="1" t="s">
        <v>555</v>
      </c>
      <c r="B1894" s="16">
        <v>10000000</v>
      </c>
    </row>
    <row r="1895" spans="1:2" x14ac:dyDescent="0.3">
      <c r="A1895" s="1" t="s">
        <v>554</v>
      </c>
      <c r="B1895" s="16">
        <v>12000000</v>
      </c>
    </row>
    <row r="1896" spans="1:2" x14ac:dyDescent="0.3">
      <c r="A1896" s="1" t="s">
        <v>553</v>
      </c>
      <c r="B1896" s="16">
        <v>30320000</v>
      </c>
    </row>
    <row r="1897" spans="1:2" x14ac:dyDescent="0.3">
      <c r="A1897" s="1" t="s">
        <v>552</v>
      </c>
      <c r="B1897" s="16">
        <v>12000000</v>
      </c>
    </row>
    <row r="1898" spans="1:2" x14ac:dyDescent="0.3">
      <c r="A1898" s="1" t="s">
        <v>551</v>
      </c>
      <c r="B1898" s="16">
        <v>17000000</v>
      </c>
    </row>
    <row r="1899" spans="1:2" x14ac:dyDescent="0.3">
      <c r="A1899" s="1" t="s">
        <v>550</v>
      </c>
      <c r="B1899" s="16">
        <v>30000000</v>
      </c>
    </row>
    <row r="1900" spans="1:2" x14ac:dyDescent="0.3">
      <c r="A1900" s="1" t="s">
        <v>267</v>
      </c>
      <c r="B1900" s="16">
        <v>16000000</v>
      </c>
    </row>
    <row r="1901" spans="1:2" x14ac:dyDescent="0.3">
      <c r="A1901" s="1" t="s">
        <v>549</v>
      </c>
      <c r="B1901" s="16">
        <v>8200000</v>
      </c>
    </row>
    <row r="1902" spans="1:2" x14ac:dyDescent="0.3">
      <c r="A1902" s="1" t="s">
        <v>548</v>
      </c>
      <c r="B1902" s="16">
        <v>8700000</v>
      </c>
    </row>
    <row r="1903" spans="1:2" x14ac:dyDescent="0.3">
      <c r="A1903" s="1" t="s">
        <v>547</v>
      </c>
      <c r="B1903" s="16">
        <v>16500000</v>
      </c>
    </row>
    <row r="1904" spans="1:2" x14ac:dyDescent="0.3">
      <c r="A1904" s="1" t="s">
        <v>234</v>
      </c>
      <c r="B1904" s="16">
        <v>15400000</v>
      </c>
    </row>
    <row r="1905" spans="1:2" x14ac:dyDescent="0.3">
      <c r="A1905" s="1" t="s">
        <v>545</v>
      </c>
      <c r="B1905" s="16">
        <v>32237100</v>
      </c>
    </row>
    <row r="1906" spans="1:2" x14ac:dyDescent="0.3">
      <c r="A1906" s="1" t="s">
        <v>544</v>
      </c>
      <c r="B1906" s="16">
        <v>5000000</v>
      </c>
    </row>
    <row r="1907" spans="1:2" x14ac:dyDescent="0.3">
      <c r="A1907" s="1" t="s">
        <v>543</v>
      </c>
      <c r="B1907" s="16">
        <v>8000000</v>
      </c>
    </row>
    <row r="1908" spans="1:2" x14ac:dyDescent="0.3">
      <c r="A1908" s="1" t="s">
        <v>542</v>
      </c>
      <c r="B1908" s="16">
        <v>25000000</v>
      </c>
    </row>
    <row r="1909" spans="1:2" x14ac:dyDescent="0.3">
      <c r="A1909" s="1" t="s">
        <v>541</v>
      </c>
      <c r="B1909" s="16">
        <v>6500000</v>
      </c>
    </row>
    <row r="1910" spans="1:2" x14ac:dyDescent="0.3">
      <c r="A1910" s="1" t="s">
        <v>540</v>
      </c>
      <c r="B1910" s="16">
        <v>14400000</v>
      </c>
    </row>
    <row r="1911" spans="1:2" x14ac:dyDescent="0.3">
      <c r="A1911" s="1" t="s">
        <v>539</v>
      </c>
      <c r="B1911" s="16">
        <v>5500000</v>
      </c>
    </row>
    <row r="1912" spans="1:2" x14ac:dyDescent="0.3">
      <c r="A1912" s="1" t="s">
        <v>526</v>
      </c>
      <c r="B1912" s="16">
        <v>11200000</v>
      </c>
    </row>
    <row r="1913" spans="1:2" x14ac:dyDescent="0.3">
      <c r="A1913" s="1" t="s">
        <v>538</v>
      </c>
      <c r="B1913" s="16">
        <v>7000000</v>
      </c>
    </row>
    <row r="1914" spans="1:2" x14ac:dyDescent="0.3">
      <c r="A1914" s="1" t="s">
        <v>537</v>
      </c>
      <c r="B1914" s="16">
        <v>9500000</v>
      </c>
    </row>
    <row r="1915" spans="1:2" x14ac:dyDescent="0.3">
      <c r="A1915" s="1" t="s">
        <v>66</v>
      </c>
      <c r="B1915" s="16">
        <v>6300000</v>
      </c>
    </row>
    <row r="1916" spans="1:2" x14ac:dyDescent="0.3">
      <c r="A1916" s="1" t="s">
        <v>536</v>
      </c>
      <c r="B1916" s="16">
        <v>9800000</v>
      </c>
    </row>
    <row r="1917" spans="1:2" x14ac:dyDescent="0.3">
      <c r="A1917" s="1" t="s">
        <v>535</v>
      </c>
      <c r="B1917" s="16">
        <v>7300000</v>
      </c>
    </row>
    <row r="1918" spans="1:2" x14ac:dyDescent="0.3">
      <c r="A1918" s="1" t="s">
        <v>534</v>
      </c>
      <c r="B1918" s="16">
        <v>7000000</v>
      </c>
    </row>
    <row r="1919" spans="1:2" x14ac:dyDescent="0.3">
      <c r="A1919" s="1" t="s">
        <v>533</v>
      </c>
      <c r="B1919" s="16">
        <v>6800000</v>
      </c>
    </row>
    <row r="1920" spans="1:2" x14ac:dyDescent="0.3">
      <c r="A1920" s="1" t="s">
        <v>532</v>
      </c>
      <c r="B1920" s="16">
        <v>14000000</v>
      </c>
    </row>
    <row r="1921" spans="1:2" x14ac:dyDescent="0.3">
      <c r="A1921" s="1" t="s">
        <v>531</v>
      </c>
      <c r="B1921" s="16">
        <v>11000000</v>
      </c>
    </row>
    <row r="1922" spans="1:2" x14ac:dyDescent="0.3">
      <c r="A1922" s="1" t="s">
        <v>115</v>
      </c>
      <c r="B1922" s="16">
        <v>24000000</v>
      </c>
    </row>
    <row r="1923" spans="1:2" x14ac:dyDescent="0.3">
      <c r="A1923" s="1" t="s">
        <v>530</v>
      </c>
      <c r="B1923" s="16">
        <v>8990000</v>
      </c>
    </row>
    <row r="1924" spans="1:2" x14ac:dyDescent="0.3">
      <c r="A1924" s="1" t="s">
        <v>528</v>
      </c>
      <c r="B1924" s="16">
        <v>9200000</v>
      </c>
    </row>
    <row r="1925" spans="1:2" x14ac:dyDescent="0.3">
      <c r="A1925" s="1" t="s">
        <v>529</v>
      </c>
      <c r="B1925" s="16">
        <v>9250000</v>
      </c>
    </row>
    <row r="1926" spans="1:2" x14ac:dyDescent="0.3">
      <c r="A1926" s="1" t="s">
        <v>527</v>
      </c>
      <c r="B1926" s="16">
        <v>6000000</v>
      </c>
    </row>
    <row r="1927" spans="1:2" x14ac:dyDescent="0.3">
      <c r="A1927" s="1" t="s">
        <v>525</v>
      </c>
      <c r="B1927" s="16">
        <v>4700000</v>
      </c>
    </row>
    <row r="1928" spans="1:2" x14ac:dyDescent="0.3">
      <c r="A1928" s="1" t="s">
        <v>524</v>
      </c>
      <c r="B1928" s="16">
        <v>4500000</v>
      </c>
    </row>
    <row r="1929" spans="1:2" x14ac:dyDescent="0.3">
      <c r="A1929" s="1" t="s">
        <v>523</v>
      </c>
      <c r="B1929" s="16">
        <v>9500000</v>
      </c>
    </row>
    <row r="1930" spans="1:2" x14ac:dyDescent="0.3">
      <c r="A1930" s="1" t="s">
        <v>522</v>
      </c>
      <c r="B1930" s="16">
        <v>10700000</v>
      </c>
    </row>
    <row r="1931" spans="1:2" x14ac:dyDescent="0.3">
      <c r="A1931" s="1" t="s">
        <v>521</v>
      </c>
      <c r="B1931" s="16">
        <v>10000000</v>
      </c>
    </row>
    <row r="1932" spans="1:2" x14ac:dyDescent="0.3">
      <c r="A1932" s="1" t="s">
        <v>520</v>
      </c>
      <c r="B1932" s="16">
        <v>10600000</v>
      </c>
    </row>
    <row r="1933" spans="1:2" x14ac:dyDescent="0.3">
      <c r="A1933" s="1" t="s">
        <v>519</v>
      </c>
      <c r="B1933" s="16">
        <v>26525100</v>
      </c>
    </row>
    <row r="1934" spans="1:2" x14ac:dyDescent="0.3">
      <c r="A1934" s="1" t="s">
        <v>518</v>
      </c>
      <c r="B1934" s="16">
        <v>7400000</v>
      </c>
    </row>
    <row r="1935" spans="1:2" x14ac:dyDescent="0.3">
      <c r="A1935" s="1" t="s">
        <v>517</v>
      </c>
      <c r="B1935" s="16">
        <v>46000000</v>
      </c>
    </row>
    <row r="1936" spans="1:2" x14ac:dyDescent="0.3">
      <c r="A1936" s="1" t="s">
        <v>516</v>
      </c>
      <c r="B1936" s="16">
        <v>8000000</v>
      </c>
    </row>
    <row r="1937" spans="1:2" x14ac:dyDescent="0.3">
      <c r="A1937" s="1" t="s">
        <v>515</v>
      </c>
      <c r="B1937" s="16">
        <v>5500000</v>
      </c>
    </row>
    <row r="1938" spans="1:2" x14ac:dyDescent="0.3">
      <c r="A1938" s="1" t="s">
        <v>514</v>
      </c>
      <c r="B1938" s="16">
        <v>15700000</v>
      </c>
    </row>
    <row r="1939" spans="1:2" x14ac:dyDescent="0.3">
      <c r="A1939" s="1" t="s">
        <v>513</v>
      </c>
      <c r="B1939" s="16">
        <v>7000000</v>
      </c>
    </row>
    <row r="1940" spans="1:2" x14ac:dyDescent="0.3">
      <c r="A1940" s="1" t="s">
        <v>512</v>
      </c>
      <c r="B1940" s="16">
        <v>16000000</v>
      </c>
    </row>
    <row r="1941" spans="1:2" x14ac:dyDescent="0.3">
      <c r="A1941" s="1" t="s">
        <v>135</v>
      </c>
      <c r="B1941" s="16">
        <v>27000000</v>
      </c>
    </row>
    <row r="1942" spans="1:2" x14ac:dyDescent="0.3">
      <c r="A1942" s="1" t="s">
        <v>511</v>
      </c>
      <c r="B1942" s="16">
        <v>16150000</v>
      </c>
    </row>
    <row r="1943" spans="1:2" x14ac:dyDescent="0.3">
      <c r="A1943" s="1" t="s">
        <v>510</v>
      </c>
      <c r="B1943" s="16">
        <v>9000000</v>
      </c>
    </row>
    <row r="1944" spans="1:2" x14ac:dyDescent="0.3">
      <c r="A1944" s="1" t="s">
        <v>72</v>
      </c>
      <c r="B1944" s="16">
        <v>6900000</v>
      </c>
    </row>
    <row r="1945" spans="1:2" x14ac:dyDescent="0.3">
      <c r="A1945" s="1" t="s">
        <v>509</v>
      </c>
      <c r="B1945" s="16">
        <v>15000000</v>
      </c>
    </row>
    <row r="1946" spans="1:2" x14ac:dyDescent="0.3">
      <c r="A1946" s="1" t="s">
        <v>321</v>
      </c>
      <c r="B1946" s="16">
        <v>22000000</v>
      </c>
    </row>
    <row r="1947" spans="1:2" x14ac:dyDescent="0.3">
      <c r="A1947" s="1" t="s">
        <v>290</v>
      </c>
      <c r="B1947" s="16">
        <v>26200000</v>
      </c>
    </row>
    <row r="1948" spans="1:2" x14ac:dyDescent="0.3">
      <c r="A1948" s="1" t="s">
        <v>508</v>
      </c>
      <c r="B1948" s="16">
        <v>15200000</v>
      </c>
    </row>
    <row r="1949" spans="1:2" x14ac:dyDescent="0.3">
      <c r="A1949" s="1" t="s">
        <v>28</v>
      </c>
      <c r="B1949" s="16">
        <v>20000000</v>
      </c>
    </row>
    <row r="1950" spans="1:2" x14ac:dyDescent="0.3">
      <c r="A1950" s="1" t="s">
        <v>507</v>
      </c>
      <c r="B1950" s="16">
        <v>9000000</v>
      </c>
    </row>
    <row r="1951" spans="1:2" x14ac:dyDescent="0.3">
      <c r="A1951" s="1" t="s">
        <v>506</v>
      </c>
      <c r="B1951" s="16">
        <v>13500000</v>
      </c>
    </row>
    <row r="1952" spans="1:2" x14ac:dyDescent="0.3">
      <c r="A1952" s="1" t="s">
        <v>505</v>
      </c>
      <c r="B1952" s="16">
        <v>3700000</v>
      </c>
    </row>
    <row r="1953" spans="1:2" x14ac:dyDescent="0.3">
      <c r="A1953" s="1" t="s">
        <v>504</v>
      </c>
      <c r="B1953" s="16">
        <v>8500000</v>
      </c>
    </row>
    <row r="1954" spans="1:2" x14ac:dyDescent="0.3">
      <c r="A1954" s="1" t="s">
        <v>503</v>
      </c>
      <c r="B1954" s="16">
        <v>4550000</v>
      </c>
    </row>
    <row r="1955" spans="1:2" x14ac:dyDescent="0.3">
      <c r="A1955" s="1" t="s">
        <v>502</v>
      </c>
      <c r="B1955" s="16">
        <v>44811592</v>
      </c>
    </row>
    <row r="1956" spans="1:2" x14ac:dyDescent="0.3">
      <c r="A1956" s="1" t="s">
        <v>501</v>
      </c>
      <c r="B1956" s="16">
        <v>19200000</v>
      </c>
    </row>
    <row r="1957" spans="1:2" x14ac:dyDescent="0.3">
      <c r="A1957" s="1" t="s">
        <v>339</v>
      </c>
      <c r="B1957" s="16">
        <v>5200000</v>
      </c>
    </row>
    <row r="1958" spans="1:2" x14ac:dyDescent="0.3">
      <c r="A1958" s="1" t="s">
        <v>500</v>
      </c>
      <c r="B1958" s="16">
        <v>8800000</v>
      </c>
    </row>
    <row r="1959" spans="1:2" x14ac:dyDescent="0.3">
      <c r="A1959" s="1" t="s">
        <v>499</v>
      </c>
      <c r="B1959" s="16">
        <v>15500000</v>
      </c>
    </row>
    <row r="1960" spans="1:2" x14ac:dyDescent="0.3">
      <c r="A1960" s="1" t="s">
        <v>498</v>
      </c>
      <c r="B1960" s="16">
        <v>12100000</v>
      </c>
    </row>
    <row r="1961" spans="1:2" x14ac:dyDescent="0.3">
      <c r="A1961" s="1" t="s">
        <v>497</v>
      </c>
      <c r="B1961" s="16">
        <v>14000000</v>
      </c>
    </row>
    <row r="1962" spans="1:2" x14ac:dyDescent="0.3">
      <c r="A1962" s="1" t="s">
        <v>496</v>
      </c>
      <c r="B1962" s="16">
        <v>7300000</v>
      </c>
    </row>
    <row r="1963" spans="1:2" x14ac:dyDescent="0.3">
      <c r="A1963" s="1" t="s">
        <v>495</v>
      </c>
      <c r="B1963" s="16">
        <v>16750000</v>
      </c>
    </row>
    <row r="1964" spans="1:2" x14ac:dyDescent="0.3">
      <c r="A1964" s="1" t="s">
        <v>494</v>
      </c>
      <c r="B1964" s="16">
        <v>11300000</v>
      </c>
    </row>
    <row r="1965" spans="1:2" x14ac:dyDescent="0.3">
      <c r="A1965" s="1" t="s">
        <v>493</v>
      </c>
      <c r="B1965" s="16">
        <v>24000000</v>
      </c>
    </row>
    <row r="1966" spans="1:2" x14ac:dyDescent="0.3">
      <c r="A1966" s="1" t="s">
        <v>492</v>
      </c>
      <c r="B1966" s="16">
        <v>41200000</v>
      </c>
    </row>
    <row r="1967" spans="1:2" x14ac:dyDescent="0.3">
      <c r="A1967" s="1" t="s">
        <v>491</v>
      </c>
      <c r="B1967" s="16">
        <v>6500000</v>
      </c>
    </row>
    <row r="1968" spans="1:2" x14ac:dyDescent="0.3">
      <c r="A1968" s="1" t="s">
        <v>490</v>
      </c>
      <c r="B1968" s="16">
        <v>14500000</v>
      </c>
    </row>
    <row r="1969" spans="1:2" x14ac:dyDescent="0.3">
      <c r="A1969" s="1" t="s">
        <v>489</v>
      </c>
      <c r="B1969" s="16">
        <v>22100000</v>
      </c>
    </row>
    <row r="1970" spans="1:2" x14ac:dyDescent="0.3">
      <c r="A1970" s="1" t="s">
        <v>478</v>
      </c>
      <c r="B1970" s="16">
        <v>10000000</v>
      </c>
    </row>
    <row r="1971" spans="1:2" x14ac:dyDescent="0.3">
      <c r="A1971" s="1" t="s">
        <v>488</v>
      </c>
      <c r="B1971" s="16">
        <v>6900000</v>
      </c>
    </row>
    <row r="1972" spans="1:2" x14ac:dyDescent="0.3">
      <c r="A1972" s="1" t="s">
        <v>486</v>
      </c>
      <c r="B1972" s="16">
        <v>11800000</v>
      </c>
    </row>
    <row r="1973" spans="1:2" x14ac:dyDescent="0.3">
      <c r="A1973" s="1" t="s">
        <v>487</v>
      </c>
      <c r="B1973" s="16">
        <v>37300000</v>
      </c>
    </row>
    <row r="1974" spans="1:2" x14ac:dyDescent="0.3">
      <c r="A1974" s="1" t="s">
        <v>485</v>
      </c>
      <c r="B1974" s="16">
        <v>5500000</v>
      </c>
    </row>
    <row r="1975" spans="1:2" x14ac:dyDescent="0.3">
      <c r="A1975" s="1" t="s">
        <v>254</v>
      </c>
      <c r="B1975" s="16">
        <v>8800000</v>
      </c>
    </row>
    <row r="1976" spans="1:2" x14ac:dyDescent="0.3">
      <c r="A1976" s="1" t="s">
        <v>484</v>
      </c>
      <c r="B1976" s="16">
        <v>11500000</v>
      </c>
    </row>
    <row r="1977" spans="1:2" x14ac:dyDescent="0.3">
      <c r="A1977" s="1" t="s">
        <v>483</v>
      </c>
      <c r="B1977" s="16">
        <v>10000000</v>
      </c>
    </row>
    <row r="1978" spans="1:2" x14ac:dyDescent="0.3">
      <c r="A1978" s="1" t="s">
        <v>479</v>
      </c>
      <c r="B1978" s="16">
        <v>7000000</v>
      </c>
    </row>
    <row r="1979" spans="1:2" x14ac:dyDescent="0.3">
      <c r="A1979" s="1" t="s">
        <v>309</v>
      </c>
      <c r="B1979" s="16">
        <v>16400000</v>
      </c>
    </row>
    <row r="1980" spans="1:2" x14ac:dyDescent="0.3">
      <c r="A1980" s="1" t="s">
        <v>482</v>
      </c>
      <c r="B1980" s="16">
        <v>10000000</v>
      </c>
    </row>
    <row r="1981" spans="1:2" x14ac:dyDescent="0.3">
      <c r="A1981" s="1" t="s">
        <v>481</v>
      </c>
      <c r="B1981" s="16">
        <v>6600000</v>
      </c>
    </row>
    <row r="1982" spans="1:2" x14ac:dyDescent="0.3">
      <c r="A1982" s="1" t="s">
        <v>474</v>
      </c>
      <c r="B1982" s="16">
        <v>8000000</v>
      </c>
    </row>
    <row r="1983" spans="1:2" x14ac:dyDescent="0.3">
      <c r="A1983" s="1" t="s">
        <v>480</v>
      </c>
      <c r="B1983" s="16">
        <v>5900000</v>
      </c>
    </row>
    <row r="1984" spans="1:2" x14ac:dyDescent="0.3">
      <c r="A1984" s="1" t="s">
        <v>477</v>
      </c>
      <c r="B1984" s="16">
        <v>7850000</v>
      </c>
    </row>
    <row r="1985" spans="1:2" x14ac:dyDescent="0.3">
      <c r="A1985" s="1" t="s">
        <v>469</v>
      </c>
      <c r="B1985" s="16">
        <v>11000000</v>
      </c>
    </row>
    <row r="1986" spans="1:2" x14ac:dyDescent="0.3">
      <c r="A1986" s="1" t="s">
        <v>476</v>
      </c>
      <c r="B1986" s="16">
        <v>10000000</v>
      </c>
    </row>
    <row r="1987" spans="1:2" x14ac:dyDescent="0.3">
      <c r="A1987" s="1" t="s">
        <v>475</v>
      </c>
      <c r="B1987" s="16">
        <v>9000000</v>
      </c>
    </row>
    <row r="1988" spans="1:2" x14ac:dyDescent="0.3">
      <c r="A1988" s="1" t="s">
        <v>473</v>
      </c>
      <c r="B1988" s="16">
        <v>6300000</v>
      </c>
    </row>
    <row r="1989" spans="1:2" x14ac:dyDescent="0.3">
      <c r="A1989" s="1" t="s">
        <v>472</v>
      </c>
      <c r="B1989" s="16">
        <v>9200000</v>
      </c>
    </row>
    <row r="1990" spans="1:2" x14ac:dyDescent="0.3">
      <c r="A1990" s="1" t="s">
        <v>471</v>
      </c>
      <c r="B1990" s="16">
        <v>9200000</v>
      </c>
    </row>
    <row r="1991" spans="1:2" x14ac:dyDescent="0.3">
      <c r="A1991" s="1" t="s">
        <v>462</v>
      </c>
      <c r="B1991" s="16">
        <v>6300000</v>
      </c>
    </row>
    <row r="1992" spans="1:2" x14ac:dyDescent="0.3">
      <c r="A1992" s="1" t="s">
        <v>470</v>
      </c>
      <c r="B1992" s="16">
        <v>9750000</v>
      </c>
    </row>
    <row r="1993" spans="1:2" x14ac:dyDescent="0.3">
      <c r="A1993" s="1" t="s">
        <v>468</v>
      </c>
      <c r="B1993" s="16">
        <v>36000000</v>
      </c>
    </row>
    <row r="1994" spans="1:2" x14ac:dyDescent="0.3">
      <c r="A1994" s="1" t="s">
        <v>467</v>
      </c>
      <c r="B1994" s="16">
        <v>6600000</v>
      </c>
    </row>
    <row r="1995" spans="1:2" x14ac:dyDescent="0.3">
      <c r="A1995" s="1" t="s">
        <v>466</v>
      </c>
      <c r="B1995" s="16">
        <v>7100000</v>
      </c>
    </row>
    <row r="1996" spans="1:2" x14ac:dyDescent="0.3">
      <c r="A1996" s="1" t="s">
        <v>465</v>
      </c>
      <c r="B1996" s="16">
        <v>36000000</v>
      </c>
    </row>
    <row r="1997" spans="1:2" x14ac:dyDescent="0.3">
      <c r="A1997" s="1" t="s">
        <v>464</v>
      </c>
      <c r="B1997" s="16">
        <v>7500000</v>
      </c>
    </row>
    <row r="1998" spans="1:2" x14ac:dyDescent="0.3">
      <c r="A1998" s="1" t="s">
        <v>463</v>
      </c>
      <c r="B1998" s="16">
        <v>30000000</v>
      </c>
    </row>
    <row r="1999" spans="1:2" x14ac:dyDescent="0.3">
      <c r="A1999" s="1" t="s">
        <v>461</v>
      </c>
      <c r="B1999" s="16">
        <v>10000000</v>
      </c>
    </row>
    <row r="2000" spans="1:2" x14ac:dyDescent="0.3">
      <c r="A2000" s="1" t="s">
        <v>460</v>
      </c>
      <c r="B2000" s="16">
        <v>8150000</v>
      </c>
    </row>
    <row r="2001" spans="1:2" x14ac:dyDescent="0.3">
      <c r="A2001" s="1" t="s">
        <v>459</v>
      </c>
      <c r="B2001" s="16">
        <v>18000000</v>
      </c>
    </row>
    <row r="2002" spans="1:2" x14ac:dyDescent="0.3">
      <c r="A2002" s="1" t="s">
        <v>458</v>
      </c>
      <c r="B2002" s="16">
        <v>4900000</v>
      </c>
    </row>
    <row r="2003" spans="1:2" x14ac:dyDescent="0.3">
      <c r="A2003" s="1" t="s">
        <v>457</v>
      </c>
      <c r="B2003" s="16">
        <v>6000000</v>
      </c>
    </row>
    <row r="2004" spans="1:2" x14ac:dyDescent="0.3">
      <c r="A2004" s="1" t="s">
        <v>456</v>
      </c>
      <c r="B2004" s="16">
        <v>12000000</v>
      </c>
    </row>
    <row r="2005" spans="1:2" x14ac:dyDescent="0.3">
      <c r="A2005" s="1" t="s">
        <v>206</v>
      </c>
      <c r="B2005" s="16">
        <v>28000000</v>
      </c>
    </row>
    <row r="2006" spans="1:2" x14ac:dyDescent="0.3">
      <c r="A2006" s="1" t="s">
        <v>455</v>
      </c>
      <c r="B2006" s="16">
        <v>9000000</v>
      </c>
    </row>
    <row r="2007" spans="1:2" x14ac:dyDescent="0.3">
      <c r="A2007" s="1" t="s">
        <v>454</v>
      </c>
      <c r="B2007" s="16">
        <v>25350000</v>
      </c>
    </row>
    <row r="2008" spans="1:2" x14ac:dyDescent="0.3">
      <c r="A2008" s="1" t="s">
        <v>453</v>
      </c>
      <c r="B2008" s="16">
        <v>10500000</v>
      </c>
    </row>
    <row r="2009" spans="1:2" x14ac:dyDescent="0.3">
      <c r="A2009" s="1" t="s">
        <v>452</v>
      </c>
      <c r="B2009" s="16">
        <v>4450000</v>
      </c>
    </row>
    <row r="2010" spans="1:2" x14ac:dyDescent="0.3">
      <c r="A2010" s="1" t="s">
        <v>451</v>
      </c>
      <c r="B2010" s="16">
        <v>6900000</v>
      </c>
    </row>
    <row r="2011" spans="1:2" x14ac:dyDescent="0.3">
      <c r="A2011" s="1" t="s">
        <v>130</v>
      </c>
      <c r="B2011" s="16">
        <v>26500000</v>
      </c>
    </row>
    <row r="2012" spans="1:2" x14ac:dyDescent="0.3">
      <c r="A2012" s="1" t="s">
        <v>450</v>
      </c>
      <c r="B2012" s="16">
        <v>11300000</v>
      </c>
    </row>
    <row r="2013" spans="1:2" x14ac:dyDescent="0.3">
      <c r="A2013" s="1" t="s">
        <v>449</v>
      </c>
      <c r="B2013" s="16">
        <v>11000000</v>
      </c>
    </row>
    <row r="2014" spans="1:2" x14ac:dyDescent="0.3">
      <c r="A2014" s="1" t="s">
        <v>102</v>
      </c>
      <c r="B2014" s="16">
        <v>17500000</v>
      </c>
    </row>
    <row r="2015" spans="1:2" x14ac:dyDescent="0.3">
      <c r="A2015" s="1" t="s">
        <v>448</v>
      </c>
      <c r="B2015" s="16">
        <v>6600000</v>
      </c>
    </row>
    <row r="2016" spans="1:2" x14ac:dyDescent="0.3">
      <c r="A2016" s="1" t="s">
        <v>447</v>
      </c>
      <c r="B2016" s="16">
        <v>8800000</v>
      </c>
    </row>
    <row r="2017" spans="1:2" x14ac:dyDescent="0.3">
      <c r="A2017" s="1" t="s">
        <v>446</v>
      </c>
      <c r="B2017" s="16">
        <v>12800000</v>
      </c>
    </row>
    <row r="2018" spans="1:2" x14ac:dyDescent="0.3">
      <c r="A2018" s="1" t="s">
        <v>275</v>
      </c>
      <c r="B2018" s="16">
        <v>16500000</v>
      </c>
    </row>
    <row r="2019" spans="1:2" x14ac:dyDescent="0.3">
      <c r="A2019" s="1" t="s">
        <v>244</v>
      </c>
      <c r="B2019" s="16">
        <v>18500000</v>
      </c>
    </row>
    <row r="2020" spans="1:2" x14ac:dyDescent="0.3">
      <c r="A2020" s="1" t="s">
        <v>445</v>
      </c>
      <c r="B2020" s="16">
        <v>2700000</v>
      </c>
    </row>
    <row r="2021" spans="1:2" x14ac:dyDescent="0.3">
      <c r="A2021" s="1" t="s">
        <v>91</v>
      </c>
      <c r="B2021" s="16">
        <v>23500000</v>
      </c>
    </row>
    <row r="2022" spans="1:2" x14ac:dyDescent="0.3">
      <c r="A2022" s="1" t="s">
        <v>444</v>
      </c>
      <c r="B2022" s="16">
        <v>10500000</v>
      </c>
    </row>
    <row r="2023" spans="1:2" x14ac:dyDescent="0.3">
      <c r="A2023" s="1" t="s">
        <v>443</v>
      </c>
      <c r="B2023" s="16">
        <v>5500000</v>
      </c>
    </row>
    <row r="2024" spans="1:2" x14ac:dyDescent="0.3">
      <c r="A2024" s="1" t="s">
        <v>442</v>
      </c>
      <c r="B2024" s="16">
        <v>9700000</v>
      </c>
    </row>
    <row r="2025" spans="1:2" x14ac:dyDescent="0.3">
      <c r="A2025" s="1" t="s">
        <v>294</v>
      </c>
      <c r="B2025" s="16">
        <v>29000000</v>
      </c>
    </row>
    <row r="2026" spans="1:2" x14ac:dyDescent="0.3">
      <c r="A2026" s="1" t="s">
        <v>42</v>
      </c>
      <c r="B2026" s="16">
        <v>10000000</v>
      </c>
    </row>
    <row r="2027" spans="1:2" x14ac:dyDescent="0.3">
      <c r="A2027" s="1" t="s">
        <v>440</v>
      </c>
      <c r="B2027" s="16">
        <v>12000000</v>
      </c>
    </row>
    <row r="2028" spans="1:2" x14ac:dyDescent="0.3">
      <c r="A2028" s="1" t="s">
        <v>441</v>
      </c>
      <c r="B2028" s="16">
        <v>10700000</v>
      </c>
    </row>
    <row r="2029" spans="1:2" x14ac:dyDescent="0.3">
      <c r="A2029" s="1" t="s">
        <v>439</v>
      </c>
      <c r="B2029" s="16">
        <v>16000000</v>
      </c>
    </row>
    <row r="2030" spans="1:2" x14ac:dyDescent="0.3">
      <c r="A2030" s="1" t="s">
        <v>438</v>
      </c>
      <c r="B2030" s="16">
        <v>10000000</v>
      </c>
    </row>
    <row r="2031" spans="1:2" x14ac:dyDescent="0.3">
      <c r="A2031" s="1" t="s">
        <v>437</v>
      </c>
      <c r="B2031" s="16">
        <v>12650000</v>
      </c>
    </row>
    <row r="2032" spans="1:2" x14ac:dyDescent="0.3">
      <c r="A2032" s="1" t="s">
        <v>436</v>
      </c>
      <c r="B2032" s="16">
        <v>18300000</v>
      </c>
    </row>
    <row r="2033" spans="1:2" x14ac:dyDescent="0.3">
      <c r="A2033" s="1" t="s">
        <v>238</v>
      </c>
      <c r="B2033" s="16">
        <v>8500000</v>
      </c>
    </row>
    <row r="2034" spans="1:2" x14ac:dyDescent="0.3">
      <c r="A2034" s="1" t="s">
        <v>435</v>
      </c>
      <c r="B2034" s="16">
        <v>5200000</v>
      </c>
    </row>
    <row r="2035" spans="1:2" x14ac:dyDescent="0.3">
      <c r="A2035" s="1" t="s">
        <v>434</v>
      </c>
      <c r="B2035" s="16">
        <v>24500000</v>
      </c>
    </row>
    <row r="2036" spans="1:2" x14ac:dyDescent="0.3">
      <c r="A2036" s="1" t="s">
        <v>433</v>
      </c>
      <c r="B2036" s="16">
        <v>7000000</v>
      </c>
    </row>
    <row r="2037" spans="1:2" x14ac:dyDescent="0.3">
      <c r="A2037" s="1" t="s">
        <v>428</v>
      </c>
      <c r="B2037" s="16">
        <v>9600000</v>
      </c>
    </row>
    <row r="2038" spans="1:2" x14ac:dyDescent="0.3">
      <c r="A2038" s="1" t="s">
        <v>432</v>
      </c>
      <c r="B2038" s="16">
        <v>27600000</v>
      </c>
    </row>
    <row r="2039" spans="1:2" x14ac:dyDescent="0.3">
      <c r="A2039" s="1" t="s">
        <v>431</v>
      </c>
      <c r="B2039" s="16">
        <v>16500000</v>
      </c>
    </row>
    <row r="2040" spans="1:2" x14ac:dyDescent="0.3">
      <c r="A2040" s="1" t="s">
        <v>430</v>
      </c>
      <c r="B2040" s="16">
        <v>8100000</v>
      </c>
    </row>
    <row r="2041" spans="1:2" x14ac:dyDescent="0.3">
      <c r="A2041" s="1" t="s">
        <v>429</v>
      </c>
      <c r="B2041" s="16">
        <v>28890000</v>
      </c>
    </row>
    <row r="2042" spans="1:2" x14ac:dyDescent="0.3">
      <c r="A2042" s="1" t="s">
        <v>427</v>
      </c>
      <c r="B2042" s="16">
        <v>11300000</v>
      </c>
    </row>
    <row r="2043" spans="1:2" x14ac:dyDescent="0.3">
      <c r="A2043" s="1" t="s">
        <v>426</v>
      </c>
      <c r="B2043" s="16">
        <v>9000000</v>
      </c>
    </row>
    <row r="2044" spans="1:2" x14ac:dyDescent="0.3">
      <c r="A2044" s="1" t="s">
        <v>103</v>
      </c>
      <c r="B2044" s="16">
        <v>15400000</v>
      </c>
    </row>
    <row r="2045" spans="1:2" x14ac:dyDescent="0.3">
      <c r="A2045" s="1" t="s">
        <v>425</v>
      </c>
      <c r="B2045" s="16">
        <v>7000000</v>
      </c>
    </row>
    <row r="2046" spans="1:2" x14ac:dyDescent="0.3">
      <c r="A2046" s="1" t="s">
        <v>292</v>
      </c>
      <c r="B2046" s="16">
        <v>30400000</v>
      </c>
    </row>
    <row r="2047" spans="1:2" x14ac:dyDescent="0.3">
      <c r="A2047" s="1" t="s">
        <v>132</v>
      </c>
      <c r="B2047" s="16">
        <v>39300000</v>
      </c>
    </row>
    <row r="2048" spans="1:2" x14ac:dyDescent="0.3">
      <c r="A2048" s="1" t="s">
        <v>424</v>
      </c>
      <c r="B2048" s="16">
        <v>8600000</v>
      </c>
    </row>
    <row r="2049" spans="1:2" x14ac:dyDescent="0.3">
      <c r="A2049" s="1" t="s">
        <v>423</v>
      </c>
      <c r="B2049" s="16">
        <v>8500000</v>
      </c>
    </row>
    <row r="2050" spans="1:2" x14ac:dyDescent="0.3">
      <c r="A2050" s="1" t="s">
        <v>422</v>
      </c>
      <c r="B2050" s="16">
        <v>16000000</v>
      </c>
    </row>
    <row r="2051" spans="1:2" x14ac:dyDescent="0.3">
      <c r="A2051" s="1" t="s">
        <v>421</v>
      </c>
      <c r="B2051" s="16">
        <v>11000000</v>
      </c>
    </row>
    <row r="2052" spans="1:2" x14ac:dyDescent="0.3">
      <c r="A2052" s="1" t="s">
        <v>252</v>
      </c>
      <c r="B2052" s="16">
        <v>9400000</v>
      </c>
    </row>
    <row r="2053" spans="1:2" x14ac:dyDescent="0.3">
      <c r="A2053" s="1" t="s">
        <v>420</v>
      </c>
      <c r="B2053" s="16">
        <v>18500000</v>
      </c>
    </row>
    <row r="2054" spans="1:2" x14ac:dyDescent="0.3">
      <c r="A2054" s="1" t="s">
        <v>200</v>
      </c>
      <c r="B2054" s="16">
        <v>17750000</v>
      </c>
    </row>
    <row r="2055" spans="1:2" x14ac:dyDescent="0.3">
      <c r="A2055" s="1" t="s">
        <v>112</v>
      </c>
      <c r="B2055" s="16">
        <v>17000000</v>
      </c>
    </row>
    <row r="2056" spans="1:2" x14ac:dyDescent="0.3">
      <c r="A2056" s="1" t="s">
        <v>268</v>
      </c>
      <c r="B2056" s="16">
        <v>12500000</v>
      </c>
    </row>
    <row r="2057" spans="1:2" x14ac:dyDescent="0.3">
      <c r="A2057" s="1" t="s">
        <v>419</v>
      </c>
      <c r="B2057" s="16">
        <v>14500000</v>
      </c>
    </row>
    <row r="2058" spans="1:2" x14ac:dyDescent="0.3">
      <c r="A2058" s="1" t="s">
        <v>418</v>
      </c>
      <c r="B2058" s="16">
        <v>6800000</v>
      </c>
    </row>
    <row r="2059" spans="1:2" x14ac:dyDescent="0.3">
      <c r="A2059" s="1" t="s">
        <v>417</v>
      </c>
      <c r="B2059" s="16">
        <v>10900000</v>
      </c>
    </row>
    <row r="2060" spans="1:2" x14ac:dyDescent="0.3">
      <c r="A2060" s="1" t="s">
        <v>416</v>
      </c>
      <c r="B2060" s="16">
        <v>10000000</v>
      </c>
    </row>
    <row r="2061" spans="1:2" x14ac:dyDescent="0.3">
      <c r="A2061" s="1" t="s">
        <v>415</v>
      </c>
      <c r="B2061" s="16">
        <v>37000000</v>
      </c>
    </row>
    <row r="2062" spans="1:2" x14ac:dyDescent="0.3">
      <c r="A2062" s="1" t="s">
        <v>414</v>
      </c>
      <c r="B2062" s="16">
        <v>24000000</v>
      </c>
    </row>
    <row r="2063" spans="1:2" x14ac:dyDescent="0.3">
      <c r="A2063" s="1" t="s">
        <v>413</v>
      </c>
      <c r="B2063" s="16">
        <v>17500000</v>
      </c>
    </row>
    <row r="2064" spans="1:2" x14ac:dyDescent="0.3">
      <c r="A2064" s="1" t="s">
        <v>412</v>
      </c>
      <c r="B2064" s="16">
        <v>22000000</v>
      </c>
    </row>
    <row r="2065" spans="1:2" x14ac:dyDescent="0.3">
      <c r="A2065" s="1" t="s">
        <v>410</v>
      </c>
      <c r="B2065" s="16">
        <v>25000000</v>
      </c>
    </row>
    <row r="2066" spans="1:2" x14ac:dyDescent="0.3">
      <c r="A2066" s="1" t="s">
        <v>411</v>
      </c>
      <c r="B2066" s="16">
        <v>8500000</v>
      </c>
    </row>
    <row r="2067" spans="1:2" x14ac:dyDescent="0.3">
      <c r="A2067" s="1" t="s">
        <v>409</v>
      </c>
      <c r="B2067" s="16">
        <v>9400000</v>
      </c>
    </row>
    <row r="2068" spans="1:2" x14ac:dyDescent="0.3">
      <c r="A2068" s="1" t="s">
        <v>408</v>
      </c>
      <c r="B2068" s="16">
        <v>10500000</v>
      </c>
    </row>
    <row r="2069" spans="1:2" x14ac:dyDescent="0.3">
      <c r="A2069" s="1" t="s">
        <v>407</v>
      </c>
      <c r="B2069" s="16">
        <v>10600000</v>
      </c>
    </row>
    <row r="2070" spans="1:2" x14ac:dyDescent="0.3">
      <c r="A2070" s="1" t="s">
        <v>406</v>
      </c>
      <c r="B2070" s="16">
        <v>12700000</v>
      </c>
    </row>
    <row r="2071" spans="1:2" x14ac:dyDescent="0.3">
      <c r="A2071" s="1" t="s">
        <v>185</v>
      </c>
      <c r="B2071" s="16">
        <v>15500000</v>
      </c>
    </row>
    <row r="2072" spans="1:2" x14ac:dyDescent="0.3">
      <c r="A2072" s="1" t="s">
        <v>405</v>
      </c>
      <c r="B2072" s="16">
        <v>14400000</v>
      </c>
    </row>
    <row r="2073" spans="1:2" x14ac:dyDescent="0.3">
      <c r="A2073" s="1" t="s">
        <v>404</v>
      </c>
      <c r="B2073" s="16">
        <v>9000000</v>
      </c>
    </row>
    <row r="2074" spans="1:2" x14ac:dyDescent="0.3">
      <c r="A2074" s="1" t="s">
        <v>403</v>
      </c>
      <c r="B2074" s="16">
        <v>8000000</v>
      </c>
    </row>
    <row r="2075" spans="1:2" x14ac:dyDescent="0.3">
      <c r="A2075" s="1" t="s">
        <v>402</v>
      </c>
      <c r="B2075" s="16">
        <v>5700000</v>
      </c>
    </row>
    <row r="2076" spans="1:2" x14ac:dyDescent="0.3">
      <c r="A2076" s="1" t="s">
        <v>401</v>
      </c>
      <c r="B2076" s="16">
        <v>5700000</v>
      </c>
    </row>
    <row r="2077" spans="1:2" x14ac:dyDescent="0.3">
      <c r="A2077" s="1" t="s">
        <v>83</v>
      </c>
      <c r="B2077" s="16">
        <v>13900000</v>
      </c>
    </row>
    <row r="2078" spans="1:2" x14ac:dyDescent="0.3">
      <c r="A2078" s="1" t="s">
        <v>400</v>
      </c>
      <c r="B2078" s="16">
        <v>8500000</v>
      </c>
    </row>
    <row r="2079" spans="1:2" x14ac:dyDescent="0.3">
      <c r="A2079" s="1" t="s">
        <v>399</v>
      </c>
      <c r="B2079" s="16">
        <v>6300000</v>
      </c>
    </row>
    <row r="2080" spans="1:2" x14ac:dyDescent="0.3">
      <c r="A2080" s="1" t="s">
        <v>398</v>
      </c>
      <c r="B2080" s="16">
        <v>6750000</v>
      </c>
    </row>
    <row r="2081" spans="1:2" x14ac:dyDescent="0.3">
      <c r="A2081" s="1" t="s">
        <v>397</v>
      </c>
      <c r="B2081" s="16">
        <v>7000000</v>
      </c>
    </row>
    <row r="2082" spans="1:2" x14ac:dyDescent="0.3">
      <c r="A2082" s="1" t="s">
        <v>396</v>
      </c>
      <c r="B2082" s="16">
        <v>6700000</v>
      </c>
    </row>
    <row r="2083" spans="1:2" x14ac:dyDescent="0.3">
      <c r="A2083" s="1" t="s">
        <v>395</v>
      </c>
      <c r="B2083" s="16">
        <v>7000000</v>
      </c>
    </row>
    <row r="2084" spans="1:2" x14ac:dyDescent="0.3">
      <c r="A2084" s="1" t="s">
        <v>394</v>
      </c>
      <c r="B2084" s="16">
        <v>10200000</v>
      </c>
    </row>
    <row r="2085" spans="1:2" x14ac:dyDescent="0.3">
      <c r="A2085" s="1" t="s">
        <v>225</v>
      </c>
      <c r="B2085" s="16">
        <v>15200000</v>
      </c>
    </row>
    <row r="2086" spans="1:2" x14ac:dyDescent="0.3">
      <c r="A2086" s="1" t="s">
        <v>137</v>
      </c>
      <c r="B2086" s="16">
        <v>14500000</v>
      </c>
    </row>
    <row r="2087" spans="1:2" x14ac:dyDescent="0.3">
      <c r="A2087" s="1" t="s">
        <v>393</v>
      </c>
      <c r="B2087" s="16">
        <v>9300000</v>
      </c>
    </row>
    <row r="2088" spans="1:2" x14ac:dyDescent="0.3">
      <c r="A2088" s="1" t="s">
        <v>392</v>
      </c>
      <c r="B2088" s="16">
        <v>6000000</v>
      </c>
    </row>
    <row r="2089" spans="1:2" x14ac:dyDescent="0.3">
      <c r="A2089" s="1" t="s">
        <v>391</v>
      </c>
      <c r="B2089" s="16">
        <v>6300000</v>
      </c>
    </row>
    <row r="2090" spans="1:2" x14ac:dyDescent="0.3">
      <c r="A2090" s="1" t="s">
        <v>390</v>
      </c>
      <c r="B2090" s="16">
        <v>17838100</v>
      </c>
    </row>
    <row r="2091" spans="1:2" x14ac:dyDescent="0.3">
      <c r="A2091" s="1" t="s">
        <v>389</v>
      </c>
      <c r="B2091" s="16">
        <v>7800000</v>
      </c>
    </row>
    <row r="2092" spans="1:2" x14ac:dyDescent="0.3">
      <c r="A2092" s="1" t="s">
        <v>388</v>
      </c>
      <c r="B2092" s="16">
        <v>20000000</v>
      </c>
    </row>
    <row r="2093" spans="1:2" x14ac:dyDescent="0.3">
      <c r="A2093" s="1" t="s">
        <v>78</v>
      </c>
      <c r="B2093" s="16">
        <v>6800000</v>
      </c>
    </row>
    <row r="2094" spans="1:2" x14ac:dyDescent="0.3">
      <c r="A2094" s="1" t="s">
        <v>211</v>
      </c>
      <c r="B2094" s="16">
        <v>15300000</v>
      </c>
    </row>
    <row r="2095" spans="1:2" x14ac:dyDescent="0.3">
      <c r="A2095" s="1" t="s">
        <v>387</v>
      </c>
      <c r="B2095" s="16">
        <v>10500000</v>
      </c>
    </row>
    <row r="2096" spans="1:2" x14ac:dyDescent="0.3">
      <c r="A2096" s="1" t="s">
        <v>386</v>
      </c>
      <c r="B2096" s="16">
        <v>5700000</v>
      </c>
    </row>
    <row r="2097" spans="1:2" x14ac:dyDescent="0.3">
      <c r="A2097" s="1" t="s">
        <v>384</v>
      </c>
      <c r="B2097" s="16">
        <v>11800000</v>
      </c>
    </row>
    <row r="2098" spans="1:2" x14ac:dyDescent="0.3">
      <c r="A2098" s="1" t="s">
        <v>385</v>
      </c>
      <c r="B2098" s="16">
        <v>9000000</v>
      </c>
    </row>
    <row r="2099" spans="1:2" x14ac:dyDescent="0.3">
      <c r="A2099" s="1" t="s">
        <v>383</v>
      </c>
      <c r="B2099" s="16">
        <v>5700000</v>
      </c>
    </row>
    <row r="2100" spans="1:2" x14ac:dyDescent="0.3">
      <c r="A2100" s="1" t="s">
        <v>271</v>
      </c>
      <c r="B2100" s="16">
        <v>14600000</v>
      </c>
    </row>
    <row r="2101" spans="1:2" x14ac:dyDescent="0.3">
      <c r="A2101" s="1" t="s">
        <v>58</v>
      </c>
      <c r="B2101" s="16">
        <v>24500000</v>
      </c>
    </row>
    <row r="2102" spans="1:2" x14ac:dyDescent="0.3">
      <c r="A2102" s="1" t="s">
        <v>382</v>
      </c>
      <c r="B2102" s="16">
        <v>5500000</v>
      </c>
    </row>
    <row r="2103" spans="1:2" x14ac:dyDescent="0.3">
      <c r="A2103" s="1" t="s">
        <v>381</v>
      </c>
      <c r="B2103" s="16">
        <v>11500000</v>
      </c>
    </row>
    <row r="2104" spans="1:2" x14ac:dyDescent="0.3">
      <c r="A2104" s="1" t="s">
        <v>148</v>
      </c>
      <c r="B2104" s="16">
        <v>15000000</v>
      </c>
    </row>
    <row r="2105" spans="1:2" x14ac:dyDescent="0.3">
      <c r="A2105" s="1" t="s">
        <v>380</v>
      </c>
      <c r="B2105" s="16">
        <v>19700000</v>
      </c>
    </row>
    <row r="2106" spans="1:2" x14ac:dyDescent="0.3">
      <c r="A2106" s="1" t="s">
        <v>273</v>
      </c>
      <c r="B2106" s="16">
        <v>23500000</v>
      </c>
    </row>
    <row r="2107" spans="1:2" x14ac:dyDescent="0.3">
      <c r="A2107" s="1" t="s">
        <v>281</v>
      </c>
      <c r="B2107" s="16">
        <v>16000000</v>
      </c>
    </row>
    <row r="2108" spans="1:2" x14ac:dyDescent="0.3">
      <c r="A2108" s="1" t="s">
        <v>23</v>
      </c>
      <c r="B2108" s="16">
        <v>31627180</v>
      </c>
    </row>
    <row r="2109" spans="1:2" x14ac:dyDescent="0.3">
      <c r="A2109" s="1" t="s">
        <v>24</v>
      </c>
      <c r="B2109" s="16">
        <v>31627180</v>
      </c>
    </row>
    <row r="2110" spans="1:2" x14ac:dyDescent="0.3">
      <c r="A2110" s="1" t="s">
        <v>143</v>
      </c>
      <c r="B2110" s="16">
        <v>16000000</v>
      </c>
    </row>
    <row r="2111" spans="1:2" x14ac:dyDescent="0.3">
      <c r="A2111" s="1" t="s">
        <v>117</v>
      </c>
      <c r="B2111" s="16">
        <v>20000000</v>
      </c>
    </row>
    <row r="2112" spans="1:2" x14ac:dyDescent="0.3">
      <c r="A2112" s="1" t="s">
        <v>379</v>
      </c>
      <c r="B2112" s="16">
        <v>10100000</v>
      </c>
    </row>
    <row r="2113" spans="1:2" x14ac:dyDescent="0.3">
      <c r="A2113" s="1" t="s">
        <v>378</v>
      </c>
      <c r="B2113" s="16">
        <v>10000000</v>
      </c>
    </row>
    <row r="2114" spans="1:2" x14ac:dyDescent="0.3">
      <c r="A2114" s="1" t="s">
        <v>377</v>
      </c>
      <c r="B2114" s="16">
        <v>17243100</v>
      </c>
    </row>
    <row r="2115" spans="1:2" x14ac:dyDescent="0.3">
      <c r="A2115" s="1" t="s">
        <v>186</v>
      </c>
      <c r="B2115" s="16">
        <v>14500000</v>
      </c>
    </row>
    <row r="2116" spans="1:2" x14ac:dyDescent="0.3">
      <c r="A2116" s="1" t="s">
        <v>376</v>
      </c>
      <c r="B2116" s="16">
        <v>10700000</v>
      </c>
    </row>
    <row r="2117" spans="1:2" x14ac:dyDescent="0.3">
      <c r="A2117" s="1" t="s">
        <v>375</v>
      </c>
      <c r="B2117" s="16">
        <v>18500000</v>
      </c>
    </row>
    <row r="2118" spans="1:2" x14ac:dyDescent="0.3">
      <c r="A2118" s="1" t="s">
        <v>154</v>
      </c>
      <c r="B2118" s="16">
        <v>6800000</v>
      </c>
    </row>
    <row r="2119" spans="1:2" x14ac:dyDescent="0.3">
      <c r="A2119" s="1" t="s">
        <v>374</v>
      </c>
      <c r="B2119" s="16">
        <v>7600000</v>
      </c>
    </row>
    <row r="2120" spans="1:2" x14ac:dyDescent="0.3">
      <c r="A2120" s="1" t="s">
        <v>331</v>
      </c>
      <c r="B2120" s="16">
        <v>11500000</v>
      </c>
    </row>
    <row r="2121" spans="1:2" x14ac:dyDescent="0.3">
      <c r="A2121" s="1" t="s">
        <v>373</v>
      </c>
      <c r="B2121" s="16">
        <v>7500000</v>
      </c>
    </row>
    <row r="2122" spans="1:2" x14ac:dyDescent="0.3">
      <c r="A2122" s="1" t="s">
        <v>372</v>
      </c>
      <c r="B2122" s="16">
        <v>13000000</v>
      </c>
    </row>
    <row r="2123" spans="1:2" x14ac:dyDescent="0.3">
      <c r="A2123" s="1" t="s">
        <v>313</v>
      </c>
      <c r="B2123" s="16">
        <v>9100000</v>
      </c>
    </row>
    <row r="2124" spans="1:2" x14ac:dyDescent="0.3">
      <c r="A2124" s="1" t="s">
        <v>371</v>
      </c>
      <c r="B2124" s="16">
        <v>11000000</v>
      </c>
    </row>
    <row r="2125" spans="1:2" x14ac:dyDescent="0.3">
      <c r="A2125" s="1" t="s">
        <v>370</v>
      </c>
      <c r="B2125" s="16">
        <v>33921345</v>
      </c>
    </row>
    <row r="2126" spans="1:2" x14ac:dyDescent="0.3">
      <c r="A2126" s="1" t="s">
        <v>125</v>
      </c>
      <c r="B2126" s="16">
        <v>31300000</v>
      </c>
    </row>
    <row r="2127" spans="1:2" x14ac:dyDescent="0.3">
      <c r="A2127" s="1" t="s">
        <v>269</v>
      </c>
      <c r="B2127" s="16">
        <v>14000000</v>
      </c>
    </row>
    <row r="2128" spans="1:2" x14ac:dyDescent="0.3">
      <c r="A2128" s="1" t="s">
        <v>94</v>
      </c>
      <c r="B2128" s="16">
        <v>6900000</v>
      </c>
    </row>
    <row r="2129" spans="1:2" x14ac:dyDescent="0.3">
      <c r="A2129" s="1" t="s">
        <v>250</v>
      </c>
      <c r="B2129" s="16">
        <v>13300000</v>
      </c>
    </row>
    <row r="2130" spans="1:2" x14ac:dyDescent="0.3">
      <c r="A2130" s="1" t="s">
        <v>369</v>
      </c>
      <c r="B2130" s="16">
        <v>8700000</v>
      </c>
    </row>
    <row r="2131" spans="1:2" x14ac:dyDescent="0.3">
      <c r="A2131" s="1" t="s">
        <v>368</v>
      </c>
      <c r="B2131" s="16">
        <v>6500000</v>
      </c>
    </row>
    <row r="2132" spans="1:2" x14ac:dyDescent="0.3">
      <c r="A2132" s="1" t="s">
        <v>367</v>
      </c>
      <c r="B2132" s="16">
        <v>9500000</v>
      </c>
    </row>
    <row r="2133" spans="1:2" x14ac:dyDescent="0.3">
      <c r="A2133" s="1" t="s">
        <v>366</v>
      </c>
      <c r="B2133" s="16">
        <v>21000000</v>
      </c>
    </row>
    <row r="2134" spans="1:2" x14ac:dyDescent="0.3">
      <c r="A2134" s="1" t="s">
        <v>365</v>
      </c>
      <c r="B2134" s="16">
        <v>6200000</v>
      </c>
    </row>
    <row r="2135" spans="1:2" x14ac:dyDescent="0.3">
      <c r="A2135" s="1" t="s">
        <v>364</v>
      </c>
      <c r="B2135" s="16">
        <v>11300000</v>
      </c>
    </row>
    <row r="2136" spans="1:2" x14ac:dyDescent="0.3">
      <c r="A2136" s="1" t="s">
        <v>363</v>
      </c>
      <c r="B2136" s="16">
        <v>15500000</v>
      </c>
    </row>
    <row r="2137" spans="1:2" x14ac:dyDescent="0.3">
      <c r="A2137" s="1" t="s">
        <v>362</v>
      </c>
      <c r="B2137" s="16">
        <v>12000000</v>
      </c>
    </row>
    <row r="2138" spans="1:2" x14ac:dyDescent="0.3">
      <c r="A2138" s="1" t="s">
        <v>361</v>
      </c>
      <c r="B2138" s="16">
        <v>47288100</v>
      </c>
    </row>
    <row r="2139" spans="1:2" x14ac:dyDescent="0.3">
      <c r="A2139" s="1" t="s">
        <v>360</v>
      </c>
      <c r="B2139" s="16">
        <v>10200000</v>
      </c>
    </row>
    <row r="2140" spans="1:2" x14ac:dyDescent="0.3">
      <c r="A2140" s="1" t="s">
        <v>359</v>
      </c>
      <c r="B2140" s="16">
        <v>5400000</v>
      </c>
    </row>
    <row r="2141" spans="1:2" x14ac:dyDescent="0.3">
      <c r="A2141" s="1" t="s">
        <v>358</v>
      </c>
      <c r="B2141" s="16">
        <v>12500000</v>
      </c>
    </row>
    <row r="2142" spans="1:2" x14ac:dyDescent="0.3">
      <c r="A2142" s="1" t="s">
        <v>357</v>
      </c>
      <c r="B2142" s="16">
        <v>9600000</v>
      </c>
    </row>
    <row r="2143" spans="1:2" x14ac:dyDescent="0.3">
      <c r="A2143" s="1" t="s">
        <v>356</v>
      </c>
      <c r="B2143" s="16">
        <v>17990000</v>
      </c>
    </row>
    <row r="2144" spans="1:2" x14ac:dyDescent="0.3">
      <c r="A2144" s="1" t="s">
        <v>66</v>
      </c>
      <c r="B2144" s="16">
        <v>8300000</v>
      </c>
    </row>
    <row r="2145" spans="1:2" x14ac:dyDescent="0.3">
      <c r="A2145" s="1" t="s">
        <v>355</v>
      </c>
      <c r="B2145" s="16">
        <v>6550000</v>
      </c>
    </row>
    <row r="2146" spans="1:2" x14ac:dyDescent="0.3">
      <c r="A2146" s="1" t="s">
        <v>354</v>
      </c>
      <c r="B2146" s="16">
        <v>12000000</v>
      </c>
    </row>
    <row r="2147" spans="1:2" x14ac:dyDescent="0.3">
      <c r="A2147" s="1" t="s">
        <v>353</v>
      </c>
      <c r="B2147" s="16">
        <v>11000000</v>
      </c>
    </row>
    <row r="2148" spans="1:2" x14ac:dyDescent="0.3">
      <c r="A2148" s="1" t="s">
        <v>164</v>
      </c>
      <c r="B2148" s="16">
        <v>7000000</v>
      </c>
    </row>
    <row r="2149" spans="1:2" x14ac:dyDescent="0.3">
      <c r="A2149" s="1" t="s">
        <v>170</v>
      </c>
      <c r="B2149" s="16">
        <v>17200000</v>
      </c>
    </row>
    <row r="2150" spans="1:2" x14ac:dyDescent="0.3">
      <c r="A2150" s="1" t="s">
        <v>316</v>
      </c>
      <c r="B2150" s="16">
        <v>10000000</v>
      </c>
    </row>
    <row r="2151" spans="1:2" x14ac:dyDescent="0.3">
      <c r="A2151" s="1" t="s">
        <v>203</v>
      </c>
      <c r="B2151" s="16">
        <v>13500000</v>
      </c>
    </row>
    <row r="2152" spans="1:2" x14ac:dyDescent="0.3">
      <c r="A2152" s="1" t="s">
        <v>209</v>
      </c>
      <c r="B2152" s="16">
        <v>17000000</v>
      </c>
    </row>
    <row r="2153" spans="1:2" x14ac:dyDescent="0.3">
      <c r="A2153" s="1" t="s">
        <v>183</v>
      </c>
      <c r="B2153" s="16">
        <v>17500000</v>
      </c>
    </row>
    <row r="2154" spans="1:2" x14ac:dyDescent="0.3">
      <c r="A2154" s="1" t="s">
        <v>328</v>
      </c>
      <c r="B2154" s="16">
        <v>9600000</v>
      </c>
    </row>
    <row r="2155" spans="1:2" x14ac:dyDescent="0.3">
      <c r="A2155" s="1" t="s">
        <v>283</v>
      </c>
      <c r="B2155" s="16">
        <v>15500000</v>
      </c>
    </row>
    <row r="2156" spans="1:2" x14ac:dyDescent="0.3">
      <c r="A2156" s="1" t="s">
        <v>352</v>
      </c>
      <c r="B2156" s="16">
        <v>6000000</v>
      </c>
    </row>
    <row r="2157" spans="1:2" x14ac:dyDescent="0.3">
      <c r="A2157" s="1" t="s">
        <v>351</v>
      </c>
      <c r="B2157" s="16">
        <v>12000000</v>
      </c>
    </row>
    <row r="2158" spans="1:2" x14ac:dyDescent="0.3">
      <c r="A2158" s="1" t="s">
        <v>333</v>
      </c>
      <c r="B2158" s="16">
        <v>8900000</v>
      </c>
    </row>
    <row r="2159" spans="1:2" x14ac:dyDescent="0.3">
      <c r="A2159" s="1" t="s">
        <v>350</v>
      </c>
      <c r="B2159" s="16">
        <v>7700000</v>
      </c>
    </row>
    <row r="2160" spans="1:2" x14ac:dyDescent="0.3">
      <c r="A2160" s="1" t="s">
        <v>349</v>
      </c>
      <c r="B2160" s="16">
        <v>13200000</v>
      </c>
    </row>
    <row r="2161" spans="1:2" x14ac:dyDescent="0.3">
      <c r="A2161" s="1" t="s">
        <v>76</v>
      </c>
      <c r="B2161" s="16">
        <v>6900000</v>
      </c>
    </row>
    <row r="2162" spans="1:2" x14ac:dyDescent="0.3">
      <c r="A2162" s="1" t="s">
        <v>160</v>
      </c>
      <c r="B2162" s="16">
        <v>10100000</v>
      </c>
    </row>
    <row r="2163" spans="1:2" x14ac:dyDescent="0.3">
      <c r="A2163" s="1" t="s">
        <v>348</v>
      </c>
      <c r="B2163" s="16">
        <v>5900000</v>
      </c>
    </row>
    <row r="2164" spans="1:2" x14ac:dyDescent="0.3">
      <c r="A2164" s="1" t="s">
        <v>38</v>
      </c>
      <c r="B2164" s="16">
        <v>10000000</v>
      </c>
    </row>
    <row r="2165" spans="1:2" x14ac:dyDescent="0.3">
      <c r="A2165" s="1" t="s">
        <v>347</v>
      </c>
      <c r="B2165" s="16">
        <v>10250000</v>
      </c>
    </row>
    <row r="2166" spans="1:2" x14ac:dyDescent="0.3">
      <c r="A2166" s="1" t="s">
        <v>300</v>
      </c>
      <c r="B2166" s="16">
        <v>5800000</v>
      </c>
    </row>
    <row r="2167" spans="1:2" x14ac:dyDescent="0.3">
      <c r="A2167" s="1" t="s">
        <v>163</v>
      </c>
      <c r="B2167" s="16">
        <v>10350000</v>
      </c>
    </row>
    <row r="2168" spans="1:2" x14ac:dyDescent="0.3">
      <c r="A2168" s="1" t="s">
        <v>346</v>
      </c>
      <c r="B2168" s="16">
        <v>6150000</v>
      </c>
    </row>
    <row r="2169" spans="1:2" x14ac:dyDescent="0.3">
      <c r="A2169" s="1" t="s">
        <v>218</v>
      </c>
      <c r="B2169" s="16">
        <v>18300000</v>
      </c>
    </row>
    <row r="2170" spans="1:2" x14ac:dyDescent="0.3">
      <c r="A2170" s="1" t="s">
        <v>345</v>
      </c>
      <c r="B2170" s="16">
        <v>27953100</v>
      </c>
    </row>
    <row r="2171" spans="1:2" x14ac:dyDescent="0.3">
      <c r="A2171" s="1" t="s">
        <v>233</v>
      </c>
      <c r="B2171" s="16">
        <v>14850000</v>
      </c>
    </row>
    <row r="2172" spans="1:2" x14ac:dyDescent="0.3">
      <c r="A2172" s="1" t="s">
        <v>286</v>
      </c>
      <c r="B2172" s="16">
        <v>13500000</v>
      </c>
    </row>
    <row r="2173" spans="1:2" x14ac:dyDescent="0.3">
      <c r="A2173" s="1" t="s">
        <v>22</v>
      </c>
      <c r="B2173" s="16">
        <v>30154462</v>
      </c>
    </row>
    <row r="2174" spans="1:2" x14ac:dyDescent="0.3">
      <c r="A2174" s="1" t="s">
        <v>55</v>
      </c>
      <c r="B2174" s="16">
        <v>7100000</v>
      </c>
    </row>
    <row r="2175" spans="1:2" x14ac:dyDescent="0.3">
      <c r="A2175" s="1" t="s">
        <v>344</v>
      </c>
      <c r="B2175" s="16">
        <v>21400000</v>
      </c>
    </row>
    <row r="2176" spans="1:2" x14ac:dyDescent="0.3">
      <c r="A2176" s="1" t="s">
        <v>342</v>
      </c>
      <c r="B2176" s="16">
        <v>10800000</v>
      </c>
    </row>
    <row r="2177" spans="1:2" x14ac:dyDescent="0.3">
      <c r="A2177" s="1" t="s">
        <v>74</v>
      </c>
      <c r="B2177" s="16">
        <v>7300000</v>
      </c>
    </row>
    <row r="2178" spans="1:2" x14ac:dyDescent="0.3">
      <c r="A2178" s="1" t="s">
        <v>157</v>
      </c>
      <c r="B2178" s="16">
        <v>15700000</v>
      </c>
    </row>
    <row r="2179" spans="1:2" x14ac:dyDescent="0.3">
      <c r="A2179" s="1" t="s">
        <v>145</v>
      </c>
      <c r="B2179" s="16">
        <v>8300000</v>
      </c>
    </row>
    <row r="2180" spans="1:2" x14ac:dyDescent="0.3">
      <c r="A2180" s="1" t="s">
        <v>343</v>
      </c>
      <c r="B2180" s="16">
        <v>5900000</v>
      </c>
    </row>
    <row r="2181" spans="1:2" x14ac:dyDescent="0.3">
      <c r="A2181" s="1" t="s">
        <v>227</v>
      </c>
      <c r="B2181" s="16">
        <v>26300000</v>
      </c>
    </row>
    <row r="2182" spans="1:2" x14ac:dyDescent="0.3">
      <c r="A2182" s="1" t="s">
        <v>31</v>
      </c>
      <c r="B2182" s="16">
        <v>4800000</v>
      </c>
    </row>
    <row r="2183" spans="1:2" x14ac:dyDescent="0.3">
      <c r="A2183" s="20" t="s">
        <v>104</v>
      </c>
      <c r="B2183" s="16">
        <v>18900000</v>
      </c>
    </row>
    <row r="2184" spans="1:2" x14ac:dyDescent="0.3">
      <c r="A2184" s="1" t="s">
        <v>45</v>
      </c>
      <c r="B2184" s="16">
        <v>9500000</v>
      </c>
    </row>
    <row r="2185" spans="1:2" x14ac:dyDescent="0.3">
      <c r="A2185" s="1" t="s">
        <v>265</v>
      </c>
      <c r="B2185" s="16">
        <v>11200000</v>
      </c>
    </row>
    <row r="2186" spans="1:2" x14ac:dyDescent="0.3">
      <c r="A2186" s="1" t="s">
        <v>87</v>
      </c>
      <c r="B2186" s="16">
        <v>11300000</v>
      </c>
    </row>
    <row r="2187" spans="1:2" x14ac:dyDescent="0.3">
      <c r="A2187" s="1" t="s">
        <v>297</v>
      </c>
      <c r="B2187" s="16">
        <v>22120000</v>
      </c>
    </row>
    <row r="2188" spans="1:2" x14ac:dyDescent="0.3">
      <c r="A2188" s="1" t="s">
        <v>341</v>
      </c>
      <c r="B2188" s="16">
        <v>7200000</v>
      </c>
    </row>
    <row r="2189" spans="1:2" x14ac:dyDescent="0.3">
      <c r="A2189" s="1" t="s">
        <v>151</v>
      </c>
      <c r="B2189" s="16">
        <v>13500000</v>
      </c>
    </row>
    <row r="2190" spans="1:2" x14ac:dyDescent="0.3">
      <c r="A2190" s="1" t="s">
        <v>340</v>
      </c>
      <c r="B2190" s="16">
        <v>12246151</v>
      </c>
    </row>
    <row r="2191" spans="1:2" x14ac:dyDescent="0.3">
      <c r="A2191" s="1" t="s">
        <v>339</v>
      </c>
      <c r="B2191" s="16">
        <v>7690000</v>
      </c>
    </row>
    <row r="2192" spans="1:2" x14ac:dyDescent="0.3">
      <c r="A2192" s="1" t="s">
        <v>177</v>
      </c>
      <c r="B2192" s="16">
        <v>8500000</v>
      </c>
    </row>
    <row r="2193" spans="1:2" x14ac:dyDescent="0.3">
      <c r="A2193" s="1" t="s">
        <v>338</v>
      </c>
      <c r="B2193" s="16">
        <v>9000000</v>
      </c>
    </row>
    <row r="2194" spans="1:2" x14ac:dyDescent="0.3">
      <c r="A2194" s="1" t="s">
        <v>17</v>
      </c>
      <c r="B2194" s="16">
        <v>5300000</v>
      </c>
    </row>
    <row r="2195" spans="1:2" x14ac:dyDescent="0.3">
      <c r="A2195" s="1" t="s">
        <v>337</v>
      </c>
      <c r="B2195" s="16">
        <v>16000000</v>
      </c>
    </row>
    <row r="2196" spans="1:2" x14ac:dyDescent="0.3">
      <c r="A2196" s="1" t="s">
        <v>336</v>
      </c>
      <c r="B2196" s="16">
        <v>12900000</v>
      </c>
    </row>
    <row r="2197" spans="1:2" x14ac:dyDescent="0.3">
      <c r="A2197" s="1" t="s">
        <v>3938</v>
      </c>
      <c r="B2197" s="16">
        <v>7800000</v>
      </c>
    </row>
    <row r="2198" spans="1:2" x14ac:dyDescent="0.3">
      <c r="A2198" s="1" t="s">
        <v>6048</v>
      </c>
      <c r="B2198" s="16">
        <v>13400000</v>
      </c>
    </row>
    <row r="2199" spans="1:2" x14ac:dyDescent="0.3">
      <c r="A2199" s="1" t="s">
        <v>3854</v>
      </c>
      <c r="B2199" s="16">
        <v>20000000</v>
      </c>
    </row>
    <row r="2200" spans="1:2" x14ac:dyDescent="0.3">
      <c r="A2200" s="1" t="s">
        <v>5874</v>
      </c>
      <c r="B2200" s="16">
        <v>29300000</v>
      </c>
    </row>
    <row r="2201" spans="1:2" x14ac:dyDescent="0.3">
      <c r="A2201" s="1" t="s">
        <v>3936</v>
      </c>
      <c r="B2201" s="16">
        <v>10200000</v>
      </c>
    </row>
    <row r="2202" spans="1:2" x14ac:dyDescent="0.3">
      <c r="A2202" s="1" t="s">
        <v>3929</v>
      </c>
      <c r="B2202" s="16">
        <v>10300000</v>
      </c>
    </row>
    <row r="2203" spans="1:2" x14ac:dyDescent="0.3">
      <c r="A2203" s="1" t="s">
        <v>3044</v>
      </c>
      <c r="B2203" s="16">
        <v>22000000</v>
      </c>
    </row>
    <row r="2204" spans="1:2" x14ac:dyDescent="0.3">
      <c r="A2204" s="1" t="s">
        <v>6054</v>
      </c>
      <c r="B2204" s="16">
        <v>7850000</v>
      </c>
    </row>
    <row r="2205" spans="1:2" x14ac:dyDescent="0.3">
      <c r="A2205" s="1" t="s">
        <v>3270</v>
      </c>
      <c r="B2205" s="16">
        <v>8900000</v>
      </c>
    </row>
    <row r="2206" spans="1:2" x14ac:dyDescent="0.3">
      <c r="A2206" s="1" t="s">
        <v>6047</v>
      </c>
      <c r="B2206" s="16">
        <v>9800000</v>
      </c>
    </row>
    <row r="2207" spans="1:2" x14ac:dyDescent="0.3">
      <c r="A2207" s="1" t="s">
        <v>5930</v>
      </c>
      <c r="B2207" s="16">
        <v>7200000</v>
      </c>
    </row>
    <row r="2208" spans="1:2" x14ac:dyDescent="0.3">
      <c r="A2208" s="1" t="s">
        <v>5844</v>
      </c>
      <c r="B2208" s="16">
        <v>19000000</v>
      </c>
    </row>
    <row r="2209" spans="1:2" x14ac:dyDescent="0.3">
      <c r="A2209" s="1" t="s">
        <v>5790</v>
      </c>
      <c r="B2209" s="16">
        <v>9300000</v>
      </c>
    </row>
    <row r="2210" spans="1:2" x14ac:dyDescent="0.3">
      <c r="A2210" s="1" t="s">
        <v>3370</v>
      </c>
      <c r="B2210" s="16">
        <v>15500000</v>
      </c>
    </row>
    <row r="2211" spans="1:2" x14ac:dyDescent="0.3">
      <c r="A2211" s="1" t="s">
        <v>6052</v>
      </c>
      <c r="B2211" s="16">
        <v>7100000</v>
      </c>
    </row>
    <row r="2212" spans="1:2" x14ac:dyDescent="0.3">
      <c r="A2212" s="1" t="s">
        <v>6055</v>
      </c>
      <c r="B2212" s="16">
        <v>16500000</v>
      </c>
    </row>
    <row r="2213" spans="1:2" x14ac:dyDescent="0.3">
      <c r="A2213" s="1" t="s">
        <v>6050</v>
      </c>
      <c r="B2213" s="16">
        <v>11500000</v>
      </c>
    </row>
    <row r="2214" spans="1:2" x14ac:dyDescent="0.3">
      <c r="A2214" s="1" t="s">
        <v>3840</v>
      </c>
      <c r="B2214" s="16">
        <v>8600000</v>
      </c>
    </row>
    <row r="2215" spans="1:2" x14ac:dyDescent="0.3">
      <c r="A2215" s="1" t="s">
        <v>6049</v>
      </c>
      <c r="B2215" s="16">
        <v>6450000</v>
      </c>
    </row>
    <row r="2216" spans="1:2" x14ac:dyDescent="0.3">
      <c r="A2216" s="1" t="s">
        <v>3433</v>
      </c>
      <c r="B2216" s="16">
        <v>7600000</v>
      </c>
    </row>
    <row r="2217" spans="1:2" x14ac:dyDescent="0.3">
      <c r="A2217" s="1" t="s">
        <v>6053</v>
      </c>
      <c r="B2217" s="16">
        <v>44500000</v>
      </c>
    </row>
    <row r="2218" spans="1:2" x14ac:dyDescent="0.3">
      <c r="A2218" s="1" t="s">
        <v>3913</v>
      </c>
      <c r="B2218" s="16">
        <v>21000000</v>
      </c>
    </row>
    <row r="2219" spans="1:2" x14ac:dyDescent="0.3">
      <c r="A2219" s="1" t="s">
        <v>6051</v>
      </c>
      <c r="B2219" s="16">
        <v>18300000</v>
      </c>
    </row>
    <row r="2220" spans="1:2" x14ac:dyDescent="0.3">
      <c r="A2220" s="1" t="s">
        <v>8084</v>
      </c>
      <c r="B2220" s="16">
        <v>7100000</v>
      </c>
    </row>
    <row r="2221" spans="1:2" x14ac:dyDescent="0.3">
      <c r="A2221" s="1" t="s">
        <v>8124</v>
      </c>
      <c r="B2221" s="16">
        <v>8800000</v>
      </c>
    </row>
    <row r="2222" spans="1:2" x14ac:dyDescent="0.3">
      <c r="A2222" s="1" t="s">
        <v>1197</v>
      </c>
      <c r="B2222" s="16">
        <v>9200000</v>
      </c>
    </row>
    <row r="2223" spans="1:2" x14ac:dyDescent="0.3">
      <c r="A2223" s="1" t="s">
        <v>8029</v>
      </c>
      <c r="B2223" s="16">
        <v>12500000</v>
      </c>
    </row>
    <row r="2224" spans="1:2" x14ac:dyDescent="0.3">
      <c r="A2224" s="1" t="s">
        <v>3765</v>
      </c>
      <c r="B2224" s="16">
        <v>21000000</v>
      </c>
    </row>
    <row r="2225" spans="1:2" x14ac:dyDescent="0.3">
      <c r="A2225" s="1" t="s">
        <v>3899</v>
      </c>
      <c r="B2225" s="16">
        <v>9650000</v>
      </c>
    </row>
    <row r="2226" spans="1:2" x14ac:dyDescent="0.3">
      <c r="A2226" s="1" t="s">
        <v>8302</v>
      </c>
      <c r="B2226" s="16">
        <v>3900000</v>
      </c>
    </row>
    <row r="2227" spans="1:2" x14ac:dyDescent="0.3">
      <c r="A2227" s="1" t="s">
        <v>8092</v>
      </c>
      <c r="B2227" s="16">
        <v>18700000</v>
      </c>
    </row>
    <row r="2228" spans="1:2" x14ac:dyDescent="0.3">
      <c r="A2228" s="1" t="s">
        <v>8281</v>
      </c>
      <c r="B2228" s="16">
        <v>9700000</v>
      </c>
    </row>
    <row r="2229" spans="1:2" x14ac:dyDescent="0.3">
      <c r="A2229" s="1" t="s">
        <v>8080</v>
      </c>
      <c r="B2229" s="16">
        <v>9200000</v>
      </c>
    </row>
    <row r="2230" spans="1:2" x14ac:dyDescent="0.3">
      <c r="A2230" s="1" t="s">
        <v>8310</v>
      </c>
      <c r="B2230" s="16">
        <v>11500000</v>
      </c>
    </row>
    <row r="2231" spans="1:2" x14ac:dyDescent="0.3">
      <c r="A2231" s="1" t="s">
        <v>7888</v>
      </c>
      <c r="B2231" s="16">
        <v>4600000</v>
      </c>
    </row>
    <row r="2232" spans="1:2" x14ac:dyDescent="0.3">
      <c r="A2232" s="1" t="s">
        <v>8194</v>
      </c>
      <c r="B2232" s="16">
        <v>9600000</v>
      </c>
    </row>
    <row r="2233" spans="1:2" x14ac:dyDescent="0.3">
      <c r="A2233" s="1" t="s">
        <v>3493</v>
      </c>
      <c r="B2233" s="16">
        <v>7000000</v>
      </c>
    </row>
    <row r="2234" spans="1:2" x14ac:dyDescent="0.3">
      <c r="A2234" s="1" t="s">
        <v>422</v>
      </c>
      <c r="B2234" s="16">
        <v>16000000</v>
      </c>
    </row>
    <row r="2235" spans="1:2" x14ac:dyDescent="0.3">
      <c r="A2235" s="1" t="s">
        <v>2586</v>
      </c>
      <c r="B2235" s="16">
        <v>10100000</v>
      </c>
    </row>
    <row r="2236" spans="1:2" x14ac:dyDescent="0.3">
      <c r="A2236" s="1" t="s">
        <v>3384</v>
      </c>
      <c r="B2236" s="16">
        <v>9508100</v>
      </c>
    </row>
    <row r="2237" spans="1:2" x14ac:dyDescent="0.3">
      <c r="A2237" s="1" t="s">
        <v>230</v>
      </c>
      <c r="B2237" s="16">
        <v>6340000</v>
      </c>
    </row>
    <row r="2238" spans="1:2" x14ac:dyDescent="0.3">
      <c r="A2238" s="1"/>
      <c r="B2238" s="16"/>
    </row>
    <row r="2239" spans="1:2" x14ac:dyDescent="0.3">
      <c r="A2239" s="1"/>
      <c r="B2239" s="16"/>
    </row>
    <row r="2240" spans="1:2" x14ac:dyDescent="0.3">
      <c r="A2240" s="1"/>
      <c r="B2240" s="16"/>
    </row>
    <row r="2241" spans="1:2" x14ac:dyDescent="0.3">
      <c r="A2241" s="1"/>
      <c r="B2241" s="16"/>
    </row>
    <row r="2242" spans="1:2" x14ac:dyDescent="0.3">
      <c r="A2242" s="1"/>
      <c r="B2242" s="16"/>
    </row>
    <row r="2243" spans="1:2" x14ac:dyDescent="0.3">
      <c r="A2243" s="1"/>
      <c r="B2243" s="16"/>
    </row>
    <row r="2244" spans="1:2" x14ac:dyDescent="0.3">
      <c r="A2244" s="1"/>
      <c r="B2244" s="16"/>
    </row>
    <row r="2245" spans="1:2" x14ac:dyDescent="0.3">
      <c r="A2245" s="1"/>
      <c r="B2245" s="16"/>
    </row>
    <row r="2246" spans="1:2" x14ac:dyDescent="0.3">
      <c r="A2246" s="1"/>
      <c r="B2246" s="16"/>
    </row>
    <row r="2247" spans="1:2" x14ac:dyDescent="0.3">
      <c r="A2247" s="1"/>
      <c r="B2247" s="16"/>
    </row>
    <row r="2248" spans="1:2" x14ac:dyDescent="0.3">
      <c r="A2248" s="1"/>
      <c r="B2248" s="16"/>
    </row>
    <row r="2249" spans="1:2" x14ac:dyDescent="0.3">
      <c r="A2249" s="1"/>
      <c r="B2249" s="16"/>
    </row>
    <row r="2250" spans="1:2" x14ac:dyDescent="0.3">
      <c r="A2250" s="1"/>
      <c r="B2250" s="16"/>
    </row>
    <row r="2251" spans="1:2" x14ac:dyDescent="0.3">
      <c r="A2251" s="1"/>
      <c r="B2251" s="16"/>
    </row>
    <row r="2252" spans="1:2" x14ac:dyDescent="0.3">
      <c r="A2252" s="1"/>
      <c r="B2252" s="16"/>
    </row>
    <row r="2253" spans="1:2" x14ac:dyDescent="0.3">
      <c r="A2253" s="1"/>
      <c r="B2253" s="16"/>
    </row>
    <row r="2254" spans="1:2" x14ac:dyDescent="0.3">
      <c r="A2254" s="1"/>
      <c r="B2254" s="16"/>
    </row>
    <row r="2255" spans="1:2" x14ac:dyDescent="0.3">
      <c r="A2255" s="1"/>
      <c r="B2255" s="16"/>
    </row>
    <row r="2256" spans="1:2" x14ac:dyDescent="0.3">
      <c r="A2256" s="1"/>
      <c r="B2256" s="16"/>
    </row>
    <row r="2257" spans="1:2" x14ac:dyDescent="0.3">
      <c r="A2257" s="1"/>
      <c r="B2257" s="16"/>
    </row>
    <row r="2258" spans="1:2" x14ac:dyDescent="0.3">
      <c r="A2258" s="1"/>
      <c r="B2258" s="16"/>
    </row>
    <row r="2259" spans="1:2" x14ac:dyDescent="0.3">
      <c r="A2259" s="1"/>
      <c r="B2259" s="16"/>
    </row>
    <row r="2260" spans="1:2" x14ac:dyDescent="0.3">
      <c r="A2260" s="1"/>
      <c r="B2260" s="16"/>
    </row>
    <row r="2261" spans="1:2" x14ac:dyDescent="0.3">
      <c r="A2261" s="1"/>
      <c r="B2261" s="16"/>
    </row>
    <row r="2262" spans="1:2" x14ac:dyDescent="0.3">
      <c r="A2262" s="1"/>
      <c r="B2262" s="16"/>
    </row>
    <row r="2263" spans="1:2" x14ac:dyDescent="0.3">
      <c r="A2263" s="1"/>
      <c r="B2263" s="16"/>
    </row>
    <row r="2264" spans="1:2" x14ac:dyDescent="0.3">
      <c r="A2264" s="1"/>
      <c r="B2264" s="16"/>
    </row>
    <row r="2265" spans="1:2" x14ac:dyDescent="0.3">
      <c r="A2265" s="1"/>
      <c r="B2265" s="16"/>
    </row>
    <row r="2266" spans="1:2" x14ac:dyDescent="0.3">
      <c r="A2266" s="1"/>
      <c r="B2266" s="16"/>
    </row>
    <row r="2267" spans="1:2" x14ac:dyDescent="0.3">
      <c r="A2267" s="1"/>
      <c r="B2267" s="16"/>
    </row>
    <row r="2268" spans="1:2" x14ac:dyDescent="0.3">
      <c r="A2268" s="1"/>
      <c r="B2268" s="16"/>
    </row>
    <row r="2269" spans="1:2" x14ac:dyDescent="0.3">
      <c r="A2269" s="1"/>
      <c r="B2269" s="16"/>
    </row>
    <row r="2270" spans="1:2" x14ac:dyDescent="0.3">
      <c r="A2270" s="1"/>
      <c r="B2270" s="16"/>
    </row>
    <row r="2271" spans="1:2" x14ac:dyDescent="0.3">
      <c r="A2271" s="1"/>
      <c r="B2271" s="16"/>
    </row>
    <row r="2272" spans="1:2" x14ac:dyDescent="0.3">
      <c r="A2272" s="1"/>
      <c r="B2272" s="16"/>
    </row>
    <row r="2273" spans="1:2" x14ac:dyDescent="0.3">
      <c r="A2273" s="1"/>
      <c r="B2273" s="16"/>
    </row>
    <row r="2274" spans="1:2" x14ac:dyDescent="0.3">
      <c r="A2274" s="1"/>
      <c r="B2274" s="16"/>
    </row>
    <row r="2275" spans="1:2" x14ac:dyDescent="0.3">
      <c r="A2275" s="1"/>
      <c r="B2275" s="16"/>
    </row>
    <row r="2276" spans="1:2" x14ac:dyDescent="0.3">
      <c r="A2276" s="1"/>
      <c r="B2276" s="16"/>
    </row>
    <row r="2277" spans="1:2" x14ac:dyDescent="0.3">
      <c r="A2277" s="1"/>
      <c r="B2277" s="16"/>
    </row>
    <row r="2278" spans="1:2" x14ac:dyDescent="0.3">
      <c r="A2278" s="1"/>
      <c r="B2278" s="16"/>
    </row>
    <row r="2279" spans="1:2" x14ac:dyDescent="0.3">
      <c r="A2279" s="1"/>
      <c r="B2279" s="16"/>
    </row>
    <row r="2280" spans="1:2" x14ac:dyDescent="0.3">
      <c r="A2280" s="1"/>
      <c r="B2280" s="16"/>
    </row>
    <row r="2281" spans="1:2" x14ac:dyDescent="0.3">
      <c r="A2281" s="1"/>
      <c r="B2281" s="16"/>
    </row>
    <row r="2282" spans="1:2" x14ac:dyDescent="0.3">
      <c r="A2282" s="1"/>
      <c r="B2282" s="16"/>
    </row>
    <row r="2283" spans="1:2" x14ac:dyDescent="0.3">
      <c r="A2283" s="1"/>
      <c r="B2283" s="16"/>
    </row>
    <row r="2284" spans="1:2" x14ac:dyDescent="0.3">
      <c r="A2284" s="1"/>
      <c r="B2284" s="16"/>
    </row>
    <row r="2285" spans="1:2" x14ac:dyDescent="0.3">
      <c r="A2285" s="1"/>
      <c r="B2285" s="16"/>
    </row>
    <row r="2286" spans="1:2" x14ac:dyDescent="0.3">
      <c r="A2286" s="1"/>
      <c r="B2286" s="16"/>
    </row>
    <row r="2287" spans="1:2" x14ac:dyDescent="0.3">
      <c r="A2287" s="1"/>
      <c r="B2287" s="16"/>
    </row>
    <row r="2288" spans="1:2" x14ac:dyDescent="0.3">
      <c r="A2288" s="1"/>
      <c r="B2288" s="16"/>
    </row>
    <row r="2289" spans="1:2" x14ac:dyDescent="0.3">
      <c r="A2289" s="1"/>
      <c r="B2289" s="16"/>
    </row>
    <row r="2290" spans="1:2" x14ac:dyDescent="0.3">
      <c r="A2290" s="1"/>
      <c r="B2290" s="16"/>
    </row>
    <row r="2291" spans="1:2" x14ac:dyDescent="0.3">
      <c r="A2291" s="1"/>
      <c r="B2291" s="16"/>
    </row>
    <row r="2292" spans="1:2" x14ac:dyDescent="0.3">
      <c r="A2292" s="1"/>
      <c r="B2292" s="16"/>
    </row>
    <row r="2293" spans="1:2" x14ac:dyDescent="0.3">
      <c r="A2293" s="1"/>
      <c r="B2293" s="16"/>
    </row>
    <row r="2294" spans="1:2" x14ac:dyDescent="0.3">
      <c r="A2294" s="1"/>
      <c r="B2294" s="16"/>
    </row>
    <row r="2295" spans="1:2" x14ac:dyDescent="0.3">
      <c r="A2295" s="1"/>
      <c r="B2295" s="16"/>
    </row>
    <row r="2296" spans="1:2" x14ac:dyDescent="0.3">
      <c r="A2296" s="1"/>
      <c r="B2296" s="16"/>
    </row>
    <row r="2297" spans="1:2" x14ac:dyDescent="0.3">
      <c r="A2297" s="1"/>
      <c r="B2297" s="16"/>
    </row>
    <row r="2298" spans="1:2" x14ac:dyDescent="0.3">
      <c r="A2298" s="1"/>
      <c r="B2298" s="16"/>
    </row>
    <row r="2299" spans="1:2" x14ac:dyDescent="0.3">
      <c r="A2299" s="1"/>
      <c r="B2299" s="16"/>
    </row>
    <row r="2300" spans="1:2" x14ac:dyDescent="0.3">
      <c r="A2300" s="1"/>
      <c r="B2300" s="16"/>
    </row>
    <row r="2301" spans="1:2" x14ac:dyDescent="0.3">
      <c r="A2301" s="1"/>
      <c r="B2301" s="16"/>
    </row>
    <row r="2302" spans="1:2" x14ac:dyDescent="0.3">
      <c r="A2302" s="1"/>
      <c r="B2302" s="16"/>
    </row>
    <row r="2303" spans="1:2" x14ac:dyDescent="0.3">
      <c r="A2303" s="1"/>
      <c r="B2303" s="16"/>
    </row>
    <row r="2304" spans="1:2" x14ac:dyDescent="0.3">
      <c r="A2304" s="1"/>
      <c r="B2304" s="16"/>
    </row>
    <row r="2305" spans="1:2" x14ac:dyDescent="0.3">
      <c r="A2305" s="1"/>
      <c r="B2305" s="16"/>
    </row>
    <row r="2306" spans="1:2" x14ac:dyDescent="0.3">
      <c r="A2306" s="1"/>
      <c r="B2306" s="16"/>
    </row>
    <row r="2307" spans="1:2" x14ac:dyDescent="0.3">
      <c r="A2307" s="1"/>
      <c r="B2307" s="16"/>
    </row>
    <row r="2308" spans="1:2" x14ac:dyDescent="0.3">
      <c r="A2308" s="1"/>
      <c r="B2308" s="16"/>
    </row>
    <row r="2309" spans="1:2" x14ac:dyDescent="0.3">
      <c r="A2309" s="1"/>
      <c r="B2309" s="16"/>
    </row>
    <row r="2310" spans="1:2" x14ac:dyDescent="0.3">
      <c r="A2310" s="1"/>
      <c r="B2310" s="16"/>
    </row>
    <row r="2311" spans="1:2" x14ac:dyDescent="0.3">
      <c r="A2311" s="1"/>
      <c r="B2311" s="16"/>
    </row>
    <row r="2312" spans="1:2" x14ac:dyDescent="0.3">
      <c r="A2312" s="1"/>
      <c r="B2312" s="16"/>
    </row>
    <row r="2313" spans="1:2" x14ac:dyDescent="0.3">
      <c r="A2313" s="1"/>
      <c r="B2313" s="16"/>
    </row>
    <row r="2314" spans="1:2" x14ac:dyDescent="0.3">
      <c r="A2314" s="1"/>
      <c r="B2314" s="16"/>
    </row>
    <row r="2315" spans="1:2" x14ac:dyDescent="0.3">
      <c r="A2315" s="1"/>
      <c r="B2315" s="16"/>
    </row>
    <row r="2316" spans="1:2" x14ac:dyDescent="0.3">
      <c r="A2316" s="1"/>
      <c r="B2316" s="16"/>
    </row>
    <row r="2317" spans="1:2" x14ac:dyDescent="0.3">
      <c r="A2317" s="1"/>
      <c r="B2317" s="16"/>
    </row>
    <row r="2318" spans="1:2" x14ac:dyDescent="0.3">
      <c r="A2318" s="1"/>
      <c r="B2318" s="16"/>
    </row>
    <row r="2319" spans="1:2" x14ac:dyDescent="0.3">
      <c r="A2319" s="1"/>
      <c r="B2319" s="16"/>
    </row>
    <row r="2320" spans="1:2" x14ac:dyDescent="0.3">
      <c r="A2320" s="1"/>
      <c r="B2320" s="16"/>
    </row>
    <row r="2321" spans="1:2" x14ac:dyDescent="0.3">
      <c r="A2321" s="1"/>
      <c r="B2321" s="16"/>
    </row>
    <row r="2322" spans="1:2" x14ac:dyDescent="0.3">
      <c r="A2322" s="1"/>
      <c r="B2322" s="16"/>
    </row>
    <row r="2323" spans="1:2" x14ac:dyDescent="0.3">
      <c r="A2323" s="1"/>
      <c r="B2323" s="16"/>
    </row>
    <row r="2324" spans="1:2" x14ac:dyDescent="0.3">
      <c r="A2324" s="1"/>
      <c r="B2324" s="16"/>
    </row>
    <row r="2325" spans="1:2" x14ac:dyDescent="0.3">
      <c r="A2325" s="1"/>
      <c r="B2325" s="16"/>
    </row>
    <row r="2326" spans="1:2" x14ac:dyDescent="0.3">
      <c r="A2326" s="1"/>
      <c r="B2326" s="16"/>
    </row>
    <row r="2327" spans="1:2" x14ac:dyDescent="0.3">
      <c r="A2327" s="1"/>
      <c r="B2327" s="16"/>
    </row>
    <row r="2328" spans="1:2" x14ac:dyDescent="0.3">
      <c r="A2328" s="1"/>
      <c r="B2328" s="16"/>
    </row>
    <row r="2329" spans="1:2" x14ac:dyDescent="0.3">
      <c r="A2329" s="1"/>
      <c r="B2329" s="16"/>
    </row>
    <row r="2330" spans="1:2" x14ac:dyDescent="0.3">
      <c r="A2330" s="1"/>
      <c r="B2330" s="16"/>
    </row>
    <row r="2331" spans="1:2" x14ac:dyDescent="0.3">
      <c r="A2331" s="1"/>
      <c r="B2331" s="16"/>
    </row>
    <row r="2332" spans="1:2" x14ac:dyDescent="0.3">
      <c r="A2332" s="1"/>
      <c r="B2332" s="16"/>
    </row>
    <row r="2333" spans="1:2" x14ac:dyDescent="0.3">
      <c r="A2333" s="1"/>
      <c r="B2333" s="16"/>
    </row>
    <row r="2334" spans="1:2" x14ac:dyDescent="0.3">
      <c r="A2334" s="1"/>
      <c r="B2334" s="16"/>
    </row>
    <row r="2335" spans="1:2" x14ac:dyDescent="0.3">
      <c r="A2335" s="1"/>
      <c r="B2335" s="16"/>
    </row>
    <row r="2336" spans="1:2" x14ac:dyDescent="0.3">
      <c r="A2336" s="1"/>
      <c r="B2336" s="16"/>
    </row>
    <row r="2337" spans="1:2" x14ac:dyDescent="0.3">
      <c r="A2337" s="1"/>
      <c r="B2337" s="16"/>
    </row>
    <row r="2338" spans="1:2" x14ac:dyDescent="0.3">
      <c r="A2338" s="1"/>
      <c r="B2338" s="16"/>
    </row>
    <row r="2339" spans="1:2" x14ac:dyDescent="0.3">
      <c r="A2339" s="1"/>
      <c r="B2339" s="16"/>
    </row>
    <row r="2340" spans="1:2" x14ac:dyDescent="0.3">
      <c r="A2340" s="1"/>
      <c r="B2340" s="16"/>
    </row>
    <row r="2341" spans="1:2" x14ac:dyDescent="0.3">
      <c r="A2341" s="1"/>
      <c r="B2341" s="16"/>
    </row>
    <row r="2342" spans="1:2" x14ac:dyDescent="0.3">
      <c r="A2342" s="1"/>
      <c r="B2342" s="16"/>
    </row>
    <row r="2343" spans="1:2" x14ac:dyDescent="0.3">
      <c r="A2343" s="1"/>
      <c r="B2343" s="16"/>
    </row>
    <row r="2344" spans="1:2" x14ac:dyDescent="0.3">
      <c r="A2344" s="1"/>
      <c r="B2344" s="16"/>
    </row>
    <row r="2345" spans="1:2" x14ac:dyDescent="0.3">
      <c r="A2345" s="1"/>
      <c r="B2345" s="16"/>
    </row>
    <row r="2346" spans="1:2" x14ac:dyDescent="0.3">
      <c r="A2346" s="1"/>
      <c r="B2346" s="16"/>
    </row>
    <row r="2347" spans="1:2" x14ac:dyDescent="0.3">
      <c r="A2347" s="1"/>
      <c r="B2347" s="16"/>
    </row>
    <row r="2348" spans="1:2" x14ac:dyDescent="0.3">
      <c r="A2348" s="1"/>
      <c r="B2348" s="16"/>
    </row>
    <row r="2349" spans="1:2" x14ac:dyDescent="0.3">
      <c r="A2349" s="1"/>
      <c r="B2349" s="16"/>
    </row>
    <row r="2350" spans="1:2" x14ac:dyDescent="0.3">
      <c r="A2350" s="1"/>
      <c r="B2350" s="16"/>
    </row>
    <row r="2351" spans="1:2" x14ac:dyDescent="0.3">
      <c r="A2351" s="1"/>
      <c r="B2351" s="16"/>
    </row>
    <row r="2352" spans="1:2" x14ac:dyDescent="0.3">
      <c r="A2352" s="1"/>
      <c r="B2352" s="16"/>
    </row>
    <row r="2353" spans="1:2" x14ac:dyDescent="0.3">
      <c r="A2353" s="1"/>
      <c r="B2353" s="16"/>
    </row>
    <row r="2354" spans="1:2" x14ac:dyDescent="0.3">
      <c r="A2354" s="1"/>
      <c r="B2354" s="16"/>
    </row>
    <row r="2355" spans="1:2" x14ac:dyDescent="0.3">
      <c r="A2355" s="1"/>
      <c r="B2355" s="16"/>
    </row>
    <row r="2356" spans="1:2" x14ac:dyDescent="0.3">
      <c r="A2356" s="1"/>
      <c r="B2356" s="16"/>
    </row>
    <row r="2357" spans="1:2" x14ac:dyDescent="0.3">
      <c r="A2357" s="1"/>
      <c r="B2357" s="16"/>
    </row>
    <row r="2358" spans="1:2" x14ac:dyDescent="0.3">
      <c r="A2358" s="1"/>
      <c r="B2358" s="16"/>
    </row>
    <row r="2359" spans="1:2" x14ac:dyDescent="0.3">
      <c r="A2359" s="1"/>
      <c r="B2359" s="16"/>
    </row>
    <row r="2360" spans="1:2" x14ac:dyDescent="0.3">
      <c r="A2360" s="1"/>
      <c r="B2360" s="16"/>
    </row>
    <row r="2361" spans="1:2" x14ac:dyDescent="0.3">
      <c r="A2361" s="1"/>
      <c r="B2361" s="16"/>
    </row>
    <row r="2362" spans="1:2" x14ac:dyDescent="0.3">
      <c r="A2362" s="1"/>
      <c r="B2362" s="16"/>
    </row>
    <row r="2363" spans="1:2" x14ac:dyDescent="0.3">
      <c r="A2363" s="1"/>
      <c r="B2363" s="16"/>
    </row>
    <row r="2364" spans="1:2" x14ac:dyDescent="0.3">
      <c r="A2364" s="1"/>
      <c r="B2364" s="16"/>
    </row>
    <row r="2365" spans="1:2" x14ac:dyDescent="0.3">
      <c r="A2365" s="1"/>
      <c r="B2365" s="16"/>
    </row>
    <row r="2366" spans="1:2" x14ac:dyDescent="0.3">
      <c r="A2366" s="1"/>
      <c r="B2366" s="16"/>
    </row>
    <row r="2367" spans="1:2" x14ac:dyDescent="0.3">
      <c r="A2367" s="1"/>
      <c r="B2367" s="16"/>
    </row>
    <row r="2368" spans="1:2" x14ac:dyDescent="0.3">
      <c r="A2368" s="1"/>
      <c r="B2368" s="16"/>
    </row>
    <row r="2369" spans="1:2" x14ac:dyDescent="0.3">
      <c r="A2369" s="1"/>
      <c r="B2369" s="16"/>
    </row>
    <row r="2370" spans="1:2" x14ac:dyDescent="0.3">
      <c r="A2370" s="1"/>
      <c r="B2370" s="16"/>
    </row>
    <row r="2371" spans="1:2" x14ac:dyDescent="0.3">
      <c r="A2371" s="1"/>
      <c r="B2371" s="16"/>
    </row>
    <row r="2372" spans="1:2" x14ac:dyDescent="0.3">
      <c r="A2372" s="1"/>
      <c r="B2372" s="16"/>
    </row>
    <row r="2373" spans="1:2" x14ac:dyDescent="0.3">
      <c r="A2373" s="1"/>
      <c r="B2373" s="16"/>
    </row>
    <row r="2374" spans="1:2" x14ac:dyDescent="0.3">
      <c r="A2374" s="1"/>
      <c r="B2374" s="16"/>
    </row>
    <row r="2375" spans="1:2" x14ac:dyDescent="0.3">
      <c r="A2375" s="1"/>
      <c r="B2375" s="16"/>
    </row>
    <row r="2376" spans="1:2" x14ac:dyDescent="0.3">
      <c r="A2376" s="1"/>
      <c r="B2376" s="16"/>
    </row>
    <row r="2377" spans="1:2" x14ac:dyDescent="0.3">
      <c r="A2377" s="1"/>
      <c r="B2377" s="16"/>
    </row>
    <row r="2378" spans="1:2" x14ac:dyDescent="0.3">
      <c r="A2378" s="1"/>
      <c r="B2378" s="16"/>
    </row>
    <row r="2379" spans="1:2" x14ac:dyDescent="0.3">
      <c r="A2379" s="1"/>
      <c r="B2379" s="16"/>
    </row>
    <row r="2380" spans="1:2" x14ac:dyDescent="0.3">
      <c r="A2380" s="1"/>
      <c r="B2380" s="16"/>
    </row>
    <row r="2381" spans="1:2" x14ac:dyDescent="0.3">
      <c r="A2381" s="1"/>
      <c r="B2381" s="16"/>
    </row>
    <row r="2382" spans="1:2" x14ac:dyDescent="0.3">
      <c r="A2382" s="1"/>
      <c r="B2382" s="16"/>
    </row>
    <row r="2383" spans="1:2" x14ac:dyDescent="0.3">
      <c r="A2383" s="1"/>
      <c r="B2383" s="16"/>
    </row>
    <row r="2384" spans="1:2" x14ac:dyDescent="0.3">
      <c r="A2384" s="1"/>
      <c r="B2384" s="16"/>
    </row>
    <row r="2385" spans="1:2" x14ac:dyDescent="0.3">
      <c r="A2385" s="1"/>
      <c r="B2385" s="16"/>
    </row>
    <row r="2386" spans="1:2" x14ac:dyDescent="0.3">
      <c r="A2386" s="1"/>
      <c r="B2386" s="16"/>
    </row>
    <row r="2387" spans="1:2" x14ac:dyDescent="0.3">
      <c r="A2387" s="1"/>
      <c r="B2387" s="16"/>
    </row>
    <row r="2388" spans="1:2" x14ac:dyDescent="0.3">
      <c r="A2388" s="1"/>
      <c r="B2388" s="16"/>
    </row>
    <row r="2389" spans="1:2" x14ac:dyDescent="0.3">
      <c r="A2389" s="1"/>
      <c r="B2389" s="16"/>
    </row>
    <row r="2390" spans="1:2" x14ac:dyDescent="0.3">
      <c r="A2390" s="1"/>
      <c r="B2390" s="16"/>
    </row>
    <row r="2391" spans="1:2" x14ac:dyDescent="0.3">
      <c r="A2391" s="1"/>
      <c r="B2391" s="16"/>
    </row>
    <row r="2392" spans="1:2" x14ac:dyDescent="0.3">
      <c r="A2392" s="1"/>
      <c r="B2392" s="16"/>
    </row>
    <row r="2393" spans="1:2" x14ac:dyDescent="0.3">
      <c r="A2393" s="1"/>
      <c r="B2393" s="16"/>
    </row>
    <row r="2394" spans="1:2" x14ac:dyDescent="0.3">
      <c r="A2394" s="1"/>
      <c r="B2394" s="16"/>
    </row>
    <row r="2395" spans="1:2" x14ac:dyDescent="0.3">
      <c r="A2395" s="1"/>
      <c r="B2395" s="16"/>
    </row>
    <row r="2396" spans="1:2" x14ac:dyDescent="0.3">
      <c r="A2396" s="1"/>
      <c r="B2396" s="16"/>
    </row>
    <row r="2397" spans="1:2" x14ac:dyDescent="0.3">
      <c r="A2397" s="1"/>
      <c r="B2397" s="16"/>
    </row>
    <row r="2398" spans="1:2" x14ac:dyDescent="0.3">
      <c r="A2398" s="1"/>
      <c r="B2398" s="16"/>
    </row>
    <row r="2399" spans="1:2" x14ac:dyDescent="0.3">
      <c r="A2399" s="1"/>
      <c r="B2399" s="16"/>
    </row>
    <row r="2400" spans="1:2" x14ac:dyDescent="0.3">
      <c r="A2400" s="1"/>
      <c r="B2400" s="16"/>
    </row>
    <row r="2401" spans="1:2" x14ac:dyDescent="0.3">
      <c r="A2401" s="1"/>
      <c r="B2401" s="16"/>
    </row>
    <row r="2402" spans="1:2" x14ac:dyDescent="0.3">
      <c r="A2402" s="1"/>
      <c r="B2402" s="16"/>
    </row>
    <row r="2403" spans="1:2" x14ac:dyDescent="0.3">
      <c r="A2403" s="1"/>
      <c r="B2403" s="16"/>
    </row>
    <row r="2404" spans="1:2" x14ac:dyDescent="0.3">
      <c r="A2404" s="1"/>
      <c r="B2404" s="16"/>
    </row>
    <row r="2405" spans="1:2" x14ac:dyDescent="0.3">
      <c r="A2405" s="1"/>
      <c r="B2405" s="16"/>
    </row>
    <row r="2406" spans="1:2" x14ac:dyDescent="0.3">
      <c r="A2406" s="1"/>
      <c r="B2406" s="16"/>
    </row>
    <row r="2407" spans="1:2" x14ac:dyDescent="0.3">
      <c r="A2407" s="1"/>
      <c r="B2407" s="16"/>
    </row>
    <row r="2408" spans="1:2" x14ac:dyDescent="0.3">
      <c r="A2408" s="1"/>
      <c r="B2408" s="16"/>
    </row>
    <row r="2409" spans="1:2" x14ac:dyDescent="0.3">
      <c r="A2409" s="1"/>
      <c r="B2409" s="16"/>
    </row>
    <row r="2410" spans="1:2" x14ac:dyDescent="0.3">
      <c r="A2410" s="1"/>
      <c r="B2410" s="16"/>
    </row>
    <row r="2411" spans="1:2" x14ac:dyDescent="0.3">
      <c r="A2411" s="1"/>
      <c r="B2411" s="16"/>
    </row>
    <row r="2412" spans="1:2" x14ac:dyDescent="0.3">
      <c r="A2412" s="1"/>
      <c r="B2412" s="16"/>
    </row>
    <row r="2413" spans="1:2" x14ac:dyDescent="0.3">
      <c r="A2413" s="1"/>
      <c r="B2413" s="16"/>
    </row>
    <row r="2414" spans="1:2" x14ac:dyDescent="0.3">
      <c r="A2414" s="1"/>
      <c r="B2414" s="16"/>
    </row>
    <row r="2415" spans="1:2" x14ac:dyDescent="0.3">
      <c r="A2415" s="1"/>
      <c r="B2415" s="16"/>
    </row>
    <row r="2416" spans="1:2" x14ac:dyDescent="0.3">
      <c r="A2416" s="1"/>
      <c r="B2416" s="16"/>
    </row>
    <row r="2417" spans="1:2" x14ac:dyDescent="0.3">
      <c r="A2417" s="1"/>
      <c r="B2417" s="16"/>
    </row>
    <row r="2418" spans="1:2" x14ac:dyDescent="0.3">
      <c r="A2418" s="1"/>
      <c r="B2418" s="16"/>
    </row>
    <row r="2419" spans="1:2" x14ac:dyDescent="0.3">
      <c r="A2419" s="1"/>
      <c r="B2419" s="16"/>
    </row>
    <row r="2420" spans="1:2" x14ac:dyDescent="0.3">
      <c r="A2420" s="1"/>
      <c r="B2420" s="16"/>
    </row>
    <row r="2421" spans="1:2" x14ac:dyDescent="0.3">
      <c r="A2421" s="1"/>
      <c r="B2421" s="16"/>
    </row>
    <row r="2422" spans="1:2" x14ac:dyDescent="0.3">
      <c r="A2422" s="1"/>
      <c r="B2422" s="16"/>
    </row>
    <row r="2423" spans="1:2" x14ac:dyDescent="0.3">
      <c r="A2423" s="1"/>
      <c r="B2423" s="16"/>
    </row>
    <row r="2424" spans="1:2" x14ac:dyDescent="0.3">
      <c r="A2424" s="1"/>
      <c r="B2424" s="16"/>
    </row>
    <row r="2425" spans="1:2" x14ac:dyDescent="0.3">
      <c r="A2425" s="1"/>
      <c r="B2425" s="16"/>
    </row>
    <row r="2426" spans="1:2" x14ac:dyDescent="0.3">
      <c r="A2426" s="1"/>
      <c r="B2426" s="16"/>
    </row>
    <row r="2427" spans="1:2" x14ac:dyDescent="0.3">
      <c r="A2427" s="1"/>
      <c r="B2427" s="16"/>
    </row>
    <row r="2428" spans="1:2" x14ac:dyDescent="0.3">
      <c r="A2428" s="1"/>
      <c r="B2428" s="16"/>
    </row>
    <row r="2429" spans="1:2" x14ac:dyDescent="0.3">
      <c r="A2429" s="1"/>
      <c r="B2429" s="16"/>
    </row>
    <row r="2430" spans="1:2" x14ac:dyDescent="0.3">
      <c r="A2430" s="1"/>
      <c r="B2430" s="16"/>
    </row>
    <row r="2431" spans="1:2" x14ac:dyDescent="0.3">
      <c r="A2431" s="1"/>
      <c r="B2431" s="16"/>
    </row>
    <row r="2432" spans="1:2" x14ac:dyDescent="0.3">
      <c r="A2432" s="1"/>
      <c r="B2432" s="16"/>
    </row>
    <row r="2433" spans="1:2" x14ac:dyDescent="0.3">
      <c r="A2433" s="1"/>
      <c r="B2433" s="16"/>
    </row>
    <row r="2434" spans="1:2" x14ac:dyDescent="0.3">
      <c r="A2434" s="1"/>
      <c r="B2434" s="16"/>
    </row>
    <row r="2435" spans="1:2" x14ac:dyDescent="0.3">
      <c r="A2435" s="1"/>
      <c r="B2435" s="16"/>
    </row>
    <row r="2436" spans="1:2" x14ac:dyDescent="0.3">
      <c r="A2436" s="1"/>
      <c r="B2436" s="16"/>
    </row>
    <row r="2437" spans="1:2" x14ac:dyDescent="0.3">
      <c r="A2437" s="1"/>
      <c r="B2437" s="16"/>
    </row>
    <row r="2438" spans="1:2" x14ac:dyDescent="0.3">
      <c r="A2438" s="1"/>
      <c r="B2438" s="16"/>
    </row>
    <row r="2439" spans="1:2" x14ac:dyDescent="0.3">
      <c r="A2439" s="1"/>
      <c r="B2439" s="16"/>
    </row>
    <row r="2440" spans="1:2" x14ac:dyDescent="0.3">
      <c r="A2440" s="1"/>
      <c r="B2440" s="16"/>
    </row>
    <row r="2441" spans="1:2" x14ac:dyDescent="0.3">
      <c r="A2441" s="1"/>
      <c r="B2441" s="16"/>
    </row>
    <row r="2442" spans="1:2" x14ac:dyDescent="0.3">
      <c r="A2442" s="1"/>
      <c r="B2442" s="16"/>
    </row>
    <row r="2443" spans="1:2" x14ac:dyDescent="0.3">
      <c r="A2443" s="1"/>
      <c r="B2443" s="16"/>
    </row>
    <row r="2444" spans="1:2" x14ac:dyDescent="0.3">
      <c r="A2444" s="1"/>
      <c r="B2444" s="16"/>
    </row>
    <row r="2445" spans="1:2" x14ac:dyDescent="0.3">
      <c r="A2445" s="1"/>
      <c r="B2445" s="16"/>
    </row>
    <row r="2446" spans="1:2" x14ac:dyDescent="0.3">
      <c r="A2446" s="1"/>
      <c r="B2446" s="16"/>
    </row>
    <row r="2447" spans="1:2" x14ac:dyDescent="0.3">
      <c r="A2447" s="1"/>
      <c r="B2447" s="16"/>
    </row>
    <row r="2448" spans="1:2" x14ac:dyDescent="0.3">
      <c r="A2448" s="1"/>
      <c r="B2448" s="16"/>
    </row>
    <row r="2449" spans="1:2" x14ac:dyDescent="0.3">
      <c r="A2449" s="1"/>
      <c r="B2449" s="16"/>
    </row>
    <row r="2450" spans="1:2" x14ac:dyDescent="0.3">
      <c r="A2450" s="1"/>
      <c r="B2450" s="16"/>
    </row>
    <row r="2451" spans="1:2" x14ac:dyDescent="0.3">
      <c r="A2451" s="1"/>
      <c r="B2451" s="16"/>
    </row>
    <row r="2452" spans="1:2" x14ac:dyDescent="0.3">
      <c r="A2452" s="1"/>
      <c r="B2452" s="16"/>
    </row>
    <row r="2453" spans="1:2" x14ac:dyDescent="0.3">
      <c r="A2453" s="1"/>
      <c r="B2453" s="16"/>
    </row>
    <row r="2454" spans="1:2" x14ac:dyDescent="0.3">
      <c r="A2454" s="1"/>
      <c r="B2454" s="16"/>
    </row>
    <row r="2455" spans="1:2" x14ac:dyDescent="0.3">
      <c r="A2455" s="1"/>
      <c r="B2455" s="16"/>
    </row>
    <row r="2456" spans="1:2" x14ac:dyDescent="0.3">
      <c r="A2456" s="1"/>
      <c r="B2456" s="16"/>
    </row>
    <row r="2457" spans="1:2" x14ac:dyDescent="0.3">
      <c r="A2457" s="1"/>
      <c r="B2457" s="16"/>
    </row>
    <row r="2458" spans="1:2" x14ac:dyDescent="0.3">
      <c r="A2458" s="1"/>
      <c r="B2458" s="16"/>
    </row>
    <row r="2459" spans="1:2" x14ac:dyDescent="0.3">
      <c r="A2459" s="1"/>
      <c r="B2459" s="16"/>
    </row>
    <row r="2460" spans="1:2" x14ac:dyDescent="0.3">
      <c r="A2460" s="1"/>
      <c r="B2460" s="16"/>
    </row>
    <row r="2461" spans="1:2" x14ac:dyDescent="0.3">
      <c r="A2461" s="1"/>
      <c r="B2461" s="16"/>
    </row>
    <row r="2462" spans="1:2" x14ac:dyDescent="0.3">
      <c r="A2462" s="1"/>
      <c r="B2462" s="16"/>
    </row>
    <row r="2463" spans="1:2" x14ac:dyDescent="0.3">
      <c r="A2463" s="1"/>
      <c r="B2463" s="16"/>
    </row>
    <row r="2464" spans="1:2" x14ac:dyDescent="0.3">
      <c r="A2464" s="1"/>
      <c r="B2464" s="16"/>
    </row>
    <row r="2465" spans="1:2" x14ac:dyDescent="0.3">
      <c r="A2465" s="1"/>
      <c r="B2465" s="16"/>
    </row>
    <row r="2466" spans="1:2" x14ac:dyDescent="0.3">
      <c r="A2466" s="1"/>
      <c r="B2466" s="16"/>
    </row>
    <row r="2467" spans="1:2" x14ac:dyDescent="0.3">
      <c r="A2467" s="1"/>
      <c r="B2467" s="16"/>
    </row>
    <row r="2468" spans="1:2" x14ac:dyDescent="0.3">
      <c r="A2468" s="1"/>
      <c r="B2468" s="16"/>
    </row>
    <row r="2469" spans="1:2" x14ac:dyDescent="0.3">
      <c r="A2469" s="1"/>
      <c r="B2469" s="16"/>
    </row>
    <row r="2470" spans="1:2" x14ac:dyDescent="0.3">
      <c r="A2470" s="1"/>
      <c r="B2470" s="16"/>
    </row>
    <row r="2471" spans="1:2" x14ac:dyDescent="0.3">
      <c r="A2471" s="1"/>
      <c r="B2471" s="16"/>
    </row>
    <row r="2472" spans="1:2" x14ac:dyDescent="0.3">
      <c r="A2472" s="1"/>
      <c r="B2472" s="16"/>
    </row>
    <row r="2473" spans="1:2" x14ac:dyDescent="0.3">
      <c r="A2473" s="1"/>
      <c r="B2473" s="16"/>
    </row>
    <row r="2474" spans="1:2" x14ac:dyDescent="0.3">
      <c r="A2474" s="1"/>
      <c r="B2474" s="16"/>
    </row>
    <row r="2475" spans="1:2" x14ac:dyDescent="0.3">
      <c r="A2475" s="1"/>
      <c r="B2475" s="16"/>
    </row>
    <row r="2476" spans="1:2" x14ac:dyDescent="0.3">
      <c r="A2476" s="1"/>
      <c r="B2476" s="16"/>
    </row>
    <row r="2477" spans="1:2" x14ac:dyDescent="0.3">
      <c r="A2477" s="1"/>
      <c r="B2477" s="16"/>
    </row>
    <row r="2478" spans="1:2" x14ac:dyDescent="0.3">
      <c r="A2478" s="1"/>
      <c r="B2478" s="16"/>
    </row>
    <row r="2479" spans="1:2" x14ac:dyDescent="0.3">
      <c r="A2479" s="1"/>
      <c r="B2479" s="16"/>
    </row>
    <row r="2480" spans="1:2" x14ac:dyDescent="0.3">
      <c r="A2480" s="1"/>
      <c r="B2480" s="16"/>
    </row>
    <row r="2481" spans="1:2" x14ac:dyDescent="0.3">
      <c r="A2481" s="1"/>
      <c r="B2481" s="16"/>
    </row>
    <row r="2482" spans="1:2" x14ac:dyDescent="0.3">
      <c r="A2482" s="1"/>
      <c r="B2482" s="16"/>
    </row>
    <row r="2483" spans="1:2" x14ac:dyDescent="0.3">
      <c r="A2483" s="1"/>
      <c r="B2483" s="16"/>
    </row>
    <row r="2484" spans="1:2" x14ac:dyDescent="0.3">
      <c r="A2484" s="1"/>
      <c r="B2484" s="16"/>
    </row>
    <row r="2485" spans="1:2" x14ac:dyDescent="0.3">
      <c r="A2485" s="1"/>
      <c r="B2485" s="16"/>
    </row>
    <row r="2486" spans="1:2" x14ac:dyDescent="0.3">
      <c r="A2486" s="1"/>
      <c r="B2486" s="16"/>
    </row>
    <row r="2487" spans="1:2" x14ac:dyDescent="0.3">
      <c r="A2487" s="1"/>
      <c r="B2487" s="16"/>
    </row>
    <row r="2488" spans="1:2" x14ac:dyDescent="0.3">
      <c r="A2488" s="1"/>
      <c r="B2488" s="16"/>
    </row>
    <row r="2489" spans="1:2" x14ac:dyDescent="0.3">
      <c r="A2489" s="1"/>
      <c r="B2489" s="16"/>
    </row>
    <row r="2490" spans="1:2" x14ac:dyDescent="0.3">
      <c r="A2490" s="1"/>
      <c r="B2490" s="16"/>
    </row>
    <row r="2491" spans="1:2" x14ac:dyDescent="0.3">
      <c r="A2491" s="1"/>
      <c r="B2491" s="16"/>
    </row>
    <row r="2492" spans="1:2" x14ac:dyDescent="0.3">
      <c r="A2492" s="1"/>
      <c r="B2492" s="16"/>
    </row>
    <row r="2493" spans="1:2" x14ac:dyDescent="0.3">
      <c r="A2493" s="1"/>
      <c r="B2493" s="16"/>
    </row>
    <row r="2494" spans="1:2" x14ac:dyDescent="0.3">
      <c r="A2494" s="1"/>
      <c r="B2494" s="16"/>
    </row>
    <row r="2495" spans="1:2" x14ac:dyDescent="0.3">
      <c r="A2495" s="1"/>
      <c r="B2495" s="16"/>
    </row>
    <row r="2496" spans="1:2" x14ac:dyDescent="0.3">
      <c r="A2496" s="1"/>
      <c r="B2496" s="16"/>
    </row>
    <row r="2497" spans="1:2" x14ac:dyDescent="0.3">
      <c r="A2497" s="1"/>
      <c r="B2497" s="16"/>
    </row>
    <row r="2498" spans="1:2" x14ac:dyDescent="0.3">
      <c r="A2498" s="1"/>
      <c r="B2498" s="16"/>
    </row>
    <row r="2499" spans="1:2" x14ac:dyDescent="0.3">
      <c r="A2499" s="1"/>
      <c r="B2499" s="16"/>
    </row>
    <row r="2500" spans="1:2" x14ac:dyDescent="0.3">
      <c r="A2500" s="1"/>
      <c r="B2500" s="16"/>
    </row>
    <row r="2501" spans="1:2" x14ac:dyDescent="0.3">
      <c r="A2501" s="1"/>
      <c r="B2501" s="16"/>
    </row>
    <row r="2502" spans="1:2" x14ac:dyDescent="0.3">
      <c r="A2502" s="1"/>
      <c r="B2502" s="16"/>
    </row>
    <row r="2503" spans="1:2" x14ac:dyDescent="0.3">
      <c r="A2503" s="1"/>
      <c r="B2503" s="16"/>
    </row>
    <row r="2504" spans="1:2" x14ac:dyDescent="0.3">
      <c r="A2504" s="1"/>
      <c r="B2504" s="16"/>
    </row>
    <row r="2505" spans="1:2" x14ac:dyDescent="0.3">
      <c r="A2505" s="1"/>
      <c r="B2505" s="16"/>
    </row>
    <row r="2506" spans="1:2" x14ac:dyDescent="0.3">
      <c r="A2506" s="1"/>
      <c r="B2506" s="16"/>
    </row>
    <row r="2507" spans="1:2" x14ac:dyDescent="0.3">
      <c r="A2507" s="1"/>
      <c r="B2507" s="16"/>
    </row>
    <row r="2508" spans="1:2" x14ac:dyDescent="0.3">
      <c r="A2508" s="1"/>
      <c r="B2508" s="16"/>
    </row>
    <row r="2509" spans="1:2" x14ac:dyDescent="0.3">
      <c r="A2509" s="1"/>
      <c r="B2509" s="16"/>
    </row>
    <row r="2510" spans="1:2" x14ac:dyDescent="0.3">
      <c r="A2510" s="1"/>
      <c r="B2510" s="16"/>
    </row>
    <row r="2511" spans="1:2" x14ac:dyDescent="0.3">
      <c r="A2511" s="1"/>
      <c r="B2511" s="16"/>
    </row>
    <row r="2512" spans="1:2" x14ac:dyDescent="0.3">
      <c r="A2512" s="1"/>
      <c r="B2512" s="16"/>
    </row>
    <row r="2513" spans="1:2" x14ac:dyDescent="0.3">
      <c r="A2513" s="1"/>
      <c r="B2513" s="16"/>
    </row>
    <row r="2514" spans="1:2" x14ac:dyDescent="0.3">
      <c r="A2514" s="1"/>
      <c r="B2514" s="16"/>
    </row>
    <row r="2515" spans="1:2" x14ac:dyDescent="0.3">
      <c r="A2515" s="1"/>
      <c r="B2515" s="16"/>
    </row>
    <row r="2516" spans="1:2" x14ac:dyDescent="0.3">
      <c r="A2516" s="1"/>
      <c r="B2516" s="16"/>
    </row>
    <row r="2517" spans="1:2" x14ac:dyDescent="0.3">
      <c r="A2517" s="1"/>
      <c r="B2517" s="16"/>
    </row>
    <row r="2518" spans="1:2" x14ac:dyDescent="0.3">
      <c r="A2518" s="1"/>
      <c r="B2518" s="16"/>
    </row>
    <row r="2519" spans="1:2" x14ac:dyDescent="0.3">
      <c r="A2519" s="1"/>
      <c r="B2519" s="16"/>
    </row>
    <row r="2520" spans="1:2" x14ac:dyDescent="0.3">
      <c r="A2520" s="1"/>
      <c r="B2520" s="16"/>
    </row>
    <row r="2521" spans="1:2" x14ac:dyDescent="0.3">
      <c r="A2521" s="1"/>
      <c r="B2521" s="16"/>
    </row>
    <row r="2522" spans="1:2" x14ac:dyDescent="0.3">
      <c r="A2522" s="1"/>
      <c r="B2522" s="16"/>
    </row>
    <row r="2523" spans="1:2" x14ac:dyDescent="0.3">
      <c r="A2523" s="1"/>
      <c r="B2523" s="16"/>
    </row>
    <row r="2524" spans="1:2" x14ac:dyDescent="0.3">
      <c r="A2524" s="1"/>
      <c r="B2524" s="16"/>
    </row>
    <row r="2525" spans="1:2" x14ac:dyDescent="0.3">
      <c r="A2525" s="1"/>
      <c r="B2525" s="16"/>
    </row>
    <row r="2526" spans="1:2" x14ac:dyDescent="0.3">
      <c r="A2526" s="1"/>
      <c r="B2526" s="16"/>
    </row>
    <row r="2527" spans="1:2" x14ac:dyDescent="0.3">
      <c r="A2527" s="1"/>
      <c r="B2527" s="16"/>
    </row>
    <row r="2528" spans="1:2" x14ac:dyDescent="0.3">
      <c r="A2528" s="1"/>
      <c r="B2528" s="16"/>
    </row>
    <row r="2529" spans="1:2" x14ac:dyDescent="0.3">
      <c r="A2529" s="1"/>
      <c r="B2529" s="16"/>
    </row>
    <row r="2530" spans="1:2" x14ac:dyDescent="0.3">
      <c r="A2530" s="1"/>
      <c r="B2530" s="16"/>
    </row>
    <row r="2531" spans="1:2" x14ac:dyDescent="0.3">
      <c r="A2531" s="1"/>
      <c r="B2531" s="16"/>
    </row>
    <row r="2532" spans="1:2" x14ac:dyDescent="0.3">
      <c r="A2532" s="1"/>
      <c r="B2532" s="16"/>
    </row>
    <row r="2533" spans="1:2" x14ac:dyDescent="0.3">
      <c r="A2533" s="1"/>
      <c r="B2533" s="16"/>
    </row>
    <row r="2534" spans="1:2" x14ac:dyDescent="0.3">
      <c r="A2534" s="1"/>
      <c r="B2534" s="16"/>
    </row>
    <row r="2535" spans="1:2" x14ac:dyDescent="0.3">
      <c r="A2535" s="1"/>
      <c r="B2535" s="16"/>
    </row>
    <row r="2536" spans="1:2" x14ac:dyDescent="0.3">
      <c r="A2536" s="1"/>
      <c r="B2536" s="16"/>
    </row>
    <row r="2537" spans="1:2" x14ac:dyDescent="0.3">
      <c r="A2537" s="1"/>
      <c r="B2537" s="16"/>
    </row>
    <row r="2538" spans="1:2" x14ac:dyDescent="0.3">
      <c r="A2538" s="1"/>
      <c r="B2538" s="16"/>
    </row>
    <row r="2539" spans="1:2" x14ac:dyDescent="0.3">
      <c r="A2539" s="1"/>
      <c r="B2539" s="16"/>
    </row>
    <row r="2540" spans="1:2" x14ac:dyDescent="0.3">
      <c r="A2540" s="1"/>
      <c r="B2540" s="16"/>
    </row>
    <row r="2541" spans="1:2" x14ac:dyDescent="0.3">
      <c r="A2541" s="1"/>
      <c r="B2541" s="16"/>
    </row>
    <row r="2542" spans="1:2" x14ac:dyDescent="0.3">
      <c r="A2542" s="1"/>
      <c r="B2542" s="16"/>
    </row>
    <row r="2543" spans="1:2" x14ac:dyDescent="0.3">
      <c r="A2543" s="1"/>
      <c r="B2543" s="16"/>
    </row>
    <row r="2544" spans="1:2" x14ac:dyDescent="0.3">
      <c r="A2544" s="1"/>
      <c r="B2544" s="16"/>
    </row>
    <row r="2545" spans="1:2" x14ac:dyDescent="0.3">
      <c r="A2545" s="1"/>
      <c r="B2545" s="16"/>
    </row>
    <row r="2546" spans="1:2" x14ac:dyDescent="0.3">
      <c r="A2546" s="1"/>
      <c r="B2546" s="16"/>
    </row>
    <row r="2547" spans="1:2" x14ac:dyDescent="0.3">
      <c r="A2547" s="1"/>
      <c r="B2547" s="16"/>
    </row>
    <row r="2548" spans="1:2" x14ac:dyDescent="0.3">
      <c r="A2548" s="1"/>
      <c r="B2548" s="16"/>
    </row>
    <row r="2549" spans="1:2" x14ac:dyDescent="0.3">
      <c r="A2549" s="1"/>
      <c r="B2549" s="16"/>
    </row>
    <row r="2550" spans="1:2" x14ac:dyDescent="0.3">
      <c r="A2550" s="1"/>
      <c r="B2550" s="16"/>
    </row>
    <row r="2551" spans="1:2" x14ac:dyDescent="0.3">
      <c r="A2551" s="1"/>
      <c r="B2551" s="16"/>
    </row>
    <row r="2552" spans="1:2" x14ac:dyDescent="0.3">
      <c r="A2552" s="1"/>
      <c r="B2552" s="16"/>
    </row>
    <row r="2553" spans="1:2" x14ac:dyDescent="0.3">
      <c r="A2553" s="1"/>
      <c r="B2553" s="16"/>
    </row>
    <row r="2554" spans="1:2" x14ac:dyDescent="0.3">
      <c r="A2554" s="1"/>
      <c r="B2554" s="16"/>
    </row>
    <row r="2555" spans="1:2" x14ac:dyDescent="0.3">
      <c r="A2555" s="1"/>
      <c r="B2555" s="16"/>
    </row>
    <row r="2556" spans="1:2" x14ac:dyDescent="0.3">
      <c r="A2556" s="1"/>
      <c r="B2556" s="16"/>
    </row>
    <row r="2557" spans="1:2" x14ac:dyDescent="0.3">
      <c r="A2557" s="1"/>
      <c r="B2557" s="16"/>
    </row>
    <row r="2558" spans="1:2" x14ac:dyDescent="0.3">
      <c r="A2558" s="1"/>
      <c r="B2558" s="16"/>
    </row>
    <row r="2559" spans="1:2" x14ac:dyDescent="0.3">
      <c r="A2559" s="1"/>
      <c r="B2559" s="16"/>
    </row>
    <row r="2560" spans="1:2" x14ac:dyDescent="0.3">
      <c r="A2560" s="1"/>
      <c r="B2560" s="16"/>
    </row>
    <row r="2561" spans="1:2" x14ac:dyDescent="0.3">
      <c r="A2561" s="1"/>
      <c r="B2561" s="16"/>
    </row>
    <row r="2562" spans="1:2" x14ac:dyDescent="0.3">
      <c r="A2562" s="1"/>
      <c r="B2562" s="16"/>
    </row>
    <row r="2563" spans="1:2" x14ac:dyDescent="0.3">
      <c r="A2563" s="1"/>
      <c r="B2563" s="16"/>
    </row>
    <row r="2564" spans="1:2" x14ac:dyDescent="0.3">
      <c r="A2564" s="1"/>
      <c r="B2564" s="16"/>
    </row>
    <row r="2565" spans="1:2" x14ac:dyDescent="0.3">
      <c r="A2565" s="1"/>
      <c r="B2565" s="16"/>
    </row>
    <row r="2566" spans="1:2" x14ac:dyDescent="0.3">
      <c r="A2566" s="1"/>
      <c r="B2566" s="16"/>
    </row>
    <row r="2567" spans="1:2" x14ac:dyDescent="0.3">
      <c r="A2567" s="1"/>
      <c r="B2567" s="16"/>
    </row>
    <row r="2568" spans="1:2" x14ac:dyDescent="0.3">
      <c r="A2568" s="1"/>
      <c r="B2568" s="16"/>
    </row>
    <row r="2569" spans="1:2" x14ac:dyDescent="0.3">
      <c r="A2569" s="1"/>
      <c r="B2569" s="16"/>
    </row>
    <row r="2570" spans="1:2" x14ac:dyDescent="0.3">
      <c r="A2570" s="1"/>
      <c r="B2570" s="16"/>
    </row>
    <row r="2571" spans="1:2" x14ac:dyDescent="0.3">
      <c r="A2571" s="1"/>
      <c r="B2571" s="16"/>
    </row>
    <row r="2572" spans="1:2" x14ac:dyDescent="0.3">
      <c r="A2572" s="1"/>
      <c r="B2572" s="16"/>
    </row>
    <row r="2573" spans="1:2" x14ac:dyDescent="0.3">
      <c r="A2573" s="1"/>
      <c r="B2573" s="16"/>
    </row>
    <row r="2574" spans="1:2" x14ac:dyDescent="0.3">
      <c r="A2574" s="1"/>
      <c r="B2574" s="16"/>
    </row>
    <row r="2575" spans="1:2" x14ac:dyDescent="0.3">
      <c r="A2575" s="1"/>
      <c r="B2575" s="16"/>
    </row>
    <row r="2576" spans="1:2" x14ac:dyDescent="0.3">
      <c r="A2576" s="1"/>
      <c r="B2576" s="16"/>
    </row>
    <row r="2577" spans="1:2" x14ac:dyDescent="0.3">
      <c r="A2577" s="1"/>
      <c r="B2577" s="16"/>
    </row>
    <row r="2578" spans="1:2" x14ac:dyDescent="0.3">
      <c r="A2578" s="1"/>
      <c r="B2578" s="16"/>
    </row>
    <row r="2579" spans="1:2" x14ac:dyDescent="0.3">
      <c r="A2579" s="1"/>
      <c r="B2579" s="16"/>
    </row>
    <row r="2580" spans="1:2" x14ac:dyDescent="0.3">
      <c r="A2580" s="1"/>
      <c r="B2580" s="16"/>
    </row>
    <row r="2581" spans="1:2" x14ac:dyDescent="0.3">
      <c r="A2581" s="1"/>
      <c r="B2581" s="16"/>
    </row>
    <row r="2582" spans="1:2" x14ac:dyDescent="0.3">
      <c r="A2582" s="1"/>
      <c r="B2582" s="16"/>
    </row>
    <row r="2583" spans="1:2" x14ac:dyDescent="0.3">
      <c r="A2583" s="1"/>
      <c r="B2583" s="16"/>
    </row>
    <row r="2584" spans="1:2" x14ac:dyDescent="0.3">
      <c r="A2584" s="1"/>
      <c r="B2584" s="16"/>
    </row>
    <row r="2585" spans="1:2" x14ac:dyDescent="0.3">
      <c r="A2585" s="1"/>
      <c r="B2585" s="16"/>
    </row>
    <row r="2586" spans="1:2" x14ac:dyDescent="0.3">
      <c r="A2586" s="1"/>
      <c r="B2586" s="16"/>
    </row>
    <row r="2587" spans="1:2" x14ac:dyDescent="0.3">
      <c r="A2587" s="1"/>
      <c r="B2587" s="16"/>
    </row>
    <row r="2588" spans="1:2" x14ac:dyDescent="0.3">
      <c r="A2588" s="1"/>
      <c r="B2588" s="16"/>
    </row>
    <row r="2589" spans="1:2" x14ac:dyDescent="0.3">
      <c r="A2589" s="1"/>
      <c r="B2589" s="16"/>
    </row>
    <row r="2590" spans="1:2" x14ac:dyDescent="0.3">
      <c r="A2590" s="1"/>
      <c r="B2590" s="16"/>
    </row>
    <row r="2591" spans="1:2" x14ac:dyDescent="0.3">
      <c r="A2591" s="1"/>
      <c r="B2591" s="16"/>
    </row>
    <row r="2592" spans="1:2" x14ac:dyDescent="0.3">
      <c r="A2592" s="1"/>
      <c r="B2592" s="16"/>
    </row>
    <row r="2593" spans="1:2" x14ac:dyDescent="0.3">
      <c r="A2593" s="1"/>
      <c r="B2593" s="16"/>
    </row>
    <row r="2594" spans="1:2" x14ac:dyDescent="0.3">
      <c r="A2594" s="1"/>
      <c r="B2594" s="16"/>
    </row>
    <row r="2595" spans="1:2" x14ac:dyDescent="0.3">
      <c r="A2595" s="1"/>
      <c r="B2595" s="16"/>
    </row>
    <row r="2596" spans="1:2" x14ac:dyDescent="0.3">
      <c r="A2596" s="1"/>
      <c r="B2596" s="16"/>
    </row>
    <row r="2597" spans="1:2" x14ac:dyDescent="0.3">
      <c r="A2597" s="1"/>
      <c r="B2597" s="16"/>
    </row>
    <row r="2598" spans="1:2" x14ac:dyDescent="0.3">
      <c r="A2598" s="1"/>
      <c r="B2598" s="16"/>
    </row>
    <row r="2599" spans="1:2" x14ac:dyDescent="0.3">
      <c r="A2599" s="1"/>
      <c r="B2599" s="16"/>
    </row>
    <row r="2600" spans="1:2" x14ac:dyDescent="0.3">
      <c r="A2600" s="1"/>
      <c r="B2600" s="16"/>
    </row>
    <row r="2601" spans="1:2" x14ac:dyDescent="0.3">
      <c r="A2601" s="1"/>
      <c r="B2601" s="16"/>
    </row>
    <row r="2602" spans="1:2" x14ac:dyDescent="0.3">
      <c r="A2602" s="1"/>
      <c r="B2602" s="16"/>
    </row>
    <row r="2603" spans="1:2" x14ac:dyDescent="0.3">
      <c r="A2603" s="1"/>
      <c r="B2603" s="16"/>
    </row>
    <row r="2604" spans="1:2" x14ac:dyDescent="0.3">
      <c r="A2604" s="1"/>
      <c r="B2604" s="16"/>
    </row>
    <row r="2605" spans="1:2" x14ac:dyDescent="0.3">
      <c r="A2605" s="1"/>
      <c r="B2605" s="16"/>
    </row>
    <row r="2606" spans="1:2" x14ac:dyDescent="0.3">
      <c r="A2606" s="1"/>
      <c r="B2606" s="16"/>
    </row>
    <row r="2607" spans="1:2" x14ac:dyDescent="0.3">
      <c r="A2607" s="1"/>
      <c r="B2607" s="16"/>
    </row>
    <row r="2608" spans="1:2" x14ac:dyDescent="0.3">
      <c r="A2608" s="1"/>
      <c r="B2608" s="16"/>
    </row>
    <row r="2609" spans="1:2" x14ac:dyDescent="0.3">
      <c r="A2609" s="1"/>
      <c r="B2609" s="16"/>
    </row>
    <row r="2610" spans="1:2" x14ac:dyDescent="0.3">
      <c r="A2610" s="1"/>
      <c r="B2610" s="16"/>
    </row>
    <row r="2611" spans="1:2" x14ac:dyDescent="0.3">
      <c r="A2611" s="1"/>
      <c r="B2611" s="16"/>
    </row>
    <row r="2612" spans="1:2" x14ac:dyDescent="0.3">
      <c r="A2612" s="1"/>
      <c r="B2612" s="16"/>
    </row>
    <row r="2613" spans="1:2" x14ac:dyDescent="0.3">
      <c r="A2613" s="1"/>
      <c r="B2613" s="16"/>
    </row>
    <row r="2614" spans="1:2" x14ac:dyDescent="0.3">
      <c r="A2614" s="1"/>
      <c r="B2614" s="16"/>
    </row>
    <row r="2615" spans="1:2" x14ac:dyDescent="0.3">
      <c r="A2615" s="1"/>
      <c r="B2615" s="16"/>
    </row>
    <row r="2616" spans="1:2" x14ac:dyDescent="0.3">
      <c r="A2616" s="1"/>
      <c r="B2616" s="16"/>
    </row>
    <row r="2617" spans="1:2" x14ac:dyDescent="0.3">
      <c r="A2617" s="1"/>
      <c r="B2617" s="16"/>
    </row>
    <row r="2618" spans="1:2" x14ac:dyDescent="0.3">
      <c r="A2618" s="1"/>
      <c r="B2618" s="16"/>
    </row>
    <row r="2619" spans="1:2" x14ac:dyDescent="0.3">
      <c r="A2619" s="1"/>
      <c r="B2619" s="16"/>
    </row>
    <row r="2620" spans="1:2" x14ac:dyDescent="0.3">
      <c r="A2620" s="1"/>
      <c r="B2620" s="16"/>
    </row>
    <row r="2621" spans="1:2" x14ac:dyDescent="0.3">
      <c r="A2621" s="1"/>
      <c r="B2621" s="16"/>
    </row>
    <row r="2622" spans="1:2" x14ac:dyDescent="0.3">
      <c r="A2622" s="1"/>
      <c r="B2622" s="16"/>
    </row>
    <row r="2623" spans="1:2" x14ac:dyDescent="0.3">
      <c r="A2623" s="1"/>
      <c r="B2623" s="16"/>
    </row>
    <row r="2624" spans="1:2" x14ac:dyDescent="0.3">
      <c r="A2624" s="1"/>
      <c r="B2624" s="16"/>
    </row>
    <row r="2625" spans="1:2" x14ac:dyDescent="0.3">
      <c r="A2625" s="1"/>
      <c r="B2625" s="16"/>
    </row>
    <row r="2626" spans="1:2" x14ac:dyDescent="0.3">
      <c r="A2626" s="1"/>
      <c r="B2626" s="16"/>
    </row>
    <row r="2627" spans="1:2" x14ac:dyDescent="0.3">
      <c r="A2627" s="1"/>
      <c r="B2627" s="16"/>
    </row>
    <row r="2628" spans="1:2" x14ac:dyDescent="0.3">
      <c r="A2628" s="1"/>
      <c r="B2628" s="16"/>
    </row>
    <row r="2629" spans="1:2" x14ac:dyDescent="0.3">
      <c r="A2629" s="1"/>
      <c r="B2629" s="16"/>
    </row>
    <row r="2630" spans="1:2" x14ac:dyDescent="0.3">
      <c r="A2630" s="1"/>
      <c r="B2630" s="16"/>
    </row>
    <row r="2631" spans="1:2" x14ac:dyDescent="0.3">
      <c r="A2631" s="1"/>
      <c r="B2631" s="16"/>
    </row>
    <row r="2632" spans="1:2" x14ac:dyDescent="0.3">
      <c r="A2632" s="1"/>
      <c r="B2632" s="16"/>
    </row>
    <row r="2633" spans="1:2" x14ac:dyDescent="0.3">
      <c r="A2633" s="1"/>
      <c r="B2633" s="16"/>
    </row>
    <row r="2634" spans="1:2" x14ac:dyDescent="0.3">
      <c r="A2634" s="1"/>
      <c r="B2634" s="16"/>
    </row>
    <row r="2635" spans="1:2" x14ac:dyDescent="0.3">
      <c r="A2635" s="1"/>
      <c r="B2635" s="16"/>
    </row>
    <row r="2636" spans="1:2" x14ac:dyDescent="0.3">
      <c r="A2636" s="1"/>
      <c r="B2636" s="16"/>
    </row>
    <row r="2637" spans="1:2" x14ac:dyDescent="0.3">
      <c r="A2637" s="1"/>
      <c r="B2637" s="16"/>
    </row>
    <row r="2638" spans="1:2" x14ac:dyDescent="0.3">
      <c r="A2638" s="1"/>
      <c r="B2638" s="16"/>
    </row>
    <row r="2639" spans="1:2" x14ac:dyDescent="0.3">
      <c r="A2639" s="1"/>
      <c r="B2639" s="16"/>
    </row>
    <row r="2640" spans="1:2" x14ac:dyDescent="0.3">
      <c r="A2640" s="1"/>
      <c r="B2640" s="16"/>
    </row>
    <row r="2641" spans="1:2" x14ac:dyDescent="0.3">
      <c r="A2641" s="1"/>
      <c r="B2641" s="16"/>
    </row>
    <row r="2642" spans="1:2" x14ac:dyDescent="0.3">
      <c r="A2642" s="1"/>
      <c r="B2642" s="16"/>
    </row>
    <row r="2643" spans="1:2" x14ac:dyDescent="0.3">
      <c r="A2643" s="1"/>
      <c r="B2643" s="16"/>
    </row>
    <row r="2644" spans="1:2" x14ac:dyDescent="0.3">
      <c r="A2644" s="1"/>
      <c r="B2644" s="16"/>
    </row>
    <row r="2645" spans="1:2" x14ac:dyDescent="0.3">
      <c r="A2645" s="1"/>
      <c r="B2645" s="16"/>
    </row>
    <row r="2646" spans="1:2" x14ac:dyDescent="0.3">
      <c r="A2646" s="1"/>
      <c r="B2646" s="16"/>
    </row>
    <row r="2647" spans="1:2" x14ac:dyDescent="0.3">
      <c r="A2647" s="1"/>
      <c r="B2647" s="16"/>
    </row>
    <row r="2648" spans="1:2" x14ac:dyDescent="0.3">
      <c r="A2648" s="1"/>
      <c r="B2648" s="16"/>
    </row>
    <row r="2649" spans="1:2" x14ac:dyDescent="0.3">
      <c r="A2649" s="1"/>
      <c r="B2649" s="16"/>
    </row>
    <row r="2650" spans="1:2" x14ac:dyDescent="0.3">
      <c r="A2650" s="1"/>
      <c r="B2650" s="16"/>
    </row>
    <row r="2651" spans="1:2" x14ac:dyDescent="0.3">
      <c r="A2651" s="1"/>
      <c r="B2651" s="16"/>
    </row>
    <row r="2652" spans="1:2" x14ac:dyDescent="0.3">
      <c r="A2652" s="1"/>
      <c r="B2652" s="16"/>
    </row>
    <row r="2653" spans="1:2" x14ac:dyDescent="0.3">
      <c r="A2653" s="1"/>
      <c r="B2653" s="16"/>
    </row>
    <row r="2654" spans="1:2" x14ac:dyDescent="0.3">
      <c r="A2654" s="1"/>
      <c r="B2654" s="16"/>
    </row>
    <row r="2655" spans="1:2" x14ac:dyDescent="0.3">
      <c r="A2655" s="1"/>
      <c r="B2655" s="16"/>
    </row>
    <row r="2656" spans="1:2" x14ac:dyDescent="0.3">
      <c r="A2656" s="1"/>
      <c r="B2656" s="16"/>
    </row>
    <row r="2657" spans="1:2" x14ac:dyDescent="0.3">
      <c r="A2657" s="1"/>
      <c r="B2657" s="16"/>
    </row>
    <row r="2658" spans="1:2" x14ac:dyDescent="0.3">
      <c r="A2658" s="1"/>
      <c r="B2658" s="16"/>
    </row>
    <row r="2659" spans="1:2" x14ac:dyDescent="0.3">
      <c r="A2659" s="1"/>
      <c r="B2659" s="16"/>
    </row>
    <row r="2660" spans="1:2" x14ac:dyDescent="0.3">
      <c r="A2660" s="1"/>
      <c r="B2660" s="16"/>
    </row>
    <row r="2661" spans="1:2" x14ac:dyDescent="0.3">
      <c r="A2661" s="1"/>
      <c r="B2661" s="16"/>
    </row>
    <row r="2662" spans="1:2" x14ac:dyDescent="0.3">
      <c r="A2662" s="1"/>
      <c r="B2662" s="16"/>
    </row>
    <row r="2663" spans="1:2" x14ac:dyDescent="0.3">
      <c r="A2663" s="1"/>
      <c r="B2663" s="16"/>
    </row>
    <row r="2664" spans="1:2" x14ac:dyDescent="0.3">
      <c r="A2664" s="1"/>
      <c r="B2664" s="16"/>
    </row>
    <row r="2665" spans="1:2" x14ac:dyDescent="0.3">
      <c r="A2665" s="1"/>
      <c r="B2665" s="16"/>
    </row>
    <row r="2666" spans="1:2" x14ac:dyDescent="0.3">
      <c r="A2666" s="1"/>
      <c r="B2666" s="16"/>
    </row>
    <row r="2667" spans="1:2" x14ac:dyDescent="0.3">
      <c r="A2667" s="1"/>
      <c r="B2667" s="16"/>
    </row>
    <row r="2668" spans="1:2" x14ac:dyDescent="0.3">
      <c r="A2668" s="1"/>
      <c r="B2668" s="16"/>
    </row>
    <row r="2669" spans="1:2" x14ac:dyDescent="0.3">
      <c r="A2669" s="1"/>
      <c r="B2669" s="16"/>
    </row>
    <row r="2670" spans="1:2" x14ac:dyDescent="0.3">
      <c r="A2670" s="1"/>
      <c r="B2670" s="16"/>
    </row>
    <row r="2671" spans="1:2" x14ac:dyDescent="0.3">
      <c r="A2671" s="1"/>
      <c r="B2671" s="16"/>
    </row>
    <row r="2672" spans="1:2" x14ac:dyDescent="0.3">
      <c r="A2672" s="1"/>
      <c r="B2672" s="16"/>
    </row>
    <row r="2673" spans="1:2" x14ac:dyDescent="0.3">
      <c r="A2673" s="1"/>
      <c r="B2673" s="16"/>
    </row>
    <row r="2674" spans="1:2" x14ac:dyDescent="0.3">
      <c r="A2674" s="1"/>
      <c r="B2674" s="16"/>
    </row>
    <row r="2675" spans="1:2" x14ac:dyDescent="0.3">
      <c r="A2675" s="1"/>
      <c r="B2675" s="16"/>
    </row>
    <row r="2676" spans="1:2" x14ac:dyDescent="0.3">
      <c r="A2676" s="1"/>
      <c r="B2676" s="16"/>
    </row>
    <row r="2677" spans="1:2" x14ac:dyDescent="0.3">
      <c r="A2677" s="1"/>
      <c r="B2677" s="16"/>
    </row>
    <row r="2678" spans="1:2" x14ac:dyDescent="0.3">
      <c r="A2678" s="1"/>
      <c r="B2678" s="16"/>
    </row>
    <row r="2679" spans="1:2" x14ac:dyDescent="0.3">
      <c r="A2679" s="1"/>
      <c r="B2679" s="16"/>
    </row>
    <row r="2680" spans="1:2" x14ac:dyDescent="0.3">
      <c r="A2680" s="1"/>
      <c r="B2680" s="16"/>
    </row>
    <row r="2681" spans="1:2" x14ac:dyDescent="0.3">
      <c r="A2681" s="1"/>
      <c r="B2681" s="16"/>
    </row>
    <row r="2682" spans="1:2" x14ac:dyDescent="0.3">
      <c r="A2682" s="1"/>
      <c r="B2682" s="16"/>
    </row>
    <row r="2683" spans="1:2" x14ac:dyDescent="0.3">
      <c r="A2683" s="1"/>
      <c r="B2683" s="16"/>
    </row>
    <row r="2684" spans="1:2" x14ac:dyDescent="0.3">
      <c r="A2684" s="1"/>
      <c r="B2684" s="16"/>
    </row>
    <row r="2685" spans="1:2" x14ac:dyDescent="0.3">
      <c r="A2685" s="1"/>
      <c r="B2685" s="16"/>
    </row>
    <row r="2686" spans="1:2" x14ac:dyDescent="0.3">
      <c r="A2686" s="1"/>
      <c r="B2686" s="16"/>
    </row>
    <row r="2687" spans="1:2" x14ac:dyDescent="0.3">
      <c r="A2687" s="1"/>
      <c r="B2687" s="16"/>
    </row>
    <row r="2688" spans="1:2" x14ac:dyDescent="0.3">
      <c r="A2688" s="1"/>
      <c r="B2688" s="16"/>
    </row>
    <row r="2689" spans="1:2" x14ac:dyDescent="0.3">
      <c r="A2689" s="1"/>
      <c r="B2689" s="16"/>
    </row>
    <row r="2690" spans="1:2" x14ac:dyDescent="0.3">
      <c r="A2690" s="1"/>
      <c r="B2690" s="16"/>
    </row>
    <row r="2691" spans="1:2" x14ac:dyDescent="0.3">
      <c r="A2691" s="1"/>
      <c r="B2691" s="16"/>
    </row>
    <row r="2692" spans="1:2" x14ac:dyDescent="0.3">
      <c r="A2692" s="1"/>
      <c r="B2692" s="16"/>
    </row>
    <row r="2693" spans="1:2" x14ac:dyDescent="0.3">
      <c r="A2693" s="1"/>
      <c r="B2693" s="16"/>
    </row>
    <row r="2694" spans="1:2" x14ac:dyDescent="0.3">
      <c r="A2694" s="1"/>
      <c r="B2694" s="16"/>
    </row>
    <row r="2695" spans="1:2" x14ac:dyDescent="0.3">
      <c r="A2695" s="1"/>
      <c r="B2695" s="16"/>
    </row>
    <row r="2696" spans="1:2" x14ac:dyDescent="0.3">
      <c r="A2696" s="1"/>
      <c r="B2696" s="16"/>
    </row>
    <row r="2697" spans="1:2" x14ac:dyDescent="0.3">
      <c r="A2697" s="1"/>
      <c r="B2697" s="16"/>
    </row>
    <row r="2698" spans="1:2" x14ac:dyDescent="0.3">
      <c r="A2698" s="1"/>
      <c r="B2698" s="16"/>
    </row>
    <row r="2699" spans="1:2" x14ac:dyDescent="0.3">
      <c r="A2699" s="1"/>
      <c r="B2699" s="16"/>
    </row>
    <row r="2700" spans="1:2" x14ac:dyDescent="0.3">
      <c r="A2700" s="1"/>
      <c r="B2700" s="16"/>
    </row>
    <row r="2701" spans="1:2" x14ac:dyDescent="0.3">
      <c r="A2701" s="1"/>
      <c r="B2701" s="16"/>
    </row>
    <row r="2702" spans="1:2" x14ac:dyDescent="0.3">
      <c r="A2702" s="1"/>
      <c r="B2702" s="16"/>
    </row>
    <row r="2703" spans="1:2" x14ac:dyDescent="0.3">
      <c r="A2703" s="1"/>
      <c r="B2703" s="16"/>
    </row>
    <row r="2704" spans="1:2" x14ac:dyDescent="0.3">
      <c r="A2704" s="1"/>
      <c r="B2704" s="16"/>
    </row>
    <row r="2705" spans="1:2" x14ac:dyDescent="0.3">
      <c r="A2705" s="1"/>
      <c r="B2705" s="16"/>
    </row>
    <row r="2706" spans="1:2" x14ac:dyDescent="0.3">
      <c r="A2706" s="1"/>
      <c r="B2706" s="16"/>
    </row>
    <row r="2707" spans="1:2" x14ac:dyDescent="0.3">
      <c r="A2707" s="1"/>
      <c r="B2707" s="16"/>
    </row>
    <row r="2708" spans="1:2" x14ac:dyDescent="0.3">
      <c r="A2708" s="1"/>
      <c r="B2708" s="16"/>
    </row>
    <row r="2709" spans="1:2" x14ac:dyDescent="0.3">
      <c r="A2709" s="1"/>
      <c r="B2709" s="16"/>
    </row>
    <row r="2710" spans="1:2" x14ac:dyDescent="0.3">
      <c r="A2710" s="1"/>
      <c r="B2710" s="16"/>
    </row>
    <row r="2711" spans="1:2" x14ac:dyDescent="0.3">
      <c r="A2711" s="1"/>
      <c r="B2711" s="16"/>
    </row>
    <row r="2712" spans="1:2" x14ac:dyDescent="0.3">
      <c r="A2712" s="1"/>
      <c r="B2712" s="16"/>
    </row>
    <row r="2713" spans="1:2" x14ac:dyDescent="0.3">
      <c r="A2713" s="1"/>
      <c r="B2713" s="16"/>
    </row>
    <row r="2714" spans="1:2" x14ac:dyDescent="0.3">
      <c r="A2714" s="1"/>
      <c r="B2714" s="16"/>
    </row>
    <row r="2715" spans="1:2" x14ac:dyDescent="0.3">
      <c r="A2715" s="1"/>
      <c r="B2715" s="16"/>
    </row>
    <row r="2716" spans="1:2" x14ac:dyDescent="0.3">
      <c r="A2716" s="1"/>
      <c r="B2716" s="16"/>
    </row>
    <row r="2717" spans="1:2" x14ac:dyDescent="0.3">
      <c r="A2717" s="1"/>
      <c r="B2717" s="16"/>
    </row>
    <row r="2718" spans="1:2" x14ac:dyDescent="0.3">
      <c r="A2718" s="1"/>
      <c r="B2718" s="16"/>
    </row>
    <row r="2719" spans="1:2" x14ac:dyDescent="0.3">
      <c r="A2719" s="1"/>
      <c r="B2719" s="16"/>
    </row>
    <row r="2720" spans="1:2" x14ac:dyDescent="0.3">
      <c r="A2720" s="1"/>
      <c r="B2720" s="16"/>
    </row>
    <row r="2721" spans="1:26" x14ac:dyDescent="0.3">
      <c r="A2721" s="1"/>
      <c r="B2721" s="16"/>
    </row>
    <row r="2722" spans="1:26" x14ac:dyDescent="0.3">
      <c r="A2722" s="1"/>
      <c r="B2722" s="16"/>
    </row>
    <row r="2723" spans="1:26" x14ac:dyDescent="0.3">
      <c r="A2723" s="1"/>
      <c r="B2723" s="16"/>
    </row>
    <row r="2724" spans="1:26" x14ac:dyDescent="0.3">
      <c r="A2724" s="1"/>
      <c r="B2724" s="16"/>
    </row>
    <row r="2725" spans="1:26" x14ac:dyDescent="0.3">
      <c r="A2725" s="1"/>
      <c r="B2725" s="16"/>
    </row>
    <row r="2726" spans="1:26" x14ac:dyDescent="0.3">
      <c r="A2726" s="1"/>
      <c r="B2726" s="16"/>
    </row>
    <row r="2727" spans="1:26" x14ac:dyDescent="0.3">
      <c r="A2727" s="1"/>
      <c r="B2727" s="16"/>
    </row>
    <row r="2728" spans="1:26" x14ac:dyDescent="0.3">
      <c r="A2728" s="1"/>
      <c r="B2728" s="16"/>
    </row>
    <row r="2729" spans="1:26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x14ac:dyDescent="0.3">
      <c r="A2732" s="1"/>
      <c r="B2732" s="16"/>
    </row>
    <row r="2733" spans="1:26" x14ac:dyDescent="0.3">
      <c r="A2733" s="1"/>
      <c r="B2733" s="16"/>
    </row>
    <row r="2734" spans="1:26" x14ac:dyDescent="0.3">
      <c r="A2734" s="1"/>
      <c r="B2734" s="16"/>
    </row>
    <row r="2735" spans="1:26" x14ac:dyDescent="0.3">
      <c r="A2735" s="1"/>
      <c r="B2735" s="16"/>
    </row>
    <row r="2736" spans="1:26" x14ac:dyDescent="0.3">
      <c r="A2736" s="1"/>
      <c r="B2736" s="16"/>
    </row>
    <row r="2737" spans="1:2" x14ac:dyDescent="0.3">
      <c r="A2737" s="1"/>
      <c r="B2737" s="16"/>
    </row>
    <row r="2738" spans="1:2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6056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6057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6058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6059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6060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6061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6062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6063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6064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6065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6066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6067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6068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6069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6070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6071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6072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6073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6074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6075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6076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6077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6078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6079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6080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6081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6082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6083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6084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6085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6086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6087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6088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6089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6090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6091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6092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6093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6094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6095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6096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6097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6098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6099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6100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6101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6102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6103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6104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6105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6106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6107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6108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6109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6110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6111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6112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6113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6114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6115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6116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6117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6118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6119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6120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6121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6122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6123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6124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6125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6126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6127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6128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6129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6130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6131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6132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6133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6134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6135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6136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6137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6138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6139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6140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6141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6142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6143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6144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6145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6146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6147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6148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6149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6150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6151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6152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6153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6154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6155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6156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6157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6158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6159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6160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6161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6162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6163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6164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6165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6166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6167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6168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6169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6170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6171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6172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6173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6174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6175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6176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6177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6178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6179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6180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6181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6182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6183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6184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6185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6186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6187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6188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6189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6190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6191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6192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6193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6194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6195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6196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6197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6198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6199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6200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6201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6202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6203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6204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6205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6206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6207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6208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6209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6210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6211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6212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6213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6214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6215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6216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6217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6218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6219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6220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6221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6222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6223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6224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6225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6226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6227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6228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6229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6230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6231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6232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6233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6234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6235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6236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6237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6238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6239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6240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6241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6242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6243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6244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6245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6246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6247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6248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6249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6250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6251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6252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6253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6254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6255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6256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6257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6258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6259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6260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6261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6262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6263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6264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6265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6266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6267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6268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6269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6270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6271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6272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6273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6274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6275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6276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6277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6278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6279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6280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6281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6282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6283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6284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6285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6286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6287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6288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6289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6290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6291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6292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6293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6294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6295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6296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6297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6298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6299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6300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6301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6302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6303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6304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6305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6306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6307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6308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6309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6310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6311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6312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6313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6314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6315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6316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6317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6318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6319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6320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6321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6322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6323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6324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6325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6326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6327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6328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6329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6330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6331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6332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6333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6334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6335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6336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6337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6338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6339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6340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6341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6342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6343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6344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6345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6346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6347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6348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6349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6350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6351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6352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6353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6354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6355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6356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6357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6358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6359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6360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6361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6362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6363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6364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6365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6366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6367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6368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6369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6370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6371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6372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6373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6374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6375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6376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6377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6378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6379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6380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6381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6382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6383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6384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6385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6386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6387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6388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6389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6390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6391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6392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6393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6394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6395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6396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6397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6398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6399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6400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6401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6402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6403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6404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6405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6406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6407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6408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6409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6410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6411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6412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6413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6414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6415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6416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6417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6418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6419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6420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6421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6422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6423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6424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6425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6426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6427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6428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6429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6430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6431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6432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6433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6434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6435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6436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6437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6438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6439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6440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6441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6442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6443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6444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6445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6446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6447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6448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6449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6450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6451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6452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6453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6454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6455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6456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6457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6458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6459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6460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6461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6462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6463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6464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6465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6466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6467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6468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6469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6470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6471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6472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6473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6474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6475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6476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6477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6478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6479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6480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6481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6482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6483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6484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6485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6486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6487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6488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6489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6490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6491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6492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6493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6494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6495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6496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6497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6498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6499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6500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6501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6502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6503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6504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6505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6506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6507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6508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6509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6510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6511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6512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6513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6514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6515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6516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6517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6518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6519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6520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6521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6522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6523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6524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6525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6526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6527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6528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6529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6530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6531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6532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6533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6534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6535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6536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6537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6538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6539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6540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6541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6542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6543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6544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6545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6546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6547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6548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6549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6550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6551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6552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6553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6554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6555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6556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6557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6558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6559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6560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6561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6562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6563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6564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6565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6566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6567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6568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6569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6570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6571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6572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6573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6574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6575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6576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6577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6578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6579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6580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6581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6582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6583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6584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6585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6586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6587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6588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6589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6590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6591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6592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6593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6594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6595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6596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6597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6598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6599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6600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6601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6602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6603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6604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6605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6606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6607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6608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6609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6610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6611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6612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6613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6614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6615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6616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6617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6618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6619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6620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6621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6622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6623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6624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6625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6626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6627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6628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6629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6630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6631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6632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6633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6634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6635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6636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6637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6638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6639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6640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6641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6642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6643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6644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6645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6646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6647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6648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6649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6650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6651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6652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6653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6654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6655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6656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6657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6658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6659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6660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6661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6662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6663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6664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6665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6666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6667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6668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6669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6670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6671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6672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6673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6674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6675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6676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6677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6678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6679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6680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6681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6682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6683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6684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6685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6686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6687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6688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6689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6690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6691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6692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6693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6694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6695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6696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6697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6698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6699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6700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6701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6702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6703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6704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6705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6706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6707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6708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6709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6710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6711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6712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6713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6714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6715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6716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6717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6718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6719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6720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6721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6722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6723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6724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6725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6726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6727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6728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6729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6730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6731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6732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6733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6734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6735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6736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6737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6738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6739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6740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6741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6742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6743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6744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6745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6746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6747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6748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6749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6750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6751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6752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6753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6754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6755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6756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6757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6758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6759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6760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6761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6762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6763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6764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6765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6766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6767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6768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6769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6770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6771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6772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6773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6774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6775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6776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6777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6778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6779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6780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6781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6782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6783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6784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6785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6786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6787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6788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6789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6790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6791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6792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6793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6794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6795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6796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6797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6798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6799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6800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6801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6802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6803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6804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6805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6806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6807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6808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6809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6810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6811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6812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6813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6814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6815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6816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6817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6818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6819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6820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6821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6822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6823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6824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6825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6826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6827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6828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6829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6830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6831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6832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6833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6834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6835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6836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6837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6838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6839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6840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6841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6842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6843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6844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6845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6846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6847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6848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6849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6850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6851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6852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6853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6854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6855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6856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6857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6858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6859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6860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6861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6862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6863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6864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6865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6866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6867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6868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6869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6870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6871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6872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6873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6874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6875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6876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6877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6878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6879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6880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6881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6882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6883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6884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6885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6886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6887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6888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6889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6890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6891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6892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6893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6894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6895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6896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6897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6898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6899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6900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6901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6902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6903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6904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6905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6906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6907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6908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6909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6910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6911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6912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6913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6914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6915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6916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6917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6918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6919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6920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6921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6922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6923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6924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6925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6926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6927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6928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6929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6930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6931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6932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6933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6934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6935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6936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6937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6938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6939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6940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6941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6942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6943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6944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6945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6946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6947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6948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6949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6950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6951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6952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6953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6954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6955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6956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6957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6958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6959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6960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6961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6962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6963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6964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6965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6966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6967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6968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6969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6970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6971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6972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6973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6974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6975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6976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6977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6978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6979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6980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6981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6982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6983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6984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6985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6986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6987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6988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6989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6990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6991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6992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6993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6994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6995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6996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6997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6998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6999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7000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7001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7002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7003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7004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7005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7006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7007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7008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7009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7010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7011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7012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7013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7014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7015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7016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7017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7018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7019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7020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7021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7022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7023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7024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7025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7026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7027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7028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7029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7030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7031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7032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7033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7034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7035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7036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7037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7038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7039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7040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7041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7042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7043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7044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7045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7046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7047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7048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7049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7050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7051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7052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7053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7054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7055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7056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7057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7058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7059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7060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7061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7062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7063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7064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7065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7066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7067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7068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7069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7070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7071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7072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7073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7074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7075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7076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7077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7078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7079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7080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7081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7082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7083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7084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7085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7086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7087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7088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7089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7090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7091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7092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7093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7094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7095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7096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7097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7098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7099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7100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7101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7102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7103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7104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7105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7106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7107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7108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7109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7110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7111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7112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7113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7114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7115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7116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7117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7118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7119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7120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7121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7122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7123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7124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7125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7126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7127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7128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7129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7130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7131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7132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7133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7134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7135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7136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7137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7138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7139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7140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7141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7142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7143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7144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7145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7146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7147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7148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7149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7150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7151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7152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7153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7154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7155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7156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7157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7158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7159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7160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7161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7162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7163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7164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7165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7166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7167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7168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7169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7170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7171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7172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7173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7174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7175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7176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7177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7178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7179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7180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7181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7182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7183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7184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7185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7186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7187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7188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7189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7190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7191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7192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7193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7194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7195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7196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7197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7198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7199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7200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7201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7202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7203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7204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7205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7206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7207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7208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7209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7210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7211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7212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7213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7214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7215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7216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7217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7218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7219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7220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7221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7222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7223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7224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7225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7226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7227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7228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7229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7230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7231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7232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7233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7234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7235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7236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7237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7238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7239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7240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7241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7242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7243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7244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7245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7246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7247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7248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7249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7250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7251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7252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7253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7254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7255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7256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7257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7258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7259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7260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7261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7262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7263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7264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7265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7266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7267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7268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7269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7270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7271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7272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7273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7274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7275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7276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7277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7278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7279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7280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7281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7282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7283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7284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7285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7286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7287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7288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7289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7290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7291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7292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7293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7294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7295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7296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7297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7298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7299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7300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7301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7302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7303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7304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7305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7306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7307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7308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7309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7310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7311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7312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7313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7314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7315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7316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7317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7318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7319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7320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7321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7322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7323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7324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7325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7326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7327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7328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7329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7330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7331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7332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7333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7334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7335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7336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7337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7338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7339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7340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7341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7342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7343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7344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7345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7346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7347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7348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7349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7350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7351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7352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7353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7354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7355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7356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7357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7358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7359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7360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7361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7362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7363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7364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7365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7366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7367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7368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7369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7370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7371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7372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7373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7374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7375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7376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7377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7378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7379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7380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7381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7382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7383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7384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7385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7386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7387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7388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7389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7390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7391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7392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7393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7394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7395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7396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7397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7398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7399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7400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7401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7402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7403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7404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7405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7406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7407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7408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7409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7410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7411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7412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7413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7414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7415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7416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7417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7418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7419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7420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7421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7422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7423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7424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7425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7426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7427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7428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7429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7430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7431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7432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7433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7434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7435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7436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7437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7438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7439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7440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7441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7442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7443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7444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7445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7446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7447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7448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7449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7450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7451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7452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7453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7454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7455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7456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7457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7458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7459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7460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7461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7462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7463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7464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7465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7466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7467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7468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7469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7470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7471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7472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7473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7474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7475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7476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7477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7478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7479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7480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7481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7482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7483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7484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7485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7486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7487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7488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7489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7490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7491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7492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7493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7494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7495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7496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7497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7498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7499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7500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7501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7502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7503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7504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7505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7506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7507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7508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7509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7510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7511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7512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7513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7514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7515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7516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7517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7518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7519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7520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7521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7522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7523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7524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7525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7526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7527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7528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7529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7530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7531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7532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7533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7534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7535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7536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7537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7538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7539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7540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7541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7542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7543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7544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7545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7546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7547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7548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7549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7550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7551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7552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7553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7554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7555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7556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7557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7558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7559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7560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7561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7562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7563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7564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7565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7566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7567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7568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7569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7570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7571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7572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7573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7574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7575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7576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7577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7578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7579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7580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7581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7582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7583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7584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7585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7586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7587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7588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7589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7590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7591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7592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7593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7594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7595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7596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7597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7598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7599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7600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7601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7602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7603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7604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7605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7606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7607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7608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7609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7610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7611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7612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7613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7614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7615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7616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7617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7618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7619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7620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7621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7622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7623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7624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7625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7626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7627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7628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7629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7630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7631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7632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7633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7634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7635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7636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7637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7638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7639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7640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7641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7642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7643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7644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7645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7646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7647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7648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7649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7650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7651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7652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7653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7654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7655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7656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7657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7658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7659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7660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7661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7662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7663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7664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7665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7666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7667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7668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7669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7670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7671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7672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7673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7674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7675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7676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7677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7678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7679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7680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7681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7682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7683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7684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7685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7686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7687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7688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7689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7690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7691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7692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7693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7694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7695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7696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7697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7698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7699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7700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7701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7702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7703</v>
      </c>
      <c r="B1902" s="1" t="s">
        <v>249</v>
      </c>
      <c r="C1902" s="1" t="s">
        <v>2500</v>
      </c>
      <c r="D1902" s="1" t="s">
        <v>7704</v>
      </c>
      <c r="E1902" s="1">
        <v>15300000</v>
      </c>
    </row>
    <row r="1903" spans="1:5" ht="14.4" x14ac:dyDescent="0.3">
      <c r="A1903" s="17" t="s">
        <v>7705</v>
      </c>
      <c r="B1903" s="1" t="s">
        <v>301</v>
      </c>
      <c r="C1903" s="1" t="s">
        <v>2550</v>
      </c>
      <c r="D1903" s="1" t="s">
        <v>7706</v>
      </c>
      <c r="E1903" s="1">
        <v>13000000</v>
      </c>
    </row>
    <row r="1904" spans="1:5" ht="14.4" x14ac:dyDescent="0.3">
      <c r="A1904" s="17" t="s">
        <v>7707</v>
      </c>
      <c r="B1904" s="1" t="s">
        <v>228</v>
      </c>
      <c r="C1904" s="1" t="s">
        <v>2904</v>
      </c>
      <c r="D1904" s="1" t="s">
        <v>5874</v>
      </c>
      <c r="E1904" s="1">
        <v>36500000</v>
      </c>
    </row>
    <row r="1905" spans="1:5" ht="14.4" x14ac:dyDescent="0.3">
      <c r="A1905" s="17" t="s">
        <v>7708</v>
      </c>
      <c r="B1905" s="1" t="s">
        <v>222</v>
      </c>
      <c r="C1905" s="1" t="s">
        <v>3373</v>
      </c>
      <c r="D1905" s="1" t="s">
        <v>7709</v>
      </c>
      <c r="E1905" s="1">
        <v>16200000</v>
      </c>
    </row>
    <row r="1906" spans="1:5" ht="14.4" x14ac:dyDescent="0.3">
      <c r="A1906" s="17" t="s">
        <v>7710</v>
      </c>
      <c r="B1906" s="1" t="s">
        <v>46</v>
      </c>
      <c r="C1906" s="1" t="s">
        <v>2553</v>
      </c>
      <c r="D1906" s="1" t="s">
        <v>7711</v>
      </c>
      <c r="E1906" s="1">
        <v>8300000</v>
      </c>
    </row>
    <row r="1907" spans="1:5" ht="14.4" x14ac:dyDescent="0.3">
      <c r="A1907" s="17" t="s">
        <v>7712</v>
      </c>
      <c r="B1907" s="1" t="s">
        <v>2963</v>
      </c>
      <c r="C1907" s="1" t="s">
        <v>2979</v>
      </c>
      <c r="D1907" s="1" t="s">
        <v>7713</v>
      </c>
      <c r="E1907" s="1">
        <v>10200000</v>
      </c>
    </row>
    <row r="1908" spans="1:5" ht="14.4" x14ac:dyDescent="0.3">
      <c r="A1908" s="17" t="s">
        <v>7714</v>
      </c>
      <c r="B1908" s="1" t="s">
        <v>249</v>
      </c>
      <c r="C1908" s="1" t="s">
        <v>2498</v>
      </c>
      <c r="D1908" s="1" t="s">
        <v>7715</v>
      </c>
      <c r="E1908" s="1">
        <v>9800000</v>
      </c>
    </row>
    <row r="1909" spans="1:5" ht="14.4" x14ac:dyDescent="0.3">
      <c r="A1909" s="17" t="s">
        <v>7716</v>
      </c>
      <c r="B1909" s="1" t="s">
        <v>88</v>
      </c>
      <c r="C1909" s="1" t="s">
        <v>126</v>
      </c>
      <c r="D1909" s="1" t="s">
        <v>7717</v>
      </c>
      <c r="E1909" s="1">
        <v>16200000</v>
      </c>
    </row>
    <row r="1910" spans="1:5" ht="14.4" x14ac:dyDescent="0.3">
      <c r="A1910" s="17" t="s">
        <v>7718</v>
      </c>
      <c r="B1910" s="1" t="s">
        <v>174</v>
      </c>
      <c r="C1910" s="1" t="s">
        <v>2548</v>
      </c>
      <c r="D1910" s="1" t="s">
        <v>7719</v>
      </c>
      <c r="E1910" s="1">
        <v>14200000</v>
      </c>
    </row>
    <row r="1911" spans="1:5" ht="14.4" x14ac:dyDescent="0.3">
      <c r="A1911" s="17" t="s">
        <v>7720</v>
      </c>
      <c r="B1911" s="1" t="s">
        <v>249</v>
      </c>
      <c r="C1911" s="1" t="s">
        <v>284</v>
      </c>
      <c r="D1911" s="1" t="s">
        <v>7721</v>
      </c>
      <c r="E1911" s="1">
        <v>11500000</v>
      </c>
    </row>
    <row r="1912" spans="1:5" ht="14.4" x14ac:dyDescent="0.3">
      <c r="A1912" s="17" t="s">
        <v>7722</v>
      </c>
      <c r="B1912" s="1" t="s">
        <v>161</v>
      </c>
      <c r="C1912" s="1" t="s">
        <v>2881</v>
      </c>
      <c r="D1912" s="1" t="s">
        <v>7723</v>
      </c>
      <c r="E1912" s="1">
        <v>14100000</v>
      </c>
    </row>
    <row r="1913" spans="1:5" ht="14.4" x14ac:dyDescent="0.3">
      <c r="A1913" s="17" t="s">
        <v>7724</v>
      </c>
      <c r="B1913" s="1" t="s">
        <v>228</v>
      </c>
      <c r="C1913" s="1" t="s">
        <v>2589</v>
      </c>
      <c r="D1913" s="1" t="s">
        <v>7725</v>
      </c>
      <c r="E1913" s="1">
        <v>25100000</v>
      </c>
    </row>
    <row r="1914" spans="1:5" ht="14.4" x14ac:dyDescent="0.3">
      <c r="A1914" s="17" t="s">
        <v>7726</v>
      </c>
      <c r="B1914" s="1" t="s">
        <v>181</v>
      </c>
      <c r="C1914" s="1">
        <v>7</v>
      </c>
      <c r="D1914" s="1" t="s">
        <v>7727</v>
      </c>
      <c r="E1914" s="1">
        <v>16600000</v>
      </c>
    </row>
    <row r="1915" spans="1:5" ht="14.4" x14ac:dyDescent="0.3">
      <c r="A1915" s="17" t="s">
        <v>7728</v>
      </c>
      <c r="B1915" s="1" t="s">
        <v>88</v>
      </c>
      <c r="C1915" s="1" t="s">
        <v>138</v>
      </c>
      <c r="D1915" s="1" t="s">
        <v>7729</v>
      </c>
      <c r="E1915" s="1">
        <v>13600000</v>
      </c>
    </row>
    <row r="1916" spans="1:5" ht="14.4" x14ac:dyDescent="0.3">
      <c r="A1916" s="17" t="s">
        <v>7730</v>
      </c>
      <c r="B1916" s="1" t="s">
        <v>245</v>
      </c>
      <c r="C1916" s="1" t="s">
        <v>67</v>
      </c>
      <c r="D1916" s="1" t="s">
        <v>7731</v>
      </c>
      <c r="E1916" s="1">
        <v>14400000</v>
      </c>
    </row>
    <row r="1917" spans="1:5" ht="14.4" x14ac:dyDescent="0.3">
      <c r="A1917" s="17" t="s">
        <v>7732</v>
      </c>
      <c r="B1917" s="1" t="s">
        <v>2511</v>
      </c>
      <c r="C1917" s="1" t="s">
        <v>196</v>
      </c>
      <c r="D1917" s="1" t="s">
        <v>7733</v>
      </c>
      <c r="E1917" s="1">
        <v>6820000</v>
      </c>
    </row>
    <row r="1918" spans="1:5" ht="14.4" x14ac:dyDescent="0.3">
      <c r="A1918" s="17" t="s">
        <v>7734</v>
      </c>
      <c r="B1918" s="1" t="s">
        <v>174</v>
      </c>
      <c r="C1918" s="1" t="s">
        <v>3376</v>
      </c>
      <c r="D1918" s="1" t="s">
        <v>7735</v>
      </c>
      <c r="E1918" s="1">
        <v>7170000</v>
      </c>
    </row>
    <row r="1919" spans="1:5" ht="14.4" x14ac:dyDescent="0.3">
      <c r="A1919" s="17" t="s">
        <v>7736</v>
      </c>
      <c r="B1919" s="1" t="s">
        <v>2511</v>
      </c>
      <c r="C1919" s="1" t="s">
        <v>196</v>
      </c>
      <c r="D1919" s="1" t="s">
        <v>7733</v>
      </c>
      <c r="E1919" s="1">
        <v>6610000</v>
      </c>
    </row>
    <row r="1920" spans="1:5" ht="14.4" x14ac:dyDescent="0.3">
      <c r="A1920" s="17" t="s">
        <v>7737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7738</v>
      </c>
      <c r="B1921" s="1" t="s">
        <v>2546</v>
      </c>
      <c r="C1921" s="1">
        <v>3</v>
      </c>
      <c r="D1921" s="1" t="s">
        <v>7739</v>
      </c>
      <c r="E1921" s="1">
        <v>8600000</v>
      </c>
    </row>
    <row r="1922" spans="1:5" ht="14.4" x14ac:dyDescent="0.3">
      <c r="A1922" s="17" t="s">
        <v>7740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7741</v>
      </c>
      <c r="B1923" s="1" t="s">
        <v>228</v>
      </c>
      <c r="C1923" s="1" t="s">
        <v>231</v>
      </c>
      <c r="D1923" s="1" t="s">
        <v>7742</v>
      </c>
      <c r="E1923" s="1">
        <v>21000000</v>
      </c>
    </row>
    <row r="1924" spans="1:5" ht="14.4" x14ac:dyDescent="0.3">
      <c r="A1924" s="17" t="s">
        <v>7743</v>
      </c>
      <c r="B1924" s="1" t="s">
        <v>88</v>
      </c>
      <c r="C1924" s="1" t="s">
        <v>2806</v>
      </c>
      <c r="D1924" s="1" t="s">
        <v>7744</v>
      </c>
      <c r="E1924" s="1">
        <v>18200000</v>
      </c>
    </row>
    <row r="1925" spans="1:5" ht="14.4" x14ac:dyDescent="0.3">
      <c r="A1925" s="17" t="s">
        <v>7745</v>
      </c>
      <c r="B1925" s="1" t="s">
        <v>2546</v>
      </c>
      <c r="C1925" s="1" t="s">
        <v>2707</v>
      </c>
      <c r="D1925" s="1" t="s">
        <v>7746</v>
      </c>
      <c r="E1925" s="1">
        <v>8200000</v>
      </c>
    </row>
    <row r="1926" spans="1:5" ht="14.4" x14ac:dyDescent="0.3">
      <c r="A1926" s="17" t="s">
        <v>7747</v>
      </c>
      <c r="B1926" s="1" t="s">
        <v>301</v>
      </c>
      <c r="C1926" s="1" t="s">
        <v>3093</v>
      </c>
      <c r="D1926" s="1" t="s">
        <v>7748</v>
      </c>
      <c r="E1926" s="1">
        <v>17200000</v>
      </c>
    </row>
    <row r="1927" spans="1:5" ht="14.4" x14ac:dyDescent="0.3">
      <c r="A1927" s="17" t="s">
        <v>7749</v>
      </c>
      <c r="B1927" s="1" t="s">
        <v>249</v>
      </c>
      <c r="C1927" s="1" t="s">
        <v>277</v>
      </c>
      <c r="D1927" s="1" t="s">
        <v>7750</v>
      </c>
      <c r="E1927" s="1">
        <v>21000000</v>
      </c>
    </row>
    <row r="1928" spans="1:5" ht="14.4" x14ac:dyDescent="0.3">
      <c r="A1928" s="17" t="s">
        <v>7751</v>
      </c>
      <c r="B1928" s="1" t="s">
        <v>161</v>
      </c>
      <c r="C1928" s="1" t="s">
        <v>2720</v>
      </c>
      <c r="D1928" s="1" t="s">
        <v>7752</v>
      </c>
      <c r="E1928" s="1">
        <v>6840000</v>
      </c>
    </row>
    <row r="1929" spans="1:5" ht="14.4" x14ac:dyDescent="0.3">
      <c r="A1929" s="17" t="s">
        <v>7753</v>
      </c>
      <c r="B1929" s="1" t="s">
        <v>2511</v>
      </c>
      <c r="C1929" s="1" t="s">
        <v>2843</v>
      </c>
      <c r="D1929" s="1" t="s">
        <v>7754</v>
      </c>
      <c r="E1929" s="1">
        <v>14000000</v>
      </c>
    </row>
    <row r="1930" spans="1:5" ht="14.4" x14ac:dyDescent="0.3">
      <c r="A1930" s="17" t="s">
        <v>7755</v>
      </c>
      <c r="B1930" s="1" t="s">
        <v>174</v>
      </c>
      <c r="C1930" s="1" t="s">
        <v>3798</v>
      </c>
      <c r="D1930" s="1" t="s">
        <v>7756</v>
      </c>
      <c r="E1930" s="1">
        <v>10300000</v>
      </c>
    </row>
    <row r="1931" spans="1:5" ht="14.4" x14ac:dyDescent="0.3">
      <c r="A1931" s="17" t="s">
        <v>7757</v>
      </c>
      <c r="B1931" s="1" t="s">
        <v>228</v>
      </c>
      <c r="C1931" s="1" t="s">
        <v>2505</v>
      </c>
      <c r="D1931" s="1" t="s">
        <v>6050</v>
      </c>
      <c r="E1931" s="1">
        <v>14600000</v>
      </c>
    </row>
    <row r="1932" spans="1:5" ht="14.4" x14ac:dyDescent="0.3">
      <c r="A1932" s="17" t="s">
        <v>7758</v>
      </c>
      <c r="B1932" s="1" t="s">
        <v>161</v>
      </c>
      <c r="C1932" s="1" t="s">
        <v>3109</v>
      </c>
      <c r="D1932" s="1" t="s">
        <v>7759</v>
      </c>
      <c r="E1932" s="1">
        <v>12500000</v>
      </c>
    </row>
    <row r="1933" spans="1:5" ht="14.4" x14ac:dyDescent="0.3">
      <c r="A1933" s="17" t="s">
        <v>7760</v>
      </c>
      <c r="B1933" s="1" t="s">
        <v>188</v>
      </c>
      <c r="C1933" s="1" t="s">
        <v>4464</v>
      </c>
      <c r="D1933" s="1" t="s">
        <v>7761</v>
      </c>
      <c r="E1933" s="1">
        <v>16400000</v>
      </c>
    </row>
    <row r="1934" spans="1:5" ht="14.4" x14ac:dyDescent="0.3">
      <c r="A1934" s="17" t="s">
        <v>7762</v>
      </c>
      <c r="B1934" s="1" t="s">
        <v>222</v>
      </c>
      <c r="C1934" s="1" t="s">
        <v>3373</v>
      </c>
      <c r="D1934" s="1" t="s">
        <v>7763</v>
      </c>
      <c r="E1934" s="1">
        <v>14300000</v>
      </c>
    </row>
    <row r="1935" spans="1:5" ht="14.4" x14ac:dyDescent="0.3">
      <c r="A1935" s="17" t="s">
        <v>7764</v>
      </c>
      <c r="B1935" s="1" t="s">
        <v>70</v>
      </c>
      <c r="C1935" s="1">
        <v>580</v>
      </c>
      <c r="D1935" s="1" t="s">
        <v>7765</v>
      </c>
      <c r="E1935" s="1">
        <v>10800000</v>
      </c>
    </row>
    <row r="1936" spans="1:5" ht="14.4" x14ac:dyDescent="0.3">
      <c r="A1936" s="17" t="s">
        <v>7766</v>
      </c>
      <c r="B1936" s="1" t="s">
        <v>2506</v>
      </c>
      <c r="C1936" s="1" t="s">
        <v>7767</v>
      </c>
      <c r="D1936" s="1" t="s">
        <v>3044</v>
      </c>
      <c r="E1936" s="1">
        <v>30600000</v>
      </c>
    </row>
    <row r="1937" spans="1:5" ht="14.4" x14ac:dyDescent="0.3">
      <c r="A1937" s="17" t="s">
        <v>7768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7769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7770</v>
      </c>
      <c r="B1939" s="1" t="s">
        <v>161</v>
      </c>
      <c r="C1939" s="1" t="s">
        <v>3109</v>
      </c>
      <c r="D1939" s="1" t="s">
        <v>6048</v>
      </c>
      <c r="E1939" s="1">
        <v>16600000</v>
      </c>
    </row>
    <row r="1940" spans="1:5" ht="14.4" x14ac:dyDescent="0.3">
      <c r="A1940" s="17" t="s">
        <v>7771</v>
      </c>
      <c r="B1940" s="1" t="s">
        <v>2511</v>
      </c>
      <c r="C1940" s="1" t="s">
        <v>2600</v>
      </c>
      <c r="D1940" s="1" t="s">
        <v>7772</v>
      </c>
      <c r="E1940" s="1">
        <v>11100000</v>
      </c>
    </row>
    <row r="1941" spans="1:5" ht="14.4" x14ac:dyDescent="0.3">
      <c r="A1941" s="17" t="s">
        <v>7773</v>
      </c>
      <c r="B1941" s="1" t="s">
        <v>2511</v>
      </c>
      <c r="C1941" s="1" t="s">
        <v>2600</v>
      </c>
      <c r="D1941" s="1" t="s">
        <v>7772</v>
      </c>
      <c r="E1941" s="1">
        <v>15300000</v>
      </c>
    </row>
    <row r="1942" spans="1:5" ht="14.4" x14ac:dyDescent="0.3">
      <c r="A1942" s="17" t="s">
        <v>7774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7775</v>
      </c>
      <c r="B1943" s="1" t="s">
        <v>161</v>
      </c>
      <c r="C1943" s="1" t="s">
        <v>3109</v>
      </c>
      <c r="D1943" s="1" t="s">
        <v>7776</v>
      </c>
      <c r="E1943" s="1">
        <v>17000000</v>
      </c>
    </row>
    <row r="1944" spans="1:5" ht="14.4" x14ac:dyDescent="0.3">
      <c r="A1944" s="17" t="s">
        <v>7777</v>
      </c>
      <c r="B1944" s="1" t="s">
        <v>301</v>
      </c>
      <c r="C1944" s="1" t="s">
        <v>3857</v>
      </c>
      <c r="D1944" s="1" t="s">
        <v>7778</v>
      </c>
      <c r="E1944" s="1">
        <v>24100000</v>
      </c>
    </row>
    <row r="1945" spans="1:5" ht="14.4" x14ac:dyDescent="0.3">
      <c r="A1945" s="17" t="s">
        <v>7779</v>
      </c>
      <c r="B1945" s="1" t="s">
        <v>88</v>
      </c>
      <c r="C1945" s="1" t="s">
        <v>2489</v>
      </c>
      <c r="D1945" s="1" t="s">
        <v>6053</v>
      </c>
      <c r="E1945" s="1">
        <v>57000000</v>
      </c>
    </row>
    <row r="1946" spans="1:5" ht="14.4" x14ac:dyDescent="0.3">
      <c r="A1946" s="17" t="s">
        <v>7780</v>
      </c>
      <c r="B1946" s="1" t="s">
        <v>2558</v>
      </c>
      <c r="C1946" s="1" t="s">
        <v>2869</v>
      </c>
      <c r="D1946" s="1" t="s">
        <v>7781</v>
      </c>
      <c r="E1946" s="1">
        <v>19500000</v>
      </c>
    </row>
    <row r="1947" spans="1:5" ht="14.4" x14ac:dyDescent="0.3">
      <c r="A1947" s="17" t="s">
        <v>7782</v>
      </c>
      <c r="B1947" s="1" t="s">
        <v>2507</v>
      </c>
      <c r="C1947" s="1" t="s">
        <v>2972</v>
      </c>
      <c r="D1947" s="1" t="s">
        <v>7783</v>
      </c>
      <c r="E1947" s="1">
        <v>12800000</v>
      </c>
    </row>
    <row r="1948" spans="1:5" ht="14.4" x14ac:dyDescent="0.3">
      <c r="A1948" s="17" t="s">
        <v>7784</v>
      </c>
      <c r="B1948" s="1" t="s">
        <v>2511</v>
      </c>
      <c r="C1948" s="1" t="s">
        <v>2536</v>
      </c>
      <c r="D1948" s="1" t="s">
        <v>7785</v>
      </c>
      <c r="E1948" s="1">
        <v>12500000</v>
      </c>
    </row>
    <row r="1949" spans="1:5" ht="14.4" x14ac:dyDescent="0.3">
      <c r="A1949" s="17" t="s">
        <v>7786</v>
      </c>
      <c r="B1949" s="1" t="s">
        <v>46</v>
      </c>
      <c r="C1949" s="1" t="s">
        <v>2909</v>
      </c>
      <c r="D1949" s="1" t="s">
        <v>7787</v>
      </c>
      <c r="E1949" s="1">
        <v>14700000</v>
      </c>
    </row>
    <row r="1950" spans="1:5" ht="14.4" x14ac:dyDescent="0.3">
      <c r="A1950" s="17" t="s">
        <v>7788</v>
      </c>
      <c r="B1950" s="1" t="s">
        <v>322</v>
      </c>
      <c r="C1950" s="1" t="s">
        <v>3391</v>
      </c>
      <c r="D1950" s="1" t="s">
        <v>7789</v>
      </c>
      <c r="E1950" s="1">
        <v>20400000</v>
      </c>
    </row>
    <row r="1951" spans="1:5" ht="14.4" x14ac:dyDescent="0.3">
      <c r="A1951" s="17" t="s">
        <v>7790</v>
      </c>
      <c r="B1951" s="1" t="s">
        <v>249</v>
      </c>
      <c r="C1951" s="1" t="s">
        <v>2491</v>
      </c>
      <c r="D1951" s="1" t="s">
        <v>7791</v>
      </c>
      <c r="E1951" s="1">
        <v>14800000</v>
      </c>
    </row>
    <row r="1952" spans="1:5" ht="14.4" x14ac:dyDescent="0.3">
      <c r="A1952" s="17" t="s">
        <v>7792</v>
      </c>
      <c r="B1952" s="1" t="s">
        <v>322</v>
      </c>
      <c r="C1952" s="1" t="s">
        <v>3469</v>
      </c>
      <c r="D1952" s="1" t="s">
        <v>7793</v>
      </c>
      <c r="E1952" s="1">
        <v>10800000</v>
      </c>
    </row>
    <row r="1953" spans="1:5" ht="14.4" x14ac:dyDescent="0.3">
      <c r="A1953" s="17" t="s">
        <v>7794</v>
      </c>
      <c r="B1953" s="1" t="s">
        <v>152</v>
      </c>
      <c r="C1953" s="1" t="s">
        <v>158</v>
      </c>
      <c r="D1953" s="1" t="s">
        <v>7795</v>
      </c>
      <c r="E1953" s="1">
        <v>10300000</v>
      </c>
    </row>
    <row r="1954" spans="1:5" ht="14.4" x14ac:dyDescent="0.3">
      <c r="A1954" s="17" t="s">
        <v>7796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7797</v>
      </c>
      <c r="B1955" s="1" t="s">
        <v>88</v>
      </c>
      <c r="C1955" s="1" t="s">
        <v>95</v>
      </c>
      <c r="D1955" s="1" t="s">
        <v>7798</v>
      </c>
      <c r="E1955" s="1">
        <v>25300000</v>
      </c>
    </row>
    <row r="1956" spans="1:5" ht="14.4" x14ac:dyDescent="0.3">
      <c r="A1956" s="17" t="s">
        <v>7799</v>
      </c>
      <c r="B1956" s="1" t="s">
        <v>310</v>
      </c>
      <c r="C1956" s="1" t="s">
        <v>2921</v>
      </c>
      <c r="D1956" s="1" t="s">
        <v>7800</v>
      </c>
      <c r="E1956" s="1">
        <v>14700000</v>
      </c>
    </row>
    <row r="1957" spans="1:5" ht="14.4" x14ac:dyDescent="0.3">
      <c r="A1957" s="17" t="s">
        <v>7801</v>
      </c>
      <c r="B1957" s="1" t="s">
        <v>88</v>
      </c>
      <c r="C1957" s="1" t="s">
        <v>2489</v>
      </c>
      <c r="D1957" s="1" t="s">
        <v>7802</v>
      </c>
      <c r="E1957" s="1">
        <v>18300000</v>
      </c>
    </row>
    <row r="1958" spans="1:5" ht="14.4" x14ac:dyDescent="0.3">
      <c r="A1958" s="17" t="s">
        <v>7803</v>
      </c>
      <c r="B1958" s="1" t="s">
        <v>228</v>
      </c>
      <c r="C1958" s="1" t="s">
        <v>2775</v>
      </c>
      <c r="D1958" s="1" t="s">
        <v>7804</v>
      </c>
      <c r="E1958" s="1">
        <v>13400000</v>
      </c>
    </row>
    <row r="1959" spans="1:5" ht="14.4" x14ac:dyDescent="0.3">
      <c r="A1959" s="17" t="s">
        <v>7805</v>
      </c>
      <c r="B1959" s="1" t="s">
        <v>2511</v>
      </c>
      <c r="C1959" s="1" t="s">
        <v>207</v>
      </c>
      <c r="D1959" s="1" t="s">
        <v>7806</v>
      </c>
      <c r="E1959" s="1">
        <v>11300000</v>
      </c>
    </row>
    <row r="1960" spans="1:5" ht="14.4" x14ac:dyDescent="0.3">
      <c r="A1960" s="17" t="s">
        <v>7807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7808</v>
      </c>
      <c r="B1961" s="1" t="s">
        <v>2511</v>
      </c>
      <c r="C1961" s="1" t="s">
        <v>2676</v>
      </c>
      <c r="D1961" s="1" t="s">
        <v>7809</v>
      </c>
      <c r="E1961" s="1">
        <v>12300000</v>
      </c>
    </row>
    <row r="1962" spans="1:5" ht="14.4" x14ac:dyDescent="0.3">
      <c r="A1962" s="17" t="s">
        <v>7810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7811</v>
      </c>
      <c r="B1963" s="1" t="s">
        <v>29</v>
      </c>
      <c r="C1963" s="1" t="s">
        <v>32</v>
      </c>
      <c r="D1963" s="1" t="s">
        <v>7812</v>
      </c>
      <c r="E1963" s="1">
        <v>8700000</v>
      </c>
    </row>
    <row r="1964" spans="1:5" ht="14.4" x14ac:dyDescent="0.3">
      <c r="A1964" s="17" t="s">
        <v>7813</v>
      </c>
      <c r="B1964" s="1" t="s">
        <v>228</v>
      </c>
      <c r="C1964" s="1" t="s">
        <v>2589</v>
      </c>
      <c r="D1964" s="1" t="s">
        <v>7814</v>
      </c>
      <c r="E1964" s="1">
        <v>30400000</v>
      </c>
    </row>
    <row r="1965" spans="1:5" ht="14.4" x14ac:dyDescent="0.3">
      <c r="A1965" s="17" t="s">
        <v>7815</v>
      </c>
      <c r="B1965" s="1" t="s">
        <v>228</v>
      </c>
      <c r="C1965" s="1" t="s">
        <v>3112</v>
      </c>
      <c r="D1965" s="1" t="s">
        <v>7816</v>
      </c>
      <c r="E1965" s="1">
        <v>9800000</v>
      </c>
    </row>
    <row r="1966" spans="1:5" ht="14.4" x14ac:dyDescent="0.3">
      <c r="A1966" s="17" t="s">
        <v>7817</v>
      </c>
      <c r="B1966" s="1" t="s">
        <v>161</v>
      </c>
      <c r="C1966" s="1" t="s">
        <v>3109</v>
      </c>
      <c r="D1966" s="1" t="s">
        <v>7759</v>
      </c>
      <c r="E1966" s="1">
        <v>12500000</v>
      </c>
    </row>
    <row r="1967" spans="1:5" ht="14.4" x14ac:dyDescent="0.3">
      <c r="A1967" s="17" t="s">
        <v>7818</v>
      </c>
      <c r="B1967" s="1" t="s">
        <v>249</v>
      </c>
      <c r="C1967" s="1">
        <v>3008</v>
      </c>
      <c r="D1967" s="1" t="s">
        <v>7819</v>
      </c>
      <c r="E1967" s="1">
        <v>15000000</v>
      </c>
    </row>
    <row r="1968" spans="1:5" ht="14.4" x14ac:dyDescent="0.3">
      <c r="A1968" s="17" t="s">
        <v>7820</v>
      </c>
      <c r="B1968" s="1" t="s">
        <v>2963</v>
      </c>
      <c r="C1968" s="1" t="s">
        <v>7821</v>
      </c>
      <c r="D1968" s="1" t="s">
        <v>7822</v>
      </c>
      <c r="E1968" s="1">
        <v>12800000</v>
      </c>
    </row>
    <row r="1969" spans="1:5" ht="14.4" x14ac:dyDescent="0.3">
      <c r="A1969" s="17" t="s">
        <v>7823</v>
      </c>
      <c r="B1969" s="1" t="s">
        <v>46</v>
      </c>
      <c r="C1969" s="1" t="s">
        <v>2493</v>
      </c>
      <c r="D1969" s="1" t="s">
        <v>7824</v>
      </c>
      <c r="E1969" s="1">
        <v>10700000</v>
      </c>
    </row>
    <row r="1970" spans="1:5" ht="14.4" x14ac:dyDescent="0.3">
      <c r="A1970" s="17" t="s">
        <v>7825</v>
      </c>
      <c r="B1970" s="1" t="s">
        <v>2678</v>
      </c>
      <c r="C1970" s="1" t="s">
        <v>3060</v>
      </c>
      <c r="D1970" s="1" t="s">
        <v>7826</v>
      </c>
      <c r="E1970" s="1">
        <v>27900000</v>
      </c>
    </row>
    <row r="1971" spans="1:5" ht="14.4" x14ac:dyDescent="0.3">
      <c r="A1971" s="17" t="s">
        <v>7827</v>
      </c>
      <c r="B1971" s="1" t="s">
        <v>152</v>
      </c>
      <c r="C1971" s="1" t="s">
        <v>158</v>
      </c>
      <c r="D1971" s="1" t="s">
        <v>5790</v>
      </c>
      <c r="E1971" s="1">
        <v>11400000</v>
      </c>
    </row>
    <row r="1972" spans="1:5" ht="14.4" x14ac:dyDescent="0.3">
      <c r="A1972" s="17" t="s">
        <v>7828</v>
      </c>
      <c r="B1972" s="1" t="s">
        <v>215</v>
      </c>
      <c r="C1972" s="1" t="s">
        <v>7829</v>
      </c>
      <c r="D1972" s="1" t="s">
        <v>7830</v>
      </c>
      <c r="E1972" s="1">
        <v>23900000</v>
      </c>
    </row>
    <row r="1973" spans="1:5" ht="14.4" x14ac:dyDescent="0.3">
      <c r="A1973" s="17" t="s">
        <v>7831</v>
      </c>
      <c r="B1973" s="1" t="s">
        <v>161</v>
      </c>
      <c r="C1973" s="1" t="s">
        <v>2492</v>
      </c>
      <c r="D1973" s="1" t="s">
        <v>7832</v>
      </c>
      <c r="E1973" s="1">
        <v>11000000</v>
      </c>
    </row>
    <row r="1974" spans="1:5" ht="14.4" x14ac:dyDescent="0.3">
      <c r="A1974" s="17" t="s">
        <v>7833</v>
      </c>
      <c r="B1974" s="1" t="s">
        <v>70</v>
      </c>
      <c r="C1974" s="1" t="s">
        <v>3262</v>
      </c>
      <c r="D1974" s="1" t="s">
        <v>7834</v>
      </c>
      <c r="E1974" s="1">
        <v>13800000</v>
      </c>
    </row>
    <row r="1975" spans="1:5" ht="14.4" x14ac:dyDescent="0.3">
      <c r="A1975" s="17" t="s">
        <v>7835</v>
      </c>
      <c r="B1975" s="1" t="s">
        <v>161</v>
      </c>
      <c r="C1975" s="1" t="s">
        <v>3085</v>
      </c>
      <c r="D1975" s="1" t="s">
        <v>7836</v>
      </c>
      <c r="E1975" s="1">
        <v>8700000</v>
      </c>
    </row>
    <row r="1976" spans="1:5" ht="14.4" x14ac:dyDescent="0.3">
      <c r="A1976" s="17" t="s">
        <v>7837</v>
      </c>
      <c r="B1976" s="1" t="s">
        <v>2511</v>
      </c>
      <c r="C1976" s="1" t="s">
        <v>2512</v>
      </c>
      <c r="D1976" s="1" t="s">
        <v>7838</v>
      </c>
      <c r="E1976" s="1">
        <v>9400000</v>
      </c>
    </row>
    <row r="1977" spans="1:5" ht="14.4" x14ac:dyDescent="0.3">
      <c r="A1977" s="17" t="s">
        <v>7839</v>
      </c>
      <c r="B1977" s="1" t="s">
        <v>310</v>
      </c>
      <c r="C1977" s="1" t="s">
        <v>2921</v>
      </c>
      <c r="D1977" s="1" t="s">
        <v>7840</v>
      </c>
      <c r="E1977" s="1">
        <v>11900000</v>
      </c>
    </row>
    <row r="1978" spans="1:5" ht="14.4" x14ac:dyDescent="0.3">
      <c r="A1978" s="17" t="s">
        <v>7841</v>
      </c>
      <c r="B1978" s="1" t="s">
        <v>301</v>
      </c>
      <c r="C1978" s="1" t="s">
        <v>4934</v>
      </c>
      <c r="D1978" s="1" t="s">
        <v>7842</v>
      </c>
      <c r="E1978" s="1">
        <v>11400000</v>
      </c>
    </row>
    <row r="1979" spans="1:5" ht="14.4" x14ac:dyDescent="0.3">
      <c r="A1979" s="17" t="s">
        <v>7843</v>
      </c>
      <c r="B1979" s="1" t="s">
        <v>161</v>
      </c>
      <c r="C1979" s="1" t="s">
        <v>2720</v>
      </c>
      <c r="D1979" s="1" t="s">
        <v>7844</v>
      </c>
      <c r="E1979" s="1">
        <v>6820000</v>
      </c>
    </row>
    <row r="1980" spans="1:5" ht="14.4" x14ac:dyDescent="0.3">
      <c r="A1980" s="17" t="s">
        <v>7845</v>
      </c>
      <c r="B1980" s="1" t="s">
        <v>88</v>
      </c>
      <c r="C1980" s="1" t="s">
        <v>138</v>
      </c>
      <c r="D1980" s="1" t="s">
        <v>7846</v>
      </c>
      <c r="E1980" s="1">
        <v>11900000</v>
      </c>
    </row>
    <row r="1981" spans="1:5" ht="14.4" x14ac:dyDescent="0.3">
      <c r="A1981" s="17" t="s">
        <v>7847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7848</v>
      </c>
      <c r="B1982" s="1" t="s">
        <v>88</v>
      </c>
      <c r="C1982" s="1" t="s">
        <v>2989</v>
      </c>
      <c r="D1982" s="1" t="s">
        <v>7849</v>
      </c>
      <c r="E1982" s="1">
        <v>12700000</v>
      </c>
    </row>
    <row r="1983" spans="1:5" ht="14.4" x14ac:dyDescent="0.3">
      <c r="A1983" s="17" t="s">
        <v>7850</v>
      </c>
      <c r="B1983" s="1" t="s">
        <v>215</v>
      </c>
      <c r="C1983" s="1" t="s">
        <v>3189</v>
      </c>
      <c r="D1983" s="1" t="s">
        <v>7851</v>
      </c>
      <c r="E1983" s="1">
        <v>15300000</v>
      </c>
    </row>
    <row r="1984" spans="1:5" ht="14.4" x14ac:dyDescent="0.3">
      <c r="A1984" s="17" t="s">
        <v>7852</v>
      </c>
      <c r="B1984" s="1" t="s">
        <v>62</v>
      </c>
      <c r="C1984" s="1" t="s">
        <v>2533</v>
      </c>
      <c r="D1984" s="1" t="s">
        <v>7853</v>
      </c>
      <c r="E1984" s="1">
        <v>15500000</v>
      </c>
    </row>
    <row r="1985" spans="1:5" ht="14.4" x14ac:dyDescent="0.3">
      <c r="A1985" s="17" t="s">
        <v>7854</v>
      </c>
      <c r="B1985" s="1" t="s">
        <v>88</v>
      </c>
      <c r="C1985" s="1" t="s">
        <v>2489</v>
      </c>
      <c r="D1985" s="1" t="s">
        <v>7855</v>
      </c>
      <c r="E1985" s="1">
        <v>34700000</v>
      </c>
    </row>
    <row r="1986" spans="1:5" ht="14.4" x14ac:dyDescent="0.3">
      <c r="A1986" s="17" t="s">
        <v>7856</v>
      </c>
      <c r="B1986" s="1" t="s">
        <v>228</v>
      </c>
      <c r="C1986" s="1" t="s">
        <v>239</v>
      </c>
      <c r="D1986" s="1" t="s">
        <v>7857</v>
      </c>
      <c r="E1986" s="1">
        <v>8900000</v>
      </c>
    </row>
    <row r="1987" spans="1:5" ht="14.4" x14ac:dyDescent="0.3">
      <c r="A1987" s="17" t="s">
        <v>7858</v>
      </c>
      <c r="B1987" s="1" t="s">
        <v>2534</v>
      </c>
      <c r="C1987" s="1" t="s">
        <v>2535</v>
      </c>
      <c r="D1987" s="1" t="s">
        <v>7859</v>
      </c>
      <c r="E1987" s="1">
        <v>16900000</v>
      </c>
    </row>
    <row r="1988" spans="1:5" ht="14.4" x14ac:dyDescent="0.3">
      <c r="A1988" s="17" t="s">
        <v>7860</v>
      </c>
      <c r="B1988" s="1" t="s">
        <v>322</v>
      </c>
      <c r="C1988" s="1" t="s">
        <v>7861</v>
      </c>
      <c r="D1988" s="1" t="s">
        <v>7862</v>
      </c>
      <c r="E1988" s="1">
        <v>15600000</v>
      </c>
    </row>
    <row r="1989" spans="1:5" ht="14.4" x14ac:dyDescent="0.3">
      <c r="A1989" s="17" t="s">
        <v>7863</v>
      </c>
      <c r="B1989" s="1" t="s">
        <v>29</v>
      </c>
      <c r="C1989" s="1" t="s">
        <v>43</v>
      </c>
      <c r="D1989" s="1" t="s">
        <v>7864</v>
      </c>
      <c r="E1989" s="1">
        <v>10600000</v>
      </c>
    </row>
    <row r="1990" spans="1:5" ht="14.4" x14ac:dyDescent="0.3">
      <c r="A1990" s="17" t="s">
        <v>7865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7866</v>
      </c>
      <c r="B1991" s="1" t="s">
        <v>245</v>
      </c>
      <c r="C1991" s="1" t="s">
        <v>67</v>
      </c>
      <c r="D1991" s="1" t="s">
        <v>7867</v>
      </c>
      <c r="E1991" s="1">
        <v>13900000</v>
      </c>
    </row>
    <row r="1992" spans="1:5" ht="14.4" x14ac:dyDescent="0.3">
      <c r="A1992" s="17" t="s">
        <v>7868</v>
      </c>
      <c r="B1992" s="1" t="s">
        <v>317</v>
      </c>
      <c r="C1992" s="1" t="s">
        <v>2875</v>
      </c>
      <c r="D1992" s="1" t="s">
        <v>7869</v>
      </c>
      <c r="E1992" s="1">
        <v>18000000</v>
      </c>
    </row>
    <row r="1993" spans="1:5" ht="14.4" x14ac:dyDescent="0.3">
      <c r="A1993" s="17" t="s">
        <v>7870</v>
      </c>
      <c r="B1993" s="1" t="s">
        <v>317</v>
      </c>
      <c r="C1993" s="1" t="s">
        <v>2875</v>
      </c>
      <c r="D1993" s="1" t="s">
        <v>7871</v>
      </c>
      <c r="E1993" s="1">
        <v>18700000</v>
      </c>
    </row>
    <row r="1994" spans="1:5" ht="14.4" x14ac:dyDescent="0.3">
      <c r="A1994" s="17" t="s">
        <v>7872</v>
      </c>
      <c r="B1994" s="1" t="s">
        <v>161</v>
      </c>
      <c r="C1994" s="1" t="s">
        <v>2802</v>
      </c>
      <c r="D1994" s="1" t="s">
        <v>7873</v>
      </c>
      <c r="E1994" s="1">
        <v>9400000</v>
      </c>
    </row>
    <row r="1995" spans="1:5" ht="14.4" x14ac:dyDescent="0.3">
      <c r="A1995" s="17" t="s">
        <v>7874</v>
      </c>
      <c r="B1995" s="1" t="s">
        <v>2511</v>
      </c>
      <c r="C1995" s="1" t="s">
        <v>2536</v>
      </c>
      <c r="D1995" s="1" t="s">
        <v>7875</v>
      </c>
      <c r="E1995" s="1">
        <v>9800000</v>
      </c>
    </row>
    <row r="1996" spans="1:5" ht="14.4" x14ac:dyDescent="0.3">
      <c r="A1996" s="17" t="s">
        <v>7876</v>
      </c>
      <c r="B1996" s="1" t="s">
        <v>88</v>
      </c>
      <c r="C1996" s="1" t="s">
        <v>2489</v>
      </c>
      <c r="D1996" s="1" t="s">
        <v>7877</v>
      </c>
      <c r="E1996" s="1">
        <v>44600000</v>
      </c>
    </row>
    <row r="1997" spans="1:5" ht="14.4" x14ac:dyDescent="0.3">
      <c r="A1997" s="17" t="s">
        <v>7878</v>
      </c>
      <c r="B1997" s="1" t="s">
        <v>2511</v>
      </c>
      <c r="C1997" s="1" t="s">
        <v>2512</v>
      </c>
      <c r="D1997" s="1" t="s">
        <v>6054</v>
      </c>
      <c r="E1997" s="1">
        <v>9800000</v>
      </c>
    </row>
    <row r="1998" spans="1:5" ht="14.4" x14ac:dyDescent="0.3">
      <c r="A1998" s="17" t="s">
        <v>7879</v>
      </c>
      <c r="B1998" s="1" t="s">
        <v>2511</v>
      </c>
      <c r="C1998" s="1" t="s">
        <v>3149</v>
      </c>
      <c r="D1998" s="1" t="s">
        <v>7880</v>
      </c>
      <c r="E1998" s="1">
        <v>17900000</v>
      </c>
    </row>
    <row r="1999" spans="1:5" ht="14.4" x14ac:dyDescent="0.3">
      <c r="A1999" s="17" t="s">
        <v>7881</v>
      </c>
      <c r="B1999" s="1" t="s">
        <v>88</v>
      </c>
      <c r="C1999" s="1" t="s">
        <v>126</v>
      </c>
      <c r="D1999" s="1" t="s">
        <v>7882</v>
      </c>
      <c r="E1999" s="1">
        <v>15700000</v>
      </c>
    </row>
    <row r="2000" spans="1:5" ht="14.4" x14ac:dyDescent="0.3">
      <c r="A2000" s="17" t="s">
        <v>7883</v>
      </c>
      <c r="B2000" s="1" t="s">
        <v>3231</v>
      </c>
      <c r="C2000" s="1" t="s">
        <v>3232</v>
      </c>
      <c r="D2000" s="1" t="s">
        <v>7884</v>
      </c>
      <c r="E2000" s="1">
        <v>10600000</v>
      </c>
    </row>
    <row r="2001" spans="1:5" ht="14.4" x14ac:dyDescent="0.3">
      <c r="A2001" s="17" t="s">
        <v>7885</v>
      </c>
      <c r="B2001" s="1" t="s">
        <v>2507</v>
      </c>
      <c r="C2001" s="1" t="s">
        <v>3000</v>
      </c>
      <c r="D2001" s="1" t="s">
        <v>7886</v>
      </c>
      <c r="E2001" s="1">
        <v>8600000</v>
      </c>
    </row>
    <row r="2002" spans="1:5" ht="14.4" x14ac:dyDescent="0.3">
      <c r="A2002" s="17" t="s">
        <v>7887</v>
      </c>
      <c r="B2002" s="1" t="s">
        <v>2539</v>
      </c>
      <c r="C2002" s="1" t="s">
        <v>3838</v>
      </c>
      <c r="D2002" s="1" t="s">
        <v>7888</v>
      </c>
      <c r="E2002" s="1">
        <v>5460000</v>
      </c>
    </row>
    <row r="2003" spans="1:5" ht="14.4" x14ac:dyDescent="0.3">
      <c r="A2003" s="17" t="s">
        <v>7889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7890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7891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7892</v>
      </c>
      <c r="B2006" s="1" t="s">
        <v>2506</v>
      </c>
      <c r="C2006" s="1" t="s">
        <v>7893</v>
      </c>
      <c r="D2006" s="1" t="s">
        <v>2490</v>
      </c>
      <c r="E2006" s="1">
        <v>15500000</v>
      </c>
    </row>
    <row r="2007" spans="1:5" ht="14.4" x14ac:dyDescent="0.3">
      <c r="A2007" s="17" t="s">
        <v>7894</v>
      </c>
      <c r="B2007" s="1" t="s">
        <v>222</v>
      </c>
      <c r="C2007" s="1" t="s">
        <v>2580</v>
      </c>
      <c r="D2007" s="1" t="s">
        <v>7895</v>
      </c>
      <c r="E2007" s="1">
        <v>13500000</v>
      </c>
    </row>
    <row r="2008" spans="1:5" ht="14.4" x14ac:dyDescent="0.3">
      <c r="A2008" s="17" t="s">
        <v>7896</v>
      </c>
      <c r="B2008" s="1" t="s">
        <v>222</v>
      </c>
      <c r="C2008" s="1" t="s">
        <v>7897</v>
      </c>
      <c r="D2008" s="1" t="s">
        <v>6047</v>
      </c>
      <c r="E2008" s="1">
        <v>12700000</v>
      </c>
    </row>
    <row r="2009" spans="1:5" ht="14.4" x14ac:dyDescent="0.3">
      <c r="A2009" s="17" t="s">
        <v>7898</v>
      </c>
      <c r="B2009" s="1" t="s">
        <v>2558</v>
      </c>
      <c r="C2009" s="1" t="s">
        <v>2869</v>
      </c>
      <c r="D2009" s="1" t="s">
        <v>5844</v>
      </c>
      <c r="E2009" s="1">
        <v>20900000</v>
      </c>
    </row>
    <row r="2010" spans="1:5" ht="14.4" x14ac:dyDescent="0.3">
      <c r="A2010" s="17" t="s">
        <v>7899</v>
      </c>
      <c r="B2010" s="1" t="s">
        <v>2558</v>
      </c>
      <c r="C2010" s="1" t="s">
        <v>2869</v>
      </c>
      <c r="D2010" s="1" t="s">
        <v>5844</v>
      </c>
      <c r="E2010" s="1">
        <v>25300000</v>
      </c>
    </row>
    <row r="2011" spans="1:5" ht="14.4" x14ac:dyDescent="0.3">
      <c r="A2011" s="17" t="s">
        <v>7900</v>
      </c>
      <c r="B2011" s="1" t="s">
        <v>228</v>
      </c>
      <c r="C2011" s="1" t="s">
        <v>2590</v>
      </c>
      <c r="D2011" s="1" t="s">
        <v>7901</v>
      </c>
      <c r="E2011" s="1">
        <v>11300000</v>
      </c>
    </row>
    <row r="2012" spans="1:5" ht="14.4" x14ac:dyDescent="0.3">
      <c r="A2012" s="17" t="s">
        <v>7902</v>
      </c>
      <c r="B2012" s="1" t="s">
        <v>2546</v>
      </c>
      <c r="C2012" s="1" t="s">
        <v>2595</v>
      </c>
      <c r="D2012" s="1" t="s">
        <v>7903</v>
      </c>
      <c r="E2012" s="1">
        <v>7030000</v>
      </c>
    </row>
    <row r="2013" spans="1:5" ht="14.4" x14ac:dyDescent="0.3">
      <c r="A2013" s="17" t="s">
        <v>7904</v>
      </c>
      <c r="B2013" s="1" t="s">
        <v>29</v>
      </c>
      <c r="C2013" s="1" t="s">
        <v>2509</v>
      </c>
      <c r="D2013" s="1" t="s">
        <v>7905</v>
      </c>
      <c r="E2013" s="1">
        <v>7310000</v>
      </c>
    </row>
    <row r="2014" spans="1:5" ht="14.4" x14ac:dyDescent="0.3">
      <c r="A2014" s="17" t="s">
        <v>7906</v>
      </c>
      <c r="B2014" s="1" t="s">
        <v>2511</v>
      </c>
      <c r="C2014" s="1" t="s">
        <v>201</v>
      </c>
      <c r="D2014" s="1" t="s">
        <v>7907</v>
      </c>
      <c r="E2014" s="1">
        <v>12700000</v>
      </c>
    </row>
    <row r="2015" spans="1:5" ht="14.4" x14ac:dyDescent="0.3">
      <c r="A2015" s="17" t="s">
        <v>7908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7909</v>
      </c>
      <c r="B2016" s="1" t="s">
        <v>88</v>
      </c>
      <c r="C2016" s="1" t="s">
        <v>2872</v>
      </c>
      <c r="D2016" s="1" t="s">
        <v>7910</v>
      </c>
      <c r="E2016" s="1">
        <v>22100000</v>
      </c>
    </row>
    <row r="2017" spans="1:5" ht="14.4" x14ac:dyDescent="0.3">
      <c r="A2017" s="17" t="s">
        <v>7911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7912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7913</v>
      </c>
      <c r="B2019" s="1" t="s">
        <v>228</v>
      </c>
      <c r="C2019" s="1" t="s">
        <v>2775</v>
      </c>
      <c r="D2019" s="1" t="s">
        <v>7914</v>
      </c>
      <c r="E2019" s="1">
        <v>13200000</v>
      </c>
    </row>
    <row r="2020" spans="1:5" ht="14.4" x14ac:dyDescent="0.3">
      <c r="A2020" s="17" t="s">
        <v>7915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7916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7917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7918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7919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7920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7921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7922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7923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7924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7925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7926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7927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7928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7929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7930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7931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7932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7933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7934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7935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7936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7937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7938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7939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7940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7941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7942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7943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7944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7945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7946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7947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7948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7949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7950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7951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7952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7953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7954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7955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7956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7957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7958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7959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7960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7961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7962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7963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7964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7965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7966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7967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7968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7969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7970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7971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7972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7973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7974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7975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7976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7977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7978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7979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7980</v>
      </c>
      <c r="B2085" s="1" t="s">
        <v>2562</v>
      </c>
      <c r="C2085" s="1" t="s">
        <v>7981</v>
      </c>
      <c r="D2085" s="1" t="s">
        <v>2490</v>
      </c>
      <c r="E2085" s="1">
        <v>14600000</v>
      </c>
    </row>
    <row r="2086" spans="1:5" ht="14.4" x14ac:dyDescent="0.3">
      <c r="A2086" s="17" t="s">
        <v>7982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7983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7984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7985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7986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7987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7988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7989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7990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7991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7992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7993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7994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7995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7996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7997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7998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7999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8000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8001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8002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8003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8004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8005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8006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8007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8008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8009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8010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8011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8012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8013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8014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8015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8016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8017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8018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8019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8020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8021</v>
      </c>
      <c r="B2125" s="1" t="s">
        <v>46</v>
      </c>
      <c r="C2125" s="1" t="s">
        <v>8022</v>
      </c>
      <c r="D2125" s="1" t="s">
        <v>2490</v>
      </c>
      <c r="E2125" s="1">
        <v>10000000</v>
      </c>
    </row>
    <row r="2126" spans="1:5" ht="14.4" x14ac:dyDescent="0.3">
      <c r="A2126" s="17" t="s">
        <v>8023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8024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8025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8026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8027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8028</v>
      </c>
      <c r="B2131" s="1" t="s">
        <v>228</v>
      </c>
      <c r="C2131" s="1" t="s">
        <v>2505</v>
      </c>
      <c r="D2131" s="1" t="s">
        <v>8029</v>
      </c>
      <c r="E2131" s="1">
        <v>15300000</v>
      </c>
    </row>
    <row r="2132" spans="1:5" ht="14.4" x14ac:dyDescent="0.3">
      <c r="A2132" s="17" t="s">
        <v>8030</v>
      </c>
      <c r="B2132" s="1" t="s">
        <v>2511</v>
      </c>
      <c r="C2132" s="1" t="s">
        <v>3219</v>
      </c>
      <c r="D2132" s="1" t="s">
        <v>8031</v>
      </c>
      <c r="E2132" s="1">
        <v>9400000</v>
      </c>
    </row>
    <row r="2133" spans="1:5" ht="14.4" x14ac:dyDescent="0.3">
      <c r="A2133" s="17" t="s">
        <v>8032</v>
      </c>
      <c r="B2133" s="1" t="s">
        <v>2562</v>
      </c>
      <c r="C2133" s="1" t="s">
        <v>4763</v>
      </c>
      <c r="D2133" s="1" t="s">
        <v>8033</v>
      </c>
      <c r="E2133" s="1">
        <v>15700000</v>
      </c>
    </row>
    <row r="2134" spans="1:5" ht="14.4" x14ac:dyDescent="0.3">
      <c r="A2134" s="17" t="s">
        <v>8034</v>
      </c>
      <c r="B2134" s="1" t="s">
        <v>2558</v>
      </c>
      <c r="C2134" s="1" t="s">
        <v>2869</v>
      </c>
      <c r="D2134" s="1" t="s">
        <v>8035</v>
      </c>
      <c r="E2134" s="1">
        <v>23100000</v>
      </c>
    </row>
    <row r="2135" spans="1:5" ht="14.4" x14ac:dyDescent="0.3">
      <c r="A2135" s="17" t="s">
        <v>8036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8037</v>
      </c>
      <c r="B2136" s="1" t="s">
        <v>249</v>
      </c>
      <c r="C2136" s="1" t="s">
        <v>277</v>
      </c>
      <c r="D2136" s="1" t="s">
        <v>8038</v>
      </c>
      <c r="E2136" s="1">
        <v>20700000</v>
      </c>
    </row>
    <row r="2137" spans="1:5" ht="14.4" x14ac:dyDescent="0.3">
      <c r="A2137" s="17" t="s">
        <v>8039</v>
      </c>
      <c r="B2137" s="1" t="s">
        <v>88</v>
      </c>
      <c r="C2137" s="1" t="s">
        <v>2806</v>
      </c>
      <c r="D2137" s="1" t="s">
        <v>8040</v>
      </c>
      <c r="E2137" s="1">
        <v>15400000</v>
      </c>
    </row>
    <row r="2138" spans="1:5" ht="14.4" x14ac:dyDescent="0.3">
      <c r="A2138" s="17" t="s">
        <v>8041</v>
      </c>
      <c r="B2138" s="1" t="s">
        <v>287</v>
      </c>
      <c r="C2138" s="1" t="s">
        <v>8042</v>
      </c>
      <c r="D2138" s="1" t="s">
        <v>8043</v>
      </c>
      <c r="E2138" s="1">
        <v>72000000</v>
      </c>
    </row>
    <row r="2139" spans="1:5" ht="14.4" x14ac:dyDescent="0.3">
      <c r="A2139" s="17" t="s">
        <v>8044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8045</v>
      </c>
      <c r="B2140" s="1" t="s">
        <v>2511</v>
      </c>
      <c r="C2140" s="1" t="s">
        <v>207</v>
      </c>
      <c r="D2140" s="1" t="s">
        <v>8046</v>
      </c>
      <c r="E2140" s="1">
        <v>13600000</v>
      </c>
    </row>
    <row r="2141" spans="1:5" ht="14.4" x14ac:dyDescent="0.3">
      <c r="A2141" s="17" t="s">
        <v>8047</v>
      </c>
      <c r="B2141" s="1" t="s">
        <v>29</v>
      </c>
      <c r="C2141" s="1" t="s">
        <v>2509</v>
      </c>
      <c r="D2141" s="1" t="s">
        <v>6052</v>
      </c>
      <c r="E2141" s="1">
        <v>8300000</v>
      </c>
    </row>
    <row r="2142" spans="1:5" ht="14.4" x14ac:dyDescent="0.3">
      <c r="A2142" s="17" t="s">
        <v>8048</v>
      </c>
      <c r="B2142" s="1" t="s">
        <v>29</v>
      </c>
      <c r="C2142" s="1" t="s">
        <v>32</v>
      </c>
      <c r="D2142" s="1" t="s">
        <v>6049</v>
      </c>
      <c r="E2142" s="1">
        <v>7930000</v>
      </c>
    </row>
    <row r="2143" spans="1:5" ht="14.4" x14ac:dyDescent="0.3">
      <c r="A2143" s="17" t="s">
        <v>8049</v>
      </c>
      <c r="B2143" s="1" t="s">
        <v>2511</v>
      </c>
      <c r="C2143" s="1" t="s">
        <v>2512</v>
      </c>
      <c r="D2143" s="1" t="s">
        <v>8050</v>
      </c>
      <c r="E2143" s="1">
        <v>8400000</v>
      </c>
    </row>
    <row r="2144" spans="1:5" ht="14.4" x14ac:dyDescent="0.3">
      <c r="A2144" s="17" t="s">
        <v>8051</v>
      </c>
      <c r="B2144" s="1" t="s">
        <v>2507</v>
      </c>
      <c r="C2144" s="1" t="s">
        <v>2544</v>
      </c>
      <c r="D2144" s="1" t="s">
        <v>5930</v>
      </c>
      <c r="E2144" s="1">
        <v>9400000</v>
      </c>
    </row>
    <row r="2145" spans="1:5" ht="14.4" x14ac:dyDescent="0.3">
      <c r="A2145" s="17" t="s">
        <v>8052</v>
      </c>
      <c r="B2145" s="1" t="s">
        <v>88</v>
      </c>
      <c r="C2145" s="1" t="s">
        <v>2520</v>
      </c>
      <c r="D2145" s="1" t="s">
        <v>8053</v>
      </c>
      <c r="E2145" s="1">
        <v>29900000</v>
      </c>
    </row>
    <row r="2146" spans="1:5" ht="14.4" x14ac:dyDescent="0.3">
      <c r="A2146" s="17" t="s">
        <v>8054</v>
      </c>
      <c r="B2146" s="1" t="s">
        <v>88</v>
      </c>
      <c r="C2146" s="1" t="s">
        <v>2806</v>
      </c>
      <c r="D2146" s="1" t="s">
        <v>8055</v>
      </c>
      <c r="E2146" s="1">
        <v>15300000</v>
      </c>
    </row>
    <row r="2147" spans="1:5" ht="14.4" x14ac:dyDescent="0.3">
      <c r="A2147" s="17" t="s">
        <v>8056</v>
      </c>
      <c r="B2147" s="1" t="s">
        <v>174</v>
      </c>
      <c r="C2147" s="1" t="s">
        <v>2622</v>
      </c>
      <c r="D2147" s="1" t="s">
        <v>8057</v>
      </c>
      <c r="E2147" s="1">
        <v>6420000</v>
      </c>
    </row>
    <row r="2148" spans="1:5" ht="14.4" x14ac:dyDescent="0.3">
      <c r="A2148" s="17" t="s">
        <v>8058</v>
      </c>
      <c r="B2148" s="1" t="s">
        <v>46</v>
      </c>
      <c r="C2148" s="1" t="s">
        <v>2835</v>
      </c>
      <c r="D2148" s="1" t="s">
        <v>8059</v>
      </c>
      <c r="E2148" s="1">
        <v>7560000</v>
      </c>
    </row>
    <row r="2149" spans="1:5" ht="15" customHeight="1" x14ac:dyDescent="0.3">
      <c r="A2149" t="s">
        <v>8060</v>
      </c>
      <c r="B2149" t="s">
        <v>46</v>
      </c>
      <c r="C2149" t="s">
        <v>8061</v>
      </c>
      <c r="D2149" t="s">
        <v>8062</v>
      </c>
      <c r="E2149">
        <v>6570000</v>
      </c>
    </row>
    <row r="2150" spans="1:5" ht="15" customHeight="1" x14ac:dyDescent="0.3">
      <c r="A2150" t="s">
        <v>8063</v>
      </c>
      <c r="B2150" t="s">
        <v>88</v>
      </c>
      <c r="C2150" t="s">
        <v>3081</v>
      </c>
      <c r="D2150" t="s">
        <v>8064</v>
      </c>
      <c r="E2150">
        <v>37700000</v>
      </c>
    </row>
    <row r="2151" spans="1:5" ht="15" customHeight="1" x14ac:dyDescent="0.3">
      <c r="A2151" t="s">
        <v>8065</v>
      </c>
      <c r="B2151" t="s">
        <v>3231</v>
      </c>
      <c r="C2151" t="s">
        <v>8066</v>
      </c>
      <c r="D2151" t="s">
        <v>8067</v>
      </c>
      <c r="E2151">
        <v>17600000</v>
      </c>
    </row>
    <row r="2152" spans="1:5" ht="15" customHeight="1" x14ac:dyDescent="0.3">
      <c r="A2152" t="s">
        <v>8068</v>
      </c>
      <c r="B2152" t="s">
        <v>88</v>
      </c>
      <c r="C2152" t="s">
        <v>138</v>
      </c>
      <c r="D2152" t="s">
        <v>8069</v>
      </c>
      <c r="E2152">
        <v>13600000</v>
      </c>
    </row>
    <row r="2153" spans="1:5" ht="15" customHeight="1" x14ac:dyDescent="0.3">
      <c r="A2153" t="s">
        <v>8070</v>
      </c>
      <c r="B2153" t="s">
        <v>228</v>
      </c>
      <c r="C2153" t="s">
        <v>2775</v>
      </c>
      <c r="D2153" t="s">
        <v>8071</v>
      </c>
      <c r="E2153">
        <v>13300000</v>
      </c>
    </row>
    <row r="2154" spans="1:5" ht="15" customHeight="1" x14ac:dyDescent="0.3">
      <c r="A2154" t="s">
        <v>8072</v>
      </c>
      <c r="B2154" t="s">
        <v>2511</v>
      </c>
      <c r="C2154" t="s">
        <v>207</v>
      </c>
      <c r="D2154" t="s">
        <v>8073</v>
      </c>
      <c r="E2154">
        <v>21100000</v>
      </c>
    </row>
    <row r="2155" spans="1:5" ht="15" customHeight="1" x14ac:dyDescent="0.3">
      <c r="A2155" t="s">
        <v>8074</v>
      </c>
      <c r="B2155" t="s">
        <v>29</v>
      </c>
      <c r="C2155" t="s">
        <v>32</v>
      </c>
      <c r="D2155" t="s">
        <v>8075</v>
      </c>
      <c r="E2155">
        <v>5820000</v>
      </c>
    </row>
    <row r="2156" spans="1:5" ht="15" customHeight="1" x14ac:dyDescent="0.3">
      <c r="A2156" t="s">
        <v>8076</v>
      </c>
      <c r="B2156" t="s">
        <v>3231</v>
      </c>
      <c r="C2156" t="s">
        <v>8077</v>
      </c>
      <c r="D2156" t="s">
        <v>8078</v>
      </c>
      <c r="E2156">
        <v>19000000</v>
      </c>
    </row>
    <row r="2157" spans="1:5" ht="15" customHeight="1" x14ac:dyDescent="0.3">
      <c r="A2157" t="s">
        <v>8079</v>
      </c>
      <c r="B2157" t="s">
        <v>152</v>
      </c>
      <c r="C2157" t="s">
        <v>158</v>
      </c>
      <c r="D2157" t="s">
        <v>8080</v>
      </c>
      <c r="E2157">
        <v>11500000</v>
      </c>
    </row>
    <row r="2158" spans="1:5" ht="15" customHeight="1" x14ac:dyDescent="0.3">
      <c r="A2158" t="s">
        <v>8081</v>
      </c>
      <c r="B2158" t="s">
        <v>46</v>
      </c>
      <c r="C2158" t="s">
        <v>50</v>
      </c>
      <c r="D2158" t="s">
        <v>8082</v>
      </c>
      <c r="E2158">
        <v>19500000</v>
      </c>
    </row>
    <row r="2159" spans="1:5" ht="15" customHeight="1" x14ac:dyDescent="0.3">
      <c r="A2159" t="s">
        <v>8083</v>
      </c>
      <c r="B2159" t="s">
        <v>2507</v>
      </c>
      <c r="C2159" t="s">
        <v>2544</v>
      </c>
      <c r="D2159" t="s">
        <v>8084</v>
      </c>
      <c r="E2159">
        <v>9400000</v>
      </c>
    </row>
    <row r="2160" spans="1:5" ht="15" customHeight="1" x14ac:dyDescent="0.3">
      <c r="A2160" t="s">
        <v>8085</v>
      </c>
      <c r="B2160" t="s">
        <v>249</v>
      </c>
      <c r="C2160" t="s">
        <v>2500</v>
      </c>
      <c r="D2160" t="s">
        <v>8086</v>
      </c>
      <c r="E2160">
        <v>21200000</v>
      </c>
    </row>
    <row r="2161" spans="1:5" ht="15" customHeight="1" x14ac:dyDescent="0.3">
      <c r="A2161" t="s">
        <v>8087</v>
      </c>
      <c r="B2161" t="s">
        <v>161</v>
      </c>
      <c r="C2161" t="s">
        <v>3347</v>
      </c>
      <c r="D2161" t="s">
        <v>8088</v>
      </c>
      <c r="E2161">
        <v>6650000</v>
      </c>
    </row>
    <row r="2162" spans="1:5" ht="15" customHeight="1" x14ac:dyDescent="0.3">
      <c r="A2162" t="s">
        <v>8089</v>
      </c>
      <c r="B2162" t="s">
        <v>322</v>
      </c>
      <c r="C2162" t="s">
        <v>323</v>
      </c>
      <c r="D2162" t="s">
        <v>8090</v>
      </c>
      <c r="E2162">
        <v>15600000</v>
      </c>
    </row>
    <row r="2163" spans="1:5" ht="15" customHeight="1" x14ac:dyDescent="0.3">
      <c r="A2163" t="s">
        <v>8091</v>
      </c>
      <c r="B2163" t="s">
        <v>2534</v>
      </c>
      <c r="C2163" t="s">
        <v>2535</v>
      </c>
      <c r="D2163" t="s">
        <v>8092</v>
      </c>
      <c r="E2163">
        <v>22000000</v>
      </c>
    </row>
    <row r="2164" spans="1:5" ht="15" customHeight="1" x14ac:dyDescent="0.3">
      <c r="A2164" t="s">
        <v>8093</v>
      </c>
      <c r="B2164" t="s">
        <v>222</v>
      </c>
      <c r="C2164" t="s">
        <v>2688</v>
      </c>
      <c r="D2164" t="s">
        <v>8094</v>
      </c>
      <c r="E2164">
        <v>25700000</v>
      </c>
    </row>
    <row r="2165" spans="1:5" ht="15" customHeight="1" x14ac:dyDescent="0.3">
      <c r="A2165" t="s">
        <v>8095</v>
      </c>
      <c r="B2165" t="s">
        <v>2511</v>
      </c>
      <c r="C2165" t="s">
        <v>2512</v>
      </c>
      <c r="D2165" t="s">
        <v>8096</v>
      </c>
      <c r="E2165">
        <v>8700000</v>
      </c>
    </row>
    <row r="2166" spans="1:5" ht="15" customHeight="1" x14ac:dyDescent="0.3">
      <c r="A2166" t="s">
        <v>8097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8098</v>
      </c>
      <c r="B2167" t="s">
        <v>152</v>
      </c>
      <c r="C2167" t="s">
        <v>158</v>
      </c>
      <c r="D2167" t="s">
        <v>8099</v>
      </c>
      <c r="E2167">
        <v>11400000</v>
      </c>
    </row>
    <row r="2168" spans="1:5" ht="15" customHeight="1" x14ac:dyDescent="0.3">
      <c r="A2168" t="s">
        <v>8100</v>
      </c>
      <c r="B2168" t="s">
        <v>310</v>
      </c>
      <c r="C2168" t="s">
        <v>2666</v>
      </c>
      <c r="D2168" t="s">
        <v>8101</v>
      </c>
      <c r="E2168">
        <v>7180000</v>
      </c>
    </row>
    <row r="2169" spans="1:5" ht="15" customHeight="1" x14ac:dyDescent="0.3">
      <c r="A2169" t="s">
        <v>8102</v>
      </c>
      <c r="B2169" t="s">
        <v>46</v>
      </c>
      <c r="C2169" t="s">
        <v>8103</v>
      </c>
      <c r="D2169" t="s">
        <v>8104</v>
      </c>
      <c r="E2169">
        <v>26300000</v>
      </c>
    </row>
    <row r="2170" spans="1:5" ht="15" customHeight="1" x14ac:dyDescent="0.3">
      <c r="A2170" t="s">
        <v>8105</v>
      </c>
      <c r="B2170" t="s">
        <v>249</v>
      </c>
      <c r="C2170" t="s">
        <v>2497</v>
      </c>
      <c r="D2170" t="s">
        <v>8106</v>
      </c>
      <c r="E2170">
        <v>16700000</v>
      </c>
    </row>
    <row r="2171" spans="1:5" ht="15" customHeight="1" x14ac:dyDescent="0.3">
      <c r="A2171" t="s">
        <v>8107</v>
      </c>
      <c r="B2171" t="s">
        <v>2678</v>
      </c>
      <c r="C2171" t="s">
        <v>8108</v>
      </c>
      <c r="D2171" t="s">
        <v>8109</v>
      </c>
      <c r="E2171">
        <v>30400000</v>
      </c>
    </row>
    <row r="2172" spans="1:5" ht="15" customHeight="1" x14ac:dyDescent="0.3">
      <c r="A2172" t="s">
        <v>8110</v>
      </c>
      <c r="B2172" t="s">
        <v>46</v>
      </c>
      <c r="C2172" t="s">
        <v>47</v>
      </c>
      <c r="D2172" t="s">
        <v>7787</v>
      </c>
      <c r="E2172">
        <v>15100000</v>
      </c>
    </row>
    <row r="2173" spans="1:5" ht="15" customHeight="1" x14ac:dyDescent="0.3">
      <c r="A2173" t="s">
        <v>8111</v>
      </c>
      <c r="B2173" t="s">
        <v>46</v>
      </c>
      <c r="C2173" t="s">
        <v>2777</v>
      </c>
      <c r="D2173" t="s">
        <v>8112</v>
      </c>
      <c r="E2173">
        <v>9500000</v>
      </c>
    </row>
    <row r="2174" spans="1:5" ht="15" customHeight="1" x14ac:dyDescent="0.3">
      <c r="A2174" t="s">
        <v>8113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8114</v>
      </c>
      <c r="B2175" t="s">
        <v>2963</v>
      </c>
      <c r="C2175" t="s">
        <v>7821</v>
      </c>
      <c r="D2175" t="s">
        <v>8115</v>
      </c>
      <c r="E2175">
        <v>11500000</v>
      </c>
    </row>
    <row r="2176" spans="1:5" ht="15" customHeight="1" x14ac:dyDescent="0.3">
      <c r="A2176" t="s">
        <v>8116</v>
      </c>
      <c r="B2176" t="s">
        <v>88</v>
      </c>
      <c r="C2176" t="s">
        <v>2806</v>
      </c>
      <c r="D2176" t="s">
        <v>8117</v>
      </c>
      <c r="E2176">
        <v>16100000</v>
      </c>
    </row>
    <row r="2177" spans="1:5" ht="15" customHeight="1" x14ac:dyDescent="0.3">
      <c r="A2177" t="s">
        <v>8118</v>
      </c>
      <c r="B2177" t="s">
        <v>88</v>
      </c>
      <c r="C2177" t="s">
        <v>92</v>
      </c>
      <c r="D2177" t="s">
        <v>8119</v>
      </c>
      <c r="E2177">
        <v>8000000</v>
      </c>
    </row>
    <row r="2178" spans="1:5" ht="15" customHeight="1" x14ac:dyDescent="0.3">
      <c r="A2178" t="s">
        <v>8120</v>
      </c>
      <c r="B2178" t="s">
        <v>222</v>
      </c>
      <c r="C2178" t="s">
        <v>2817</v>
      </c>
      <c r="D2178" t="s">
        <v>6051</v>
      </c>
      <c r="E2178">
        <v>23800000</v>
      </c>
    </row>
    <row r="2179" spans="1:5" ht="15" customHeight="1" x14ac:dyDescent="0.3">
      <c r="A2179" t="s">
        <v>8121</v>
      </c>
      <c r="B2179" t="s">
        <v>2558</v>
      </c>
      <c r="C2179" t="s">
        <v>2559</v>
      </c>
      <c r="D2179" t="s">
        <v>8122</v>
      </c>
      <c r="E2179">
        <v>18300000</v>
      </c>
    </row>
    <row r="2180" spans="1:5" ht="15" customHeight="1" x14ac:dyDescent="0.3">
      <c r="A2180" t="s">
        <v>8123</v>
      </c>
      <c r="B2180" t="s">
        <v>29</v>
      </c>
      <c r="C2180" t="s">
        <v>43</v>
      </c>
      <c r="D2180" t="s">
        <v>8124</v>
      </c>
      <c r="E2180">
        <v>11400000</v>
      </c>
    </row>
    <row r="2181" spans="1:5" ht="15" customHeight="1" x14ac:dyDescent="0.3">
      <c r="A2181" t="s">
        <v>8125</v>
      </c>
      <c r="B2181" t="s">
        <v>249</v>
      </c>
      <c r="C2181" t="s">
        <v>2514</v>
      </c>
      <c r="D2181" t="s">
        <v>8126</v>
      </c>
      <c r="E2181">
        <v>19900000</v>
      </c>
    </row>
    <row r="2182" spans="1:5" ht="15" customHeight="1" x14ac:dyDescent="0.3">
      <c r="A2182" t="s">
        <v>8127</v>
      </c>
      <c r="B2182" t="s">
        <v>88</v>
      </c>
      <c r="C2182" t="s">
        <v>2489</v>
      </c>
      <c r="D2182" t="s">
        <v>8128</v>
      </c>
      <c r="E2182">
        <v>38500000</v>
      </c>
    </row>
    <row r="2183" spans="1:5" ht="15" customHeight="1" x14ac:dyDescent="0.3">
      <c r="A2183" t="s">
        <v>8129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8130</v>
      </c>
      <c r="B2184" t="s">
        <v>212</v>
      </c>
      <c r="C2184" t="s">
        <v>8131</v>
      </c>
      <c r="D2184" t="s">
        <v>8132</v>
      </c>
      <c r="E2184">
        <v>8300000</v>
      </c>
    </row>
    <row r="2185" spans="1:5" ht="15" customHeight="1" x14ac:dyDescent="0.3">
      <c r="A2185" t="s">
        <v>8133</v>
      </c>
      <c r="B2185" t="s">
        <v>174</v>
      </c>
      <c r="C2185" t="s">
        <v>2548</v>
      </c>
      <c r="D2185" t="s">
        <v>8134</v>
      </c>
      <c r="E2185">
        <v>14800000</v>
      </c>
    </row>
    <row r="2186" spans="1:5" ht="15" customHeight="1" x14ac:dyDescent="0.3">
      <c r="A2186" t="s">
        <v>8135</v>
      </c>
      <c r="B2186" t="s">
        <v>46</v>
      </c>
      <c r="C2186" t="s">
        <v>2835</v>
      </c>
      <c r="D2186" t="s">
        <v>8136</v>
      </c>
      <c r="E2186">
        <v>7740000</v>
      </c>
    </row>
    <row r="2187" spans="1:5" ht="15" customHeight="1" x14ac:dyDescent="0.3">
      <c r="A2187" t="s">
        <v>8137</v>
      </c>
      <c r="B2187" t="s">
        <v>46</v>
      </c>
      <c r="C2187" t="s">
        <v>2909</v>
      </c>
      <c r="D2187" t="s">
        <v>8138</v>
      </c>
      <c r="E2187">
        <v>14700000</v>
      </c>
    </row>
    <row r="2188" spans="1:5" ht="15" customHeight="1" x14ac:dyDescent="0.3">
      <c r="A2188" t="s">
        <v>8139</v>
      </c>
      <c r="B2188" t="s">
        <v>46</v>
      </c>
      <c r="C2188" t="s">
        <v>2777</v>
      </c>
      <c r="D2188" t="s">
        <v>8140</v>
      </c>
      <c r="E2188">
        <v>11500000</v>
      </c>
    </row>
    <row r="2189" spans="1:5" ht="15" customHeight="1" x14ac:dyDescent="0.3">
      <c r="A2189" t="s">
        <v>8141</v>
      </c>
      <c r="B2189" t="s">
        <v>228</v>
      </c>
      <c r="C2189" t="s">
        <v>2589</v>
      </c>
      <c r="D2189" t="s">
        <v>8142</v>
      </c>
      <c r="E2189">
        <v>15400000</v>
      </c>
    </row>
    <row r="2190" spans="1:5" ht="15" customHeight="1" x14ac:dyDescent="0.3">
      <c r="A2190" t="s">
        <v>8143</v>
      </c>
      <c r="B2190" t="s">
        <v>62</v>
      </c>
      <c r="C2190" t="s">
        <v>3163</v>
      </c>
      <c r="D2190" t="s">
        <v>8144</v>
      </c>
      <c r="E2190">
        <v>11700000</v>
      </c>
    </row>
    <row r="2191" spans="1:5" ht="15" customHeight="1" x14ac:dyDescent="0.3">
      <c r="A2191" t="s">
        <v>8145</v>
      </c>
      <c r="B2191" t="s">
        <v>152</v>
      </c>
      <c r="C2191" t="s">
        <v>155</v>
      </c>
      <c r="D2191" t="s">
        <v>8146</v>
      </c>
      <c r="E2191">
        <v>14000000</v>
      </c>
    </row>
    <row r="2192" spans="1:5" ht="15" customHeight="1" x14ac:dyDescent="0.3">
      <c r="A2192" t="s">
        <v>8147</v>
      </c>
      <c r="B2192" t="s">
        <v>249</v>
      </c>
      <c r="C2192" t="s">
        <v>284</v>
      </c>
      <c r="D2192" t="s">
        <v>8148</v>
      </c>
      <c r="E2192">
        <v>10400000</v>
      </c>
    </row>
    <row r="2193" spans="1:5" ht="15" customHeight="1" x14ac:dyDescent="0.3">
      <c r="A2193" t="s">
        <v>8149</v>
      </c>
      <c r="B2193" t="s">
        <v>2963</v>
      </c>
      <c r="C2193" t="s">
        <v>3557</v>
      </c>
      <c r="D2193" t="s">
        <v>8150</v>
      </c>
      <c r="E2193">
        <v>14000000</v>
      </c>
    </row>
    <row r="2194" spans="1:5" ht="15" customHeight="1" x14ac:dyDescent="0.3">
      <c r="A2194" t="s">
        <v>8151</v>
      </c>
      <c r="B2194" t="s">
        <v>29</v>
      </c>
      <c r="C2194" t="s">
        <v>2509</v>
      </c>
      <c r="D2194" t="s">
        <v>8152</v>
      </c>
      <c r="E2194">
        <v>7930000</v>
      </c>
    </row>
    <row r="2195" spans="1:5" ht="15" customHeight="1" x14ac:dyDescent="0.3">
      <c r="A2195" t="s">
        <v>8153</v>
      </c>
      <c r="B2195" t="s">
        <v>298</v>
      </c>
      <c r="C2195" t="s">
        <v>2848</v>
      </c>
      <c r="D2195" t="s">
        <v>8154</v>
      </c>
      <c r="E2195">
        <v>7800000</v>
      </c>
    </row>
    <row r="2196" spans="1:5" ht="15" customHeight="1" x14ac:dyDescent="0.3">
      <c r="A2196" t="s">
        <v>8155</v>
      </c>
      <c r="B2196" t="s">
        <v>2507</v>
      </c>
      <c r="C2196" t="s">
        <v>2792</v>
      </c>
      <c r="D2196" t="s">
        <v>8156</v>
      </c>
      <c r="E2196">
        <v>14200000</v>
      </c>
    </row>
    <row r="2197" spans="1:5" ht="15" customHeight="1" x14ac:dyDescent="0.3">
      <c r="A2197" t="s">
        <v>8157</v>
      </c>
      <c r="B2197" t="s">
        <v>222</v>
      </c>
      <c r="C2197" t="s">
        <v>4653</v>
      </c>
      <c r="D2197" t="s">
        <v>8158</v>
      </c>
      <c r="E2197">
        <v>19600000</v>
      </c>
    </row>
    <row r="2198" spans="1:5" ht="15" customHeight="1" x14ac:dyDescent="0.3">
      <c r="A2198" t="s">
        <v>8159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8160</v>
      </c>
      <c r="B2199" t="s">
        <v>2511</v>
      </c>
      <c r="C2199" t="s">
        <v>2677</v>
      </c>
      <c r="D2199" t="s">
        <v>8161</v>
      </c>
      <c r="E2199">
        <v>13400000</v>
      </c>
    </row>
    <row r="2200" spans="1:5" ht="15" customHeight="1" x14ac:dyDescent="0.3">
      <c r="A2200" t="s">
        <v>8162</v>
      </c>
      <c r="B2200" t="s">
        <v>5074</v>
      </c>
      <c r="C2200" t="s">
        <v>8163</v>
      </c>
      <c r="D2200" t="s">
        <v>8164</v>
      </c>
      <c r="E2200">
        <v>13100000</v>
      </c>
    </row>
    <row r="2201" spans="1:5" ht="15" customHeight="1" x14ac:dyDescent="0.3">
      <c r="A2201" t="s">
        <v>8165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8166</v>
      </c>
      <c r="B2202" t="s">
        <v>4301</v>
      </c>
      <c r="C2202" t="s">
        <v>8167</v>
      </c>
      <c r="D2202" t="s">
        <v>8168</v>
      </c>
      <c r="E2202">
        <v>26600000</v>
      </c>
    </row>
    <row r="2203" spans="1:5" ht="15" customHeight="1" x14ac:dyDescent="0.3">
      <c r="A2203" t="s">
        <v>8169</v>
      </c>
      <c r="B2203" t="s">
        <v>317</v>
      </c>
      <c r="C2203" t="s">
        <v>2875</v>
      </c>
      <c r="D2203" t="s">
        <v>8170</v>
      </c>
      <c r="E2203">
        <v>30100000</v>
      </c>
    </row>
    <row r="2204" spans="1:5" ht="15" customHeight="1" x14ac:dyDescent="0.3">
      <c r="A2204" t="s">
        <v>8171</v>
      </c>
      <c r="B2204" t="s">
        <v>317</v>
      </c>
      <c r="C2204" t="s">
        <v>2504</v>
      </c>
      <c r="D2204" t="s">
        <v>8172</v>
      </c>
      <c r="E2204">
        <v>19400000</v>
      </c>
    </row>
    <row r="2205" spans="1:5" ht="15" customHeight="1" x14ac:dyDescent="0.3">
      <c r="A2205" t="s">
        <v>8173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8174</v>
      </c>
      <c r="B2206" t="s">
        <v>2511</v>
      </c>
      <c r="C2206" t="s">
        <v>2677</v>
      </c>
      <c r="D2206" t="s">
        <v>8175</v>
      </c>
      <c r="E2206">
        <v>13100000</v>
      </c>
    </row>
    <row r="2207" spans="1:5" ht="15" customHeight="1" x14ac:dyDescent="0.3">
      <c r="A2207" t="s">
        <v>8176</v>
      </c>
      <c r="B2207" t="s">
        <v>228</v>
      </c>
      <c r="C2207" t="s">
        <v>2582</v>
      </c>
      <c r="D2207" t="s">
        <v>8177</v>
      </c>
      <c r="E2207">
        <v>9200000</v>
      </c>
    </row>
    <row r="2208" spans="1:5" ht="15" customHeight="1" x14ac:dyDescent="0.3">
      <c r="A2208" t="s">
        <v>8178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8179</v>
      </c>
      <c r="B2209" t="s">
        <v>287</v>
      </c>
      <c r="C2209">
        <v>700</v>
      </c>
      <c r="D2209" t="s">
        <v>8180</v>
      </c>
      <c r="E2209">
        <v>13300000</v>
      </c>
    </row>
    <row r="2210" spans="1:5" ht="15" customHeight="1" x14ac:dyDescent="0.3">
      <c r="A2210" t="s">
        <v>8181</v>
      </c>
      <c r="B2210" t="s">
        <v>152</v>
      </c>
      <c r="C2210" t="s">
        <v>155</v>
      </c>
      <c r="D2210" t="s">
        <v>8182</v>
      </c>
      <c r="E2210">
        <v>14400000</v>
      </c>
    </row>
    <row r="2211" spans="1:5" ht="15" customHeight="1" x14ac:dyDescent="0.3">
      <c r="A2211" t="s">
        <v>8183</v>
      </c>
      <c r="B2211" t="s">
        <v>2511</v>
      </c>
      <c r="C2211" t="s">
        <v>2536</v>
      </c>
      <c r="D2211" t="s">
        <v>8184</v>
      </c>
      <c r="E2211">
        <v>10900000</v>
      </c>
    </row>
    <row r="2212" spans="1:5" ht="15" customHeight="1" x14ac:dyDescent="0.3">
      <c r="A2212" t="s">
        <v>8185</v>
      </c>
      <c r="B2212" t="s">
        <v>88</v>
      </c>
      <c r="C2212" t="s">
        <v>3081</v>
      </c>
      <c r="D2212" t="s">
        <v>8186</v>
      </c>
      <c r="E2212">
        <v>12800000</v>
      </c>
    </row>
    <row r="2213" spans="1:5" ht="15" customHeight="1" x14ac:dyDescent="0.3">
      <c r="A2213" t="s">
        <v>8187</v>
      </c>
      <c r="B2213" t="s">
        <v>88</v>
      </c>
      <c r="C2213" t="s">
        <v>92</v>
      </c>
      <c r="D2213" t="s">
        <v>8188</v>
      </c>
      <c r="E2213">
        <v>8600000</v>
      </c>
    </row>
    <row r="2214" spans="1:5" ht="15" customHeight="1" x14ac:dyDescent="0.3">
      <c r="A2214" t="s">
        <v>8189</v>
      </c>
      <c r="B2214" t="s">
        <v>249</v>
      </c>
      <c r="C2214" t="s">
        <v>2500</v>
      </c>
      <c r="D2214" t="s">
        <v>8190</v>
      </c>
      <c r="E2214">
        <v>19700000</v>
      </c>
    </row>
    <row r="2215" spans="1:5" ht="15" customHeight="1" x14ac:dyDescent="0.3">
      <c r="A2215" t="s">
        <v>8191</v>
      </c>
      <c r="B2215" t="s">
        <v>245</v>
      </c>
      <c r="C2215" t="s">
        <v>67</v>
      </c>
      <c r="D2215" t="s">
        <v>8192</v>
      </c>
      <c r="E2215">
        <v>14400000</v>
      </c>
    </row>
    <row r="2216" spans="1:5" ht="15" customHeight="1" x14ac:dyDescent="0.3">
      <c r="A2216" t="s">
        <v>8193</v>
      </c>
      <c r="B2216" t="s">
        <v>161</v>
      </c>
      <c r="C2216" t="s">
        <v>2881</v>
      </c>
      <c r="D2216" t="s">
        <v>8194</v>
      </c>
      <c r="E2216">
        <v>11500000</v>
      </c>
    </row>
    <row r="2217" spans="1:5" ht="15" customHeight="1" x14ac:dyDescent="0.3">
      <c r="A2217" t="s">
        <v>8195</v>
      </c>
      <c r="B2217" t="s">
        <v>46</v>
      </c>
      <c r="C2217" t="s">
        <v>2777</v>
      </c>
      <c r="D2217" t="s">
        <v>8196</v>
      </c>
      <c r="E2217">
        <v>10100000</v>
      </c>
    </row>
    <row r="2218" spans="1:5" ht="15" customHeight="1" x14ac:dyDescent="0.3">
      <c r="A2218" t="s">
        <v>8197</v>
      </c>
      <c r="B2218" t="s">
        <v>2487</v>
      </c>
      <c r="C2218" t="s">
        <v>2698</v>
      </c>
      <c r="D2218" t="s">
        <v>8198</v>
      </c>
      <c r="E2218">
        <v>9000000</v>
      </c>
    </row>
    <row r="2219" spans="1:5" ht="15" customHeight="1" x14ac:dyDescent="0.3">
      <c r="A2219" t="s">
        <v>8199</v>
      </c>
      <c r="B2219" t="s">
        <v>188</v>
      </c>
      <c r="C2219" t="s">
        <v>2675</v>
      </c>
      <c r="D2219" t="s">
        <v>8200</v>
      </c>
      <c r="E2219">
        <v>11800000</v>
      </c>
    </row>
    <row r="2220" spans="1:5" ht="15" customHeight="1" x14ac:dyDescent="0.3">
      <c r="A2220" t="s">
        <v>8201</v>
      </c>
      <c r="B2220" t="s">
        <v>88</v>
      </c>
      <c r="C2220" t="s">
        <v>126</v>
      </c>
      <c r="D2220" t="s">
        <v>8202</v>
      </c>
      <c r="E2220">
        <v>25300000</v>
      </c>
    </row>
    <row r="2221" spans="1:5" ht="15" customHeight="1" x14ac:dyDescent="0.3">
      <c r="A2221" t="s">
        <v>8203</v>
      </c>
      <c r="B2221" t="s">
        <v>2511</v>
      </c>
      <c r="C2221" t="s">
        <v>2600</v>
      </c>
      <c r="D2221" t="s">
        <v>8204</v>
      </c>
      <c r="E2221">
        <v>17100000</v>
      </c>
    </row>
    <row r="2222" spans="1:5" ht="15" customHeight="1" x14ac:dyDescent="0.3">
      <c r="A2222" t="s">
        <v>8338</v>
      </c>
      <c r="B2222" t="s">
        <v>222</v>
      </c>
      <c r="C2222" t="s">
        <v>3507</v>
      </c>
      <c r="D2222" t="s">
        <v>8339</v>
      </c>
      <c r="E2222">
        <v>11300000</v>
      </c>
    </row>
    <row r="2223" spans="1:5" ht="15" customHeight="1" x14ac:dyDescent="0.3">
      <c r="A2223" t="s">
        <v>8340</v>
      </c>
      <c r="B2223" t="s">
        <v>249</v>
      </c>
      <c r="C2223">
        <v>3008</v>
      </c>
      <c r="D2223" t="s">
        <v>8341</v>
      </c>
      <c r="E2223">
        <v>15000000</v>
      </c>
    </row>
    <row r="2224" spans="1:5" ht="15" customHeight="1" x14ac:dyDescent="0.3">
      <c r="A2224" t="s">
        <v>8342</v>
      </c>
      <c r="B2224" t="s">
        <v>46</v>
      </c>
      <c r="C2224" t="s">
        <v>8343</v>
      </c>
      <c r="D2224" t="s">
        <v>8344</v>
      </c>
      <c r="E2224">
        <v>52000000</v>
      </c>
    </row>
    <row r="2225" spans="1:5" ht="15" customHeight="1" x14ac:dyDescent="0.3">
      <c r="A2225" t="s">
        <v>8345</v>
      </c>
      <c r="B2225" t="s">
        <v>249</v>
      </c>
      <c r="C2225" t="s">
        <v>2643</v>
      </c>
      <c r="D2225" t="s">
        <v>8346</v>
      </c>
      <c r="E2225">
        <v>17000000</v>
      </c>
    </row>
    <row r="2226" spans="1:5" ht="15" customHeight="1" x14ac:dyDescent="0.3">
      <c r="A2226" t="s">
        <v>8347</v>
      </c>
      <c r="B2226" t="s">
        <v>161</v>
      </c>
      <c r="C2226" t="s">
        <v>3109</v>
      </c>
      <c r="D2226" t="s">
        <v>8348</v>
      </c>
      <c r="E2226">
        <v>16600000</v>
      </c>
    </row>
    <row r="2227" spans="1:5" ht="15" customHeight="1" x14ac:dyDescent="0.3">
      <c r="A2227" t="s">
        <v>8349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8350</v>
      </c>
      <c r="B2228" t="s">
        <v>88</v>
      </c>
      <c r="C2228" t="s">
        <v>108</v>
      </c>
      <c r="D2228" t="s">
        <v>8351</v>
      </c>
      <c r="E2228">
        <v>27800000</v>
      </c>
    </row>
    <row r="2229" spans="1:5" ht="15" customHeight="1" x14ac:dyDescent="0.3">
      <c r="A2229" t="s">
        <v>8352</v>
      </c>
      <c r="B2229" t="s">
        <v>2511</v>
      </c>
      <c r="C2229" t="s">
        <v>196</v>
      </c>
      <c r="D2229" t="s">
        <v>8353</v>
      </c>
      <c r="E2229">
        <v>11600000</v>
      </c>
    </row>
    <row r="2230" spans="1:5" ht="15" customHeight="1" x14ac:dyDescent="0.3">
      <c r="A2230" t="s">
        <v>8354</v>
      </c>
      <c r="B2230" t="s">
        <v>222</v>
      </c>
      <c r="C2230" t="s">
        <v>2688</v>
      </c>
      <c r="D2230" t="s">
        <v>8355</v>
      </c>
      <c r="E2230">
        <v>15700000</v>
      </c>
    </row>
    <row r="2231" spans="1:5" ht="15" customHeight="1" x14ac:dyDescent="0.3">
      <c r="A2231" t="s">
        <v>8356</v>
      </c>
      <c r="B2231" t="s">
        <v>2511</v>
      </c>
      <c r="C2231" t="s">
        <v>2512</v>
      </c>
      <c r="D2231" t="s">
        <v>8357</v>
      </c>
      <c r="E2231">
        <v>9000000</v>
      </c>
    </row>
    <row r="2232" spans="1:5" ht="15" customHeight="1" x14ac:dyDescent="0.3">
      <c r="A2232" t="s">
        <v>8358</v>
      </c>
      <c r="B2232" t="s">
        <v>70</v>
      </c>
      <c r="C2232">
        <v>580</v>
      </c>
      <c r="D2232" t="s">
        <v>8359</v>
      </c>
      <c r="E2232">
        <v>8200000</v>
      </c>
    </row>
    <row r="2233" spans="1:5" ht="15" customHeight="1" x14ac:dyDescent="0.3">
      <c r="A2233" t="s">
        <v>8360</v>
      </c>
      <c r="B2233" t="s">
        <v>88</v>
      </c>
      <c r="C2233" t="s">
        <v>108</v>
      </c>
      <c r="D2233" t="s">
        <v>8361</v>
      </c>
      <c r="E2233">
        <v>19600000</v>
      </c>
    </row>
    <row r="2234" spans="1:5" ht="15" customHeight="1" x14ac:dyDescent="0.3">
      <c r="A2234" t="s">
        <v>8362</v>
      </c>
      <c r="B2234" t="s">
        <v>310</v>
      </c>
      <c r="C2234" t="s">
        <v>3312</v>
      </c>
      <c r="D2234" t="s">
        <v>8363</v>
      </c>
      <c r="E2234">
        <v>13100000</v>
      </c>
    </row>
    <row r="2235" spans="1:5" ht="15" customHeight="1" x14ac:dyDescent="0.3">
      <c r="A2235" t="s">
        <v>8364</v>
      </c>
      <c r="B2235" t="s">
        <v>88</v>
      </c>
      <c r="C2235" t="s">
        <v>3081</v>
      </c>
      <c r="D2235" t="s">
        <v>8365</v>
      </c>
      <c r="E2235">
        <v>31200000</v>
      </c>
    </row>
    <row r="2236" spans="1:5" ht="15" customHeight="1" x14ac:dyDescent="0.3">
      <c r="A2236" t="s">
        <v>8366</v>
      </c>
      <c r="B2236" t="s">
        <v>29</v>
      </c>
      <c r="C2236" t="s">
        <v>4032</v>
      </c>
      <c r="D2236" t="s">
        <v>8302</v>
      </c>
      <c r="E2236">
        <v>5370000</v>
      </c>
    </row>
    <row r="2237" spans="1:5" ht="15" customHeight="1" x14ac:dyDescent="0.3">
      <c r="A2237" t="s">
        <v>8367</v>
      </c>
      <c r="B2237" t="s">
        <v>249</v>
      </c>
      <c r="C2237" t="s">
        <v>2500</v>
      </c>
      <c r="D2237" t="s">
        <v>8368</v>
      </c>
      <c r="E2237">
        <v>13100000</v>
      </c>
    </row>
    <row r="2238" spans="1:5" ht="15" customHeight="1" x14ac:dyDescent="0.3">
      <c r="A2238" t="s">
        <v>8369</v>
      </c>
      <c r="B2238" t="s">
        <v>317</v>
      </c>
      <c r="C2238" t="s">
        <v>8370</v>
      </c>
      <c r="D2238" t="s">
        <v>2490</v>
      </c>
      <c r="E2238">
        <v>12600000</v>
      </c>
    </row>
    <row r="2239" spans="1:5" ht="15" customHeight="1" x14ac:dyDescent="0.3">
      <c r="A2239" t="s">
        <v>8371</v>
      </c>
      <c r="B2239" t="s">
        <v>249</v>
      </c>
      <c r="C2239" t="s">
        <v>2491</v>
      </c>
      <c r="D2239" t="s">
        <v>8372</v>
      </c>
      <c r="E2239">
        <v>13500000</v>
      </c>
    </row>
    <row r="2240" spans="1:5" ht="15" customHeight="1" x14ac:dyDescent="0.3">
      <c r="A2240" t="s">
        <v>8373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8374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8375</v>
      </c>
      <c r="B2242" t="s">
        <v>2511</v>
      </c>
      <c r="C2242" t="s">
        <v>196</v>
      </c>
      <c r="D2242" t="s">
        <v>8376</v>
      </c>
      <c r="E2242">
        <v>9500000</v>
      </c>
    </row>
    <row r="2243" spans="1:5" ht="15" customHeight="1" x14ac:dyDescent="0.3">
      <c r="A2243" t="s">
        <v>8377</v>
      </c>
      <c r="B2243" t="s">
        <v>222</v>
      </c>
      <c r="C2243" t="s">
        <v>8378</v>
      </c>
      <c r="D2243" t="s">
        <v>8379</v>
      </c>
      <c r="E2243">
        <v>6900000</v>
      </c>
    </row>
    <row r="2244" spans="1:5" ht="15" customHeight="1" x14ac:dyDescent="0.3">
      <c r="A2244" t="s">
        <v>8380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8381</v>
      </c>
      <c r="B2245" t="s">
        <v>298</v>
      </c>
      <c r="C2245" t="s">
        <v>2860</v>
      </c>
      <c r="D2245" t="s">
        <v>8382</v>
      </c>
      <c r="E2245">
        <v>8300000</v>
      </c>
    </row>
    <row r="2246" spans="1:5" ht="15" customHeight="1" x14ac:dyDescent="0.3">
      <c r="A2246" t="s">
        <v>8383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8384</v>
      </c>
      <c r="B2247" t="s">
        <v>317</v>
      </c>
      <c r="C2247" t="s">
        <v>3735</v>
      </c>
      <c r="D2247" t="s">
        <v>8385</v>
      </c>
      <c r="E2247">
        <v>22500000</v>
      </c>
    </row>
    <row r="2248" spans="1:5" ht="15" customHeight="1" x14ac:dyDescent="0.3">
      <c r="A2248" t="s">
        <v>8386</v>
      </c>
      <c r="B2248" t="s">
        <v>70</v>
      </c>
      <c r="C2248">
        <v>560</v>
      </c>
      <c r="D2248" t="s">
        <v>8387</v>
      </c>
      <c r="E2248">
        <v>9000000</v>
      </c>
    </row>
    <row r="2249" spans="1:5" ht="15" customHeight="1" x14ac:dyDescent="0.3">
      <c r="A2249" t="s">
        <v>8388</v>
      </c>
      <c r="B2249" t="s">
        <v>62</v>
      </c>
      <c r="C2249" t="s">
        <v>2867</v>
      </c>
      <c r="D2249" t="s">
        <v>8389</v>
      </c>
      <c r="E2249">
        <v>13900000</v>
      </c>
    </row>
    <row r="2250" spans="1:5" ht="15" customHeight="1" x14ac:dyDescent="0.3">
      <c r="A2250" t="s">
        <v>8390</v>
      </c>
      <c r="B2250" t="s">
        <v>228</v>
      </c>
      <c r="C2250" t="s">
        <v>231</v>
      </c>
      <c r="D2250" t="s">
        <v>8391</v>
      </c>
      <c r="E2250">
        <v>17200000</v>
      </c>
    </row>
    <row r="2251" spans="1:5" ht="15" customHeight="1" x14ac:dyDescent="0.3">
      <c r="A2251" t="s">
        <v>8392</v>
      </c>
      <c r="B2251" t="s">
        <v>2507</v>
      </c>
      <c r="C2251" t="s">
        <v>3669</v>
      </c>
      <c r="D2251" t="s">
        <v>8393</v>
      </c>
      <c r="E2251">
        <v>13000000</v>
      </c>
    </row>
    <row r="2252" spans="1:5" ht="15" customHeight="1" x14ac:dyDescent="0.3">
      <c r="A2252" t="s">
        <v>8394</v>
      </c>
      <c r="B2252" t="s">
        <v>2546</v>
      </c>
      <c r="C2252" t="s">
        <v>3812</v>
      </c>
      <c r="D2252" t="s">
        <v>8395</v>
      </c>
      <c r="E2252">
        <v>8300000</v>
      </c>
    </row>
    <row r="2253" spans="1:5" ht="15" customHeight="1" x14ac:dyDescent="0.3">
      <c r="A2253" t="s">
        <v>8396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8397</v>
      </c>
      <c r="B2254" t="s">
        <v>161</v>
      </c>
      <c r="C2254" t="s">
        <v>2881</v>
      </c>
      <c r="D2254" t="s">
        <v>8398</v>
      </c>
      <c r="E2254">
        <v>14000000</v>
      </c>
    </row>
    <row r="2255" spans="1:5" ht="15" customHeight="1" x14ac:dyDescent="0.3">
      <c r="A2255" t="s">
        <v>8399</v>
      </c>
      <c r="B2255" t="s">
        <v>14</v>
      </c>
      <c r="C2255" t="s">
        <v>2521</v>
      </c>
      <c r="D2255" t="s">
        <v>8400</v>
      </c>
      <c r="E2255">
        <v>9300000</v>
      </c>
    </row>
    <row r="2256" spans="1:5" ht="15" customHeight="1" x14ac:dyDescent="0.3">
      <c r="A2256" t="s">
        <v>8401</v>
      </c>
      <c r="B2256" t="s">
        <v>2511</v>
      </c>
      <c r="C2256" t="s">
        <v>2600</v>
      </c>
      <c r="D2256" t="s">
        <v>8402</v>
      </c>
      <c r="E2256">
        <v>19000000</v>
      </c>
    </row>
    <row r="2257" spans="1:5" ht="15" customHeight="1" x14ac:dyDescent="0.3">
      <c r="A2257" t="s">
        <v>8403</v>
      </c>
      <c r="B2257" t="s">
        <v>222</v>
      </c>
      <c r="C2257" t="s">
        <v>2688</v>
      </c>
      <c r="D2257" t="s">
        <v>8404</v>
      </c>
      <c r="E2257">
        <v>14000000</v>
      </c>
    </row>
    <row r="2258" spans="1:5" ht="15" customHeight="1" x14ac:dyDescent="0.3">
      <c r="A2258" t="s">
        <v>8405</v>
      </c>
      <c r="B2258" t="s">
        <v>2511</v>
      </c>
      <c r="C2258" t="s">
        <v>2677</v>
      </c>
      <c r="D2258" t="s">
        <v>8406</v>
      </c>
      <c r="E2258">
        <v>12800000</v>
      </c>
    </row>
    <row r="2259" spans="1:5" ht="15" customHeight="1" x14ac:dyDescent="0.3">
      <c r="A2259" t="s">
        <v>8407</v>
      </c>
      <c r="B2259" t="s">
        <v>228</v>
      </c>
      <c r="C2259" t="s">
        <v>2775</v>
      </c>
      <c r="D2259" t="s">
        <v>8408</v>
      </c>
      <c r="E2259">
        <v>13200000</v>
      </c>
    </row>
    <row r="2260" spans="1:5" ht="15" customHeight="1" x14ac:dyDescent="0.3">
      <c r="A2260" t="s">
        <v>8409</v>
      </c>
      <c r="B2260" t="s">
        <v>14</v>
      </c>
      <c r="C2260" t="s">
        <v>2521</v>
      </c>
      <c r="D2260" t="s">
        <v>8281</v>
      </c>
      <c r="E2260">
        <v>12400000</v>
      </c>
    </row>
    <row r="2261" spans="1:5" ht="15" customHeight="1" x14ac:dyDescent="0.3">
      <c r="A2261" t="s">
        <v>8410</v>
      </c>
      <c r="B2261" t="s">
        <v>317</v>
      </c>
      <c r="C2261" t="s">
        <v>8411</v>
      </c>
      <c r="D2261" t="s">
        <v>2490</v>
      </c>
      <c r="E2261">
        <v>14800000</v>
      </c>
    </row>
    <row r="2262" spans="1:5" ht="15" customHeight="1" x14ac:dyDescent="0.3">
      <c r="A2262" t="s">
        <v>8412</v>
      </c>
      <c r="B2262" t="s">
        <v>249</v>
      </c>
      <c r="C2262">
        <v>5008</v>
      </c>
      <c r="D2262" t="s">
        <v>8413</v>
      </c>
      <c r="E2262">
        <v>17000000</v>
      </c>
    </row>
    <row r="2263" spans="1:5" ht="15" customHeight="1" x14ac:dyDescent="0.3">
      <c r="A2263" t="s">
        <v>8414</v>
      </c>
      <c r="B2263" t="s">
        <v>62</v>
      </c>
      <c r="C2263" t="s">
        <v>3213</v>
      </c>
      <c r="D2263" t="s">
        <v>8415</v>
      </c>
      <c r="E2263">
        <v>9600000</v>
      </c>
    </row>
    <row r="2264" spans="1:5" ht="15" customHeight="1" x14ac:dyDescent="0.3">
      <c r="A2264" t="s">
        <v>8416</v>
      </c>
      <c r="B2264" t="s">
        <v>2511</v>
      </c>
      <c r="C2264" t="s">
        <v>2512</v>
      </c>
      <c r="D2264" t="s">
        <v>8417</v>
      </c>
      <c r="E2264">
        <v>7190000</v>
      </c>
    </row>
    <row r="2265" spans="1:5" ht="15" customHeight="1" x14ac:dyDescent="0.3">
      <c r="A2265" t="s">
        <v>8418</v>
      </c>
      <c r="B2265" t="s">
        <v>2507</v>
      </c>
      <c r="C2265" t="s">
        <v>8419</v>
      </c>
      <c r="D2265" t="s">
        <v>2490</v>
      </c>
      <c r="E2265">
        <v>20500000</v>
      </c>
    </row>
    <row r="2266" spans="1:5" ht="15" customHeight="1" x14ac:dyDescent="0.3">
      <c r="A2266" t="s">
        <v>8420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8421</v>
      </c>
      <c r="B2267" t="s">
        <v>2558</v>
      </c>
      <c r="C2267" t="s">
        <v>2664</v>
      </c>
      <c r="D2267" t="s">
        <v>8422</v>
      </c>
      <c r="E2267">
        <v>23400000</v>
      </c>
    </row>
    <row r="2268" spans="1:5" ht="15" customHeight="1" x14ac:dyDescent="0.3">
      <c r="A2268" t="s">
        <v>8423</v>
      </c>
      <c r="B2268" t="s">
        <v>322</v>
      </c>
      <c r="C2268" t="s">
        <v>3878</v>
      </c>
      <c r="D2268" t="s">
        <v>8424</v>
      </c>
      <c r="E2268">
        <v>15400000</v>
      </c>
    </row>
    <row r="2269" spans="1:5" ht="15" customHeight="1" x14ac:dyDescent="0.3">
      <c r="A2269" t="s">
        <v>8425</v>
      </c>
      <c r="B2269" t="s">
        <v>310</v>
      </c>
      <c r="C2269" t="s">
        <v>314</v>
      </c>
      <c r="D2269" t="s">
        <v>8426</v>
      </c>
      <c r="E2269">
        <v>16700000</v>
      </c>
    </row>
    <row r="2270" spans="1:5" ht="15" customHeight="1" x14ac:dyDescent="0.3">
      <c r="A2270" t="s">
        <v>8427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8428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8429</v>
      </c>
      <c r="B2272" t="s">
        <v>222</v>
      </c>
      <c r="C2272" t="s">
        <v>2688</v>
      </c>
      <c r="D2272" t="s">
        <v>8430</v>
      </c>
      <c r="E2272">
        <v>18700000</v>
      </c>
    </row>
    <row r="2273" spans="1:5" ht="15" customHeight="1" x14ac:dyDescent="0.3">
      <c r="A2273" t="s">
        <v>8431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8432</v>
      </c>
      <c r="B2274" t="s">
        <v>46</v>
      </c>
      <c r="C2274" t="s">
        <v>47</v>
      </c>
      <c r="D2274" t="s">
        <v>8433</v>
      </c>
      <c r="E2274">
        <v>12800000</v>
      </c>
    </row>
    <row r="2275" spans="1:5" ht="15" customHeight="1" x14ac:dyDescent="0.3">
      <c r="A2275" t="s">
        <v>8434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8435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8436</v>
      </c>
      <c r="B2277" t="s">
        <v>2534</v>
      </c>
      <c r="C2277" t="s">
        <v>2556</v>
      </c>
      <c r="D2277" t="s">
        <v>8437</v>
      </c>
      <c r="E2277">
        <v>9700000</v>
      </c>
    </row>
    <row r="2278" spans="1:5" ht="15" customHeight="1" x14ac:dyDescent="0.3">
      <c r="A2278" t="s">
        <v>8438</v>
      </c>
      <c r="B2278" t="s">
        <v>88</v>
      </c>
      <c r="C2278" t="s">
        <v>2489</v>
      </c>
      <c r="D2278" t="s">
        <v>8439</v>
      </c>
      <c r="E2278">
        <v>33400000</v>
      </c>
    </row>
    <row r="2279" spans="1:5" ht="15" customHeight="1" x14ac:dyDescent="0.3">
      <c r="A2279" t="s">
        <v>8440</v>
      </c>
      <c r="B2279" t="s">
        <v>228</v>
      </c>
      <c r="C2279" t="s">
        <v>2775</v>
      </c>
      <c r="D2279" t="s">
        <v>8441</v>
      </c>
      <c r="E2279">
        <v>14500000</v>
      </c>
    </row>
    <row r="2280" spans="1:5" ht="15" customHeight="1" x14ac:dyDescent="0.3">
      <c r="A2280" t="s">
        <v>8442</v>
      </c>
      <c r="B2280" t="s">
        <v>46</v>
      </c>
      <c r="C2280" t="s">
        <v>2568</v>
      </c>
      <c r="D2280" t="s">
        <v>8443</v>
      </c>
      <c r="E2280">
        <v>33700000</v>
      </c>
    </row>
    <row r="2281" spans="1:5" ht="15" customHeight="1" x14ac:dyDescent="0.3">
      <c r="A2281" t="s">
        <v>8444</v>
      </c>
      <c r="B2281" t="s">
        <v>249</v>
      </c>
      <c r="C2281" t="s">
        <v>2497</v>
      </c>
      <c r="D2281" t="s">
        <v>8106</v>
      </c>
      <c r="E2281">
        <v>15400000</v>
      </c>
    </row>
    <row r="2282" spans="1:5" ht="15" customHeight="1" x14ac:dyDescent="0.3">
      <c r="A2282" t="s">
        <v>8445</v>
      </c>
      <c r="B2282" t="s">
        <v>215</v>
      </c>
      <c r="C2282" t="s">
        <v>3189</v>
      </c>
      <c r="D2282" t="s">
        <v>8446</v>
      </c>
      <c r="E2282">
        <v>18400000</v>
      </c>
    </row>
    <row r="2283" spans="1:5" ht="15" customHeight="1" x14ac:dyDescent="0.3">
      <c r="A2283" t="s">
        <v>8447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8448</v>
      </c>
      <c r="B2284" t="s">
        <v>228</v>
      </c>
      <c r="C2284" t="s">
        <v>2775</v>
      </c>
      <c r="D2284" t="s">
        <v>8449</v>
      </c>
      <c r="E2284">
        <v>13400000</v>
      </c>
    </row>
    <row r="2285" spans="1:5" ht="15" customHeight="1" x14ac:dyDescent="0.3">
      <c r="A2285" t="s">
        <v>8450</v>
      </c>
      <c r="B2285" t="s">
        <v>14</v>
      </c>
      <c r="C2285" t="s">
        <v>2521</v>
      </c>
      <c r="D2285" t="s">
        <v>8451</v>
      </c>
      <c r="E2285">
        <v>11200000</v>
      </c>
    </row>
    <row r="2286" spans="1:5" ht="15" customHeight="1" x14ac:dyDescent="0.3">
      <c r="A2286" t="s">
        <v>8452</v>
      </c>
      <c r="B2286" t="s">
        <v>249</v>
      </c>
      <c r="C2286" t="s">
        <v>2518</v>
      </c>
      <c r="D2286" t="s">
        <v>8453</v>
      </c>
      <c r="E2286">
        <v>24300000</v>
      </c>
    </row>
    <row r="2287" spans="1:5" ht="15" customHeight="1" x14ac:dyDescent="0.3">
      <c r="A2287" t="s">
        <v>8454</v>
      </c>
      <c r="B2287" t="s">
        <v>2511</v>
      </c>
      <c r="C2287" t="s">
        <v>196</v>
      </c>
      <c r="D2287" t="s">
        <v>8455</v>
      </c>
      <c r="E2287">
        <v>6830000</v>
      </c>
    </row>
    <row r="2288" spans="1:5" ht="15" customHeight="1" x14ac:dyDescent="0.3">
      <c r="A2288" t="s">
        <v>8456</v>
      </c>
      <c r="B2288" t="s">
        <v>4165</v>
      </c>
      <c r="C2288" t="s">
        <v>8457</v>
      </c>
      <c r="D2288" t="s">
        <v>8458</v>
      </c>
      <c r="E2288">
        <v>7220000</v>
      </c>
    </row>
    <row r="2289" spans="1:5" ht="15" customHeight="1" x14ac:dyDescent="0.3">
      <c r="A2289" t="s">
        <v>8459</v>
      </c>
      <c r="B2289" t="s">
        <v>228</v>
      </c>
      <c r="C2289" t="s">
        <v>2582</v>
      </c>
      <c r="D2289" t="s">
        <v>8460</v>
      </c>
      <c r="E2289">
        <v>10500000</v>
      </c>
    </row>
    <row r="2290" spans="1:5" ht="15" customHeight="1" x14ac:dyDescent="0.3">
      <c r="A2290" t="s">
        <v>8461</v>
      </c>
      <c r="B2290" t="s">
        <v>2507</v>
      </c>
      <c r="C2290" t="s">
        <v>8462</v>
      </c>
      <c r="D2290" t="s">
        <v>8463</v>
      </c>
      <c r="E2290">
        <v>13100000</v>
      </c>
    </row>
    <row r="2291" spans="1:5" ht="15" customHeight="1" x14ac:dyDescent="0.3">
      <c r="A2291" t="s">
        <v>8464</v>
      </c>
      <c r="B2291" t="s">
        <v>249</v>
      </c>
      <c r="C2291" t="s">
        <v>2597</v>
      </c>
      <c r="D2291" t="s">
        <v>8465</v>
      </c>
      <c r="E2291">
        <v>14300000</v>
      </c>
    </row>
    <row r="2292" spans="1:5" ht="15" customHeight="1" x14ac:dyDescent="0.3">
      <c r="A2292" t="s">
        <v>8466</v>
      </c>
      <c r="B2292" t="s">
        <v>2487</v>
      </c>
      <c r="C2292" t="s">
        <v>2488</v>
      </c>
      <c r="D2292" t="s">
        <v>8467</v>
      </c>
      <c r="E2292">
        <v>15500000</v>
      </c>
    </row>
    <row r="2293" spans="1:5" ht="15" customHeight="1" x14ac:dyDescent="0.3">
      <c r="A2293" t="s">
        <v>8468</v>
      </c>
      <c r="B2293" t="s">
        <v>249</v>
      </c>
      <c r="C2293" t="s">
        <v>277</v>
      </c>
      <c r="D2293" t="s">
        <v>8469</v>
      </c>
      <c r="E2293">
        <v>21700000</v>
      </c>
    </row>
    <row r="2294" spans="1:5" ht="15" customHeight="1" x14ac:dyDescent="0.3">
      <c r="A2294" t="s">
        <v>8470</v>
      </c>
      <c r="B2294" t="s">
        <v>88</v>
      </c>
      <c r="C2294" t="s">
        <v>2520</v>
      </c>
      <c r="D2294" t="s">
        <v>8471</v>
      </c>
      <c r="E2294">
        <v>31000000</v>
      </c>
    </row>
    <row r="2295" spans="1:5" ht="15" customHeight="1" x14ac:dyDescent="0.3">
      <c r="A2295" t="s">
        <v>8472</v>
      </c>
      <c r="B2295" t="s">
        <v>2511</v>
      </c>
      <c r="C2295" t="s">
        <v>207</v>
      </c>
      <c r="D2295" t="s">
        <v>8473</v>
      </c>
      <c r="E2295">
        <v>29600000</v>
      </c>
    </row>
    <row r="2296" spans="1:5" ht="15" customHeight="1" x14ac:dyDescent="0.3">
      <c r="A2296" t="s">
        <v>8474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8475</v>
      </c>
      <c r="B2297" t="s">
        <v>287</v>
      </c>
      <c r="C2297" t="s">
        <v>295</v>
      </c>
      <c r="D2297" t="s">
        <v>8476</v>
      </c>
      <c r="E2297">
        <v>29300000</v>
      </c>
    </row>
    <row r="2298" spans="1:5" ht="15" customHeight="1" x14ac:dyDescent="0.3">
      <c r="A2298" t="s">
        <v>8477</v>
      </c>
      <c r="B2298" t="s">
        <v>70</v>
      </c>
      <c r="C2298" t="s">
        <v>8478</v>
      </c>
      <c r="D2298" t="s">
        <v>8479</v>
      </c>
      <c r="E2298">
        <v>17700000</v>
      </c>
    </row>
    <row r="2299" spans="1:5" ht="15" customHeight="1" x14ac:dyDescent="0.3">
      <c r="A2299" t="s">
        <v>8480</v>
      </c>
      <c r="B2299" t="s">
        <v>2511</v>
      </c>
      <c r="C2299" t="s">
        <v>2512</v>
      </c>
      <c r="D2299" t="s">
        <v>8481</v>
      </c>
      <c r="E2299">
        <v>8900000</v>
      </c>
    </row>
    <row r="2300" spans="1:5" ht="15" customHeight="1" x14ac:dyDescent="0.3">
      <c r="A2300" t="s">
        <v>8482</v>
      </c>
      <c r="B2300" t="s">
        <v>228</v>
      </c>
      <c r="C2300" t="s">
        <v>2505</v>
      </c>
      <c r="D2300" t="s">
        <v>8483</v>
      </c>
      <c r="E2300">
        <v>21100000</v>
      </c>
    </row>
    <row r="2301" spans="1:5" ht="15" customHeight="1" x14ac:dyDescent="0.3">
      <c r="A2301" t="s">
        <v>8484</v>
      </c>
      <c r="B2301" t="s">
        <v>2558</v>
      </c>
      <c r="C2301" t="s">
        <v>2869</v>
      </c>
      <c r="D2301" t="s">
        <v>8485</v>
      </c>
      <c r="E2301">
        <v>22800000</v>
      </c>
    </row>
    <row r="2302" spans="1:5" ht="15" customHeight="1" x14ac:dyDescent="0.3">
      <c r="A2302" t="s">
        <v>8486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8487</v>
      </c>
      <c r="B2303" t="s">
        <v>46</v>
      </c>
      <c r="C2303" t="s">
        <v>2912</v>
      </c>
      <c r="D2303" t="s">
        <v>8488</v>
      </c>
      <c r="E2303">
        <v>6450000</v>
      </c>
    </row>
    <row r="2304" spans="1:5" ht="15" customHeight="1" x14ac:dyDescent="0.3">
      <c r="A2304" t="s">
        <v>8489</v>
      </c>
      <c r="B2304" t="s">
        <v>188</v>
      </c>
      <c r="C2304" t="s">
        <v>8490</v>
      </c>
      <c r="D2304" t="s">
        <v>8491</v>
      </c>
      <c r="E2304">
        <v>16700000</v>
      </c>
    </row>
    <row r="2305" spans="1:5" ht="15" customHeight="1" x14ac:dyDescent="0.3">
      <c r="A2305" t="s">
        <v>8492</v>
      </c>
      <c r="B2305" t="s">
        <v>88</v>
      </c>
      <c r="C2305" t="s">
        <v>2520</v>
      </c>
      <c r="D2305" t="s">
        <v>8493</v>
      </c>
      <c r="E2305">
        <v>41900000</v>
      </c>
    </row>
    <row r="2306" spans="1:5" ht="15" customHeight="1" x14ac:dyDescent="0.3">
      <c r="A2306" t="s">
        <v>8494</v>
      </c>
      <c r="B2306" t="s">
        <v>88</v>
      </c>
      <c r="C2306" t="s">
        <v>3081</v>
      </c>
      <c r="D2306" t="s">
        <v>8495</v>
      </c>
      <c r="E2306">
        <v>39100000</v>
      </c>
    </row>
    <row r="2307" spans="1:5" ht="15" customHeight="1" x14ac:dyDescent="0.3">
      <c r="A2307" t="s">
        <v>8496</v>
      </c>
      <c r="B2307" t="s">
        <v>228</v>
      </c>
      <c r="C2307" t="s">
        <v>2742</v>
      </c>
      <c r="D2307" t="s">
        <v>8497</v>
      </c>
      <c r="E2307">
        <v>13500000</v>
      </c>
    </row>
    <row r="2308" spans="1:5" ht="15" customHeight="1" x14ac:dyDescent="0.3">
      <c r="A2308" t="s">
        <v>8498</v>
      </c>
      <c r="B2308" t="s">
        <v>29</v>
      </c>
      <c r="C2308" t="s">
        <v>2560</v>
      </c>
      <c r="D2308" t="s">
        <v>8499</v>
      </c>
      <c r="E2308">
        <v>8700000</v>
      </c>
    </row>
    <row r="2309" spans="1:5" ht="15" customHeight="1" x14ac:dyDescent="0.3">
      <c r="A2309" t="s">
        <v>8500</v>
      </c>
      <c r="B2309" t="s">
        <v>310</v>
      </c>
      <c r="C2309" t="s">
        <v>2554</v>
      </c>
      <c r="D2309" t="s">
        <v>8501</v>
      </c>
      <c r="E2309">
        <v>9400000</v>
      </c>
    </row>
    <row r="2310" spans="1:5" ht="15" customHeight="1" x14ac:dyDescent="0.3">
      <c r="A2310" t="s">
        <v>8502</v>
      </c>
      <c r="B2310" t="s">
        <v>2558</v>
      </c>
      <c r="C2310" t="s">
        <v>8503</v>
      </c>
      <c r="D2310" t="s">
        <v>8504</v>
      </c>
      <c r="E2310">
        <v>15900000</v>
      </c>
    </row>
    <row r="2311" spans="1:5" ht="15" customHeight="1" x14ac:dyDescent="0.3">
      <c r="A2311" t="s">
        <v>8505</v>
      </c>
      <c r="B2311" t="s">
        <v>188</v>
      </c>
      <c r="C2311" t="s">
        <v>2675</v>
      </c>
      <c r="D2311" t="s">
        <v>8506</v>
      </c>
      <c r="E2311">
        <v>11600000</v>
      </c>
    </row>
    <row r="2312" spans="1:5" ht="15" customHeight="1" x14ac:dyDescent="0.3">
      <c r="A2312" t="s">
        <v>8507</v>
      </c>
      <c r="B2312" t="s">
        <v>249</v>
      </c>
      <c r="C2312" t="s">
        <v>2514</v>
      </c>
      <c r="D2312" t="s">
        <v>8508</v>
      </c>
      <c r="E2312">
        <v>20000000</v>
      </c>
    </row>
    <row r="2313" spans="1:5" ht="15" customHeight="1" x14ac:dyDescent="0.3">
      <c r="A2313" t="s">
        <v>8509</v>
      </c>
      <c r="B2313" t="s">
        <v>249</v>
      </c>
      <c r="C2313" t="s">
        <v>2514</v>
      </c>
      <c r="D2313" t="s">
        <v>8508</v>
      </c>
      <c r="E2313">
        <v>24400000</v>
      </c>
    </row>
    <row r="2314" spans="1:5" ht="15" customHeight="1" x14ac:dyDescent="0.3">
      <c r="A2314" t="s">
        <v>8510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8511</v>
      </c>
      <c r="B2315" t="s">
        <v>2511</v>
      </c>
      <c r="C2315" t="s">
        <v>2600</v>
      </c>
      <c r="D2315" t="s">
        <v>8512</v>
      </c>
      <c r="E2315">
        <v>18500000</v>
      </c>
    </row>
    <row r="2316" spans="1:5" ht="15" customHeight="1" x14ac:dyDescent="0.3">
      <c r="A2316" t="s">
        <v>8513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8514</v>
      </c>
      <c r="B2317" t="s">
        <v>2511</v>
      </c>
      <c r="C2317" t="s">
        <v>207</v>
      </c>
      <c r="D2317" t="s">
        <v>8515</v>
      </c>
      <c r="E2317">
        <v>13500000</v>
      </c>
    </row>
    <row r="2318" spans="1:5" ht="15" customHeight="1" x14ac:dyDescent="0.3">
      <c r="A2318" t="s">
        <v>8516</v>
      </c>
      <c r="B2318" t="s">
        <v>46</v>
      </c>
      <c r="C2318" t="s">
        <v>2568</v>
      </c>
      <c r="D2318" t="s">
        <v>8517</v>
      </c>
      <c r="E2318">
        <v>35700000</v>
      </c>
    </row>
    <row r="2319" spans="1:5" ht="15" customHeight="1" x14ac:dyDescent="0.3">
      <c r="A2319" t="s">
        <v>8518</v>
      </c>
      <c r="B2319" t="s">
        <v>2511</v>
      </c>
      <c r="C2319" t="s">
        <v>201</v>
      </c>
      <c r="D2319" t="s">
        <v>8519</v>
      </c>
      <c r="E2319">
        <v>14600000</v>
      </c>
    </row>
    <row r="2320" spans="1:5" ht="15" customHeight="1" x14ac:dyDescent="0.3">
      <c r="A2320" t="s">
        <v>8520</v>
      </c>
      <c r="B2320" t="s">
        <v>322</v>
      </c>
      <c r="C2320" t="s">
        <v>326</v>
      </c>
      <c r="D2320" t="s">
        <v>8521</v>
      </c>
      <c r="E2320">
        <v>8200000</v>
      </c>
    </row>
    <row r="2321" spans="1:5" ht="15" customHeight="1" x14ac:dyDescent="0.3">
      <c r="A2321" t="s">
        <v>8522</v>
      </c>
      <c r="B2321" t="s">
        <v>2487</v>
      </c>
      <c r="C2321" t="s">
        <v>2698</v>
      </c>
      <c r="D2321" t="s">
        <v>8523</v>
      </c>
      <c r="E2321">
        <v>8400000</v>
      </c>
    </row>
    <row r="2322" spans="1:5" ht="15" customHeight="1" x14ac:dyDescent="0.3">
      <c r="A2322" t="s">
        <v>8524</v>
      </c>
      <c r="B2322" t="s">
        <v>2507</v>
      </c>
      <c r="C2322" t="s">
        <v>2972</v>
      </c>
      <c r="D2322" t="s">
        <v>8525</v>
      </c>
      <c r="E2322">
        <v>8800000</v>
      </c>
    </row>
    <row r="2323" spans="1:5" ht="15" customHeight="1" x14ac:dyDescent="0.3">
      <c r="A2323" t="s">
        <v>8526</v>
      </c>
      <c r="B2323" t="s">
        <v>212</v>
      </c>
      <c r="C2323" t="s">
        <v>8527</v>
      </c>
      <c r="D2323" t="s">
        <v>8528</v>
      </c>
      <c r="E2323">
        <v>8600000</v>
      </c>
    </row>
    <row r="2324" spans="1:5" ht="15" customHeight="1" x14ac:dyDescent="0.3">
      <c r="A2324" t="s">
        <v>8529</v>
      </c>
      <c r="B2324" t="s">
        <v>29</v>
      </c>
      <c r="C2324" t="s">
        <v>2588</v>
      </c>
      <c r="D2324" t="s">
        <v>8530</v>
      </c>
      <c r="E2324">
        <v>7800000</v>
      </c>
    </row>
    <row r="2325" spans="1:5" ht="15" customHeight="1" x14ac:dyDescent="0.3">
      <c r="A2325" t="s">
        <v>8531</v>
      </c>
      <c r="B2325" t="s">
        <v>228</v>
      </c>
      <c r="C2325" t="s">
        <v>2589</v>
      </c>
      <c r="D2325" t="s">
        <v>8532</v>
      </c>
      <c r="E2325">
        <v>15700000</v>
      </c>
    </row>
    <row r="2326" spans="1:5" ht="15" customHeight="1" x14ac:dyDescent="0.3">
      <c r="A2326" t="s">
        <v>8533</v>
      </c>
      <c r="B2326" t="s">
        <v>2558</v>
      </c>
      <c r="C2326" t="s">
        <v>2869</v>
      </c>
      <c r="D2326" t="s">
        <v>8534</v>
      </c>
      <c r="E2326">
        <v>22500000</v>
      </c>
    </row>
    <row r="2327" spans="1:5" ht="15" customHeight="1" x14ac:dyDescent="0.3">
      <c r="A2327" t="s">
        <v>8535</v>
      </c>
      <c r="B2327" t="s">
        <v>228</v>
      </c>
      <c r="C2327" t="s">
        <v>2742</v>
      </c>
      <c r="D2327" t="s">
        <v>8536</v>
      </c>
      <c r="E2327">
        <v>12600000</v>
      </c>
    </row>
    <row r="2328" spans="1:5" ht="15" customHeight="1" x14ac:dyDescent="0.3">
      <c r="A2328" t="s">
        <v>8537</v>
      </c>
      <c r="B2328" t="s">
        <v>161</v>
      </c>
      <c r="C2328" t="s">
        <v>2720</v>
      </c>
      <c r="D2328" t="s">
        <v>8538</v>
      </c>
      <c r="E2328">
        <v>9100000</v>
      </c>
    </row>
    <row r="2329" spans="1:5" ht="15" customHeight="1" x14ac:dyDescent="0.3">
      <c r="A2329" t="s">
        <v>8539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8540</v>
      </c>
      <c r="B2330" t="s">
        <v>88</v>
      </c>
      <c r="C2330" t="s">
        <v>126</v>
      </c>
      <c r="D2330" t="s">
        <v>8541</v>
      </c>
      <c r="E2330">
        <v>26400000</v>
      </c>
    </row>
    <row r="2331" spans="1:5" ht="15" customHeight="1" x14ac:dyDescent="0.3">
      <c r="A2331" t="s">
        <v>8542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8543</v>
      </c>
      <c r="B2332" t="s">
        <v>146</v>
      </c>
      <c r="C2332" t="s">
        <v>3847</v>
      </c>
      <c r="D2332" t="s">
        <v>8544</v>
      </c>
      <c r="E2332">
        <v>10900000</v>
      </c>
    </row>
    <row r="2333" spans="1:5" ht="15" customHeight="1" x14ac:dyDescent="0.3">
      <c r="A2333" t="s">
        <v>8545</v>
      </c>
      <c r="B2333" t="s">
        <v>228</v>
      </c>
      <c r="C2333" t="s">
        <v>2695</v>
      </c>
      <c r="D2333" t="s">
        <v>8546</v>
      </c>
      <c r="E2333">
        <v>23400000</v>
      </c>
    </row>
    <row r="2334" spans="1:5" ht="15" customHeight="1" x14ac:dyDescent="0.3">
      <c r="A2334" t="s">
        <v>8547</v>
      </c>
      <c r="B2334" t="s">
        <v>2558</v>
      </c>
      <c r="C2334" t="s">
        <v>2559</v>
      </c>
      <c r="D2334" t="s">
        <v>8548</v>
      </c>
      <c r="E2334">
        <v>17100000</v>
      </c>
    </row>
    <row r="2335" spans="1:5" ht="15" customHeight="1" x14ac:dyDescent="0.3">
      <c r="A2335" t="s">
        <v>8549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8550</v>
      </c>
      <c r="B2336" t="s">
        <v>249</v>
      </c>
      <c r="C2336" t="s">
        <v>2518</v>
      </c>
      <c r="D2336" t="s">
        <v>8551</v>
      </c>
      <c r="E2336">
        <v>24100000</v>
      </c>
    </row>
    <row r="2337" spans="1:5" ht="15" customHeight="1" x14ac:dyDescent="0.3">
      <c r="A2337" t="s">
        <v>8552</v>
      </c>
      <c r="B2337" t="s">
        <v>88</v>
      </c>
      <c r="C2337" t="s">
        <v>95</v>
      </c>
      <c r="D2337" t="s">
        <v>8553</v>
      </c>
      <c r="E2337">
        <v>11100000</v>
      </c>
    </row>
    <row r="2338" spans="1:5" ht="15" customHeight="1" x14ac:dyDescent="0.3">
      <c r="A2338" t="s">
        <v>8554</v>
      </c>
      <c r="B2338" t="s">
        <v>249</v>
      </c>
      <c r="C2338" t="s">
        <v>2498</v>
      </c>
      <c r="D2338" t="s">
        <v>8555</v>
      </c>
      <c r="E2338">
        <v>9000000</v>
      </c>
    </row>
    <row r="2339" spans="1:5" ht="15" customHeight="1" x14ac:dyDescent="0.3">
      <c r="A2339" t="s">
        <v>8556</v>
      </c>
      <c r="B2339" t="s">
        <v>14</v>
      </c>
      <c r="C2339" t="s">
        <v>15</v>
      </c>
      <c r="D2339" t="s">
        <v>8557</v>
      </c>
      <c r="E2339">
        <v>7910000</v>
      </c>
    </row>
    <row r="2340" spans="1:5" ht="15" customHeight="1" x14ac:dyDescent="0.3">
      <c r="A2340" t="s">
        <v>8547</v>
      </c>
      <c r="B2340" t="s">
        <v>317</v>
      </c>
      <c r="C2340" t="s">
        <v>5068</v>
      </c>
      <c r="D2340" t="s">
        <v>8310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100" activePane="bottomLeft" state="frozen"/>
      <selection pane="bottomLeft" activeCell="B128" sqref="B128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5155</v>
      </c>
      <c r="B2" t="s">
        <v>5156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8276</v>
      </c>
      <c r="J2" t="s">
        <v>3961</v>
      </c>
      <c r="K2" t="s">
        <v>8277</v>
      </c>
      <c r="L2" t="s">
        <v>14</v>
      </c>
      <c r="M2" t="s">
        <v>2521</v>
      </c>
      <c r="N2" t="s">
        <v>8278</v>
      </c>
      <c r="O2" t="s">
        <v>8279</v>
      </c>
      <c r="P2">
        <v>2024</v>
      </c>
      <c r="Q2">
        <v>12238</v>
      </c>
      <c r="R2" t="s">
        <v>8280</v>
      </c>
      <c r="S2" t="s">
        <v>8281</v>
      </c>
      <c r="T2" t="s">
        <v>5158</v>
      </c>
      <c r="U2" t="s">
        <v>5527</v>
      </c>
      <c r="V2" t="s">
        <v>5160</v>
      </c>
      <c r="W2">
        <v>11990000</v>
      </c>
      <c r="X2" t="s">
        <v>5161</v>
      </c>
      <c r="Y2">
        <v>7</v>
      </c>
      <c r="Z2" t="s">
        <v>16</v>
      </c>
      <c r="AA2" t="s">
        <v>5162</v>
      </c>
      <c r="AB2" t="s">
        <v>5792</v>
      </c>
      <c r="AC2" t="s">
        <v>8282</v>
      </c>
      <c r="AD2" t="s">
        <v>8283</v>
      </c>
      <c r="AE2" t="s">
        <v>8284</v>
      </c>
      <c r="AF2" t="s">
        <v>8285</v>
      </c>
      <c r="AG2">
        <v>1</v>
      </c>
      <c r="AH2" t="s">
        <v>8285</v>
      </c>
      <c r="AI2" t="s">
        <v>8286</v>
      </c>
      <c r="AJ2" t="s">
        <v>3961</v>
      </c>
      <c r="AK2">
        <v>1</v>
      </c>
      <c r="AL2">
        <v>0</v>
      </c>
      <c r="AM2" t="s">
        <v>3961</v>
      </c>
      <c r="AN2">
        <v>0</v>
      </c>
      <c r="AO2">
        <v>9700000</v>
      </c>
      <c r="AP2">
        <v>274740</v>
      </c>
      <c r="AQ2">
        <v>0</v>
      </c>
      <c r="AR2">
        <v>9974740</v>
      </c>
      <c r="AS2">
        <v>11990000</v>
      </c>
      <c r="AT2">
        <v>2015260</v>
      </c>
      <c r="AU2">
        <v>1681</v>
      </c>
    </row>
    <row r="3" spans="1:47" ht="13.5" customHeight="1" x14ac:dyDescent="0.3">
      <c r="A3" t="s">
        <v>5155</v>
      </c>
      <c r="B3" t="s">
        <v>5156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5884</v>
      </c>
      <c r="J3" t="s">
        <v>3961</v>
      </c>
      <c r="K3" t="s">
        <v>5360</v>
      </c>
      <c r="L3" t="s">
        <v>161</v>
      </c>
      <c r="M3" t="s">
        <v>161</v>
      </c>
      <c r="N3" t="s">
        <v>165</v>
      </c>
      <c r="O3" t="s">
        <v>5361</v>
      </c>
      <c r="P3">
        <v>2024</v>
      </c>
      <c r="Q3">
        <v>58500</v>
      </c>
      <c r="R3" t="s">
        <v>5362</v>
      </c>
      <c r="S3" t="s">
        <v>166</v>
      </c>
      <c r="T3" t="s">
        <v>5158</v>
      </c>
      <c r="U3" t="s">
        <v>5233</v>
      </c>
      <c r="V3" t="s">
        <v>5160</v>
      </c>
      <c r="W3">
        <v>26390000</v>
      </c>
      <c r="X3" t="s">
        <v>5161</v>
      </c>
      <c r="Y3">
        <v>156</v>
      </c>
      <c r="Z3" t="s">
        <v>27</v>
      </c>
      <c r="AA3" t="s">
        <v>5162</v>
      </c>
      <c r="AB3" t="s">
        <v>5363</v>
      </c>
      <c r="AC3" t="s">
        <v>5364</v>
      </c>
      <c r="AD3" t="s">
        <v>5365</v>
      </c>
      <c r="AE3" t="s">
        <v>5366</v>
      </c>
      <c r="AF3" t="s">
        <v>5885</v>
      </c>
      <c r="AG3">
        <v>1</v>
      </c>
      <c r="AH3" t="s">
        <v>5885</v>
      </c>
      <c r="AI3" t="s">
        <v>5886</v>
      </c>
      <c r="AJ3" t="s">
        <v>3961</v>
      </c>
      <c r="AK3">
        <v>1</v>
      </c>
      <c r="AL3">
        <v>0</v>
      </c>
      <c r="AM3" t="s">
        <v>3961</v>
      </c>
      <c r="AN3">
        <v>0</v>
      </c>
      <c r="AO3">
        <v>23500000</v>
      </c>
      <c r="AP3">
        <v>903834</v>
      </c>
      <c r="AQ3">
        <v>0</v>
      </c>
      <c r="AR3">
        <v>24403834</v>
      </c>
      <c r="AS3">
        <v>26390000</v>
      </c>
      <c r="AT3">
        <v>1986166</v>
      </c>
      <c r="AU3">
        <v>753</v>
      </c>
    </row>
    <row r="4" spans="1:47" ht="13.5" customHeight="1" x14ac:dyDescent="0.3">
      <c r="A4" t="s">
        <v>5155</v>
      </c>
      <c r="B4" t="s">
        <v>5179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5922</v>
      </c>
      <c r="J4" t="s">
        <v>3961</v>
      </c>
      <c r="K4" t="s">
        <v>5367</v>
      </c>
      <c r="L4" t="s">
        <v>249</v>
      </c>
      <c r="M4" t="s">
        <v>4804</v>
      </c>
      <c r="N4" t="s">
        <v>262</v>
      </c>
      <c r="O4" t="s">
        <v>5157</v>
      </c>
      <c r="P4">
        <v>2023</v>
      </c>
      <c r="Q4">
        <v>18500</v>
      </c>
      <c r="R4" t="s">
        <v>5368</v>
      </c>
      <c r="S4" t="s">
        <v>265</v>
      </c>
      <c r="T4" t="s">
        <v>5158</v>
      </c>
      <c r="U4" t="s">
        <v>5175</v>
      </c>
      <c r="V4" t="s">
        <v>5160</v>
      </c>
      <c r="W4">
        <v>13690000</v>
      </c>
      <c r="X4" t="s">
        <v>5161</v>
      </c>
      <c r="Y4">
        <v>36</v>
      </c>
      <c r="Z4" t="s">
        <v>16</v>
      </c>
      <c r="AA4" t="s">
        <v>5184</v>
      </c>
      <c r="AB4" t="s">
        <v>5369</v>
      </c>
      <c r="AC4" t="s">
        <v>5370</v>
      </c>
      <c r="AD4" t="s">
        <v>5367</v>
      </c>
      <c r="AE4" t="s">
        <v>5371</v>
      </c>
      <c r="AF4" t="s">
        <v>5923</v>
      </c>
      <c r="AG4">
        <v>1</v>
      </c>
      <c r="AH4" t="s">
        <v>5923</v>
      </c>
      <c r="AI4" t="s">
        <v>5924</v>
      </c>
      <c r="AJ4" t="s">
        <v>5925</v>
      </c>
      <c r="AK4">
        <v>2</v>
      </c>
      <c r="AL4">
        <v>0</v>
      </c>
      <c r="AM4" t="s">
        <v>3961</v>
      </c>
      <c r="AN4">
        <v>0</v>
      </c>
      <c r="AO4">
        <v>11200000</v>
      </c>
      <c r="AP4">
        <v>297240</v>
      </c>
      <c r="AQ4">
        <v>0</v>
      </c>
      <c r="AR4">
        <v>11497240</v>
      </c>
      <c r="AS4">
        <v>13690000</v>
      </c>
      <c r="AT4">
        <v>2192760</v>
      </c>
      <c r="AU4">
        <v>1602</v>
      </c>
    </row>
    <row r="5" spans="1:47" ht="13.5" customHeight="1" x14ac:dyDescent="0.3">
      <c r="A5" t="s">
        <v>5155</v>
      </c>
      <c r="B5" t="s">
        <v>5188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6033</v>
      </c>
      <c r="J5" t="s">
        <v>3961</v>
      </c>
      <c r="K5" t="s">
        <v>6034</v>
      </c>
      <c r="L5" t="s">
        <v>161</v>
      </c>
      <c r="M5" t="s">
        <v>161</v>
      </c>
      <c r="N5" t="s">
        <v>6035</v>
      </c>
      <c r="O5" t="s">
        <v>6036</v>
      </c>
      <c r="P5">
        <v>2020</v>
      </c>
      <c r="Q5">
        <v>61894</v>
      </c>
      <c r="R5" t="s">
        <v>6037</v>
      </c>
      <c r="S5" t="s">
        <v>383</v>
      </c>
      <c r="T5" t="s">
        <v>5158</v>
      </c>
      <c r="U5" t="s">
        <v>5200</v>
      </c>
      <c r="V5" t="s">
        <v>5160</v>
      </c>
      <c r="W5">
        <v>7890000</v>
      </c>
      <c r="X5" t="s">
        <v>5161</v>
      </c>
      <c r="Y5">
        <v>74</v>
      </c>
      <c r="Z5" t="s">
        <v>27</v>
      </c>
      <c r="AA5" t="s">
        <v>5193</v>
      </c>
      <c r="AB5" t="s">
        <v>6038</v>
      </c>
      <c r="AC5" t="s">
        <v>6039</v>
      </c>
      <c r="AD5" t="s">
        <v>6034</v>
      </c>
      <c r="AE5" t="s">
        <v>6040</v>
      </c>
      <c r="AF5" t="s">
        <v>5994</v>
      </c>
      <c r="AG5">
        <v>1</v>
      </c>
      <c r="AH5" t="s">
        <v>5994</v>
      </c>
      <c r="AI5" t="s">
        <v>6041</v>
      </c>
      <c r="AJ5" t="s">
        <v>5896</v>
      </c>
      <c r="AK5">
        <v>1</v>
      </c>
      <c r="AL5">
        <v>0</v>
      </c>
      <c r="AM5" t="s">
        <v>3961</v>
      </c>
      <c r="AN5">
        <v>0</v>
      </c>
      <c r="AO5">
        <v>5700000</v>
      </c>
      <c r="AP5">
        <v>214740</v>
      </c>
      <c r="AQ5">
        <v>0</v>
      </c>
      <c r="AR5">
        <v>5914740</v>
      </c>
      <c r="AS5">
        <v>7890000</v>
      </c>
      <c r="AT5">
        <v>1975260</v>
      </c>
      <c r="AU5">
        <v>2503</v>
      </c>
    </row>
    <row r="6" spans="1:47" ht="13.5" customHeight="1" x14ac:dyDescent="0.3">
      <c r="A6" t="s">
        <v>5155</v>
      </c>
      <c r="B6" t="s">
        <v>5156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6002</v>
      </c>
      <c r="J6" t="s">
        <v>3961</v>
      </c>
      <c r="K6" t="s">
        <v>5238</v>
      </c>
      <c r="L6" t="s">
        <v>29</v>
      </c>
      <c r="M6" t="s">
        <v>39</v>
      </c>
      <c r="N6" t="s">
        <v>40</v>
      </c>
      <c r="O6" t="s">
        <v>5239</v>
      </c>
      <c r="P6">
        <v>2022</v>
      </c>
      <c r="Q6">
        <v>56079</v>
      </c>
      <c r="R6" t="s">
        <v>5240</v>
      </c>
      <c r="S6" t="s">
        <v>42</v>
      </c>
      <c r="T6" t="s">
        <v>5158</v>
      </c>
      <c r="U6" t="s">
        <v>5241</v>
      </c>
      <c r="V6" t="s">
        <v>5160</v>
      </c>
      <c r="W6">
        <v>11990000</v>
      </c>
      <c r="X6" t="s">
        <v>5161</v>
      </c>
      <c r="Y6">
        <v>128</v>
      </c>
      <c r="Z6" t="s">
        <v>41</v>
      </c>
      <c r="AA6" t="s">
        <v>5162</v>
      </c>
      <c r="AB6" t="s">
        <v>5242</v>
      </c>
      <c r="AC6" t="s">
        <v>5243</v>
      </c>
      <c r="AD6" t="s">
        <v>5238</v>
      </c>
      <c r="AE6" t="s">
        <v>5244</v>
      </c>
      <c r="AF6" t="s">
        <v>5888</v>
      </c>
      <c r="AG6">
        <v>1</v>
      </c>
      <c r="AH6" t="s">
        <v>6003</v>
      </c>
      <c r="AI6" t="s">
        <v>6003</v>
      </c>
      <c r="AJ6" t="s">
        <v>6004</v>
      </c>
      <c r="AK6">
        <v>1</v>
      </c>
      <c r="AL6">
        <v>0</v>
      </c>
      <c r="AM6" t="s">
        <v>3961</v>
      </c>
      <c r="AN6">
        <v>1</v>
      </c>
      <c r="AO6">
        <v>10000000</v>
      </c>
      <c r="AP6">
        <v>276030</v>
      </c>
      <c r="AQ6">
        <v>0</v>
      </c>
      <c r="AR6">
        <v>10276030</v>
      </c>
      <c r="AS6">
        <v>11990000</v>
      </c>
      <c r="AT6">
        <v>1713970</v>
      </c>
      <c r="AU6">
        <v>1429</v>
      </c>
    </row>
    <row r="7" spans="1:47" ht="13.5" customHeight="1" x14ac:dyDescent="0.3">
      <c r="A7" t="s">
        <v>5155</v>
      </c>
      <c r="B7" t="s">
        <v>5188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8248</v>
      </c>
      <c r="J7" t="s">
        <v>3961</v>
      </c>
      <c r="K7" t="s">
        <v>8249</v>
      </c>
      <c r="L7" t="s">
        <v>228</v>
      </c>
      <c r="M7" t="s">
        <v>4719</v>
      </c>
      <c r="N7" t="s">
        <v>4720</v>
      </c>
      <c r="O7" t="s">
        <v>8250</v>
      </c>
      <c r="P7">
        <v>2023</v>
      </c>
      <c r="Q7">
        <v>71248</v>
      </c>
      <c r="R7" t="s">
        <v>8251</v>
      </c>
      <c r="S7" t="s">
        <v>3370</v>
      </c>
      <c r="T7" t="s">
        <v>5158</v>
      </c>
      <c r="U7" t="s">
        <v>5200</v>
      </c>
      <c r="V7" t="s">
        <v>5160</v>
      </c>
      <c r="W7">
        <v>19990000</v>
      </c>
      <c r="X7" t="s">
        <v>5161</v>
      </c>
      <c r="Y7">
        <v>13</v>
      </c>
      <c r="Z7" t="s">
        <v>27</v>
      </c>
      <c r="AA7" t="s">
        <v>5193</v>
      </c>
      <c r="AB7" t="s">
        <v>8252</v>
      </c>
      <c r="AC7" t="s">
        <v>8253</v>
      </c>
      <c r="AD7" t="s">
        <v>8249</v>
      </c>
      <c r="AE7" t="s">
        <v>8254</v>
      </c>
      <c r="AF7" t="s">
        <v>8214</v>
      </c>
      <c r="AG7">
        <v>1</v>
      </c>
      <c r="AH7" t="s">
        <v>8214</v>
      </c>
      <c r="AI7" t="s">
        <v>8255</v>
      </c>
      <c r="AJ7" t="s">
        <v>8256</v>
      </c>
      <c r="AK7">
        <v>3</v>
      </c>
      <c r="AL7">
        <v>0</v>
      </c>
      <c r="AM7" t="s">
        <v>3961</v>
      </c>
      <c r="AN7">
        <v>0</v>
      </c>
      <c r="AO7">
        <v>15500000</v>
      </c>
      <c r="AP7">
        <v>361740</v>
      </c>
      <c r="AQ7">
        <v>0</v>
      </c>
      <c r="AR7">
        <v>15861740</v>
      </c>
      <c r="AS7">
        <v>19990000</v>
      </c>
      <c r="AT7">
        <v>4128260</v>
      </c>
      <c r="AU7">
        <v>2065</v>
      </c>
    </row>
    <row r="8" spans="1:47" ht="13.5" customHeight="1" x14ac:dyDescent="0.3">
      <c r="A8" t="s">
        <v>5155</v>
      </c>
      <c r="B8" t="s">
        <v>5156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8224</v>
      </c>
      <c r="J8" t="s">
        <v>3961</v>
      </c>
      <c r="K8" t="s">
        <v>8225</v>
      </c>
      <c r="L8" t="s">
        <v>188</v>
      </c>
      <c r="M8" t="s">
        <v>189</v>
      </c>
      <c r="N8" t="s">
        <v>4446</v>
      </c>
      <c r="O8" t="s">
        <v>8226</v>
      </c>
      <c r="P8">
        <v>2018</v>
      </c>
      <c r="Q8">
        <v>105000</v>
      </c>
      <c r="R8" t="s">
        <v>8227</v>
      </c>
      <c r="S8" t="s">
        <v>3433</v>
      </c>
      <c r="T8" t="s">
        <v>5158</v>
      </c>
      <c r="U8" t="s">
        <v>5527</v>
      </c>
      <c r="V8" t="s">
        <v>5160</v>
      </c>
      <c r="W8">
        <v>8990000</v>
      </c>
      <c r="X8" t="s">
        <v>5161</v>
      </c>
      <c r="Y8">
        <v>13</v>
      </c>
      <c r="Z8" t="s">
        <v>16</v>
      </c>
      <c r="AA8" t="s">
        <v>5162</v>
      </c>
      <c r="AB8" t="s">
        <v>8205</v>
      </c>
      <c r="AC8" t="s">
        <v>8228</v>
      </c>
      <c r="AD8" t="s">
        <v>8225</v>
      </c>
      <c r="AE8" t="s">
        <v>8229</v>
      </c>
      <c r="AF8" t="s">
        <v>8214</v>
      </c>
      <c r="AG8">
        <v>1</v>
      </c>
      <c r="AH8" t="s">
        <v>8214</v>
      </c>
      <c r="AI8" t="s">
        <v>8230</v>
      </c>
      <c r="AJ8" t="s">
        <v>8231</v>
      </c>
      <c r="AK8">
        <v>3</v>
      </c>
      <c r="AL8">
        <v>0</v>
      </c>
      <c r="AM8" t="s">
        <v>3961</v>
      </c>
      <c r="AN8">
        <v>0</v>
      </c>
      <c r="AO8">
        <v>7600000</v>
      </c>
      <c r="AP8">
        <v>243240</v>
      </c>
      <c r="AQ8">
        <v>0</v>
      </c>
      <c r="AR8">
        <v>7843240</v>
      </c>
      <c r="AS8">
        <v>8990000</v>
      </c>
      <c r="AT8">
        <v>1146760</v>
      </c>
      <c r="AU8">
        <v>1276</v>
      </c>
    </row>
    <row r="9" spans="1:47" ht="13.5" customHeight="1" x14ac:dyDescent="0.3">
      <c r="A9" t="s">
        <v>5155</v>
      </c>
      <c r="B9" t="s">
        <v>5188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5816</v>
      </c>
      <c r="J9" t="s">
        <v>3961</v>
      </c>
      <c r="K9" t="s">
        <v>5271</v>
      </c>
      <c r="L9" t="s">
        <v>228</v>
      </c>
      <c r="M9" t="s">
        <v>242</v>
      </c>
      <c r="N9" t="s">
        <v>243</v>
      </c>
      <c r="O9" t="s">
        <v>5272</v>
      </c>
      <c r="P9">
        <v>2024</v>
      </c>
      <c r="Q9">
        <v>19000</v>
      </c>
      <c r="R9" t="s">
        <v>5273</v>
      </c>
      <c r="S9" t="s">
        <v>244</v>
      </c>
      <c r="T9" t="s">
        <v>5158</v>
      </c>
      <c r="U9" t="s">
        <v>5221</v>
      </c>
      <c r="V9" t="s">
        <v>5160</v>
      </c>
      <c r="W9">
        <v>21490000</v>
      </c>
      <c r="X9" t="s">
        <v>5161</v>
      </c>
      <c r="Y9">
        <v>127</v>
      </c>
      <c r="Z9" t="s">
        <v>27</v>
      </c>
      <c r="AA9" t="s">
        <v>5193</v>
      </c>
      <c r="AB9" t="s">
        <v>5163</v>
      </c>
      <c r="AC9" t="s">
        <v>5274</v>
      </c>
      <c r="AD9" t="s">
        <v>5271</v>
      </c>
      <c r="AE9" t="s">
        <v>5275</v>
      </c>
      <c r="AF9" t="s">
        <v>5808</v>
      </c>
      <c r="AG9">
        <v>1</v>
      </c>
      <c r="AH9" t="s">
        <v>5808</v>
      </c>
      <c r="AI9" t="s">
        <v>5817</v>
      </c>
      <c r="AJ9" t="s">
        <v>3961</v>
      </c>
      <c r="AK9">
        <v>1</v>
      </c>
      <c r="AL9">
        <v>0</v>
      </c>
      <c r="AM9" t="s">
        <v>3961</v>
      </c>
      <c r="AN9">
        <v>0</v>
      </c>
      <c r="AO9">
        <v>18500000</v>
      </c>
      <c r="AP9">
        <v>689954</v>
      </c>
      <c r="AQ9">
        <v>0</v>
      </c>
      <c r="AR9">
        <v>19189954</v>
      </c>
      <c r="AS9">
        <v>21490000</v>
      </c>
      <c r="AT9">
        <v>2300046</v>
      </c>
      <c r="AU9">
        <v>107</v>
      </c>
    </row>
    <row r="10" spans="1:47" ht="13.5" customHeight="1" x14ac:dyDescent="0.3">
      <c r="A10" t="s">
        <v>5155</v>
      </c>
      <c r="B10" t="s">
        <v>5188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5811</v>
      </c>
      <c r="J10" t="s">
        <v>3961</v>
      </c>
      <c r="K10" t="s">
        <v>5687</v>
      </c>
      <c r="L10" t="s">
        <v>62</v>
      </c>
      <c r="M10" t="s">
        <v>67</v>
      </c>
      <c r="N10" t="s">
        <v>68</v>
      </c>
      <c r="O10" t="s">
        <v>5812</v>
      </c>
      <c r="P10">
        <v>2020</v>
      </c>
      <c r="Q10">
        <v>96150</v>
      </c>
      <c r="R10" t="s">
        <v>5688</v>
      </c>
      <c r="S10" t="s">
        <v>69</v>
      </c>
      <c r="T10" t="s">
        <v>5158</v>
      </c>
      <c r="U10" t="s">
        <v>5200</v>
      </c>
      <c r="V10" t="s">
        <v>5160</v>
      </c>
      <c r="W10">
        <v>13990000</v>
      </c>
      <c r="X10" t="s">
        <v>5161</v>
      </c>
      <c r="Y10">
        <v>529</v>
      </c>
      <c r="Z10" t="s">
        <v>41</v>
      </c>
      <c r="AA10" t="s">
        <v>5193</v>
      </c>
      <c r="AB10" t="s">
        <v>5196</v>
      </c>
      <c r="AC10" t="s">
        <v>5689</v>
      </c>
      <c r="AD10" t="s">
        <v>5687</v>
      </c>
      <c r="AE10" t="s">
        <v>5690</v>
      </c>
      <c r="AF10" t="s">
        <v>5813</v>
      </c>
      <c r="AG10">
        <v>1</v>
      </c>
      <c r="AH10" t="s">
        <v>5813</v>
      </c>
      <c r="AI10" t="s">
        <v>5814</v>
      </c>
      <c r="AJ10" t="s">
        <v>5815</v>
      </c>
      <c r="AK10">
        <v>3</v>
      </c>
      <c r="AL10">
        <v>0</v>
      </c>
      <c r="AM10" t="s">
        <v>3961</v>
      </c>
      <c r="AN10">
        <v>0</v>
      </c>
      <c r="AO10">
        <v>14190000</v>
      </c>
      <c r="AP10">
        <v>338880</v>
      </c>
      <c r="AQ10">
        <v>0</v>
      </c>
      <c r="AR10">
        <v>14528880</v>
      </c>
      <c r="AS10">
        <v>13990000</v>
      </c>
      <c r="AT10">
        <v>-538880</v>
      </c>
      <c r="AU10">
        <v>-385</v>
      </c>
    </row>
    <row r="11" spans="1:47" ht="13.5" customHeight="1" x14ac:dyDescent="0.3">
      <c r="A11" t="s">
        <v>5155</v>
      </c>
      <c r="B11" t="s">
        <v>5156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8288</v>
      </c>
      <c r="J11" t="s">
        <v>3961</v>
      </c>
      <c r="K11" t="s">
        <v>8289</v>
      </c>
      <c r="L11" t="s">
        <v>88</v>
      </c>
      <c r="M11" t="s">
        <v>113</v>
      </c>
      <c r="N11" t="s">
        <v>4251</v>
      </c>
      <c r="O11" t="s">
        <v>8290</v>
      </c>
      <c r="P11">
        <v>2025</v>
      </c>
      <c r="Q11">
        <v>15893</v>
      </c>
      <c r="R11" t="s">
        <v>8291</v>
      </c>
      <c r="S11" t="s">
        <v>6053</v>
      </c>
      <c r="T11" t="s">
        <v>5158</v>
      </c>
      <c r="U11" t="s">
        <v>8292</v>
      </c>
      <c r="V11" t="s">
        <v>5160</v>
      </c>
      <c r="W11">
        <v>55990000</v>
      </c>
      <c r="X11" t="s">
        <v>5161</v>
      </c>
      <c r="Y11">
        <v>9</v>
      </c>
      <c r="Z11" t="s">
        <v>16</v>
      </c>
      <c r="AA11" t="s">
        <v>5162</v>
      </c>
      <c r="AB11" t="s">
        <v>5176</v>
      </c>
      <c r="AC11" t="s">
        <v>8293</v>
      </c>
      <c r="AD11" t="s">
        <v>8289</v>
      </c>
      <c r="AE11" t="s">
        <v>8294</v>
      </c>
      <c r="AF11" t="s">
        <v>8295</v>
      </c>
      <c r="AG11">
        <v>1</v>
      </c>
      <c r="AH11" t="s">
        <v>8295</v>
      </c>
      <c r="AI11" t="s">
        <v>8296</v>
      </c>
      <c r="AJ11" t="s">
        <v>3961</v>
      </c>
      <c r="AK11">
        <v>1</v>
      </c>
      <c r="AL11">
        <v>0</v>
      </c>
      <c r="AM11" t="s">
        <v>3961</v>
      </c>
      <c r="AN11">
        <v>0</v>
      </c>
      <c r="AO11">
        <v>44500000</v>
      </c>
      <c r="AP11">
        <v>746740</v>
      </c>
      <c r="AQ11">
        <v>0</v>
      </c>
      <c r="AR11">
        <v>45246740</v>
      </c>
      <c r="AS11">
        <v>55990000</v>
      </c>
      <c r="AT11">
        <v>10743260</v>
      </c>
      <c r="AU11">
        <v>1919</v>
      </c>
    </row>
    <row r="12" spans="1:47" ht="13.5" customHeight="1" x14ac:dyDescent="0.3">
      <c r="A12" t="s">
        <v>5155</v>
      </c>
      <c r="B12" t="s">
        <v>5156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5783</v>
      </c>
      <c r="J12" t="s">
        <v>3961</v>
      </c>
      <c r="K12" t="s">
        <v>5445</v>
      </c>
      <c r="L12" t="s">
        <v>88</v>
      </c>
      <c r="M12" t="s">
        <v>100</v>
      </c>
      <c r="N12" t="s">
        <v>101</v>
      </c>
      <c r="O12" t="s">
        <v>5348</v>
      </c>
      <c r="P12">
        <v>2023</v>
      </c>
      <c r="Q12">
        <v>80000</v>
      </c>
      <c r="R12" t="s">
        <v>5446</v>
      </c>
      <c r="S12" t="s">
        <v>103</v>
      </c>
      <c r="T12" t="s">
        <v>5158</v>
      </c>
      <c r="U12" t="s">
        <v>5388</v>
      </c>
      <c r="V12" t="s">
        <v>5160</v>
      </c>
      <c r="W12">
        <v>19290000</v>
      </c>
      <c r="X12" t="s">
        <v>5161</v>
      </c>
      <c r="Y12">
        <v>114</v>
      </c>
      <c r="Z12" t="s">
        <v>27</v>
      </c>
      <c r="AA12" t="s">
        <v>5162</v>
      </c>
      <c r="AB12" t="s">
        <v>5447</v>
      </c>
      <c r="AC12" t="s">
        <v>5448</v>
      </c>
      <c r="AD12" t="s">
        <v>5445</v>
      </c>
      <c r="AE12" t="s">
        <v>5449</v>
      </c>
      <c r="AF12" t="s">
        <v>5781</v>
      </c>
      <c r="AG12">
        <v>1</v>
      </c>
      <c r="AH12" t="s">
        <v>5781</v>
      </c>
      <c r="AI12" t="s">
        <v>5784</v>
      </c>
      <c r="AJ12" t="s">
        <v>3961</v>
      </c>
      <c r="AK12">
        <v>0</v>
      </c>
      <c r="AL12">
        <v>0</v>
      </c>
      <c r="AM12" t="s">
        <v>3961</v>
      </c>
      <c r="AN12">
        <v>0</v>
      </c>
      <c r="AO12">
        <v>15400000</v>
      </c>
      <c r="AP12">
        <v>357030</v>
      </c>
      <c r="AQ12">
        <v>0</v>
      </c>
      <c r="AR12">
        <v>15757030</v>
      </c>
      <c r="AS12">
        <v>19290000</v>
      </c>
      <c r="AT12">
        <v>3532970</v>
      </c>
      <c r="AU12">
        <v>1832</v>
      </c>
    </row>
    <row r="13" spans="1:47" ht="13.5" customHeight="1" x14ac:dyDescent="0.3">
      <c r="A13" t="s">
        <v>5155</v>
      </c>
      <c r="B13" t="s">
        <v>5156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5852</v>
      </c>
      <c r="J13" t="s">
        <v>3961</v>
      </c>
      <c r="K13" t="s">
        <v>5466</v>
      </c>
      <c r="L13" t="s">
        <v>88</v>
      </c>
      <c r="M13" t="s">
        <v>126</v>
      </c>
      <c r="N13" t="s">
        <v>136</v>
      </c>
      <c r="O13" t="s">
        <v>5467</v>
      </c>
      <c r="P13">
        <v>2023</v>
      </c>
      <c r="Q13">
        <v>70000</v>
      </c>
      <c r="R13" t="s">
        <v>5468</v>
      </c>
      <c r="S13" t="s">
        <v>137</v>
      </c>
      <c r="T13" t="s">
        <v>5158</v>
      </c>
      <c r="U13" t="s">
        <v>5200</v>
      </c>
      <c r="V13" t="s">
        <v>5160</v>
      </c>
      <c r="W13">
        <v>17990000</v>
      </c>
      <c r="X13" t="s">
        <v>5161</v>
      </c>
      <c r="Y13">
        <v>86</v>
      </c>
      <c r="Z13" t="s">
        <v>27</v>
      </c>
      <c r="AA13" t="s">
        <v>5162</v>
      </c>
      <c r="AB13" t="s">
        <v>5469</v>
      </c>
      <c r="AC13" t="s">
        <v>5470</v>
      </c>
      <c r="AD13" t="s">
        <v>5466</v>
      </c>
      <c r="AE13" t="s">
        <v>5471</v>
      </c>
      <c r="AF13" t="s">
        <v>5737</v>
      </c>
      <c r="AG13">
        <v>1</v>
      </c>
      <c r="AH13" t="s">
        <v>5737</v>
      </c>
      <c r="AI13" t="s">
        <v>5853</v>
      </c>
      <c r="AJ13" t="s">
        <v>5697</v>
      </c>
      <c r="AK13">
        <v>1</v>
      </c>
      <c r="AL13">
        <v>0</v>
      </c>
      <c r="AM13" t="s">
        <v>3961</v>
      </c>
      <c r="AN13">
        <v>0</v>
      </c>
      <c r="AO13">
        <v>14500000</v>
      </c>
      <c r="AP13">
        <v>343530</v>
      </c>
      <c r="AQ13">
        <v>0</v>
      </c>
      <c r="AR13">
        <v>14843530</v>
      </c>
      <c r="AS13">
        <v>17990000</v>
      </c>
      <c r="AT13">
        <v>3146470</v>
      </c>
      <c r="AU13">
        <v>1749</v>
      </c>
    </row>
    <row r="14" spans="1:47" ht="13.5" customHeight="1" x14ac:dyDescent="0.3">
      <c r="A14" t="s">
        <v>5155</v>
      </c>
      <c r="B14" t="s">
        <v>5156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8239</v>
      </c>
      <c r="J14" t="s">
        <v>3961</v>
      </c>
      <c r="K14" t="s">
        <v>8240</v>
      </c>
      <c r="L14" t="s">
        <v>29</v>
      </c>
      <c r="M14" t="s">
        <v>43</v>
      </c>
      <c r="N14" t="s">
        <v>44</v>
      </c>
      <c r="O14" t="s">
        <v>8241</v>
      </c>
      <c r="P14">
        <v>2022</v>
      </c>
      <c r="Q14">
        <v>30000</v>
      </c>
      <c r="R14" t="s">
        <v>8242</v>
      </c>
      <c r="S14" t="s">
        <v>45</v>
      </c>
      <c r="T14" t="s">
        <v>5158</v>
      </c>
      <c r="U14" t="s">
        <v>8243</v>
      </c>
      <c r="V14" t="s">
        <v>5160</v>
      </c>
      <c r="W14">
        <v>11490000</v>
      </c>
      <c r="X14" t="s">
        <v>5161</v>
      </c>
      <c r="Y14">
        <v>36</v>
      </c>
      <c r="Z14" t="s">
        <v>16</v>
      </c>
      <c r="AA14" t="s">
        <v>5162</v>
      </c>
      <c r="AB14" t="s">
        <v>8244</v>
      </c>
      <c r="AC14" t="s">
        <v>8245</v>
      </c>
      <c r="AD14" t="s">
        <v>8240</v>
      </c>
      <c r="AE14" t="s">
        <v>8246</v>
      </c>
      <c r="AF14" t="s">
        <v>5923</v>
      </c>
      <c r="AG14">
        <v>1</v>
      </c>
      <c r="AH14" t="s">
        <v>5923</v>
      </c>
      <c r="AI14" t="s">
        <v>8247</v>
      </c>
      <c r="AJ14" t="s">
        <v>3961</v>
      </c>
      <c r="AK14">
        <v>1</v>
      </c>
      <c r="AL14">
        <v>0</v>
      </c>
      <c r="AM14" t="s">
        <v>3961</v>
      </c>
      <c r="AN14">
        <v>0</v>
      </c>
      <c r="AO14">
        <v>9500000</v>
      </c>
      <c r="AP14">
        <v>271740</v>
      </c>
      <c r="AQ14">
        <v>0</v>
      </c>
      <c r="AR14">
        <v>9771740</v>
      </c>
      <c r="AS14">
        <v>11490000</v>
      </c>
      <c r="AT14">
        <v>1718260</v>
      </c>
      <c r="AU14">
        <v>1495</v>
      </c>
    </row>
    <row r="15" spans="1:47" ht="13.5" customHeight="1" x14ac:dyDescent="0.3">
      <c r="A15" t="s">
        <v>5155</v>
      </c>
      <c r="B15" t="s">
        <v>5204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8577</v>
      </c>
      <c r="J15" t="s">
        <v>3961</v>
      </c>
      <c r="K15" t="s">
        <v>8578</v>
      </c>
      <c r="L15" t="s">
        <v>188</v>
      </c>
      <c r="M15" t="s">
        <v>191</v>
      </c>
      <c r="N15" t="s">
        <v>192</v>
      </c>
      <c r="O15" t="s">
        <v>8579</v>
      </c>
      <c r="P15">
        <v>2013</v>
      </c>
      <c r="Q15">
        <v>160000</v>
      </c>
      <c r="R15" t="s">
        <v>8580</v>
      </c>
      <c r="S15" t="s">
        <v>193</v>
      </c>
      <c r="T15" t="s">
        <v>5158</v>
      </c>
      <c r="U15" t="s">
        <v>5343</v>
      </c>
      <c r="V15" t="s">
        <v>5160</v>
      </c>
      <c r="W15">
        <v>11490000</v>
      </c>
      <c r="X15" t="s">
        <v>5161</v>
      </c>
      <c r="Y15">
        <v>1465</v>
      </c>
      <c r="Z15" t="s">
        <v>65</v>
      </c>
      <c r="AA15" t="s">
        <v>5205</v>
      </c>
      <c r="AB15" t="s">
        <v>8581</v>
      </c>
      <c r="AC15" t="s">
        <v>8582</v>
      </c>
      <c r="AD15" t="s">
        <v>8578</v>
      </c>
      <c r="AE15" t="s">
        <v>8583</v>
      </c>
      <c r="AF15" t="s">
        <v>8584</v>
      </c>
      <c r="AG15">
        <v>1</v>
      </c>
      <c r="AH15" t="s">
        <v>8584</v>
      </c>
      <c r="AI15" t="s">
        <v>8585</v>
      </c>
      <c r="AJ15" t="s">
        <v>3961</v>
      </c>
      <c r="AK15">
        <v>0</v>
      </c>
      <c r="AL15">
        <v>0</v>
      </c>
      <c r="AM15" t="s">
        <v>3961</v>
      </c>
      <c r="AN15">
        <v>0</v>
      </c>
      <c r="AO15">
        <v>13800000</v>
      </c>
      <c r="AP15">
        <v>513046</v>
      </c>
      <c r="AQ15">
        <v>0</v>
      </c>
      <c r="AR15">
        <v>14313046</v>
      </c>
      <c r="AS15">
        <v>11490000</v>
      </c>
      <c r="AT15">
        <v>-2823046</v>
      </c>
      <c r="AU15">
        <v>-2457</v>
      </c>
    </row>
    <row r="16" spans="1:47" ht="13.5" customHeight="1" x14ac:dyDescent="0.3">
      <c r="A16" t="s">
        <v>5155</v>
      </c>
      <c r="B16" t="s">
        <v>5156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5941</v>
      </c>
      <c r="J16" t="s">
        <v>3961</v>
      </c>
      <c r="K16" t="s">
        <v>5630</v>
      </c>
      <c r="L16" t="s">
        <v>322</v>
      </c>
      <c r="M16" t="s">
        <v>323</v>
      </c>
      <c r="N16" t="s">
        <v>324</v>
      </c>
      <c r="O16" t="s">
        <v>5631</v>
      </c>
      <c r="P16">
        <v>2023</v>
      </c>
      <c r="Q16">
        <v>15600</v>
      </c>
      <c r="R16" t="s">
        <v>5632</v>
      </c>
      <c r="S16" t="s">
        <v>325</v>
      </c>
      <c r="T16" t="s">
        <v>5158</v>
      </c>
      <c r="U16" t="s">
        <v>5633</v>
      </c>
      <c r="V16" t="s">
        <v>5160</v>
      </c>
      <c r="W16">
        <v>33190000</v>
      </c>
      <c r="X16" t="s">
        <v>5161</v>
      </c>
      <c r="Y16">
        <v>773</v>
      </c>
      <c r="Z16" t="s">
        <v>65</v>
      </c>
      <c r="AA16" t="s">
        <v>5162</v>
      </c>
      <c r="AB16" t="s">
        <v>5634</v>
      </c>
      <c r="AC16" t="s">
        <v>5635</v>
      </c>
      <c r="AD16" t="s">
        <v>5636</v>
      </c>
      <c r="AE16" t="s">
        <v>5637</v>
      </c>
      <c r="AF16" t="s">
        <v>5942</v>
      </c>
      <c r="AG16">
        <v>1</v>
      </c>
      <c r="AH16" t="s">
        <v>5943</v>
      </c>
      <c r="AI16" t="s">
        <v>5943</v>
      </c>
      <c r="AJ16" t="s">
        <v>3961</v>
      </c>
      <c r="AK16">
        <v>0</v>
      </c>
      <c r="AL16">
        <v>0</v>
      </c>
      <c r="AM16" t="s">
        <v>3961</v>
      </c>
      <c r="AN16">
        <v>0</v>
      </c>
      <c r="AO16">
        <v>28500000</v>
      </c>
      <c r="AP16">
        <v>1097663</v>
      </c>
      <c r="AQ16">
        <v>0</v>
      </c>
      <c r="AR16">
        <v>29597663</v>
      </c>
      <c r="AS16">
        <v>33190000</v>
      </c>
      <c r="AT16">
        <v>3592337</v>
      </c>
      <c r="AU16">
        <v>1082</v>
      </c>
    </row>
    <row r="17" spans="1:47" ht="13.5" customHeight="1" x14ac:dyDescent="0.3">
      <c r="A17" t="s">
        <v>5155</v>
      </c>
      <c r="B17" t="s">
        <v>5188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8586</v>
      </c>
      <c r="J17" t="s">
        <v>3961</v>
      </c>
      <c r="K17" t="s">
        <v>8587</v>
      </c>
      <c r="L17" t="s">
        <v>301</v>
      </c>
      <c r="M17" t="s">
        <v>305</v>
      </c>
      <c r="N17" t="s">
        <v>8588</v>
      </c>
      <c r="O17" t="s">
        <v>8589</v>
      </c>
      <c r="P17">
        <v>2015</v>
      </c>
      <c r="Q17">
        <v>169000</v>
      </c>
      <c r="R17" t="s">
        <v>8590</v>
      </c>
      <c r="S17" t="s">
        <v>306</v>
      </c>
      <c r="T17" t="s">
        <v>5158</v>
      </c>
      <c r="U17" t="s">
        <v>5297</v>
      </c>
      <c r="V17" t="s">
        <v>5160</v>
      </c>
      <c r="W17">
        <v>8490000</v>
      </c>
      <c r="X17" t="s">
        <v>5161</v>
      </c>
      <c r="Y17">
        <v>1550</v>
      </c>
      <c r="Z17" t="s">
        <v>65</v>
      </c>
      <c r="AA17" t="s">
        <v>5193</v>
      </c>
      <c r="AB17" t="s">
        <v>8591</v>
      </c>
      <c r="AC17" t="s">
        <v>8592</v>
      </c>
      <c r="AD17" t="s">
        <v>8587</v>
      </c>
      <c r="AE17" t="s">
        <v>8593</v>
      </c>
      <c r="AF17" t="s">
        <v>8594</v>
      </c>
      <c r="AG17">
        <v>1</v>
      </c>
      <c r="AH17" t="s">
        <v>8594</v>
      </c>
      <c r="AI17" t="s">
        <v>8595</v>
      </c>
      <c r="AJ17" t="s">
        <v>3961</v>
      </c>
      <c r="AK17">
        <v>0</v>
      </c>
      <c r="AL17">
        <v>0</v>
      </c>
      <c r="AM17" t="s">
        <v>3961</v>
      </c>
      <c r="AN17">
        <v>0</v>
      </c>
      <c r="AO17">
        <v>10500000</v>
      </c>
      <c r="AP17">
        <v>461694</v>
      </c>
      <c r="AQ17">
        <v>0</v>
      </c>
      <c r="AR17">
        <v>10961694</v>
      </c>
      <c r="AS17">
        <v>8490000</v>
      </c>
      <c r="AT17">
        <v>-2471694</v>
      </c>
      <c r="AU17">
        <v>-2911</v>
      </c>
    </row>
    <row r="18" spans="1:47" ht="13.5" customHeight="1" x14ac:dyDescent="0.3">
      <c r="A18" t="s">
        <v>5155</v>
      </c>
      <c r="B18" t="s">
        <v>8596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8597</v>
      </c>
      <c r="J18" t="s">
        <v>3961</v>
      </c>
      <c r="K18" t="s">
        <v>8598</v>
      </c>
      <c r="L18" t="s">
        <v>70</v>
      </c>
      <c r="M18" t="s">
        <v>70</v>
      </c>
      <c r="N18" t="s">
        <v>80</v>
      </c>
      <c r="O18" t="s">
        <v>8599</v>
      </c>
      <c r="P18">
        <v>2014</v>
      </c>
      <c r="Q18">
        <v>0</v>
      </c>
      <c r="R18" t="s">
        <v>8600</v>
      </c>
      <c r="S18" t="s">
        <v>8601</v>
      </c>
      <c r="T18" t="s">
        <v>5158</v>
      </c>
      <c r="U18" t="s">
        <v>5200</v>
      </c>
      <c r="V18" t="s">
        <v>8602</v>
      </c>
      <c r="W18">
        <v>4867100</v>
      </c>
      <c r="X18" t="s">
        <v>5161</v>
      </c>
      <c r="Y18">
        <v>4384</v>
      </c>
      <c r="Z18" t="s">
        <v>8603</v>
      </c>
      <c r="AA18" t="s">
        <v>8604</v>
      </c>
      <c r="AB18" t="s">
        <v>3961</v>
      </c>
      <c r="AC18" t="s">
        <v>8605</v>
      </c>
      <c r="AD18" t="s">
        <v>8598</v>
      </c>
      <c r="AE18" t="s">
        <v>8606</v>
      </c>
      <c r="AF18" t="s">
        <v>8607</v>
      </c>
      <c r="AG18">
        <v>0</v>
      </c>
      <c r="AH18" t="s">
        <v>3961</v>
      </c>
      <c r="AI18" t="s">
        <v>3961</v>
      </c>
      <c r="AJ18" t="s">
        <v>8607</v>
      </c>
      <c r="AK18">
        <v>0</v>
      </c>
      <c r="AL18">
        <v>0</v>
      </c>
      <c r="AM18" t="s">
        <v>3961</v>
      </c>
      <c r="AN18">
        <v>0</v>
      </c>
      <c r="AO18">
        <v>108561</v>
      </c>
      <c r="AP18">
        <v>3090141</v>
      </c>
      <c r="AQ18">
        <v>0</v>
      </c>
      <c r="AR18">
        <v>3198702</v>
      </c>
      <c r="AS18">
        <v>4867100</v>
      </c>
      <c r="AT18">
        <v>1668398</v>
      </c>
      <c r="AU18">
        <v>3428</v>
      </c>
    </row>
    <row r="19" spans="1:47" ht="13.5" customHeight="1" x14ac:dyDescent="0.3">
      <c r="A19" t="s">
        <v>5155</v>
      </c>
      <c r="B19" t="s">
        <v>5204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8608</v>
      </c>
      <c r="J19" t="s">
        <v>3961</v>
      </c>
      <c r="K19" t="s">
        <v>8609</v>
      </c>
      <c r="L19" t="s">
        <v>194</v>
      </c>
      <c r="M19" t="s">
        <v>207</v>
      </c>
      <c r="N19" t="s">
        <v>8610</v>
      </c>
      <c r="O19" t="s">
        <v>8611</v>
      </c>
      <c r="P19">
        <v>2014</v>
      </c>
      <c r="Q19">
        <v>83000</v>
      </c>
      <c r="R19" t="s">
        <v>8612</v>
      </c>
      <c r="S19" t="s">
        <v>8613</v>
      </c>
      <c r="T19" t="s">
        <v>5158</v>
      </c>
      <c r="U19" t="s">
        <v>8614</v>
      </c>
      <c r="V19" t="s">
        <v>5160</v>
      </c>
      <c r="W19">
        <v>8490000</v>
      </c>
      <c r="X19" t="s">
        <v>5161</v>
      </c>
      <c r="Y19">
        <v>2275</v>
      </c>
      <c r="Z19" t="s">
        <v>8615</v>
      </c>
      <c r="AA19" t="s">
        <v>5205</v>
      </c>
      <c r="AB19" t="s">
        <v>3961</v>
      </c>
      <c r="AC19" t="s">
        <v>8616</v>
      </c>
      <c r="AD19" t="s">
        <v>8609</v>
      </c>
      <c r="AE19" t="s">
        <v>5155</v>
      </c>
      <c r="AF19" t="s">
        <v>8617</v>
      </c>
      <c r="AG19">
        <v>1</v>
      </c>
      <c r="AH19" t="s">
        <v>8618</v>
      </c>
      <c r="AI19" t="s">
        <v>8619</v>
      </c>
      <c r="AJ19" t="s">
        <v>3961</v>
      </c>
      <c r="AK19">
        <v>0</v>
      </c>
      <c r="AL19">
        <v>0</v>
      </c>
      <c r="AM19" t="s">
        <v>3961</v>
      </c>
      <c r="AN19">
        <v>0</v>
      </c>
      <c r="AO19">
        <v>0</v>
      </c>
      <c r="AP19">
        <v>2523835</v>
      </c>
      <c r="AQ19">
        <v>0</v>
      </c>
      <c r="AR19">
        <v>2523835</v>
      </c>
      <c r="AS19">
        <v>8490000</v>
      </c>
      <c r="AT19">
        <v>5966165</v>
      </c>
      <c r="AU19">
        <v>7027</v>
      </c>
    </row>
    <row r="20" spans="1:47" ht="13.5" customHeight="1" x14ac:dyDescent="0.3">
      <c r="A20" t="s">
        <v>5155</v>
      </c>
      <c r="B20" t="s">
        <v>5204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5818</v>
      </c>
      <c r="J20" t="s">
        <v>3961</v>
      </c>
      <c r="K20" t="s">
        <v>5252</v>
      </c>
      <c r="L20" t="s">
        <v>245</v>
      </c>
      <c r="M20" t="s">
        <v>67</v>
      </c>
      <c r="N20" t="s">
        <v>246</v>
      </c>
      <c r="O20" t="s">
        <v>5253</v>
      </c>
      <c r="P20">
        <v>2025</v>
      </c>
      <c r="Q20">
        <v>1905</v>
      </c>
      <c r="R20" t="s">
        <v>5254</v>
      </c>
      <c r="S20" t="s">
        <v>247</v>
      </c>
      <c r="T20" t="s">
        <v>5158</v>
      </c>
      <c r="U20" t="s">
        <v>5200</v>
      </c>
      <c r="V20" t="s">
        <v>5160</v>
      </c>
      <c r="W20">
        <v>11290000</v>
      </c>
      <c r="X20" t="s">
        <v>5161</v>
      </c>
      <c r="Y20">
        <v>465</v>
      </c>
      <c r="Z20" t="s">
        <v>41</v>
      </c>
      <c r="AA20" t="s">
        <v>5205</v>
      </c>
      <c r="AB20" t="s">
        <v>5255</v>
      </c>
      <c r="AC20" t="s">
        <v>5256</v>
      </c>
      <c r="AD20" t="s">
        <v>5252</v>
      </c>
      <c r="AE20" t="s">
        <v>5257</v>
      </c>
      <c r="AF20" t="s">
        <v>5819</v>
      </c>
      <c r="AG20">
        <v>1</v>
      </c>
      <c r="AH20" t="s">
        <v>5819</v>
      </c>
      <c r="AI20" t="s">
        <v>5820</v>
      </c>
      <c r="AJ20" t="s">
        <v>3961</v>
      </c>
      <c r="AK20">
        <v>1</v>
      </c>
      <c r="AL20">
        <v>0</v>
      </c>
      <c r="AM20" t="s">
        <v>3961</v>
      </c>
      <c r="AN20">
        <v>0</v>
      </c>
      <c r="AO20">
        <v>10300000</v>
      </c>
      <c r="AP20">
        <v>280530</v>
      </c>
      <c r="AQ20">
        <v>0</v>
      </c>
      <c r="AR20">
        <v>10580530</v>
      </c>
      <c r="AS20">
        <v>11290000</v>
      </c>
      <c r="AT20">
        <v>709470</v>
      </c>
      <c r="AU20">
        <v>628</v>
      </c>
    </row>
    <row r="21" spans="1:47" ht="13.5" customHeight="1" x14ac:dyDescent="0.3">
      <c r="A21" t="s">
        <v>5155</v>
      </c>
      <c r="B21" t="s">
        <v>5156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5773</v>
      </c>
      <c r="J21" t="s">
        <v>3961</v>
      </c>
      <c r="K21" t="s">
        <v>5518</v>
      </c>
      <c r="L21" t="s">
        <v>88</v>
      </c>
      <c r="M21" t="s">
        <v>126</v>
      </c>
      <c r="N21" t="s">
        <v>127</v>
      </c>
      <c r="O21" t="s">
        <v>5519</v>
      </c>
      <c r="P21">
        <v>2024</v>
      </c>
      <c r="Q21">
        <v>69690</v>
      </c>
      <c r="R21" t="s">
        <v>5520</v>
      </c>
      <c r="S21" t="s">
        <v>128</v>
      </c>
      <c r="T21" t="s">
        <v>5158</v>
      </c>
      <c r="U21" t="s">
        <v>5521</v>
      </c>
      <c r="V21" t="s">
        <v>5160</v>
      </c>
      <c r="W21">
        <v>34990000</v>
      </c>
      <c r="X21" t="s">
        <v>5161</v>
      </c>
      <c r="Y21">
        <v>261</v>
      </c>
      <c r="Z21" t="s">
        <v>27</v>
      </c>
      <c r="AA21" t="s">
        <v>5162</v>
      </c>
      <c r="AB21" t="s">
        <v>5163</v>
      </c>
      <c r="AC21" t="s">
        <v>5522</v>
      </c>
      <c r="AD21" t="s">
        <v>5518</v>
      </c>
      <c r="AE21" t="s">
        <v>5523</v>
      </c>
      <c r="AF21" t="s">
        <v>5774</v>
      </c>
      <c r="AG21">
        <v>1</v>
      </c>
      <c r="AH21" t="s">
        <v>5774</v>
      </c>
      <c r="AI21" t="s">
        <v>5775</v>
      </c>
      <c r="AJ21" t="s">
        <v>3961</v>
      </c>
      <c r="AK21">
        <v>1</v>
      </c>
      <c r="AL21">
        <v>0</v>
      </c>
      <c r="AM21" t="s">
        <v>3961</v>
      </c>
      <c r="AN21">
        <v>0</v>
      </c>
      <c r="AO21">
        <v>34000000</v>
      </c>
      <c r="AP21">
        <v>1178778</v>
      </c>
      <c r="AQ21">
        <v>0</v>
      </c>
      <c r="AR21">
        <v>35178778</v>
      </c>
      <c r="AS21">
        <v>34990000</v>
      </c>
      <c r="AT21">
        <v>-188778</v>
      </c>
      <c r="AU21">
        <v>-54</v>
      </c>
    </row>
    <row r="22" spans="1:47" ht="13.5" customHeight="1" x14ac:dyDescent="0.3">
      <c r="A22" t="s">
        <v>5155</v>
      </c>
      <c r="B22" t="s">
        <v>5156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5978</v>
      </c>
      <c r="J22" t="s">
        <v>3961</v>
      </c>
      <c r="K22" t="s">
        <v>5552</v>
      </c>
      <c r="L22" t="s">
        <v>181</v>
      </c>
      <c r="M22" t="s">
        <v>4436</v>
      </c>
      <c r="N22" t="s">
        <v>184</v>
      </c>
      <c r="O22" t="s">
        <v>5309</v>
      </c>
      <c r="P22">
        <v>2025</v>
      </c>
      <c r="Q22">
        <v>7500</v>
      </c>
      <c r="R22" t="s">
        <v>5553</v>
      </c>
      <c r="S22" t="s">
        <v>185</v>
      </c>
      <c r="T22" t="s">
        <v>5158</v>
      </c>
      <c r="U22" t="s">
        <v>5554</v>
      </c>
      <c r="V22" t="s">
        <v>5160</v>
      </c>
      <c r="W22">
        <v>17490000</v>
      </c>
      <c r="X22" t="s">
        <v>5161</v>
      </c>
      <c r="Y22">
        <v>104</v>
      </c>
      <c r="Z22" t="s">
        <v>27</v>
      </c>
      <c r="AA22" t="s">
        <v>5162</v>
      </c>
      <c r="AB22" t="s">
        <v>5555</v>
      </c>
      <c r="AC22" t="s">
        <v>5556</v>
      </c>
      <c r="AD22" t="s">
        <v>5552</v>
      </c>
      <c r="AE22" t="s">
        <v>5557</v>
      </c>
      <c r="AF22" t="s">
        <v>5705</v>
      </c>
      <c r="AG22">
        <v>1</v>
      </c>
      <c r="AH22" t="s">
        <v>5705</v>
      </c>
      <c r="AI22" t="s">
        <v>5979</v>
      </c>
      <c r="AJ22" t="s">
        <v>3961</v>
      </c>
      <c r="AK22">
        <v>0</v>
      </c>
      <c r="AL22">
        <v>0</v>
      </c>
      <c r="AM22" t="s">
        <v>3961</v>
      </c>
      <c r="AN22">
        <v>0</v>
      </c>
      <c r="AO22">
        <v>15500000</v>
      </c>
      <c r="AP22">
        <v>358530</v>
      </c>
      <c r="AQ22">
        <v>0</v>
      </c>
      <c r="AR22">
        <v>15858530</v>
      </c>
      <c r="AS22">
        <v>17490000</v>
      </c>
      <c r="AT22">
        <v>1631470</v>
      </c>
      <c r="AU22">
        <v>933</v>
      </c>
    </row>
    <row r="23" spans="1:47" ht="13.5" customHeight="1" x14ac:dyDescent="0.3">
      <c r="A23" t="s">
        <v>5155</v>
      </c>
      <c r="B23" t="s">
        <v>5156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5984</v>
      </c>
      <c r="J23" t="s">
        <v>3961</v>
      </c>
      <c r="K23" t="s">
        <v>5340</v>
      </c>
      <c r="L23" t="s">
        <v>222</v>
      </c>
      <c r="M23" t="s">
        <v>223</v>
      </c>
      <c r="N23" t="s">
        <v>226</v>
      </c>
      <c r="O23" t="s">
        <v>5341</v>
      </c>
      <c r="P23">
        <v>2025</v>
      </c>
      <c r="Q23">
        <v>13500</v>
      </c>
      <c r="R23" t="s">
        <v>5342</v>
      </c>
      <c r="S23" t="s">
        <v>227</v>
      </c>
      <c r="T23" t="s">
        <v>5158</v>
      </c>
      <c r="U23" t="s">
        <v>5343</v>
      </c>
      <c r="V23" t="s">
        <v>5160</v>
      </c>
      <c r="W23">
        <v>31590000</v>
      </c>
      <c r="X23" t="s">
        <v>5161</v>
      </c>
      <c r="Y23">
        <v>37</v>
      </c>
      <c r="Z23" t="s">
        <v>27</v>
      </c>
      <c r="AA23" t="s">
        <v>5162</v>
      </c>
      <c r="AB23" t="s">
        <v>5194</v>
      </c>
      <c r="AC23" t="s">
        <v>5344</v>
      </c>
      <c r="AD23" t="s">
        <v>5345</v>
      </c>
      <c r="AE23" t="s">
        <v>5346</v>
      </c>
      <c r="AF23" t="s">
        <v>5768</v>
      </c>
      <c r="AG23">
        <v>1</v>
      </c>
      <c r="AH23" t="s">
        <v>5768</v>
      </c>
      <c r="AI23" t="s">
        <v>5985</v>
      </c>
      <c r="AJ23" t="s">
        <v>3961</v>
      </c>
      <c r="AK23">
        <v>1</v>
      </c>
      <c r="AL23">
        <v>0</v>
      </c>
      <c r="AM23" t="s">
        <v>3961</v>
      </c>
      <c r="AN23">
        <v>0</v>
      </c>
      <c r="AO23">
        <v>26300000</v>
      </c>
      <c r="AP23">
        <v>523740</v>
      </c>
      <c r="AQ23">
        <v>0</v>
      </c>
      <c r="AR23">
        <v>26823740</v>
      </c>
      <c r="AS23">
        <v>31590000</v>
      </c>
      <c r="AT23">
        <v>4766260</v>
      </c>
      <c r="AU23">
        <v>1509</v>
      </c>
    </row>
    <row r="24" spans="1:47" ht="13.5" customHeight="1" x14ac:dyDescent="0.3">
      <c r="A24" t="s">
        <v>5155</v>
      </c>
      <c r="B24" t="s">
        <v>5156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5767</v>
      </c>
      <c r="J24" t="s">
        <v>3961</v>
      </c>
      <c r="K24" t="s">
        <v>5347</v>
      </c>
      <c r="L24" t="s">
        <v>88</v>
      </c>
      <c r="M24" t="s">
        <v>100</v>
      </c>
      <c r="N24" t="s">
        <v>101</v>
      </c>
      <c r="O24" t="s">
        <v>5348</v>
      </c>
      <c r="P24">
        <v>2024</v>
      </c>
      <c r="Q24">
        <v>52000</v>
      </c>
      <c r="R24" t="s">
        <v>5349</v>
      </c>
      <c r="S24" t="s">
        <v>104</v>
      </c>
      <c r="T24" t="s">
        <v>5158</v>
      </c>
      <c r="U24" t="s">
        <v>5350</v>
      </c>
      <c r="V24" t="s">
        <v>5160</v>
      </c>
      <c r="W24">
        <v>23590000</v>
      </c>
      <c r="X24" t="s">
        <v>5161</v>
      </c>
      <c r="Y24">
        <v>37</v>
      </c>
      <c r="Z24" t="s">
        <v>41</v>
      </c>
      <c r="AA24" t="s">
        <v>5162</v>
      </c>
      <c r="AB24" t="s">
        <v>5351</v>
      </c>
      <c r="AC24" t="s">
        <v>5352</v>
      </c>
      <c r="AD24" t="s">
        <v>5347</v>
      </c>
      <c r="AE24" t="s">
        <v>5353</v>
      </c>
      <c r="AF24" t="s">
        <v>5768</v>
      </c>
      <c r="AG24">
        <v>1</v>
      </c>
      <c r="AH24" t="s">
        <v>5768</v>
      </c>
      <c r="AI24" t="s">
        <v>5769</v>
      </c>
      <c r="AJ24" t="s">
        <v>3961</v>
      </c>
      <c r="AK24">
        <v>1</v>
      </c>
      <c r="AL24">
        <v>0</v>
      </c>
      <c r="AM24" t="s">
        <v>3961</v>
      </c>
      <c r="AN24">
        <v>0</v>
      </c>
      <c r="AO24">
        <v>18900000</v>
      </c>
      <c r="AP24">
        <v>412740</v>
      </c>
      <c r="AQ24">
        <v>0</v>
      </c>
      <c r="AR24">
        <v>19312740</v>
      </c>
      <c r="AS24">
        <v>23590000</v>
      </c>
      <c r="AT24">
        <v>4277260</v>
      </c>
      <c r="AU24">
        <v>1813</v>
      </c>
    </row>
    <row r="25" spans="1:47" ht="13.5" customHeight="1" x14ac:dyDescent="0.3">
      <c r="A25" t="s">
        <v>5155</v>
      </c>
      <c r="B25" t="s">
        <v>5156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5831</v>
      </c>
      <c r="J25" t="s">
        <v>3961</v>
      </c>
      <c r="K25" t="s">
        <v>5832</v>
      </c>
      <c r="L25" t="s">
        <v>194</v>
      </c>
      <c r="M25" t="s">
        <v>4504</v>
      </c>
      <c r="N25" t="s">
        <v>4512</v>
      </c>
      <c r="O25" t="s">
        <v>5833</v>
      </c>
      <c r="P25">
        <v>2023</v>
      </c>
      <c r="Q25">
        <v>39280</v>
      </c>
      <c r="R25" t="s">
        <v>5834</v>
      </c>
      <c r="S25" t="s">
        <v>3899</v>
      </c>
      <c r="T25" t="s">
        <v>5158</v>
      </c>
      <c r="U25" t="s">
        <v>5219</v>
      </c>
      <c r="V25" t="s">
        <v>5160</v>
      </c>
      <c r="W25">
        <v>12290000</v>
      </c>
      <c r="X25" t="s">
        <v>5161</v>
      </c>
      <c r="Y25">
        <v>18</v>
      </c>
      <c r="Z25" t="s">
        <v>16</v>
      </c>
      <c r="AA25" t="s">
        <v>5162</v>
      </c>
      <c r="AB25" t="s">
        <v>5528</v>
      </c>
      <c r="AC25" t="s">
        <v>5835</v>
      </c>
      <c r="AD25" t="s">
        <v>5832</v>
      </c>
      <c r="AE25" t="s">
        <v>5836</v>
      </c>
      <c r="AF25" t="s">
        <v>5731</v>
      </c>
      <c r="AG25">
        <v>1</v>
      </c>
      <c r="AH25" t="s">
        <v>8274</v>
      </c>
      <c r="AI25" t="s">
        <v>8320</v>
      </c>
      <c r="AJ25" t="s">
        <v>3961</v>
      </c>
      <c r="AK25">
        <v>1</v>
      </c>
      <c r="AL25">
        <v>0</v>
      </c>
      <c r="AM25" t="s">
        <v>3961</v>
      </c>
      <c r="AN25">
        <v>0</v>
      </c>
      <c r="AO25">
        <v>9650000</v>
      </c>
      <c r="AP25">
        <v>273990</v>
      </c>
      <c r="AQ25">
        <v>0</v>
      </c>
      <c r="AR25">
        <v>9923990</v>
      </c>
      <c r="AS25">
        <v>12290000</v>
      </c>
      <c r="AT25">
        <v>2366010</v>
      </c>
      <c r="AU25">
        <v>1925</v>
      </c>
    </row>
    <row r="26" spans="1:47" ht="13.5" customHeight="1" x14ac:dyDescent="0.3">
      <c r="A26" t="s">
        <v>5155</v>
      </c>
      <c r="B26" t="s">
        <v>5188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5707</v>
      </c>
      <c r="J26" t="s">
        <v>3961</v>
      </c>
      <c r="K26" t="s">
        <v>5322</v>
      </c>
      <c r="L26" t="s">
        <v>249</v>
      </c>
      <c r="M26" t="s">
        <v>277</v>
      </c>
      <c r="N26" t="s">
        <v>280</v>
      </c>
      <c r="O26" t="s">
        <v>5323</v>
      </c>
      <c r="P26">
        <v>2024</v>
      </c>
      <c r="Q26">
        <v>29570</v>
      </c>
      <c r="R26" t="s">
        <v>5324</v>
      </c>
      <c r="S26" t="s">
        <v>281</v>
      </c>
      <c r="T26" t="s">
        <v>5158</v>
      </c>
      <c r="U26" t="s">
        <v>5216</v>
      </c>
      <c r="V26" t="s">
        <v>5160</v>
      </c>
      <c r="W26">
        <v>19990000</v>
      </c>
      <c r="X26" t="s">
        <v>5161</v>
      </c>
      <c r="Y26">
        <v>67</v>
      </c>
      <c r="Z26" t="s">
        <v>21</v>
      </c>
      <c r="AA26" t="s">
        <v>5193</v>
      </c>
      <c r="AB26" t="s">
        <v>5325</v>
      </c>
      <c r="AC26" t="s">
        <v>5326</v>
      </c>
      <c r="AD26" t="s">
        <v>5322</v>
      </c>
      <c r="AE26" t="s">
        <v>5327</v>
      </c>
      <c r="AF26" t="s">
        <v>5708</v>
      </c>
      <c r="AG26">
        <v>1</v>
      </c>
      <c r="AH26" t="s">
        <v>5708</v>
      </c>
      <c r="AI26" t="s">
        <v>5709</v>
      </c>
      <c r="AJ26" t="s">
        <v>3961</v>
      </c>
      <c r="AK26">
        <v>1</v>
      </c>
      <c r="AL26">
        <v>0</v>
      </c>
      <c r="AM26" t="s">
        <v>3961</v>
      </c>
      <c r="AN26">
        <v>0</v>
      </c>
      <c r="AO26">
        <v>16000000</v>
      </c>
      <c r="AP26">
        <v>369240</v>
      </c>
      <c r="AQ26">
        <v>0</v>
      </c>
      <c r="AR26">
        <v>16369240</v>
      </c>
      <c r="AS26">
        <v>19990000</v>
      </c>
      <c r="AT26">
        <v>3620760</v>
      </c>
      <c r="AU26">
        <v>1811</v>
      </c>
    </row>
    <row r="27" spans="1:47" ht="13.5" customHeight="1" x14ac:dyDescent="0.3">
      <c r="A27" t="s">
        <v>5155</v>
      </c>
      <c r="B27" t="s">
        <v>5156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5966</v>
      </c>
      <c r="J27" t="s">
        <v>3961</v>
      </c>
      <c r="K27" t="s">
        <v>5605</v>
      </c>
      <c r="L27" t="s">
        <v>215</v>
      </c>
      <c r="M27" t="s">
        <v>216</v>
      </c>
      <c r="N27" t="s">
        <v>217</v>
      </c>
      <c r="O27" t="s">
        <v>5606</v>
      </c>
      <c r="P27">
        <v>2025</v>
      </c>
      <c r="Q27">
        <v>39700</v>
      </c>
      <c r="R27" t="s">
        <v>5607</v>
      </c>
      <c r="S27" t="s">
        <v>218</v>
      </c>
      <c r="T27" t="s">
        <v>5158</v>
      </c>
      <c r="U27" t="s">
        <v>5608</v>
      </c>
      <c r="V27" t="s">
        <v>5160</v>
      </c>
      <c r="W27">
        <v>21990000</v>
      </c>
      <c r="X27" t="s">
        <v>5161</v>
      </c>
      <c r="Y27">
        <v>44</v>
      </c>
      <c r="Z27" t="s">
        <v>21</v>
      </c>
      <c r="AA27" t="s">
        <v>5162</v>
      </c>
      <c r="AB27" t="s">
        <v>5176</v>
      </c>
      <c r="AC27" t="s">
        <v>5609</v>
      </c>
      <c r="AD27" t="s">
        <v>5605</v>
      </c>
      <c r="AE27" t="s">
        <v>5610</v>
      </c>
      <c r="AF27" t="s">
        <v>5855</v>
      </c>
      <c r="AG27">
        <v>1</v>
      </c>
      <c r="AH27" t="s">
        <v>5855</v>
      </c>
      <c r="AI27" t="s">
        <v>5967</v>
      </c>
      <c r="AJ27" t="s">
        <v>3961</v>
      </c>
      <c r="AK27">
        <v>1</v>
      </c>
      <c r="AL27">
        <v>0</v>
      </c>
      <c r="AM27" t="s">
        <v>3961</v>
      </c>
      <c r="AN27">
        <v>0</v>
      </c>
      <c r="AO27">
        <v>18300000</v>
      </c>
      <c r="AP27">
        <v>403740</v>
      </c>
      <c r="AQ27">
        <v>0</v>
      </c>
      <c r="AR27">
        <v>18703740</v>
      </c>
      <c r="AS27">
        <v>21990000</v>
      </c>
      <c r="AT27">
        <v>3286260</v>
      </c>
      <c r="AU27">
        <v>1494</v>
      </c>
    </row>
    <row r="28" spans="1:47" ht="13.5" customHeight="1" x14ac:dyDescent="0.3">
      <c r="A28" t="s">
        <v>5155</v>
      </c>
      <c r="B28" t="s">
        <v>5156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5723</v>
      </c>
      <c r="J28" t="s">
        <v>3961</v>
      </c>
      <c r="K28" t="s">
        <v>5724</v>
      </c>
      <c r="L28" t="s">
        <v>84</v>
      </c>
      <c r="M28" t="s">
        <v>3043</v>
      </c>
      <c r="N28" t="s">
        <v>5725</v>
      </c>
      <c r="O28" t="s">
        <v>5726</v>
      </c>
      <c r="P28">
        <v>2025</v>
      </c>
      <c r="Q28">
        <v>44200</v>
      </c>
      <c r="R28" t="s">
        <v>5727</v>
      </c>
      <c r="S28" t="s">
        <v>3044</v>
      </c>
      <c r="T28" t="s">
        <v>5158</v>
      </c>
      <c r="U28" t="s">
        <v>5728</v>
      </c>
      <c r="V28" t="s">
        <v>5160</v>
      </c>
      <c r="W28">
        <v>28990000</v>
      </c>
      <c r="X28" t="s">
        <v>5161</v>
      </c>
      <c r="Y28">
        <v>18</v>
      </c>
      <c r="Z28" t="s">
        <v>16</v>
      </c>
      <c r="AA28" t="s">
        <v>5162</v>
      </c>
      <c r="AB28" t="s">
        <v>5209</v>
      </c>
      <c r="AC28" t="s">
        <v>5729</v>
      </c>
      <c r="AD28" t="s">
        <v>5724</v>
      </c>
      <c r="AE28" t="s">
        <v>5730</v>
      </c>
      <c r="AF28" t="s">
        <v>5731</v>
      </c>
      <c r="AG28">
        <v>1</v>
      </c>
      <c r="AH28" t="s">
        <v>5731</v>
      </c>
      <c r="AI28" t="s">
        <v>5732</v>
      </c>
      <c r="AJ28" t="s">
        <v>3961</v>
      </c>
      <c r="AK28">
        <v>1</v>
      </c>
      <c r="AL28">
        <v>0</v>
      </c>
      <c r="AM28" t="s">
        <v>3961</v>
      </c>
      <c r="AN28">
        <v>0</v>
      </c>
      <c r="AO28">
        <v>22000000</v>
      </c>
      <c r="AP28">
        <v>459240</v>
      </c>
      <c r="AQ28">
        <v>0</v>
      </c>
      <c r="AR28">
        <v>22459240</v>
      </c>
      <c r="AS28">
        <v>28990000</v>
      </c>
      <c r="AT28">
        <v>6530760</v>
      </c>
      <c r="AU28">
        <v>2253</v>
      </c>
    </row>
    <row r="29" spans="1:47" ht="13.5" customHeight="1" x14ac:dyDescent="0.3">
      <c r="A29" t="s">
        <v>5155</v>
      </c>
      <c r="B29" t="s">
        <v>5204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5751</v>
      </c>
      <c r="J29" t="s">
        <v>3961</v>
      </c>
      <c r="K29" t="s">
        <v>5379</v>
      </c>
      <c r="L29" t="s">
        <v>181</v>
      </c>
      <c r="M29" t="s">
        <v>4436</v>
      </c>
      <c r="N29" t="s">
        <v>184</v>
      </c>
      <c r="O29" t="s">
        <v>5309</v>
      </c>
      <c r="P29">
        <v>2025</v>
      </c>
      <c r="Q29">
        <v>10200</v>
      </c>
      <c r="R29" t="s">
        <v>5380</v>
      </c>
      <c r="S29" t="s">
        <v>187</v>
      </c>
      <c r="T29" t="s">
        <v>5158</v>
      </c>
      <c r="U29" t="s">
        <v>5381</v>
      </c>
      <c r="V29" t="s">
        <v>5160</v>
      </c>
      <c r="W29">
        <v>16490000</v>
      </c>
      <c r="X29" t="s">
        <v>5161</v>
      </c>
      <c r="Y29">
        <v>214</v>
      </c>
      <c r="Z29" t="s">
        <v>34</v>
      </c>
      <c r="AA29" t="s">
        <v>5205</v>
      </c>
      <c r="AB29" t="s">
        <v>5209</v>
      </c>
      <c r="AC29" t="s">
        <v>5382</v>
      </c>
      <c r="AD29" t="s">
        <v>5383</v>
      </c>
      <c r="AE29" t="s">
        <v>5384</v>
      </c>
      <c r="AF29" t="s">
        <v>5752</v>
      </c>
      <c r="AG29">
        <v>1</v>
      </c>
      <c r="AH29" t="s">
        <v>5752</v>
      </c>
      <c r="AI29" t="s">
        <v>5753</v>
      </c>
      <c r="AJ29" t="s">
        <v>3961</v>
      </c>
      <c r="AK29">
        <v>1</v>
      </c>
      <c r="AL29">
        <v>0</v>
      </c>
      <c r="AM29" t="s">
        <v>3961</v>
      </c>
      <c r="AN29">
        <v>0</v>
      </c>
      <c r="AO29">
        <v>15500000</v>
      </c>
      <c r="AP29">
        <v>358530</v>
      </c>
      <c r="AQ29">
        <v>0</v>
      </c>
      <c r="AR29">
        <v>15858530</v>
      </c>
      <c r="AS29">
        <v>16490000</v>
      </c>
      <c r="AT29">
        <v>631470</v>
      </c>
      <c r="AU29">
        <v>383</v>
      </c>
    </row>
    <row r="30" spans="1:47" ht="13.5" customHeight="1" x14ac:dyDescent="0.3">
      <c r="A30" t="s">
        <v>5155</v>
      </c>
      <c r="B30" t="s">
        <v>5156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5828</v>
      </c>
      <c r="J30" t="s">
        <v>3961</v>
      </c>
      <c r="K30" t="s">
        <v>5531</v>
      </c>
      <c r="L30" t="s">
        <v>88</v>
      </c>
      <c r="M30" t="s">
        <v>138</v>
      </c>
      <c r="N30" t="s">
        <v>139</v>
      </c>
      <c r="O30" t="s">
        <v>5532</v>
      </c>
      <c r="P30">
        <v>2021</v>
      </c>
      <c r="Q30">
        <v>26963</v>
      </c>
      <c r="R30" t="s">
        <v>5533</v>
      </c>
      <c r="S30" t="s">
        <v>140</v>
      </c>
      <c r="T30" t="s">
        <v>5158</v>
      </c>
      <c r="U30" t="s">
        <v>5375</v>
      </c>
      <c r="V30" t="s">
        <v>5160</v>
      </c>
      <c r="W30">
        <v>12990000</v>
      </c>
      <c r="X30" t="s">
        <v>5161</v>
      </c>
      <c r="Y30">
        <v>1232</v>
      </c>
      <c r="Z30" t="s">
        <v>41</v>
      </c>
      <c r="AA30" t="s">
        <v>5162</v>
      </c>
      <c r="AB30" t="s">
        <v>5534</v>
      </c>
      <c r="AC30" t="s">
        <v>5535</v>
      </c>
      <c r="AD30" t="s">
        <v>5531</v>
      </c>
      <c r="AE30" t="s">
        <v>5536</v>
      </c>
      <c r="AF30" t="s">
        <v>5829</v>
      </c>
      <c r="AG30">
        <v>1</v>
      </c>
      <c r="AH30" t="s">
        <v>5829</v>
      </c>
      <c r="AI30" t="s">
        <v>5830</v>
      </c>
      <c r="AJ30" t="s">
        <v>3961</v>
      </c>
      <c r="AK30">
        <v>0</v>
      </c>
      <c r="AL30">
        <v>0</v>
      </c>
      <c r="AM30" t="s">
        <v>3961</v>
      </c>
      <c r="AN30">
        <v>0</v>
      </c>
      <c r="AO30">
        <v>15500000</v>
      </c>
      <c r="AP30">
        <v>899467</v>
      </c>
      <c r="AQ30">
        <v>0</v>
      </c>
      <c r="AR30">
        <v>16399467</v>
      </c>
      <c r="AS30">
        <v>12990000</v>
      </c>
      <c r="AT30">
        <v>-3409467</v>
      </c>
      <c r="AU30">
        <v>-2625</v>
      </c>
    </row>
    <row r="31" spans="1:47" ht="13.5" customHeight="1" x14ac:dyDescent="0.3">
      <c r="A31" t="s">
        <v>5155</v>
      </c>
      <c r="B31" t="s">
        <v>5179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5944</v>
      </c>
      <c r="J31" t="s">
        <v>3961</v>
      </c>
      <c r="K31" t="s">
        <v>5484</v>
      </c>
      <c r="L31" t="s">
        <v>161</v>
      </c>
      <c r="M31" t="s">
        <v>161</v>
      </c>
      <c r="N31" t="s">
        <v>169</v>
      </c>
      <c r="O31" t="s">
        <v>5485</v>
      </c>
      <c r="P31">
        <v>2024</v>
      </c>
      <c r="Q31">
        <v>25840</v>
      </c>
      <c r="R31" t="s">
        <v>5486</v>
      </c>
      <c r="S31" t="s">
        <v>170</v>
      </c>
      <c r="T31" t="s">
        <v>5158</v>
      </c>
      <c r="U31" t="s">
        <v>5297</v>
      </c>
      <c r="V31" t="s">
        <v>5160</v>
      </c>
      <c r="W31">
        <v>19990000</v>
      </c>
      <c r="X31" t="s">
        <v>5161</v>
      </c>
      <c r="Y31">
        <v>51</v>
      </c>
      <c r="Z31" t="s">
        <v>27</v>
      </c>
      <c r="AA31" t="s">
        <v>5184</v>
      </c>
      <c r="AB31" t="s">
        <v>5209</v>
      </c>
      <c r="AC31" t="s">
        <v>5487</v>
      </c>
      <c r="AD31" t="s">
        <v>5484</v>
      </c>
      <c r="AE31" t="s">
        <v>5488</v>
      </c>
      <c r="AF31" t="s">
        <v>5945</v>
      </c>
      <c r="AG31">
        <v>1</v>
      </c>
      <c r="AH31" t="s">
        <v>5945</v>
      </c>
      <c r="AI31" t="s">
        <v>5946</v>
      </c>
      <c r="AJ31" t="s">
        <v>3961</v>
      </c>
      <c r="AK31">
        <v>1</v>
      </c>
      <c r="AL31">
        <v>0</v>
      </c>
      <c r="AM31" t="s">
        <v>3961</v>
      </c>
      <c r="AN31">
        <v>0</v>
      </c>
      <c r="AO31">
        <v>17200000</v>
      </c>
      <c r="AP31">
        <v>387240</v>
      </c>
      <c r="AQ31">
        <v>0</v>
      </c>
      <c r="AR31">
        <v>17587240</v>
      </c>
      <c r="AS31">
        <v>19990000</v>
      </c>
      <c r="AT31">
        <v>2402760</v>
      </c>
      <c r="AU31">
        <v>1202</v>
      </c>
    </row>
    <row r="32" spans="1:47" ht="13.5" customHeight="1" x14ac:dyDescent="0.3">
      <c r="A32" t="s">
        <v>5155</v>
      </c>
      <c r="B32" t="s">
        <v>5188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5710</v>
      </c>
      <c r="J32" t="s">
        <v>3961</v>
      </c>
      <c r="K32" t="s">
        <v>5654</v>
      </c>
      <c r="L32" t="s">
        <v>152</v>
      </c>
      <c r="M32" t="s">
        <v>158</v>
      </c>
      <c r="N32" t="s">
        <v>159</v>
      </c>
      <c r="O32" t="s">
        <v>5655</v>
      </c>
      <c r="P32">
        <v>2022</v>
      </c>
      <c r="Q32">
        <v>58239</v>
      </c>
      <c r="R32" t="s">
        <v>5656</v>
      </c>
      <c r="S32" t="s">
        <v>160</v>
      </c>
      <c r="T32" t="s">
        <v>5158</v>
      </c>
      <c r="U32" t="s">
        <v>5375</v>
      </c>
      <c r="V32" t="s">
        <v>5160</v>
      </c>
      <c r="W32">
        <v>12490000</v>
      </c>
      <c r="X32" t="s">
        <v>5161</v>
      </c>
      <c r="Y32">
        <v>43</v>
      </c>
      <c r="Z32" t="s">
        <v>27</v>
      </c>
      <c r="AA32" t="s">
        <v>5193</v>
      </c>
      <c r="AB32" t="s">
        <v>5163</v>
      </c>
      <c r="AC32" t="s">
        <v>5657</v>
      </c>
      <c r="AD32" t="s">
        <v>5654</v>
      </c>
      <c r="AE32" t="s">
        <v>5658</v>
      </c>
      <c r="AF32" t="s">
        <v>5697</v>
      </c>
      <c r="AG32">
        <v>1</v>
      </c>
      <c r="AH32" t="s">
        <v>5697</v>
      </c>
      <c r="AI32" t="s">
        <v>5711</v>
      </c>
      <c r="AJ32" t="s">
        <v>3961</v>
      </c>
      <c r="AK32">
        <v>1</v>
      </c>
      <c r="AL32">
        <v>0</v>
      </c>
      <c r="AM32" t="s">
        <v>3961</v>
      </c>
      <c r="AN32">
        <v>0</v>
      </c>
      <c r="AO32">
        <v>10100000</v>
      </c>
      <c r="AP32">
        <v>280740</v>
      </c>
      <c r="AQ32">
        <v>0</v>
      </c>
      <c r="AR32">
        <v>10380740</v>
      </c>
      <c r="AS32">
        <v>12490000</v>
      </c>
      <c r="AT32">
        <v>2109260</v>
      </c>
      <c r="AU32">
        <v>1689</v>
      </c>
    </row>
    <row r="33" spans="1:47" ht="13.5" customHeight="1" x14ac:dyDescent="0.3">
      <c r="A33" t="s">
        <v>5155</v>
      </c>
      <c r="B33" t="s">
        <v>5156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5804</v>
      </c>
      <c r="J33" t="s">
        <v>3961</v>
      </c>
      <c r="K33" t="s">
        <v>5230</v>
      </c>
      <c r="L33" t="s">
        <v>161</v>
      </c>
      <c r="M33" t="s">
        <v>161</v>
      </c>
      <c r="N33" t="s">
        <v>167</v>
      </c>
      <c r="O33" t="s">
        <v>5231</v>
      </c>
      <c r="P33">
        <v>2025</v>
      </c>
      <c r="Q33">
        <v>17000</v>
      </c>
      <c r="R33" t="s">
        <v>5232</v>
      </c>
      <c r="S33" t="s">
        <v>168</v>
      </c>
      <c r="T33" t="s">
        <v>5158</v>
      </c>
      <c r="U33" t="s">
        <v>5233</v>
      </c>
      <c r="V33" t="s">
        <v>5160</v>
      </c>
      <c r="W33">
        <v>32990000</v>
      </c>
      <c r="X33" t="s">
        <v>5161</v>
      </c>
      <c r="Y33">
        <v>252</v>
      </c>
      <c r="Z33" t="s">
        <v>27</v>
      </c>
      <c r="AA33" t="s">
        <v>5162</v>
      </c>
      <c r="AB33" t="s">
        <v>5234</v>
      </c>
      <c r="AC33" t="s">
        <v>5235</v>
      </c>
      <c r="AD33" t="s">
        <v>5236</v>
      </c>
      <c r="AE33" t="s">
        <v>5237</v>
      </c>
      <c r="AF33" t="s">
        <v>5805</v>
      </c>
      <c r="AG33">
        <v>1</v>
      </c>
      <c r="AH33" t="s">
        <v>5805</v>
      </c>
      <c r="AI33" t="s">
        <v>5806</v>
      </c>
      <c r="AJ33" t="s">
        <v>3961</v>
      </c>
      <c r="AK33">
        <v>2</v>
      </c>
      <c r="AL33">
        <v>0</v>
      </c>
      <c r="AM33" t="s">
        <v>3961</v>
      </c>
      <c r="AN33">
        <v>0</v>
      </c>
      <c r="AO33">
        <v>28700000</v>
      </c>
      <c r="AP33">
        <v>1053703</v>
      </c>
      <c r="AQ33">
        <v>0</v>
      </c>
      <c r="AR33">
        <v>29753703</v>
      </c>
      <c r="AS33">
        <v>32990000</v>
      </c>
      <c r="AT33">
        <v>3236297</v>
      </c>
      <c r="AU33">
        <v>981</v>
      </c>
    </row>
    <row r="34" spans="1:47" ht="13.5" customHeight="1" x14ac:dyDescent="0.3">
      <c r="A34" t="s">
        <v>5155</v>
      </c>
      <c r="B34" t="s">
        <v>5188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8562</v>
      </c>
      <c r="J34" t="s">
        <v>3961</v>
      </c>
      <c r="K34" t="s">
        <v>8563</v>
      </c>
      <c r="L34" t="s">
        <v>222</v>
      </c>
      <c r="M34" t="s">
        <v>4653</v>
      </c>
      <c r="N34" t="s">
        <v>4654</v>
      </c>
      <c r="O34" t="s">
        <v>8560</v>
      </c>
      <c r="P34">
        <v>2023</v>
      </c>
      <c r="Q34">
        <v>67096</v>
      </c>
      <c r="R34" t="s">
        <v>8564</v>
      </c>
      <c r="S34" t="s">
        <v>6051</v>
      </c>
      <c r="T34" t="s">
        <v>5158</v>
      </c>
      <c r="U34" t="s">
        <v>8558</v>
      </c>
      <c r="V34" t="s">
        <v>5160</v>
      </c>
      <c r="W34">
        <v>22990000</v>
      </c>
      <c r="X34" t="s">
        <v>5161</v>
      </c>
      <c r="Y34">
        <v>11</v>
      </c>
      <c r="Z34" t="s">
        <v>27</v>
      </c>
      <c r="AA34" t="s">
        <v>5193</v>
      </c>
      <c r="AB34" t="s">
        <v>5185</v>
      </c>
      <c r="AC34" t="s">
        <v>8565</v>
      </c>
      <c r="AD34" t="s">
        <v>8563</v>
      </c>
      <c r="AE34" t="s">
        <v>8561</v>
      </c>
      <c r="AF34" t="s">
        <v>8206</v>
      </c>
      <c r="AG34">
        <v>1</v>
      </c>
      <c r="AH34" t="s">
        <v>8206</v>
      </c>
      <c r="AI34" t="s">
        <v>8566</v>
      </c>
      <c r="AJ34" t="s">
        <v>3961</v>
      </c>
      <c r="AK34">
        <v>1</v>
      </c>
      <c r="AL34">
        <v>0</v>
      </c>
      <c r="AM34" t="s">
        <v>3961</v>
      </c>
      <c r="AN34">
        <v>0</v>
      </c>
      <c r="AO34">
        <v>18300000</v>
      </c>
      <c r="AP34">
        <v>403740</v>
      </c>
      <c r="AQ34">
        <v>0</v>
      </c>
      <c r="AR34">
        <v>18703740</v>
      </c>
      <c r="AS34">
        <v>22990000</v>
      </c>
      <c r="AT34">
        <v>4286260</v>
      </c>
      <c r="AU34">
        <v>1864</v>
      </c>
    </row>
    <row r="35" spans="1:47" ht="13.5" customHeight="1" x14ac:dyDescent="0.3">
      <c r="A35" t="s">
        <v>5155</v>
      </c>
      <c r="B35" t="s">
        <v>5204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8620</v>
      </c>
      <c r="J35" t="s">
        <v>3961</v>
      </c>
      <c r="K35" t="s">
        <v>8621</v>
      </c>
      <c r="L35" t="s">
        <v>249</v>
      </c>
      <c r="M35" t="s">
        <v>4804</v>
      </c>
      <c r="N35" t="s">
        <v>8622</v>
      </c>
      <c r="O35" t="s">
        <v>8623</v>
      </c>
      <c r="P35">
        <v>2018</v>
      </c>
      <c r="Q35">
        <v>120000</v>
      </c>
      <c r="R35" t="s">
        <v>8624</v>
      </c>
      <c r="S35" t="s">
        <v>257</v>
      </c>
      <c r="T35" t="s">
        <v>5158</v>
      </c>
      <c r="U35" t="s">
        <v>8625</v>
      </c>
      <c r="V35" t="s">
        <v>5160</v>
      </c>
      <c r="W35">
        <v>14390000</v>
      </c>
      <c r="X35" t="s">
        <v>5161</v>
      </c>
      <c r="Y35">
        <v>1576</v>
      </c>
      <c r="Z35" t="s">
        <v>41</v>
      </c>
      <c r="AA35" t="s">
        <v>5205</v>
      </c>
      <c r="AB35" t="s">
        <v>8626</v>
      </c>
      <c r="AC35" t="s">
        <v>8627</v>
      </c>
      <c r="AD35" t="s">
        <v>8621</v>
      </c>
      <c r="AE35" t="s">
        <v>8628</v>
      </c>
      <c r="AF35" t="s">
        <v>8629</v>
      </c>
      <c r="AG35">
        <v>1</v>
      </c>
      <c r="AH35" t="s">
        <v>8630</v>
      </c>
      <c r="AI35" t="s">
        <v>8630</v>
      </c>
      <c r="AJ35" t="s">
        <v>3961</v>
      </c>
      <c r="AK35">
        <v>0</v>
      </c>
      <c r="AL35">
        <v>0</v>
      </c>
      <c r="AM35" t="s">
        <v>3961</v>
      </c>
      <c r="AN35">
        <v>0</v>
      </c>
      <c r="AO35">
        <v>17650000</v>
      </c>
      <c r="AP35">
        <v>753678</v>
      </c>
      <c r="AQ35">
        <v>0</v>
      </c>
      <c r="AR35">
        <v>18403678</v>
      </c>
      <c r="AS35">
        <v>14390000</v>
      </c>
      <c r="AT35">
        <v>-4013678</v>
      </c>
      <c r="AU35">
        <v>-2789</v>
      </c>
    </row>
    <row r="36" spans="1:47" ht="13.5" customHeight="1" x14ac:dyDescent="0.3">
      <c r="A36" t="s">
        <v>5155</v>
      </c>
      <c r="B36" t="s">
        <v>5156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8569</v>
      </c>
      <c r="J36" t="s">
        <v>3961</v>
      </c>
      <c r="K36" t="s">
        <v>8570</v>
      </c>
      <c r="L36" t="s">
        <v>161</v>
      </c>
      <c r="M36" t="s">
        <v>161</v>
      </c>
      <c r="N36" t="s">
        <v>4383</v>
      </c>
      <c r="O36" t="s">
        <v>8568</v>
      </c>
      <c r="P36">
        <v>2023</v>
      </c>
      <c r="Q36">
        <v>24756</v>
      </c>
      <c r="R36" t="s">
        <v>8571</v>
      </c>
      <c r="S36" t="s">
        <v>2586</v>
      </c>
      <c r="T36" t="s">
        <v>5158</v>
      </c>
      <c r="U36" t="s">
        <v>8572</v>
      </c>
      <c r="V36" t="s">
        <v>5160</v>
      </c>
      <c r="W36">
        <v>11990000</v>
      </c>
      <c r="X36" t="s">
        <v>5161</v>
      </c>
      <c r="Y36">
        <v>3</v>
      </c>
      <c r="Z36" t="s">
        <v>16</v>
      </c>
      <c r="AA36" t="s">
        <v>5162</v>
      </c>
      <c r="AB36" t="s">
        <v>3961</v>
      </c>
      <c r="AC36" t="s">
        <v>8573</v>
      </c>
      <c r="AD36" t="s">
        <v>8574</v>
      </c>
      <c r="AE36" t="s">
        <v>8575</v>
      </c>
      <c r="AF36" t="s">
        <v>8559</v>
      </c>
      <c r="AG36">
        <v>1</v>
      </c>
      <c r="AH36" t="s">
        <v>8559</v>
      </c>
      <c r="AI36" t="s">
        <v>8576</v>
      </c>
      <c r="AJ36" t="s">
        <v>3961</v>
      </c>
      <c r="AK36">
        <v>1</v>
      </c>
      <c r="AL36">
        <v>0</v>
      </c>
      <c r="AM36" t="s">
        <v>3961</v>
      </c>
      <c r="AN36">
        <v>0</v>
      </c>
      <c r="AO36">
        <v>10100000</v>
      </c>
      <c r="AP36">
        <v>0</v>
      </c>
      <c r="AQ36">
        <v>0</v>
      </c>
      <c r="AR36">
        <v>10100000</v>
      </c>
      <c r="AS36">
        <v>11990000</v>
      </c>
      <c r="AT36">
        <v>1890000</v>
      </c>
      <c r="AU36">
        <v>1576</v>
      </c>
    </row>
    <row r="37" spans="1:47" ht="13.5" customHeight="1" x14ac:dyDescent="0.3">
      <c r="A37" t="s">
        <v>5155</v>
      </c>
      <c r="B37" t="s">
        <v>5188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5926</v>
      </c>
      <c r="J37" t="s">
        <v>3961</v>
      </c>
      <c r="K37" t="s">
        <v>5590</v>
      </c>
      <c r="L37" t="s">
        <v>228</v>
      </c>
      <c r="M37" t="s">
        <v>231</v>
      </c>
      <c r="N37" t="s">
        <v>232</v>
      </c>
      <c r="O37" t="s">
        <v>5591</v>
      </c>
      <c r="P37">
        <v>2023</v>
      </c>
      <c r="Q37">
        <v>45000</v>
      </c>
      <c r="R37" t="s">
        <v>5592</v>
      </c>
      <c r="S37" t="s">
        <v>234</v>
      </c>
      <c r="T37" t="s">
        <v>5158</v>
      </c>
      <c r="U37" t="s">
        <v>5221</v>
      </c>
      <c r="V37" t="s">
        <v>5160</v>
      </c>
      <c r="W37">
        <v>17390000</v>
      </c>
      <c r="X37" t="s">
        <v>5161</v>
      </c>
      <c r="Y37">
        <v>196</v>
      </c>
      <c r="Z37" t="s">
        <v>27</v>
      </c>
      <c r="AA37" t="s">
        <v>5193</v>
      </c>
      <c r="AB37" t="s">
        <v>5185</v>
      </c>
      <c r="AC37" t="s">
        <v>5593</v>
      </c>
      <c r="AD37" t="s">
        <v>5590</v>
      </c>
      <c r="AE37" t="s">
        <v>5594</v>
      </c>
      <c r="AF37" t="s">
        <v>5927</v>
      </c>
      <c r="AG37">
        <v>1</v>
      </c>
      <c r="AH37" t="s">
        <v>8287</v>
      </c>
      <c r="AI37" t="s">
        <v>8287</v>
      </c>
      <c r="AJ37" t="s">
        <v>5757</v>
      </c>
      <c r="AK37">
        <v>1</v>
      </c>
      <c r="AL37">
        <v>0</v>
      </c>
      <c r="AM37" t="s">
        <v>3961</v>
      </c>
      <c r="AN37">
        <v>0</v>
      </c>
      <c r="AO37">
        <v>15400000</v>
      </c>
      <c r="AP37">
        <v>566967</v>
      </c>
      <c r="AQ37">
        <v>0</v>
      </c>
      <c r="AR37">
        <v>15966967</v>
      </c>
      <c r="AS37">
        <v>17390000</v>
      </c>
      <c r="AT37">
        <v>1423033</v>
      </c>
      <c r="AU37">
        <v>818</v>
      </c>
    </row>
    <row r="38" spans="1:47" ht="13.5" customHeight="1" x14ac:dyDescent="0.3">
      <c r="A38" t="s">
        <v>5155</v>
      </c>
      <c r="B38" t="s">
        <v>5179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5699</v>
      </c>
      <c r="J38" t="s">
        <v>3961</v>
      </c>
      <c r="K38" t="s">
        <v>5700</v>
      </c>
      <c r="L38" t="s">
        <v>88</v>
      </c>
      <c r="M38" t="s">
        <v>126</v>
      </c>
      <c r="N38" t="s">
        <v>4288</v>
      </c>
      <c r="O38" t="s">
        <v>5701</v>
      </c>
      <c r="P38">
        <v>2024</v>
      </c>
      <c r="Q38">
        <v>40100</v>
      </c>
      <c r="R38" t="s">
        <v>5702</v>
      </c>
      <c r="S38" t="s">
        <v>414</v>
      </c>
      <c r="T38" t="s">
        <v>5158</v>
      </c>
      <c r="U38" t="s">
        <v>5521</v>
      </c>
      <c r="V38" t="s">
        <v>5160</v>
      </c>
      <c r="W38">
        <v>28490000</v>
      </c>
      <c r="X38" t="s">
        <v>5161</v>
      </c>
      <c r="Y38">
        <v>104</v>
      </c>
      <c r="Z38" t="s">
        <v>27</v>
      </c>
      <c r="AA38" t="s">
        <v>5184</v>
      </c>
      <c r="AB38" t="s">
        <v>3961</v>
      </c>
      <c r="AC38" t="s">
        <v>5703</v>
      </c>
      <c r="AD38" t="s">
        <v>5700</v>
      </c>
      <c r="AE38" t="s">
        <v>5704</v>
      </c>
      <c r="AF38" t="s">
        <v>5705</v>
      </c>
      <c r="AG38">
        <v>1</v>
      </c>
      <c r="AH38" t="s">
        <v>5705</v>
      </c>
      <c r="AI38" t="s">
        <v>5706</v>
      </c>
      <c r="AJ38" t="s">
        <v>3961</v>
      </c>
      <c r="AK38">
        <v>0</v>
      </c>
      <c r="AL38">
        <v>0</v>
      </c>
      <c r="AM38" t="s">
        <v>3961</v>
      </c>
      <c r="AN38">
        <v>0</v>
      </c>
      <c r="AO38">
        <v>24000000</v>
      </c>
      <c r="AP38">
        <v>877705</v>
      </c>
      <c r="AQ38">
        <v>0</v>
      </c>
      <c r="AR38">
        <v>24877705</v>
      </c>
      <c r="AS38">
        <v>28490000</v>
      </c>
      <c r="AT38">
        <v>3612295</v>
      </c>
      <c r="AU38">
        <v>1268</v>
      </c>
    </row>
    <row r="39" spans="1:47" ht="13.5" customHeight="1" x14ac:dyDescent="0.3">
      <c r="A39" t="s">
        <v>5155</v>
      </c>
      <c r="B39" t="s">
        <v>5188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5993</v>
      </c>
      <c r="J39" t="s">
        <v>3961</v>
      </c>
      <c r="K39" t="s">
        <v>5626</v>
      </c>
      <c r="L39" t="s">
        <v>249</v>
      </c>
      <c r="M39" t="s">
        <v>4840</v>
      </c>
      <c r="N39" t="s">
        <v>270</v>
      </c>
      <c r="O39" t="s">
        <v>5173</v>
      </c>
      <c r="P39">
        <v>2021</v>
      </c>
      <c r="Q39">
        <v>77000</v>
      </c>
      <c r="R39" t="s">
        <v>5627</v>
      </c>
      <c r="S39" t="s">
        <v>271</v>
      </c>
      <c r="T39" t="s">
        <v>5158</v>
      </c>
      <c r="U39" t="s">
        <v>5618</v>
      </c>
      <c r="V39" t="s">
        <v>5160</v>
      </c>
      <c r="W39">
        <v>16490000</v>
      </c>
      <c r="X39" t="s">
        <v>5161</v>
      </c>
      <c r="Y39">
        <v>74</v>
      </c>
      <c r="Z39" t="s">
        <v>27</v>
      </c>
      <c r="AA39" t="s">
        <v>5193</v>
      </c>
      <c r="AB39" t="s">
        <v>5163</v>
      </c>
      <c r="AC39" t="s">
        <v>5628</v>
      </c>
      <c r="AD39" t="s">
        <v>5626</v>
      </c>
      <c r="AE39" t="s">
        <v>5629</v>
      </c>
      <c r="AF39" t="s">
        <v>5994</v>
      </c>
      <c r="AG39">
        <v>1</v>
      </c>
      <c r="AH39" t="s">
        <v>5994</v>
      </c>
      <c r="AI39" t="s">
        <v>5995</v>
      </c>
      <c r="AJ39" t="s">
        <v>3961</v>
      </c>
      <c r="AK39">
        <v>1</v>
      </c>
      <c r="AL39">
        <v>0</v>
      </c>
      <c r="AM39" t="s">
        <v>3961</v>
      </c>
      <c r="AN39">
        <v>0</v>
      </c>
      <c r="AO39">
        <v>14600000</v>
      </c>
      <c r="AP39">
        <v>348240</v>
      </c>
      <c r="AQ39">
        <v>0</v>
      </c>
      <c r="AR39">
        <v>14948240</v>
      </c>
      <c r="AS39">
        <v>16490000</v>
      </c>
      <c r="AT39">
        <v>1541760</v>
      </c>
      <c r="AU39">
        <v>935</v>
      </c>
    </row>
    <row r="40" spans="1:47" ht="13.5" customHeight="1" x14ac:dyDescent="0.3">
      <c r="A40" t="s">
        <v>5155</v>
      </c>
      <c r="B40" t="s">
        <v>5188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5908</v>
      </c>
      <c r="J40" t="s">
        <v>3961</v>
      </c>
      <c r="K40" t="s">
        <v>5206</v>
      </c>
      <c r="L40" t="s">
        <v>249</v>
      </c>
      <c r="M40" t="s">
        <v>4804</v>
      </c>
      <c r="N40" t="s">
        <v>255</v>
      </c>
      <c r="O40" t="s">
        <v>5207</v>
      </c>
      <c r="P40">
        <v>2025</v>
      </c>
      <c r="Q40">
        <v>4687</v>
      </c>
      <c r="R40" t="s">
        <v>5208</v>
      </c>
      <c r="S40" t="s">
        <v>256</v>
      </c>
      <c r="T40" t="s">
        <v>5158</v>
      </c>
      <c r="U40" t="s">
        <v>5159</v>
      </c>
      <c r="V40" t="s">
        <v>5160</v>
      </c>
      <c r="W40">
        <v>23890000</v>
      </c>
      <c r="X40" t="s">
        <v>5161</v>
      </c>
      <c r="Y40">
        <v>253</v>
      </c>
      <c r="Z40" t="s">
        <v>27</v>
      </c>
      <c r="AA40" t="s">
        <v>5193</v>
      </c>
      <c r="AB40" t="s">
        <v>5209</v>
      </c>
      <c r="AC40" t="s">
        <v>5210</v>
      </c>
      <c r="AD40" t="s">
        <v>5206</v>
      </c>
      <c r="AE40" t="s">
        <v>5211</v>
      </c>
      <c r="AF40" t="s">
        <v>5909</v>
      </c>
      <c r="AG40">
        <v>1</v>
      </c>
      <c r="AH40" t="s">
        <v>5909</v>
      </c>
      <c r="AI40" t="s">
        <v>5910</v>
      </c>
      <c r="AJ40" t="s">
        <v>3961</v>
      </c>
      <c r="AK40">
        <v>1</v>
      </c>
      <c r="AL40">
        <v>0</v>
      </c>
      <c r="AM40" t="s">
        <v>3961</v>
      </c>
      <c r="AN40">
        <v>0</v>
      </c>
      <c r="AO40">
        <v>28490000</v>
      </c>
      <c r="AP40">
        <v>914223</v>
      </c>
      <c r="AQ40">
        <v>0</v>
      </c>
      <c r="AR40">
        <v>29404223</v>
      </c>
      <c r="AS40">
        <v>23890000</v>
      </c>
      <c r="AT40">
        <v>-5514223</v>
      </c>
      <c r="AU40">
        <v>-2308</v>
      </c>
    </row>
    <row r="41" spans="1:47" ht="13.5" customHeight="1" x14ac:dyDescent="0.3">
      <c r="A41" t="s">
        <v>5155</v>
      </c>
      <c r="B41" t="s">
        <v>5204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8597</v>
      </c>
      <c r="J41" t="s">
        <v>3961</v>
      </c>
      <c r="K41" t="s">
        <v>8631</v>
      </c>
      <c r="L41" t="s">
        <v>70</v>
      </c>
      <c r="M41" t="s">
        <v>70</v>
      </c>
      <c r="N41" t="s">
        <v>80</v>
      </c>
      <c r="O41" t="s">
        <v>8599</v>
      </c>
      <c r="P41">
        <v>2014</v>
      </c>
      <c r="Q41">
        <v>0</v>
      </c>
      <c r="R41" t="s">
        <v>8632</v>
      </c>
      <c r="S41" t="s">
        <v>8633</v>
      </c>
      <c r="T41" t="s">
        <v>5158</v>
      </c>
      <c r="U41" t="s">
        <v>5200</v>
      </c>
      <c r="V41" t="s">
        <v>8602</v>
      </c>
      <c r="W41">
        <v>3490000</v>
      </c>
      <c r="X41" t="s">
        <v>5161</v>
      </c>
      <c r="Y41">
        <v>4391</v>
      </c>
      <c r="Z41" t="s">
        <v>8603</v>
      </c>
      <c r="AA41" t="s">
        <v>5205</v>
      </c>
      <c r="AB41" t="s">
        <v>3961</v>
      </c>
      <c r="AC41" t="s">
        <v>8634</v>
      </c>
      <c r="AD41" t="s">
        <v>8631</v>
      </c>
      <c r="AE41" t="s">
        <v>8606</v>
      </c>
      <c r="AF41" t="s">
        <v>8635</v>
      </c>
      <c r="AG41">
        <v>0</v>
      </c>
      <c r="AH41" t="s">
        <v>3961</v>
      </c>
      <c r="AI41" t="s">
        <v>3961</v>
      </c>
      <c r="AJ41" t="s">
        <v>8635</v>
      </c>
      <c r="AK41">
        <v>0</v>
      </c>
      <c r="AL41">
        <v>0</v>
      </c>
      <c r="AM41" t="s">
        <v>3961</v>
      </c>
      <c r="AN41">
        <v>0</v>
      </c>
      <c r="AO41">
        <v>82597</v>
      </c>
      <c r="AP41">
        <v>4016851</v>
      </c>
      <c r="AQ41">
        <v>0</v>
      </c>
      <c r="AR41">
        <v>4099448</v>
      </c>
      <c r="AS41">
        <v>3490000</v>
      </c>
      <c r="AT41">
        <v>-609448</v>
      </c>
      <c r="AU41">
        <v>-1746</v>
      </c>
    </row>
    <row r="42" spans="1:47" ht="13.5" customHeight="1" x14ac:dyDescent="0.3">
      <c r="A42" t="s">
        <v>5155</v>
      </c>
      <c r="B42" t="s">
        <v>5156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8207</v>
      </c>
      <c r="J42" t="s">
        <v>3961</v>
      </c>
      <c r="K42" t="s">
        <v>8208</v>
      </c>
      <c r="L42" t="s">
        <v>70</v>
      </c>
      <c r="M42" t="s">
        <v>8209</v>
      </c>
      <c r="N42" t="s">
        <v>8210</v>
      </c>
      <c r="O42" t="s">
        <v>8211</v>
      </c>
      <c r="P42">
        <v>2026</v>
      </c>
      <c r="Q42">
        <v>598</v>
      </c>
      <c r="R42" t="s">
        <v>8212</v>
      </c>
      <c r="S42" t="s">
        <v>6055</v>
      </c>
      <c r="T42" t="s">
        <v>5158</v>
      </c>
      <c r="U42" t="s">
        <v>5646</v>
      </c>
      <c r="V42" t="s">
        <v>5160</v>
      </c>
      <c r="W42">
        <v>18990000</v>
      </c>
      <c r="X42" t="s">
        <v>5161</v>
      </c>
      <c r="Y42">
        <v>13</v>
      </c>
      <c r="Z42" t="s">
        <v>16</v>
      </c>
      <c r="AA42" t="s">
        <v>5162</v>
      </c>
      <c r="AB42" t="s">
        <v>5163</v>
      </c>
      <c r="AC42" t="s">
        <v>8213</v>
      </c>
      <c r="AD42" t="s">
        <v>8208</v>
      </c>
      <c r="AE42" t="s">
        <v>5378</v>
      </c>
      <c r="AF42" t="s">
        <v>8214</v>
      </c>
      <c r="AG42">
        <v>1</v>
      </c>
      <c r="AH42" t="s">
        <v>8214</v>
      </c>
      <c r="AI42" t="s">
        <v>8215</v>
      </c>
      <c r="AJ42" t="s">
        <v>3961</v>
      </c>
      <c r="AK42">
        <v>1</v>
      </c>
      <c r="AL42">
        <v>0</v>
      </c>
      <c r="AM42" t="s">
        <v>3961</v>
      </c>
      <c r="AN42">
        <v>0</v>
      </c>
      <c r="AO42">
        <v>16500000</v>
      </c>
      <c r="AP42">
        <v>376740</v>
      </c>
      <c r="AQ42">
        <v>0</v>
      </c>
      <c r="AR42">
        <v>16876740</v>
      </c>
      <c r="AS42">
        <v>18990000</v>
      </c>
      <c r="AT42">
        <v>2113260</v>
      </c>
      <c r="AU42">
        <v>1113</v>
      </c>
    </row>
    <row r="43" spans="1:47" ht="13.5" customHeight="1" x14ac:dyDescent="0.3">
      <c r="A43" t="s">
        <v>5155</v>
      </c>
      <c r="B43" t="s">
        <v>5188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8232</v>
      </c>
      <c r="J43" t="s">
        <v>3961</v>
      </c>
      <c r="K43" t="s">
        <v>8233</v>
      </c>
      <c r="L43" t="s">
        <v>2507</v>
      </c>
      <c r="M43" t="s">
        <v>2507</v>
      </c>
      <c r="N43" t="s">
        <v>4014</v>
      </c>
      <c r="O43" t="s">
        <v>3961</v>
      </c>
      <c r="P43">
        <v>2022</v>
      </c>
      <c r="Q43">
        <v>75000</v>
      </c>
      <c r="R43" t="s">
        <v>8234</v>
      </c>
      <c r="S43" t="s">
        <v>8084</v>
      </c>
      <c r="T43" t="s">
        <v>5158</v>
      </c>
      <c r="U43" t="s">
        <v>5200</v>
      </c>
      <c r="V43" t="s">
        <v>5160</v>
      </c>
      <c r="W43">
        <v>9490000</v>
      </c>
      <c r="X43" t="s">
        <v>5161</v>
      </c>
      <c r="Y43">
        <v>11</v>
      </c>
      <c r="Z43" t="s">
        <v>27</v>
      </c>
      <c r="AA43" t="s">
        <v>5193</v>
      </c>
      <c r="AB43" t="s">
        <v>8235</v>
      </c>
      <c r="AC43" t="s">
        <v>8236</v>
      </c>
      <c r="AD43" t="s">
        <v>8233</v>
      </c>
      <c r="AE43" t="s">
        <v>8237</v>
      </c>
      <c r="AF43" t="s">
        <v>8206</v>
      </c>
      <c r="AG43">
        <v>1</v>
      </c>
      <c r="AH43" t="s">
        <v>8206</v>
      </c>
      <c r="AI43" t="s">
        <v>8238</v>
      </c>
      <c r="AJ43" t="s">
        <v>3961</v>
      </c>
      <c r="AK43">
        <v>1</v>
      </c>
      <c r="AL43">
        <v>0</v>
      </c>
      <c r="AM43" t="s">
        <v>3961</v>
      </c>
      <c r="AN43">
        <v>0</v>
      </c>
      <c r="AO43">
        <v>7100000</v>
      </c>
      <c r="AP43">
        <v>235740</v>
      </c>
      <c r="AQ43">
        <v>0</v>
      </c>
      <c r="AR43">
        <v>7335740</v>
      </c>
      <c r="AS43">
        <v>9490000</v>
      </c>
      <c r="AT43">
        <v>2154260</v>
      </c>
      <c r="AU43">
        <v>227</v>
      </c>
    </row>
    <row r="44" spans="1:47" ht="13.5" customHeight="1" x14ac:dyDescent="0.3">
      <c r="A44" t="s">
        <v>5155</v>
      </c>
      <c r="B44" t="s">
        <v>5204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5890</v>
      </c>
      <c r="J44" t="s">
        <v>3961</v>
      </c>
      <c r="K44" t="s">
        <v>5258</v>
      </c>
      <c r="L44" t="s">
        <v>62</v>
      </c>
      <c r="M44" t="s">
        <v>63</v>
      </c>
      <c r="N44" t="s">
        <v>64</v>
      </c>
      <c r="O44" t="s">
        <v>5259</v>
      </c>
      <c r="P44">
        <v>2019</v>
      </c>
      <c r="Q44">
        <v>72580</v>
      </c>
      <c r="R44" t="s">
        <v>5260</v>
      </c>
      <c r="S44" t="s">
        <v>66</v>
      </c>
      <c r="T44" t="s">
        <v>5158</v>
      </c>
      <c r="U44" t="s">
        <v>5261</v>
      </c>
      <c r="V44" t="s">
        <v>5160</v>
      </c>
      <c r="W44">
        <v>9290000</v>
      </c>
      <c r="X44" t="s">
        <v>5161</v>
      </c>
      <c r="Y44">
        <v>39</v>
      </c>
      <c r="Z44" t="s">
        <v>41</v>
      </c>
      <c r="AA44" t="s">
        <v>5205</v>
      </c>
      <c r="AB44" t="s">
        <v>5262</v>
      </c>
      <c r="AC44" t="s">
        <v>5263</v>
      </c>
      <c r="AD44" t="s">
        <v>5264</v>
      </c>
      <c r="AE44" t="s">
        <v>5265</v>
      </c>
      <c r="AF44" t="s">
        <v>5891</v>
      </c>
      <c r="AG44">
        <v>1</v>
      </c>
      <c r="AH44" t="s">
        <v>5891</v>
      </c>
      <c r="AI44" t="s">
        <v>5892</v>
      </c>
      <c r="AJ44" t="s">
        <v>3961</v>
      </c>
      <c r="AK44">
        <v>4</v>
      </c>
      <c r="AL44">
        <v>0</v>
      </c>
      <c r="AM44" t="s">
        <v>3961</v>
      </c>
      <c r="AN44">
        <v>0</v>
      </c>
      <c r="AO44">
        <v>8300000</v>
      </c>
      <c r="AP44">
        <v>253740</v>
      </c>
      <c r="AQ44">
        <v>0</v>
      </c>
      <c r="AR44">
        <v>8553740</v>
      </c>
      <c r="AS44">
        <v>9290000</v>
      </c>
      <c r="AT44">
        <v>736260</v>
      </c>
      <c r="AU44">
        <v>793</v>
      </c>
    </row>
    <row r="45" spans="1:47" ht="13.5" customHeight="1" x14ac:dyDescent="0.3">
      <c r="A45" t="s">
        <v>5155</v>
      </c>
      <c r="B45" t="s">
        <v>5204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5887</v>
      </c>
      <c r="J45" t="s">
        <v>3961</v>
      </c>
      <c r="K45" t="s">
        <v>5245</v>
      </c>
      <c r="L45" t="s">
        <v>228</v>
      </c>
      <c r="M45" t="s">
        <v>236</v>
      </c>
      <c r="N45" t="s">
        <v>237</v>
      </c>
      <c r="O45" t="s">
        <v>5246</v>
      </c>
      <c r="P45">
        <v>2020</v>
      </c>
      <c r="Q45">
        <v>96000</v>
      </c>
      <c r="R45" t="s">
        <v>5247</v>
      </c>
      <c r="S45" t="s">
        <v>238</v>
      </c>
      <c r="T45" t="s">
        <v>5158</v>
      </c>
      <c r="U45" t="s">
        <v>5221</v>
      </c>
      <c r="V45" t="s">
        <v>5160</v>
      </c>
      <c r="W45">
        <v>10990000</v>
      </c>
      <c r="X45" t="s">
        <v>5161</v>
      </c>
      <c r="Y45">
        <v>128</v>
      </c>
      <c r="Z45" t="s">
        <v>27</v>
      </c>
      <c r="AA45" t="s">
        <v>5205</v>
      </c>
      <c r="AB45" t="s">
        <v>5248</v>
      </c>
      <c r="AC45" t="s">
        <v>5249</v>
      </c>
      <c r="AD45" t="s">
        <v>5245</v>
      </c>
      <c r="AE45" t="s">
        <v>5250</v>
      </c>
      <c r="AF45" t="s">
        <v>5888</v>
      </c>
      <c r="AG45">
        <v>1</v>
      </c>
      <c r="AH45" t="s">
        <v>5888</v>
      </c>
      <c r="AI45" t="s">
        <v>5889</v>
      </c>
      <c r="AJ45" t="s">
        <v>5735</v>
      </c>
      <c r="AK45">
        <v>4</v>
      </c>
      <c r="AL45">
        <v>0</v>
      </c>
      <c r="AM45" t="s">
        <v>3961</v>
      </c>
      <c r="AN45">
        <v>0</v>
      </c>
      <c r="AO45">
        <v>8500000</v>
      </c>
      <c r="AP45">
        <v>253530</v>
      </c>
      <c r="AQ45">
        <v>0</v>
      </c>
      <c r="AR45">
        <v>8753530</v>
      </c>
      <c r="AS45">
        <v>10990000</v>
      </c>
      <c r="AT45">
        <v>2236470</v>
      </c>
      <c r="AU45">
        <v>2035</v>
      </c>
    </row>
    <row r="46" spans="1:47" ht="13.5" customHeight="1" x14ac:dyDescent="0.3">
      <c r="A46" t="s">
        <v>5155</v>
      </c>
      <c r="B46" t="s">
        <v>5188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5821</v>
      </c>
      <c r="J46" t="s">
        <v>3961</v>
      </c>
      <c r="K46" t="s">
        <v>5512</v>
      </c>
      <c r="L46" t="s">
        <v>194</v>
      </c>
      <c r="M46" t="s">
        <v>207</v>
      </c>
      <c r="N46" t="s">
        <v>208</v>
      </c>
      <c r="O46" t="s">
        <v>5513</v>
      </c>
      <c r="P46">
        <v>2023</v>
      </c>
      <c r="Q46">
        <v>43000</v>
      </c>
      <c r="R46" t="s">
        <v>5514</v>
      </c>
      <c r="S46" t="s">
        <v>209</v>
      </c>
      <c r="T46" t="s">
        <v>5158</v>
      </c>
      <c r="U46" t="s">
        <v>5481</v>
      </c>
      <c r="V46" t="s">
        <v>5160</v>
      </c>
      <c r="W46">
        <v>19990000</v>
      </c>
      <c r="X46" t="s">
        <v>5161</v>
      </c>
      <c r="Y46">
        <v>49</v>
      </c>
      <c r="Z46" t="s">
        <v>21</v>
      </c>
      <c r="AA46" t="s">
        <v>5193</v>
      </c>
      <c r="AB46" t="s">
        <v>5163</v>
      </c>
      <c r="AC46" t="s">
        <v>5515</v>
      </c>
      <c r="AD46" t="s">
        <v>5512</v>
      </c>
      <c r="AE46" t="s">
        <v>5516</v>
      </c>
      <c r="AF46" t="s">
        <v>5822</v>
      </c>
      <c r="AG46">
        <v>1</v>
      </c>
      <c r="AH46" t="s">
        <v>5822</v>
      </c>
      <c r="AI46" t="s">
        <v>5823</v>
      </c>
      <c r="AJ46" t="s">
        <v>5824</v>
      </c>
      <c r="AK46">
        <v>1</v>
      </c>
      <c r="AL46">
        <v>0</v>
      </c>
      <c r="AM46" t="s">
        <v>3961</v>
      </c>
      <c r="AN46">
        <v>0</v>
      </c>
      <c r="AO46">
        <v>17000000</v>
      </c>
      <c r="AP46">
        <v>384240</v>
      </c>
      <c r="AQ46">
        <v>0</v>
      </c>
      <c r="AR46">
        <v>17384240</v>
      </c>
      <c r="AS46">
        <v>19990000</v>
      </c>
      <c r="AT46">
        <v>2605760</v>
      </c>
      <c r="AU46">
        <v>1304</v>
      </c>
    </row>
    <row r="47" spans="1:47" ht="13.5" customHeight="1" x14ac:dyDescent="0.3">
      <c r="A47" t="s">
        <v>5155</v>
      </c>
      <c r="B47" t="s">
        <v>5188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5911</v>
      </c>
      <c r="J47" t="s">
        <v>3961</v>
      </c>
      <c r="K47" t="s">
        <v>5542</v>
      </c>
      <c r="L47" t="s">
        <v>88</v>
      </c>
      <c r="M47" t="s">
        <v>100</v>
      </c>
      <c r="N47" t="s">
        <v>101</v>
      </c>
      <c r="O47" t="s">
        <v>5348</v>
      </c>
      <c r="P47">
        <v>2023</v>
      </c>
      <c r="Q47">
        <v>45000</v>
      </c>
      <c r="R47" t="s">
        <v>5543</v>
      </c>
      <c r="S47" t="s">
        <v>102</v>
      </c>
      <c r="T47" t="s">
        <v>5158</v>
      </c>
      <c r="U47" t="s">
        <v>5427</v>
      </c>
      <c r="V47" t="s">
        <v>5160</v>
      </c>
      <c r="W47">
        <v>19990000</v>
      </c>
      <c r="X47" t="s">
        <v>5161</v>
      </c>
      <c r="Y47">
        <v>135</v>
      </c>
      <c r="Z47" t="s">
        <v>27</v>
      </c>
      <c r="AA47" t="s">
        <v>5193</v>
      </c>
      <c r="AB47" t="s">
        <v>5209</v>
      </c>
      <c r="AC47" t="s">
        <v>5544</v>
      </c>
      <c r="AD47" t="s">
        <v>5542</v>
      </c>
      <c r="AE47" t="s">
        <v>5545</v>
      </c>
      <c r="AF47" t="s">
        <v>5912</v>
      </c>
      <c r="AG47">
        <v>1</v>
      </c>
      <c r="AH47" t="s">
        <v>5912</v>
      </c>
      <c r="AI47" t="s">
        <v>5913</v>
      </c>
      <c r="AJ47" t="s">
        <v>3961</v>
      </c>
      <c r="AK47">
        <v>1</v>
      </c>
      <c r="AL47">
        <v>0</v>
      </c>
      <c r="AM47" t="s">
        <v>3961</v>
      </c>
      <c r="AN47">
        <v>0</v>
      </c>
      <c r="AO47">
        <v>17500000</v>
      </c>
      <c r="AP47">
        <v>388530</v>
      </c>
      <c r="AQ47">
        <v>0</v>
      </c>
      <c r="AR47">
        <v>17888530</v>
      </c>
      <c r="AS47">
        <v>19990000</v>
      </c>
      <c r="AT47">
        <v>2101470</v>
      </c>
      <c r="AU47">
        <v>1051</v>
      </c>
    </row>
    <row r="48" spans="1:47" ht="13.5" customHeight="1" x14ac:dyDescent="0.3">
      <c r="A48" t="s">
        <v>5155</v>
      </c>
      <c r="B48" t="s">
        <v>5156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5825</v>
      </c>
      <c r="J48" t="s">
        <v>3961</v>
      </c>
      <c r="K48" t="s">
        <v>5566</v>
      </c>
      <c r="L48" t="s">
        <v>249</v>
      </c>
      <c r="M48" t="s">
        <v>277</v>
      </c>
      <c r="N48" t="s">
        <v>280</v>
      </c>
      <c r="O48" t="s">
        <v>5214</v>
      </c>
      <c r="P48">
        <v>2024</v>
      </c>
      <c r="Q48">
        <v>81000</v>
      </c>
      <c r="R48" t="s">
        <v>5567</v>
      </c>
      <c r="S48" t="s">
        <v>283</v>
      </c>
      <c r="T48" t="s">
        <v>5158</v>
      </c>
      <c r="U48" t="s">
        <v>5220</v>
      </c>
      <c r="V48" t="s">
        <v>5160</v>
      </c>
      <c r="W48">
        <v>18990000</v>
      </c>
      <c r="X48" t="s">
        <v>5161</v>
      </c>
      <c r="Y48">
        <v>45</v>
      </c>
      <c r="Z48" t="s">
        <v>16</v>
      </c>
      <c r="AA48" t="s">
        <v>5162</v>
      </c>
      <c r="AB48" t="s">
        <v>5163</v>
      </c>
      <c r="AC48" t="s">
        <v>5568</v>
      </c>
      <c r="AD48" t="s">
        <v>5569</v>
      </c>
      <c r="AE48" t="s">
        <v>5570</v>
      </c>
      <c r="AF48" t="s">
        <v>5826</v>
      </c>
      <c r="AG48">
        <v>1</v>
      </c>
      <c r="AH48" t="s">
        <v>5826</v>
      </c>
      <c r="AI48" t="s">
        <v>5827</v>
      </c>
      <c r="AJ48" t="s">
        <v>3961</v>
      </c>
      <c r="AK48">
        <v>1</v>
      </c>
      <c r="AL48">
        <v>0</v>
      </c>
      <c r="AM48" t="s">
        <v>3961</v>
      </c>
      <c r="AN48">
        <v>0</v>
      </c>
      <c r="AO48">
        <v>15500000</v>
      </c>
      <c r="AP48">
        <v>361740</v>
      </c>
      <c r="AQ48">
        <v>0</v>
      </c>
      <c r="AR48">
        <v>15861740</v>
      </c>
      <c r="AS48">
        <v>18990000</v>
      </c>
      <c r="AT48">
        <v>3128260</v>
      </c>
      <c r="AU48">
        <v>1647</v>
      </c>
    </row>
    <row r="49" spans="1:47" ht="13.5" customHeight="1" x14ac:dyDescent="0.3">
      <c r="A49" t="s">
        <v>5155</v>
      </c>
      <c r="B49" t="s">
        <v>5156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5742</v>
      </c>
      <c r="J49" t="s">
        <v>3961</v>
      </c>
      <c r="K49" t="s">
        <v>5743</v>
      </c>
      <c r="L49" t="s">
        <v>249</v>
      </c>
      <c r="M49" t="s">
        <v>4769</v>
      </c>
      <c r="N49" t="s">
        <v>4771</v>
      </c>
      <c r="O49" t="s">
        <v>5744</v>
      </c>
      <c r="P49">
        <v>2025</v>
      </c>
      <c r="Q49">
        <v>22000</v>
      </c>
      <c r="R49" t="s">
        <v>5745</v>
      </c>
      <c r="S49" t="s">
        <v>340</v>
      </c>
      <c r="T49" t="s">
        <v>5158</v>
      </c>
      <c r="U49" t="s">
        <v>5746</v>
      </c>
      <c r="V49" t="s">
        <v>5160</v>
      </c>
      <c r="W49">
        <v>14990000</v>
      </c>
      <c r="X49" t="s">
        <v>5161</v>
      </c>
      <c r="Y49">
        <v>21</v>
      </c>
      <c r="Z49" t="s">
        <v>21</v>
      </c>
      <c r="AA49" t="s">
        <v>5162</v>
      </c>
      <c r="AB49" t="s">
        <v>5209</v>
      </c>
      <c r="AC49" t="s">
        <v>5747</v>
      </c>
      <c r="AD49" t="s">
        <v>5743</v>
      </c>
      <c r="AE49" t="s">
        <v>5748</v>
      </c>
      <c r="AF49" t="s">
        <v>5749</v>
      </c>
      <c r="AG49">
        <v>1</v>
      </c>
      <c r="AH49" t="s">
        <v>5749</v>
      </c>
      <c r="AI49" t="s">
        <v>5750</v>
      </c>
      <c r="AJ49" t="s">
        <v>3961</v>
      </c>
      <c r="AK49">
        <v>1</v>
      </c>
      <c r="AL49">
        <v>0</v>
      </c>
      <c r="AM49" t="s">
        <v>3961</v>
      </c>
      <c r="AN49">
        <v>0</v>
      </c>
      <c r="AO49">
        <v>12246151</v>
      </c>
      <c r="AP49">
        <v>312932</v>
      </c>
      <c r="AQ49">
        <v>0</v>
      </c>
      <c r="AR49">
        <v>12559083</v>
      </c>
      <c r="AS49">
        <v>14990000</v>
      </c>
      <c r="AT49">
        <v>2430917</v>
      </c>
      <c r="AU49">
        <v>1622</v>
      </c>
    </row>
    <row r="50" spans="1:47" ht="13.5" customHeight="1" x14ac:dyDescent="0.3">
      <c r="A50" t="s">
        <v>5155</v>
      </c>
      <c r="B50" t="s">
        <v>5156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5712</v>
      </c>
      <c r="J50" t="s">
        <v>3961</v>
      </c>
      <c r="K50" t="s">
        <v>5713</v>
      </c>
      <c r="L50" t="s">
        <v>70</v>
      </c>
      <c r="M50" t="s">
        <v>4143</v>
      </c>
      <c r="N50" t="s">
        <v>4144</v>
      </c>
      <c r="O50" t="s">
        <v>5714</v>
      </c>
      <c r="P50">
        <v>2025</v>
      </c>
      <c r="Q50">
        <v>6443</v>
      </c>
      <c r="R50" t="s">
        <v>5715</v>
      </c>
      <c r="S50" t="s">
        <v>338</v>
      </c>
      <c r="T50" t="s">
        <v>5158</v>
      </c>
      <c r="U50" t="s">
        <v>5200</v>
      </c>
      <c r="V50" t="s">
        <v>5160</v>
      </c>
      <c r="W50">
        <v>11290000</v>
      </c>
      <c r="X50" t="s">
        <v>5161</v>
      </c>
      <c r="Y50">
        <v>25</v>
      </c>
      <c r="Z50" t="s">
        <v>41</v>
      </c>
      <c r="AA50" t="s">
        <v>5162</v>
      </c>
      <c r="AB50" t="s">
        <v>5528</v>
      </c>
      <c r="AC50" t="s">
        <v>5716</v>
      </c>
      <c r="AD50" t="s">
        <v>5713</v>
      </c>
      <c r="AE50" t="s">
        <v>5717</v>
      </c>
      <c r="AF50" t="s">
        <v>5718</v>
      </c>
      <c r="AG50">
        <v>1</v>
      </c>
      <c r="AH50" t="s">
        <v>5718</v>
      </c>
      <c r="AI50" t="s">
        <v>5719</v>
      </c>
      <c r="AJ50" t="s">
        <v>3961</v>
      </c>
      <c r="AK50">
        <v>1</v>
      </c>
      <c r="AL50">
        <v>0</v>
      </c>
      <c r="AM50" t="s">
        <v>3961</v>
      </c>
      <c r="AN50">
        <v>0</v>
      </c>
      <c r="AO50">
        <v>9000000</v>
      </c>
      <c r="AP50">
        <v>264240</v>
      </c>
      <c r="AQ50">
        <v>0</v>
      </c>
      <c r="AR50">
        <v>9264240</v>
      </c>
      <c r="AS50">
        <v>11290000</v>
      </c>
      <c r="AT50">
        <v>2025760</v>
      </c>
      <c r="AU50">
        <v>1794</v>
      </c>
    </row>
    <row r="51" spans="1:47" ht="13.5" customHeight="1" x14ac:dyDescent="0.3">
      <c r="A51" t="s">
        <v>5155</v>
      </c>
      <c r="B51" t="s">
        <v>5156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6026</v>
      </c>
      <c r="J51" t="s">
        <v>3961</v>
      </c>
      <c r="K51" t="s">
        <v>5450</v>
      </c>
      <c r="L51" t="s">
        <v>194</v>
      </c>
      <c r="M51" t="s">
        <v>198</v>
      </c>
      <c r="N51" t="s">
        <v>199</v>
      </c>
      <c r="O51" t="s">
        <v>5451</v>
      </c>
      <c r="P51">
        <v>2024</v>
      </c>
      <c r="Q51">
        <v>43000</v>
      </c>
      <c r="R51" t="s">
        <v>5452</v>
      </c>
      <c r="S51" t="s">
        <v>200</v>
      </c>
      <c r="T51" t="s">
        <v>5158</v>
      </c>
      <c r="U51" t="s">
        <v>5219</v>
      </c>
      <c r="V51" t="s">
        <v>5160</v>
      </c>
      <c r="W51">
        <v>19990000</v>
      </c>
      <c r="X51" t="s">
        <v>5161</v>
      </c>
      <c r="Y51">
        <v>114</v>
      </c>
      <c r="Z51" t="s">
        <v>27</v>
      </c>
      <c r="AA51" t="s">
        <v>5162</v>
      </c>
      <c r="AB51" t="s">
        <v>5437</v>
      </c>
      <c r="AC51" t="s">
        <v>5453</v>
      </c>
      <c r="AD51" t="s">
        <v>5450</v>
      </c>
      <c r="AE51" t="s">
        <v>5454</v>
      </c>
      <c r="AF51" t="s">
        <v>5781</v>
      </c>
      <c r="AG51">
        <v>1</v>
      </c>
      <c r="AH51" t="s">
        <v>5781</v>
      </c>
      <c r="AI51" t="s">
        <v>6027</v>
      </c>
      <c r="AJ51" t="s">
        <v>3961</v>
      </c>
      <c r="AK51">
        <v>0</v>
      </c>
      <c r="AL51">
        <v>0</v>
      </c>
      <c r="AM51" t="s">
        <v>3961</v>
      </c>
      <c r="AN51">
        <v>0</v>
      </c>
      <c r="AO51">
        <v>17750000</v>
      </c>
      <c r="AP51">
        <v>392280</v>
      </c>
      <c r="AQ51">
        <v>0</v>
      </c>
      <c r="AR51">
        <v>18142280</v>
      </c>
      <c r="AS51">
        <v>19990000</v>
      </c>
      <c r="AT51">
        <v>1847720</v>
      </c>
      <c r="AU51">
        <v>924</v>
      </c>
    </row>
    <row r="52" spans="1:47" ht="13.5" customHeight="1" x14ac:dyDescent="0.3">
      <c r="A52" t="s">
        <v>5155</v>
      </c>
      <c r="B52" t="s">
        <v>5156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6044</v>
      </c>
      <c r="J52" t="s">
        <v>3961</v>
      </c>
      <c r="K52" t="s">
        <v>5683</v>
      </c>
      <c r="L52" t="s">
        <v>88</v>
      </c>
      <c r="M52" t="s">
        <v>113</v>
      </c>
      <c r="N52" t="s">
        <v>118</v>
      </c>
      <c r="O52" t="s">
        <v>5678</v>
      </c>
      <c r="P52">
        <v>2020</v>
      </c>
      <c r="Q52">
        <v>80000</v>
      </c>
      <c r="R52" t="s">
        <v>5684</v>
      </c>
      <c r="S52" t="s">
        <v>119</v>
      </c>
      <c r="T52" t="s">
        <v>5158</v>
      </c>
      <c r="U52" t="s">
        <v>5336</v>
      </c>
      <c r="V52" t="s">
        <v>5160</v>
      </c>
      <c r="W52">
        <v>45990000</v>
      </c>
      <c r="X52" t="s">
        <v>5161</v>
      </c>
      <c r="Y52">
        <v>225</v>
      </c>
      <c r="Z52" t="s">
        <v>27</v>
      </c>
      <c r="AA52" t="s">
        <v>5162</v>
      </c>
      <c r="AB52" t="s">
        <v>5685</v>
      </c>
      <c r="AC52" t="s">
        <v>5686</v>
      </c>
      <c r="AD52" t="s">
        <v>5683</v>
      </c>
      <c r="AE52" t="s">
        <v>5682</v>
      </c>
      <c r="AF52" t="s">
        <v>5969</v>
      </c>
      <c r="AG52">
        <v>1</v>
      </c>
      <c r="AH52" t="s">
        <v>6045</v>
      </c>
      <c r="AI52" t="s">
        <v>6045</v>
      </c>
      <c r="AJ52" t="s">
        <v>6046</v>
      </c>
      <c r="AK52">
        <v>2</v>
      </c>
      <c r="AL52">
        <v>0</v>
      </c>
      <c r="AM52" t="s">
        <v>3961</v>
      </c>
      <c r="AN52">
        <v>0</v>
      </c>
      <c r="AO52">
        <v>37200000</v>
      </c>
      <c r="AP52">
        <v>684030</v>
      </c>
      <c r="AQ52">
        <v>0</v>
      </c>
      <c r="AR52">
        <v>37884030</v>
      </c>
      <c r="AS52">
        <v>45990000</v>
      </c>
      <c r="AT52">
        <v>8105970</v>
      </c>
      <c r="AU52">
        <v>1763</v>
      </c>
    </row>
    <row r="53" spans="1:47" ht="13.5" customHeight="1" x14ac:dyDescent="0.3">
      <c r="A53" t="s">
        <v>5155</v>
      </c>
      <c r="B53" t="s">
        <v>5188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5736</v>
      </c>
      <c r="J53" t="s">
        <v>3961</v>
      </c>
      <c r="K53" t="s">
        <v>5455</v>
      </c>
      <c r="L53" t="s">
        <v>222</v>
      </c>
      <c r="M53" t="s">
        <v>223</v>
      </c>
      <c r="N53" t="s">
        <v>224</v>
      </c>
      <c r="O53" t="s">
        <v>5456</v>
      </c>
      <c r="P53">
        <v>2023</v>
      </c>
      <c r="Q53">
        <v>44000</v>
      </c>
      <c r="R53" t="s">
        <v>5457</v>
      </c>
      <c r="S53" t="s">
        <v>225</v>
      </c>
      <c r="T53" t="s">
        <v>5158</v>
      </c>
      <c r="U53" t="s">
        <v>5192</v>
      </c>
      <c r="V53" t="s">
        <v>5160</v>
      </c>
      <c r="W53">
        <v>18190000</v>
      </c>
      <c r="X53" t="s">
        <v>5161</v>
      </c>
      <c r="Y53">
        <v>86</v>
      </c>
      <c r="Z53" t="s">
        <v>21</v>
      </c>
      <c r="AA53" t="s">
        <v>5193</v>
      </c>
      <c r="AB53" t="s">
        <v>5163</v>
      </c>
      <c r="AC53" t="s">
        <v>5458</v>
      </c>
      <c r="AD53" t="s">
        <v>5455</v>
      </c>
      <c r="AE53" t="s">
        <v>5459</v>
      </c>
      <c r="AF53" t="s">
        <v>5737</v>
      </c>
      <c r="AG53">
        <v>1</v>
      </c>
      <c r="AH53" t="s">
        <v>5737</v>
      </c>
      <c r="AI53" t="s">
        <v>5738</v>
      </c>
      <c r="AJ53" t="s">
        <v>5739</v>
      </c>
      <c r="AK53">
        <v>1</v>
      </c>
      <c r="AL53">
        <v>0</v>
      </c>
      <c r="AM53" t="s">
        <v>3961</v>
      </c>
      <c r="AN53">
        <v>0</v>
      </c>
      <c r="AO53">
        <v>15200000</v>
      </c>
      <c r="AP53">
        <v>354030</v>
      </c>
      <c r="AQ53">
        <v>0</v>
      </c>
      <c r="AR53">
        <v>15554030</v>
      </c>
      <c r="AS53">
        <v>18190000</v>
      </c>
      <c r="AT53">
        <v>2635970</v>
      </c>
      <c r="AU53">
        <v>1449</v>
      </c>
    </row>
    <row r="54" spans="1:47" ht="13.5" customHeight="1" x14ac:dyDescent="0.3">
      <c r="A54" t="s">
        <v>5155</v>
      </c>
      <c r="B54" t="s">
        <v>5156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5916</v>
      </c>
      <c r="J54" t="s">
        <v>3961</v>
      </c>
      <c r="K54" t="s">
        <v>5403</v>
      </c>
      <c r="L54" t="s">
        <v>146</v>
      </c>
      <c r="M54" t="s">
        <v>149</v>
      </c>
      <c r="N54" t="s">
        <v>150</v>
      </c>
      <c r="O54" t="s">
        <v>5404</v>
      </c>
      <c r="P54">
        <v>2024</v>
      </c>
      <c r="Q54">
        <v>19000</v>
      </c>
      <c r="R54" t="s">
        <v>5405</v>
      </c>
      <c r="S54" t="s">
        <v>151</v>
      </c>
      <c r="T54" t="s">
        <v>5158</v>
      </c>
      <c r="U54" t="s">
        <v>5233</v>
      </c>
      <c r="V54" t="s">
        <v>5160</v>
      </c>
      <c r="W54">
        <v>16490000</v>
      </c>
      <c r="X54" t="s">
        <v>5161</v>
      </c>
      <c r="Y54">
        <v>30</v>
      </c>
      <c r="Z54" t="s">
        <v>16</v>
      </c>
      <c r="AA54" t="s">
        <v>5162</v>
      </c>
      <c r="AB54" t="s">
        <v>5163</v>
      </c>
      <c r="AC54" t="s">
        <v>5406</v>
      </c>
      <c r="AD54" t="s">
        <v>5407</v>
      </c>
      <c r="AE54" t="s">
        <v>5408</v>
      </c>
      <c r="AF54" t="s">
        <v>5799</v>
      </c>
      <c r="AG54">
        <v>1</v>
      </c>
      <c r="AH54" t="s">
        <v>5799</v>
      </c>
      <c r="AI54" t="s">
        <v>5917</v>
      </c>
      <c r="AJ54" t="s">
        <v>3961</v>
      </c>
      <c r="AK54">
        <v>1</v>
      </c>
      <c r="AL54">
        <v>0</v>
      </c>
      <c r="AM54" t="s">
        <v>3961</v>
      </c>
      <c r="AN54">
        <v>0</v>
      </c>
      <c r="AO54">
        <v>13500000</v>
      </c>
      <c r="AP54">
        <v>331740</v>
      </c>
      <c r="AQ54">
        <v>0</v>
      </c>
      <c r="AR54">
        <v>13831740</v>
      </c>
      <c r="AS54">
        <v>16490000</v>
      </c>
      <c r="AT54">
        <v>2658260</v>
      </c>
      <c r="AU54">
        <v>1612</v>
      </c>
    </row>
    <row r="55" spans="1:47" ht="13.5" customHeight="1" x14ac:dyDescent="0.3">
      <c r="A55" t="s">
        <v>5155</v>
      </c>
      <c r="B55" t="s">
        <v>5156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8321</v>
      </c>
      <c r="J55" t="s">
        <v>3961</v>
      </c>
      <c r="K55" t="s">
        <v>8322</v>
      </c>
      <c r="L55" t="s">
        <v>228</v>
      </c>
      <c r="M55" t="s">
        <v>242</v>
      </c>
      <c r="N55" t="s">
        <v>4738</v>
      </c>
      <c r="O55" t="s">
        <v>3961</v>
      </c>
      <c r="P55">
        <v>2022</v>
      </c>
      <c r="Q55">
        <v>41227</v>
      </c>
      <c r="R55" t="s">
        <v>8323</v>
      </c>
      <c r="S55" t="s">
        <v>8029</v>
      </c>
      <c r="T55" t="s">
        <v>5158</v>
      </c>
      <c r="U55" t="s">
        <v>8324</v>
      </c>
      <c r="V55" t="s">
        <v>5160</v>
      </c>
      <c r="W55">
        <v>14990000</v>
      </c>
      <c r="X55" t="s">
        <v>5161</v>
      </c>
      <c r="Y55">
        <v>9</v>
      </c>
      <c r="Z55" t="s">
        <v>27</v>
      </c>
      <c r="AA55" t="s">
        <v>5162</v>
      </c>
      <c r="AB55" t="s">
        <v>5185</v>
      </c>
      <c r="AC55" t="s">
        <v>8325</v>
      </c>
      <c r="AD55" t="s">
        <v>8322</v>
      </c>
      <c r="AE55" t="s">
        <v>8326</v>
      </c>
      <c r="AF55" t="s">
        <v>8295</v>
      </c>
      <c r="AG55">
        <v>1</v>
      </c>
      <c r="AH55" t="s">
        <v>8295</v>
      </c>
      <c r="AI55" t="s">
        <v>8327</v>
      </c>
      <c r="AJ55" t="s">
        <v>8328</v>
      </c>
      <c r="AK55">
        <v>1</v>
      </c>
      <c r="AL55">
        <v>0</v>
      </c>
      <c r="AM55" t="s">
        <v>3961</v>
      </c>
      <c r="AN55">
        <v>0</v>
      </c>
      <c r="AO55">
        <v>12500000</v>
      </c>
      <c r="AP55">
        <v>316740</v>
      </c>
      <c r="AQ55">
        <v>0</v>
      </c>
      <c r="AR55">
        <v>12816740</v>
      </c>
      <c r="AS55">
        <v>14990000</v>
      </c>
      <c r="AT55">
        <v>2173260</v>
      </c>
      <c r="AU55">
        <v>145</v>
      </c>
    </row>
    <row r="56" spans="1:47" ht="13.5" customHeight="1" x14ac:dyDescent="0.3">
      <c r="A56" t="s">
        <v>5155</v>
      </c>
      <c r="B56" t="s">
        <v>5156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5990</v>
      </c>
      <c r="J56" t="s">
        <v>3961</v>
      </c>
      <c r="K56" t="s">
        <v>5424</v>
      </c>
      <c r="L56" t="s">
        <v>88</v>
      </c>
      <c r="M56" t="s">
        <v>95</v>
      </c>
      <c r="N56" t="s">
        <v>96</v>
      </c>
      <c r="O56" t="s">
        <v>5425</v>
      </c>
      <c r="P56">
        <v>2024</v>
      </c>
      <c r="Q56">
        <v>5000</v>
      </c>
      <c r="R56" t="s">
        <v>5426</v>
      </c>
      <c r="S56" t="s">
        <v>97</v>
      </c>
      <c r="T56" t="s">
        <v>5158</v>
      </c>
      <c r="U56" t="s">
        <v>5427</v>
      </c>
      <c r="V56" t="s">
        <v>5160</v>
      </c>
      <c r="W56">
        <v>27990000</v>
      </c>
      <c r="X56" t="s">
        <v>5161</v>
      </c>
      <c r="Y56">
        <v>757</v>
      </c>
      <c r="Z56" t="s">
        <v>27</v>
      </c>
      <c r="AA56" t="s">
        <v>5162</v>
      </c>
      <c r="AB56" t="s">
        <v>5428</v>
      </c>
      <c r="AC56" t="s">
        <v>5429</v>
      </c>
      <c r="AD56" t="s">
        <v>5424</v>
      </c>
      <c r="AE56" t="s">
        <v>5430</v>
      </c>
      <c r="AF56" t="s">
        <v>5991</v>
      </c>
      <c r="AG56">
        <v>1</v>
      </c>
      <c r="AH56" t="s">
        <v>5992</v>
      </c>
      <c r="AI56" t="s">
        <v>5992</v>
      </c>
      <c r="AJ56" t="s">
        <v>3961</v>
      </c>
      <c r="AK56">
        <v>0</v>
      </c>
      <c r="AL56">
        <v>0</v>
      </c>
      <c r="AM56" t="s">
        <v>3961</v>
      </c>
      <c r="AN56">
        <v>0</v>
      </c>
      <c r="AO56">
        <v>33990000</v>
      </c>
      <c r="AP56">
        <v>709880</v>
      </c>
      <c r="AQ56">
        <v>0</v>
      </c>
      <c r="AR56">
        <v>34699880</v>
      </c>
      <c r="AS56">
        <v>27990000</v>
      </c>
      <c r="AT56">
        <v>-6709880</v>
      </c>
      <c r="AU56">
        <v>-2397</v>
      </c>
    </row>
    <row r="57" spans="1:47" ht="13.5" customHeight="1" x14ac:dyDescent="0.3">
      <c r="A57" t="s">
        <v>5155</v>
      </c>
      <c r="B57" t="s">
        <v>5188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5935</v>
      </c>
      <c r="J57" t="s">
        <v>3961</v>
      </c>
      <c r="K57" t="s">
        <v>5472</v>
      </c>
      <c r="L57" t="s">
        <v>88</v>
      </c>
      <c r="M57" t="s">
        <v>126</v>
      </c>
      <c r="N57" t="s">
        <v>134</v>
      </c>
      <c r="O57" t="s">
        <v>5473</v>
      </c>
      <c r="P57">
        <v>2025</v>
      </c>
      <c r="Q57">
        <v>34500</v>
      </c>
      <c r="R57" t="s">
        <v>5474</v>
      </c>
      <c r="S57" t="s">
        <v>135</v>
      </c>
      <c r="T57" t="s">
        <v>5158</v>
      </c>
      <c r="U57" t="s">
        <v>5200</v>
      </c>
      <c r="V57" t="s">
        <v>5160</v>
      </c>
      <c r="W57">
        <v>29490000</v>
      </c>
      <c r="X57" t="s">
        <v>5161</v>
      </c>
      <c r="Y57">
        <v>175</v>
      </c>
      <c r="Z57" t="s">
        <v>27</v>
      </c>
      <c r="AA57" t="s">
        <v>5193</v>
      </c>
      <c r="AB57" t="s">
        <v>5475</v>
      </c>
      <c r="AC57" t="s">
        <v>5476</v>
      </c>
      <c r="AD57" t="s">
        <v>5472</v>
      </c>
      <c r="AE57" t="s">
        <v>5477</v>
      </c>
      <c r="AF57" t="s">
        <v>5936</v>
      </c>
      <c r="AG57">
        <v>1</v>
      </c>
      <c r="AH57" t="s">
        <v>5936</v>
      </c>
      <c r="AI57" t="s">
        <v>5937</v>
      </c>
      <c r="AJ57" t="s">
        <v>3961</v>
      </c>
      <c r="AK57">
        <v>1</v>
      </c>
      <c r="AL57">
        <v>0</v>
      </c>
      <c r="AM57" t="s">
        <v>3961</v>
      </c>
      <c r="AN57">
        <v>0</v>
      </c>
      <c r="AO57">
        <v>27000000</v>
      </c>
      <c r="AP57">
        <v>531030</v>
      </c>
      <c r="AQ57">
        <v>0</v>
      </c>
      <c r="AR57">
        <v>27531030</v>
      </c>
      <c r="AS57">
        <v>29490000</v>
      </c>
      <c r="AT57">
        <v>1958970</v>
      </c>
      <c r="AU57">
        <v>664</v>
      </c>
    </row>
    <row r="58" spans="1:47" ht="13.5" customHeight="1" x14ac:dyDescent="0.3">
      <c r="A58" t="s">
        <v>5155</v>
      </c>
      <c r="B58" t="s">
        <v>5188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5988</v>
      </c>
      <c r="J58" t="s">
        <v>3961</v>
      </c>
      <c r="K58" t="s">
        <v>5578</v>
      </c>
      <c r="L58" t="s">
        <v>181</v>
      </c>
      <c r="M58" t="s">
        <v>4436</v>
      </c>
      <c r="N58" t="s">
        <v>182</v>
      </c>
      <c r="O58" t="s">
        <v>5579</v>
      </c>
      <c r="P58">
        <v>2025</v>
      </c>
      <c r="Q58">
        <v>12000</v>
      </c>
      <c r="R58" t="s">
        <v>5580</v>
      </c>
      <c r="S58" t="s">
        <v>183</v>
      </c>
      <c r="T58" t="s">
        <v>5158</v>
      </c>
      <c r="U58" t="s">
        <v>5581</v>
      </c>
      <c r="V58" t="s">
        <v>5160</v>
      </c>
      <c r="W58">
        <v>20990000</v>
      </c>
      <c r="X58" t="s">
        <v>5161</v>
      </c>
      <c r="Y58">
        <v>45</v>
      </c>
      <c r="Z58" t="s">
        <v>21</v>
      </c>
      <c r="AA58" t="s">
        <v>5193</v>
      </c>
      <c r="AB58" t="s">
        <v>5194</v>
      </c>
      <c r="AC58" t="s">
        <v>5582</v>
      </c>
      <c r="AD58" t="s">
        <v>5578</v>
      </c>
      <c r="AE58" t="s">
        <v>5583</v>
      </c>
      <c r="AF58" t="s">
        <v>5826</v>
      </c>
      <c r="AG58">
        <v>1</v>
      </c>
      <c r="AH58" t="s">
        <v>5826</v>
      </c>
      <c r="AI58" t="s">
        <v>5989</v>
      </c>
      <c r="AJ58" t="s">
        <v>3961</v>
      </c>
      <c r="AK58">
        <v>2</v>
      </c>
      <c r="AL58">
        <v>0</v>
      </c>
      <c r="AM58" t="s">
        <v>3961</v>
      </c>
      <c r="AN58">
        <v>0</v>
      </c>
      <c r="AO58">
        <v>17500000</v>
      </c>
      <c r="AP58">
        <v>391740</v>
      </c>
      <c r="AQ58">
        <v>0</v>
      </c>
      <c r="AR58">
        <v>17891740</v>
      </c>
      <c r="AS58">
        <v>20990000</v>
      </c>
      <c r="AT58">
        <v>3098260</v>
      </c>
      <c r="AU58">
        <v>1476</v>
      </c>
    </row>
    <row r="59" spans="1:47" ht="13.5" customHeight="1" x14ac:dyDescent="0.3">
      <c r="A59" t="s">
        <v>5155</v>
      </c>
      <c r="B59" t="s">
        <v>5179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5840</v>
      </c>
      <c r="J59" t="s">
        <v>3961</v>
      </c>
      <c r="K59" t="s">
        <v>5841</v>
      </c>
      <c r="L59" t="s">
        <v>2558</v>
      </c>
      <c r="M59" t="s">
        <v>2869</v>
      </c>
      <c r="N59" t="s">
        <v>4943</v>
      </c>
      <c r="O59" t="s">
        <v>5842</v>
      </c>
      <c r="P59">
        <v>2024</v>
      </c>
      <c r="Q59">
        <v>76000</v>
      </c>
      <c r="R59" t="s">
        <v>5843</v>
      </c>
      <c r="S59" t="s">
        <v>5844</v>
      </c>
      <c r="T59" t="s">
        <v>5158</v>
      </c>
      <c r="U59" t="s">
        <v>5845</v>
      </c>
      <c r="V59" t="s">
        <v>5160</v>
      </c>
      <c r="W59">
        <v>23990000</v>
      </c>
      <c r="X59" t="s">
        <v>5161</v>
      </c>
      <c r="Y59">
        <v>16</v>
      </c>
      <c r="Z59" t="s">
        <v>16</v>
      </c>
      <c r="AA59" t="s">
        <v>5184</v>
      </c>
      <c r="AB59" t="s">
        <v>5194</v>
      </c>
      <c r="AC59" t="s">
        <v>5846</v>
      </c>
      <c r="AD59" t="s">
        <v>5841</v>
      </c>
      <c r="AE59" t="s">
        <v>5847</v>
      </c>
      <c r="AF59" t="s">
        <v>5796</v>
      </c>
      <c r="AG59">
        <v>1</v>
      </c>
      <c r="AH59" t="s">
        <v>5796</v>
      </c>
      <c r="AI59" t="s">
        <v>5848</v>
      </c>
      <c r="AJ59" t="s">
        <v>3961</v>
      </c>
      <c r="AK59">
        <v>1</v>
      </c>
      <c r="AL59">
        <v>0</v>
      </c>
      <c r="AM59" t="s">
        <v>3961</v>
      </c>
      <c r="AN59">
        <v>0</v>
      </c>
      <c r="AO59">
        <v>19000000</v>
      </c>
      <c r="AP59">
        <v>414240</v>
      </c>
      <c r="AQ59">
        <v>0</v>
      </c>
      <c r="AR59">
        <v>19414240</v>
      </c>
      <c r="AS59">
        <v>23990000</v>
      </c>
      <c r="AT59">
        <v>4575760</v>
      </c>
      <c r="AU59">
        <v>1907</v>
      </c>
    </row>
    <row r="60" spans="1:47" ht="13.5" customHeight="1" x14ac:dyDescent="0.3">
      <c r="A60" t="s">
        <v>5155</v>
      </c>
      <c r="B60" t="s">
        <v>5156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5761</v>
      </c>
      <c r="J60" t="s">
        <v>3961</v>
      </c>
      <c r="K60" t="s">
        <v>5333</v>
      </c>
      <c r="L60" t="s">
        <v>88</v>
      </c>
      <c r="M60" t="s">
        <v>113</v>
      </c>
      <c r="N60" t="s">
        <v>124</v>
      </c>
      <c r="O60" t="s">
        <v>5334</v>
      </c>
      <c r="P60">
        <v>2024</v>
      </c>
      <c r="Q60">
        <v>13800</v>
      </c>
      <c r="R60" t="s">
        <v>5335</v>
      </c>
      <c r="S60" t="s">
        <v>125</v>
      </c>
      <c r="T60" t="s">
        <v>5158</v>
      </c>
      <c r="U60" t="s">
        <v>5336</v>
      </c>
      <c r="V60" t="s">
        <v>5160</v>
      </c>
      <c r="W60">
        <v>36490000</v>
      </c>
      <c r="X60" t="s">
        <v>5161</v>
      </c>
      <c r="Y60">
        <v>67</v>
      </c>
      <c r="Z60" t="s">
        <v>27</v>
      </c>
      <c r="AA60" t="s">
        <v>5162</v>
      </c>
      <c r="AB60" t="s">
        <v>5337</v>
      </c>
      <c r="AC60" t="s">
        <v>5338</v>
      </c>
      <c r="AD60" t="s">
        <v>5333</v>
      </c>
      <c r="AE60" t="s">
        <v>5339</v>
      </c>
      <c r="AF60" t="s">
        <v>5708</v>
      </c>
      <c r="AG60">
        <v>1</v>
      </c>
      <c r="AH60" t="s">
        <v>5708</v>
      </c>
      <c r="AI60" t="s">
        <v>5762</v>
      </c>
      <c r="AJ60" t="s">
        <v>3961</v>
      </c>
      <c r="AK60">
        <v>1</v>
      </c>
      <c r="AL60">
        <v>0</v>
      </c>
      <c r="AM60" t="s">
        <v>3961</v>
      </c>
      <c r="AN60">
        <v>0</v>
      </c>
      <c r="AO60">
        <v>31300000</v>
      </c>
      <c r="AP60">
        <v>598740</v>
      </c>
      <c r="AQ60">
        <v>0</v>
      </c>
      <c r="AR60">
        <v>31898740</v>
      </c>
      <c r="AS60">
        <v>36490000</v>
      </c>
      <c r="AT60">
        <v>4591260</v>
      </c>
      <c r="AU60">
        <v>1258</v>
      </c>
    </row>
    <row r="61" spans="1:47" ht="13.5" customHeight="1" x14ac:dyDescent="0.3">
      <c r="A61" t="s">
        <v>5155</v>
      </c>
      <c r="B61" t="s">
        <v>5179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5980</v>
      </c>
      <c r="J61" t="s">
        <v>3961</v>
      </c>
      <c r="K61" t="s">
        <v>5616</v>
      </c>
      <c r="L61" t="s">
        <v>249</v>
      </c>
      <c r="M61" t="s">
        <v>4840</v>
      </c>
      <c r="N61" t="s">
        <v>274</v>
      </c>
      <c r="O61" t="s">
        <v>5267</v>
      </c>
      <c r="P61">
        <v>2023</v>
      </c>
      <c r="Q61">
        <v>28000</v>
      </c>
      <c r="R61" t="s">
        <v>5617</v>
      </c>
      <c r="S61" t="s">
        <v>276</v>
      </c>
      <c r="T61" t="s">
        <v>5158</v>
      </c>
      <c r="U61" t="s">
        <v>5618</v>
      </c>
      <c r="V61" t="s">
        <v>5160</v>
      </c>
      <c r="W61">
        <v>19990000</v>
      </c>
      <c r="X61" t="s">
        <v>5161</v>
      </c>
      <c r="Y61">
        <v>318</v>
      </c>
      <c r="Z61" t="s">
        <v>27</v>
      </c>
      <c r="AA61" t="s">
        <v>5184</v>
      </c>
      <c r="AB61" t="s">
        <v>5163</v>
      </c>
      <c r="AC61" t="s">
        <v>5619</v>
      </c>
      <c r="AD61" t="s">
        <v>5620</v>
      </c>
      <c r="AE61" t="s">
        <v>5621</v>
      </c>
      <c r="AF61" t="s">
        <v>5981</v>
      </c>
      <c r="AG61">
        <v>1</v>
      </c>
      <c r="AH61" t="s">
        <v>5981</v>
      </c>
      <c r="AI61" t="s">
        <v>5982</v>
      </c>
      <c r="AJ61" t="s">
        <v>5983</v>
      </c>
      <c r="AK61">
        <v>1</v>
      </c>
      <c r="AL61">
        <v>0</v>
      </c>
      <c r="AM61" t="s">
        <v>3961</v>
      </c>
      <c r="AN61">
        <v>0</v>
      </c>
      <c r="AO61">
        <v>20600000</v>
      </c>
      <c r="AP61">
        <v>435030</v>
      </c>
      <c r="AQ61">
        <v>0</v>
      </c>
      <c r="AR61">
        <v>21035030</v>
      </c>
      <c r="AS61">
        <v>19990000</v>
      </c>
      <c r="AT61">
        <v>-1045030</v>
      </c>
      <c r="AU61">
        <v>-523</v>
      </c>
    </row>
    <row r="62" spans="1:47" ht="13.5" customHeight="1" x14ac:dyDescent="0.3">
      <c r="A62" t="s">
        <v>5155</v>
      </c>
      <c r="B62" t="s">
        <v>5188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6005</v>
      </c>
      <c r="J62" t="s">
        <v>3961</v>
      </c>
      <c r="K62" t="s">
        <v>5288</v>
      </c>
      <c r="L62" t="s">
        <v>287</v>
      </c>
      <c r="M62" t="s">
        <v>288</v>
      </c>
      <c r="N62" t="s">
        <v>293</v>
      </c>
      <c r="O62" t="s">
        <v>5289</v>
      </c>
      <c r="P62">
        <v>2025</v>
      </c>
      <c r="Q62">
        <v>16869</v>
      </c>
      <c r="R62" t="s">
        <v>5290</v>
      </c>
      <c r="S62" t="s">
        <v>294</v>
      </c>
      <c r="T62" t="s">
        <v>5158</v>
      </c>
      <c r="U62" t="s">
        <v>5291</v>
      </c>
      <c r="V62" t="s">
        <v>5160</v>
      </c>
      <c r="W62">
        <v>31590000</v>
      </c>
      <c r="X62" t="s">
        <v>5161</v>
      </c>
      <c r="Y62">
        <v>126</v>
      </c>
      <c r="Z62" t="s">
        <v>27</v>
      </c>
      <c r="AA62" t="s">
        <v>5193</v>
      </c>
      <c r="AB62" t="s">
        <v>5292</v>
      </c>
      <c r="AC62" t="s">
        <v>6006</v>
      </c>
      <c r="AD62" t="s">
        <v>5288</v>
      </c>
      <c r="AE62" t="s">
        <v>5293</v>
      </c>
      <c r="AF62" t="s">
        <v>6007</v>
      </c>
      <c r="AG62">
        <v>60226</v>
      </c>
      <c r="AH62" t="s">
        <v>6007</v>
      </c>
      <c r="AI62" t="s">
        <v>6008</v>
      </c>
      <c r="AJ62" t="s">
        <v>3961</v>
      </c>
      <c r="AK62">
        <v>0</v>
      </c>
      <c r="AL62">
        <v>0</v>
      </c>
      <c r="AM62" t="s">
        <v>3961</v>
      </c>
      <c r="AN62">
        <v>0</v>
      </c>
      <c r="AO62">
        <v>29000000</v>
      </c>
      <c r="AP62">
        <v>561030</v>
      </c>
      <c r="AQ62">
        <v>0</v>
      </c>
      <c r="AR62">
        <v>29561030</v>
      </c>
      <c r="AS62">
        <v>31590000</v>
      </c>
      <c r="AT62">
        <v>2028970</v>
      </c>
      <c r="AU62">
        <v>642</v>
      </c>
    </row>
    <row r="63" spans="1:47" ht="13.5" customHeight="1" x14ac:dyDescent="0.3">
      <c r="A63" t="s">
        <v>5155</v>
      </c>
      <c r="B63" t="s">
        <v>5156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5869</v>
      </c>
      <c r="J63" t="s">
        <v>3961</v>
      </c>
      <c r="K63" t="s">
        <v>5870</v>
      </c>
      <c r="L63" t="s">
        <v>228</v>
      </c>
      <c r="M63" t="s">
        <v>2904</v>
      </c>
      <c r="N63" t="s">
        <v>5871</v>
      </c>
      <c r="O63" t="s">
        <v>5872</v>
      </c>
      <c r="P63">
        <v>2024</v>
      </c>
      <c r="Q63">
        <v>35000</v>
      </c>
      <c r="R63" t="s">
        <v>5873</v>
      </c>
      <c r="S63" t="s">
        <v>5874</v>
      </c>
      <c r="T63" t="s">
        <v>5158</v>
      </c>
      <c r="U63" t="s">
        <v>5875</v>
      </c>
      <c r="V63" t="s">
        <v>5160</v>
      </c>
      <c r="W63">
        <v>35990000</v>
      </c>
      <c r="X63" t="s">
        <v>5161</v>
      </c>
      <c r="Y63">
        <v>21</v>
      </c>
      <c r="Z63" t="s">
        <v>16</v>
      </c>
      <c r="AA63" t="s">
        <v>5162</v>
      </c>
      <c r="AB63" t="s">
        <v>5876</v>
      </c>
      <c r="AC63" t="s">
        <v>5877</v>
      </c>
      <c r="AD63" t="s">
        <v>5870</v>
      </c>
      <c r="AE63" t="s">
        <v>5878</v>
      </c>
      <c r="AF63" t="s">
        <v>5749</v>
      </c>
      <c r="AG63">
        <v>1</v>
      </c>
      <c r="AH63" t="s">
        <v>5749</v>
      </c>
      <c r="AI63" t="s">
        <v>5879</v>
      </c>
      <c r="AJ63" t="s">
        <v>3961</v>
      </c>
      <c r="AK63">
        <v>1</v>
      </c>
      <c r="AL63">
        <v>0</v>
      </c>
      <c r="AM63" t="s">
        <v>3961</v>
      </c>
      <c r="AN63">
        <v>0</v>
      </c>
      <c r="AO63">
        <v>29300000</v>
      </c>
      <c r="AP63">
        <v>568740</v>
      </c>
      <c r="AQ63">
        <v>0</v>
      </c>
      <c r="AR63">
        <v>29868740</v>
      </c>
      <c r="AS63">
        <v>35990000</v>
      </c>
      <c r="AT63">
        <v>6121260</v>
      </c>
      <c r="AU63">
        <v>1701</v>
      </c>
    </row>
    <row r="64" spans="1:47" ht="13.5" customHeight="1" x14ac:dyDescent="0.3">
      <c r="A64" t="s">
        <v>5155</v>
      </c>
      <c r="B64" t="s">
        <v>5156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5857</v>
      </c>
      <c r="J64" t="s">
        <v>3961</v>
      </c>
      <c r="K64" t="s">
        <v>5502</v>
      </c>
      <c r="L64" t="s">
        <v>46</v>
      </c>
      <c r="M64" t="s">
        <v>50</v>
      </c>
      <c r="N64" t="s">
        <v>51</v>
      </c>
      <c r="O64" t="s">
        <v>5503</v>
      </c>
      <c r="P64">
        <v>2023</v>
      </c>
      <c r="Q64">
        <v>44495</v>
      </c>
      <c r="R64" t="s">
        <v>5504</v>
      </c>
      <c r="S64" t="s">
        <v>52</v>
      </c>
      <c r="T64" t="s">
        <v>5158</v>
      </c>
      <c r="U64" t="s">
        <v>5297</v>
      </c>
      <c r="V64" t="s">
        <v>5160</v>
      </c>
      <c r="W64">
        <v>49990000</v>
      </c>
      <c r="X64" t="s">
        <v>5161</v>
      </c>
      <c r="Y64">
        <v>232</v>
      </c>
      <c r="Z64" t="s">
        <v>27</v>
      </c>
      <c r="AA64" t="s">
        <v>5162</v>
      </c>
      <c r="AB64" t="s">
        <v>3961</v>
      </c>
      <c r="AC64" t="s">
        <v>5505</v>
      </c>
      <c r="AD64" t="s">
        <v>5506</v>
      </c>
      <c r="AE64" t="s">
        <v>5155</v>
      </c>
      <c r="AF64" t="s">
        <v>5858</v>
      </c>
      <c r="AG64">
        <v>1</v>
      </c>
      <c r="AH64" t="s">
        <v>5859</v>
      </c>
      <c r="AI64" t="s">
        <v>5860</v>
      </c>
      <c r="AJ64" t="s">
        <v>3961</v>
      </c>
      <c r="AK64">
        <v>4</v>
      </c>
      <c r="AL64">
        <v>0</v>
      </c>
      <c r="AM64" t="s">
        <v>3961</v>
      </c>
      <c r="AN64">
        <v>0</v>
      </c>
      <c r="AO64">
        <v>48000000</v>
      </c>
      <c r="AP64">
        <v>846030</v>
      </c>
      <c r="AQ64">
        <v>0</v>
      </c>
      <c r="AR64">
        <v>48846030</v>
      </c>
      <c r="AS64">
        <v>49990000</v>
      </c>
      <c r="AT64">
        <v>1143970</v>
      </c>
      <c r="AU64">
        <v>229</v>
      </c>
    </row>
    <row r="65" spans="1:47" ht="13.5" customHeight="1" x14ac:dyDescent="0.3">
      <c r="A65" t="s">
        <v>5155</v>
      </c>
      <c r="B65" t="s">
        <v>5156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6031</v>
      </c>
      <c r="J65" t="s">
        <v>3961</v>
      </c>
      <c r="K65" t="s">
        <v>5354</v>
      </c>
      <c r="L65" t="s">
        <v>88</v>
      </c>
      <c r="M65" t="s">
        <v>126</v>
      </c>
      <c r="N65" t="s">
        <v>131</v>
      </c>
      <c r="O65" t="s">
        <v>5355</v>
      </c>
      <c r="P65">
        <v>2024</v>
      </c>
      <c r="Q65">
        <v>30900</v>
      </c>
      <c r="R65" t="s">
        <v>5356</v>
      </c>
      <c r="S65" t="s">
        <v>132</v>
      </c>
      <c r="T65" t="s">
        <v>5158</v>
      </c>
      <c r="U65" t="s">
        <v>5357</v>
      </c>
      <c r="V65" t="s">
        <v>5160</v>
      </c>
      <c r="W65">
        <v>43990000</v>
      </c>
      <c r="X65" t="s">
        <v>5161</v>
      </c>
      <c r="Y65">
        <v>156</v>
      </c>
      <c r="Z65" t="s">
        <v>27</v>
      </c>
      <c r="AA65" t="s">
        <v>5162</v>
      </c>
      <c r="AB65" t="s">
        <v>5194</v>
      </c>
      <c r="AC65" t="s">
        <v>5358</v>
      </c>
      <c r="AD65" t="s">
        <v>5354</v>
      </c>
      <c r="AE65" t="s">
        <v>5359</v>
      </c>
      <c r="AF65" t="s">
        <v>5885</v>
      </c>
      <c r="AG65">
        <v>1</v>
      </c>
      <c r="AH65" t="s">
        <v>5885</v>
      </c>
      <c r="AI65" t="s">
        <v>6032</v>
      </c>
      <c r="AJ65" t="s">
        <v>3961</v>
      </c>
      <c r="AK65">
        <v>1</v>
      </c>
      <c r="AL65">
        <v>0</v>
      </c>
      <c r="AM65" t="s">
        <v>3961</v>
      </c>
      <c r="AN65">
        <v>0</v>
      </c>
      <c r="AO65">
        <v>39300000</v>
      </c>
      <c r="AP65">
        <v>718740</v>
      </c>
      <c r="AQ65">
        <v>0</v>
      </c>
      <c r="AR65">
        <v>40018740</v>
      </c>
      <c r="AS65">
        <v>43990000</v>
      </c>
      <c r="AT65">
        <v>3971260</v>
      </c>
      <c r="AU65">
        <v>903</v>
      </c>
    </row>
    <row r="66" spans="1:47" ht="13.5" customHeight="1" x14ac:dyDescent="0.3">
      <c r="A66" t="s">
        <v>5155</v>
      </c>
      <c r="B66" t="s">
        <v>5156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8636</v>
      </c>
      <c r="J66" t="s">
        <v>3961</v>
      </c>
      <c r="K66" t="s">
        <v>8637</v>
      </c>
      <c r="L66" t="s">
        <v>249</v>
      </c>
      <c r="M66" t="s">
        <v>4804</v>
      </c>
      <c r="N66" t="s">
        <v>260</v>
      </c>
      <c r="O66" t="s">
        <v>8638</v>
      </c>
      <c r="P66">
        <v>2020</v>
      </c>
      <c r="Q66">
        <v>31000</v>
      </c>
      <c r="R66" t="s">
        <v>8639</v>
      </c>
      <c r="S66" t="s">
        <v>261</v>
      </c>
      <c r="T66" t="s">
        <v>5158</v>
      </c>
      <c r="U66" t="s">
        <v>5175</v>
      </c>
      <c r="V66" t="s">
        <v>5160</v>
      </c>
      <c r="W66">
        <v>14990000</v>
      </c>
      <c r="X66" t="s">
        <v>5161</v>
      </c>
      <c r="Y66">
        <v>1502</v>
      </c>
      <c r="Z66" t="s">
        <v>41</v>
      </c>
      <c r="AA66" t="s">
        <v>5162</v>
      </c>
      <c r="AB66" t="s">
        <v>5196</v>
      </c>
      <c r="AC66" t="s">
        <v>8640</v>
      </c>
      <c r="AD66" t="s">
        <v>8637</v>
      </c>
      <c r="AE66" t="s">
        <v>8641</v>
      </c>
      <c r="AF66" t="s">
        <v>8642</v>
      </c>
      <c r="AG66">
        <v>1</v>
      </c>
      <c r="AH66" t="s">
        <v>8643</v>
      </c>
      <c r="AI66" t="s">
        <v>8643</v>
      </c>
      <c r="AJ66" t="s">
        <v>3961</v>
      </c>
      <c r="AK66">
        <v>0</v>
      </c>
      <c r="AL66">
        <v>0</v>
      </c>
      <c r="AM66" t="s">
        <v>3961</v>
      </c>
      <c r="AN66">
        <v>7</v>
      </c>
      <c r="AO66">
        <v>20000000</v>
      </c>
      <c r="AP66">
        <v>1051072</v>
      </c>
      <c r="AQ66">
        <v>0</v>
      </c>
      <c r="AR66">
        <v>21051072</v>
      </c>
      <c r="AS66">
        <v>14990000</v>
      </c>
      <c r="AT66">
        <v>-6061072</v>
      </c>
      <c r="AU66">
        <v>-4043</v>
      </c>
    </row>
    <row r="67" spans="1:47" ht="13.5" customHeight="1" x14ac:dyDescent="0.3">
      <c r="A67" t="s">
        <v>5155</v>
      </c>
      <c r="B67" t="s">
        <v>5179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5952</v>
      </c>
      <c r="J67" t="s">
        <v>3961</v>
      </c>
      <c r="K67" t="s">
        <v>5460</v>
      </c>
      <c r="L67" t="s">
        <v>70</v>
      </c>
      <c r="M67" t="s">
        <v>81</v>
      </c>
      <c r="N67" t="s">
        <v>82</v>
      </c>
      <c r="O67" t="s">
        <v>5461</v>
      </c>
      <c r="P67">
        <v>2025</v>
      </c>
      <c r="Q67">
        <v>37000</v>
      </c>
      <c r="R67" t="s">
        <v>5462</v>
      </c>
      <c r="S67" t="s">
        <v>83</v>
      </c>
      <c r="T67" t="s">
        <v>5158</v>
      </c>
      <c r="U67" t="s">
        <v>5297</v>
      </c>
      <c r="V67" t="s">
        <v>5160</v>
      </c>
      <c r="W67">
        <v>16590000</v>
      </c>
      <c r="X67" t="s">
        <v>5161</v>
      </c>
      <c r="Y67">
        <v>86</v>
      </c>
      <c r="Z67" t="s">
        <v>27</v>
      </c>
      <c r="AA67" t="s">
        <v>5184</v>
      </c>
      <c r="AB67" t="s">
        <v>5463</v>
      </c>
      <c r="AC67" t="s">
        <v>5464</v>
      </c>
      <c r="AD67" t="s">
        <v>5460</v>
      </c>
      <c r="AE67" t="s">
        <v>5465</v>
      </c>
      <c r="AF67" t="s">
        <v>5737</v>
      </c>
      <c r="AG67">
        <v>1</v>
      </c>
      <c r="AH67" t="s">
        <v>5737</v>
      </c>
      <c r="AI67" t="s">
        <v>5953</v>
      </c>
      <c r="AJ67" t="s">
        <v>3961</v>
      </c>
      <c r="AK67">
        <v>1</v>
      </c>
      <c r="AL67">
        <v>0</v>
      </c>
      <c r="AM67" t="s">
        <v>3961</v>
      </c>
      <c r="AN67">
        <v>0</v>
      </c>
      <c r="AO67">
        <v>13900000</v>
      </c>
      <c r="AP67">
        <v>334530</v>
      </c>
      <c r="AQ67">
        <v>0</v>
      </c>
      <c r="AR67">
        <v>14234530</v>
      </c>
      <c r="AS67">
        <v>16590000</v>
      </c>
      <c r="AT67">
        <v>2355470</v>
      </c>
      <c r="AU67">
        <v>142</v>
      </c>
    </row>
    <row r="68" spans="1:47" ht="13.5" customHeight="1" x14ac:dyDescent="0.3">
      <c r="A68" t="s">
        <v>5155</v>
      </c>
      <c r="B68" t="s">
        <v>5188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8216</v>
      </c>
      <c r="J68" t="s">
        <v>3961</v>
      </c>
      <c r="K68" t="s">
        <v>8217</v>
      </c>
      <c r="L68" t="s">
        <v>88</v>
      </c>
      <c r="M68" t="s">
        <v>100</v>
      </c>
      <c r="N68" t="s">
        <v>4220</v>
      </c>
      <c r="O68" t="s">
        <v>8218</v>
      </c>
      <c r="P68">
        <v>2018</v>
      </c>
      <c r="Q68">
        <v>66252</v>
      </c>
      <c r="R68" t="s">
        <v>8219</v>
      </c>
      <c r="S68" t="s">
        <v>3840</v>
      </c>
      <c r="T68" t="s">
        <v>5158</v>
      </c>
      <c r="U68" t="s">
        <v>5499</v>
      </c>
      <c r="V68" t="s">
        <v>5160</v>
      </c>
      <c r="W68">
        <v>10490000</v>
      </c>
      <c r="X68" t="s">
        <v>5161</v>
      </c>
      <c r="Y68">
        <v>13</v>
      </c>
      <c r="Z68" t="s">
        <v>27</v>
      </c>
      <c r="AA68" t="s">
        <v>5193</v>
      </c>
      <c r="AB68" t="s">
        <v>5163</v>
      </c>
      <c r="AC68" t="s">
        <v>8220</v>
      </c>
      <c r="AD68" t="s">
        <v>8217</v>
      </c>
      <c r="AE68" t="s">
        <v>8221</v>
      </c>
      <c r="AF68" t="s">
        <v>8214</v>
      </c>
      <c r="AG68">
        <v>1</v>
      </c>
      <c r="AH68" t="s">
        <v>8214</v>
      </c>
      <c r="AI68" t="s">
        <v>8222</v>
      </c>
      <c r="AJ68" t="s">
        <v>8223</v>
      </c>
      <c r="AK68">
        <v>1</v>
      </c>
      <c r="AL68">
        <v>0</v>
      </c>
      <c r="AM68" t="s">
        <v>3961</v>
      </c>
      <c r="AN68">
        <v>0</v>
      </c>
      <c r="AO68">
        <v>8600000</v>
      </c>
      <c r="AP68">
        <v>258240</v>
      </c>
      <c r="AQ68">
        <v>0</v>
      </c>
      <c r="AR68">
        <v>8858240</v>
      </c>
      <c r="AS68">
        <v>10490000</v>
      </c>
      <c r="AT68">
        <v>1631760</v>
      </c>
      <c r="AU68">
        <v>1556</v>
      </c>
    </row>
    <row r="69" spans="1:47" ht="13.5" customHeight="1" x14ac:dyDescent="0.3">
      <c r="A69" t="s">
        <v>5155</v>
      </c>
      <c r="B69" t="s">
        <v>5188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8298</v>
      </c>
      <c r="J69" t="s">
        <v>3961</v>
      </c>
      <c r="K69" t="s">
        <v>8299</v>
      </c>
      <c r="L69" t="s">
        <v>29</v>
      </c>
      <c r="M69" t="s">
        <v>4032</v>
      </c>
      <c r="N69" t="s">
        <v>4033</v>
      </c>
      <c r="O69" t="s">
        <v>8300</v>
      </c>
      <c r="P69">
        <v>2019</v>
      </c>
      <c r="Q69">
        <v>66000</v>
      </c>
      <c r="R69" t="s">
        <v>8301</v>
      </c>
      <c r="S69" t="s">
        <v>8302</v>
      </c>
      <c r="T69" t="s">
        <v>5158</v>
      </c>
      <c r="U69" t="s">
        <v>8303</v>
      </c>
      <c r="V69" t="s">
        <v>5160</v>
      </c>
      <c r="W69">
        <v>5290000</v>
      </c>
      <c r="X69" t="s">
        <v>5161</v>
      </c>
      <c r="Y69">
        <v>4</v>
      </c>
      <c r="Z69" t="s">
        <v>16</v>
      </c>
      <c r="AA69" t="s">
        <v>5193</v>
      </c>
      <c r="AB69" t="s">
        <v>8304</v>
      </c>
      <c r="AC69" t="s">
        <v>8305</v>
      </c>
      <c r="AD69" t="s">
        <v>8306</v>
      </c>
      <c r="AE69" t="s">
        <v>8307</v>
      </c>
      <c r="AF69" t="s">
        <v>8308</v>
      </c>
      <c r="AG69">
        <v>1</v>
      </c>
      <c r="AH69" t="s">
        <v>8308</v>
      </c>
      <c r="AI69" t="s">
        <v>8309</v>
      </c>
      <c r="AJ69" t="s">
        <v>3961</v>
      </c>
      <c r="AK69">
        <v>2</v>
      </c>
      <c r="AL69">
        <v>0</v>
      </c>
      <c r="AM69" t="s">
        <v>3961</v>
      </c>
      <c r="AN69">
        <v>0</v>
      </c>
      <c r="AO69">
        <v>3900000</v>
      </c>
      <c r="AP69">
        <v>187740</v>
      </c>
      <c r="AQ69">
        <v>0</v>
      </c>
      <c r="AR69">
        <v>4087740</v>
      </c>
      <c r="AS69">
        <v>5290000</v>
      </c>
      <c r="AT69">
        <v>1202260</v>
      </c>
      <c r="AU69">
        <v>2273</v>
      </c>
    </row>
    <row r="70" spans="1:47" ht="13.5" customHeight="1" x14ac:dyDescent="0.3">
      <c r="A70" t="s">
        <v>5155</v>
      </c>
      <c r="B70" t="s">
        <v>5179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5754</v>
      </c>
      <c r="J70" t="s">
        <v>3961</v>
      </c>
      <c r="K70" t="s">
        <v>5180</v>
      </c>
      <c r="L70" t="s">
        <v>249</v>
      </c>
      <c r="M70" t="s">
        <v>4804</v>
      </c>
      <c r="N70" t="s">
        <v>253</v>
      </c>
      <c r="O70" t="s">
        <v>5181</v>
      </c>
      <c r="P70">
        <v>2018</v>
      </c>
      <c r="Q70">
        <v>95984</v>
      </c>
      <c r="R70" t="s">
        <v>5182</v>
      </c>
      <c r="S70" t="s">
        <v>254</v>
      </c>
      <c r="T70" t="s">
        <v>5158</v>
      </c>
      <c r="U70" t="s">
        <v>5183</v>
      </c>
      <c r="V70" t="s">
        <v>5160</v>
      </c>
      <c r="W70">
        <v>10490000</v>
      </c>
      <c r="X70" t="s">
        <v>5161</v>
      </c>
      <c r="Y70">
        <v>161</v>
      </c>
      <c r="Z70" t="s">
        <v>41</v>
      </c>
      <c r="AA70" t="s">
        <v>5184</v>
      </c>
      <c r="AB70" t="s">
        <v>5185</v>
      </c>
      <c r="AC70" t="s">
        <v>5186</v>
      </c>
      <c r="AD70" t="s">
        <v>5180</v>
      </c>
      <c r="AE70" t="s">
        <v>5187</v>
      </c>
      <c r="AF70" t="s">
        <v>5755</v>
      </c>
      <c r="AG70">
        <v>1</v>
      </c>
      <c r="AH70" t="s">
        <v>5756</v>
      </c>
      <c r="AI70" t="s">
        <v>5756</v>
      </c>
      <c r="AJ70" t="s">
        <v>5757</v>
      </c>
      <c r="AK70">
        <v>1</v>
      </c>
      <c r="AL70">
        <v>0</v>
      </c>
      <c r="AM70" t="s">
        <v>3961</v>
      </c>
      <c r="AN70">
        <v>0</v>
      </c>
      <c r="AO70">
        <v>8800000</v>
      </c>
      <c r="AP70">
        <v>258030</v>
      </c>
      <c r="AQ70">
        <v>0</v>
      </c>
      <c r="AR70">
        <v>9058030</v>
      </c>
      <c r="AS70">
        <v>10490000</v>
      </c>
      <c r="AT70">
        <v>1431970</v>
      </c>
      <c r="AU70">
        <v>1365</v>
      </c>
    </row>
    <row r="71" spans="1:47" ht="13.5" customHeight="1" x14ac:dyDescent="0.3">
      <c r="A71" t="s">
        <v>5155</v>
      </c>
      <c r="B71" t="s">
        <v>5156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5854</v>
      </c>
      <c r="J71" t="s">
        <v>3961</v>
      </c>
      <c r="K71" t="s">
        <v>5611</v>
      </c>
      <c r="L71" t="s">
        <v>249</v>
      </c>
      <c r="M71" t="s">
        <v>284</v>
      </c>
      <c r="N71" t="s">
        <v>285</v>
      </c>
      <c r="O71" t="s">
        <v>5612</v>
      </c>
      <c r="P71">
        <v>2025</v>
      </c>
      <c r="Q71">
        <v>15700</v>
      </c>
      <c r="R71" t="s">
        <v>5613</v>
      </c>
      <c r="S71" t="s">
        <v>286</v>
      </c>
      <c r="T71" t="s">
        <v>5158</v>
      </c>
      <c r="U71" t="s">
        <v>5614</v>
      </c>
      <c r="V71" t="s">
        <v>5160</v>
      </c>
      <c r="W71">
        <v>16990000</v>
      </c>
      <c r="X71" t="s">
        <v>5161</v>
      </c>
      <c r="Y71">
        <v>44</v>
      </c>
      <c r="Z71" t="s">
        <v>21</v>
      </c>
      <c r="AA71" t="s">
        <v>5162</v>
      </c>
      <c r="AB71" t="s">
        <v>3961</v>
      </c>
      <c r="AC71" t="s">
        <v>5615</v>
      </c>
      <c r="AD71" t="s">
        <v>5611</v>
      </c>
      <c r="AE71" t="s">
        <v>5171</v>
      </c>
      <c r="AF71" t="s">
        <v>5855</v>
      </c>
      <c r="AG71">
        <v>1</v>
      </c>
      <c r="AH71" t="s">
        <v>5855</v>
      </c>
      <c r="AI71" t="s">
        <v>5856</v>
      </c>
      <c r="AJ71" t="s">
        <v>3961</v>
      </c>
      <c r="AK71">
        <v>1</v>
      </c>
      <c r="AL71">
        <v>0</v>
      </c>
      <c r="AM71" t="s">
        <v>3961</v>
      </c>
      <c r="AN71">
        <v>0</v>
      </c>
      <c r="AO71">
        <v>13500000</v>
      </c>
      <c r="AP71">
        <v>331740</v>
      </c>
      <c r="AQ71">
        <v>0</v>
      </c>
      <c r="AR71">
        <v>13831740</v>
      </c>
      <c r="AS71">
        <v>16990000</v>
      </c>
      <c r="AT71">
        <v>3158260</v>
      </c>
      <c r="AU71">
        <v>1859</v>
      </c>
    </row>
    <row r="72" spans="1:47" ht="13.5" customHeight="1" x14ac:dyDescent="0.3">
      <c r="A72" t="s">
        <v>5155</v>
      </c>
      <c r="B72" t="s">
        <v>5212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5973</v>
      </c>
      <c r="J72" t="s">
        <v>3961</v>
      </c>
      <c r="K72" t="s">
        <v>5213</v>
      </c>
      <c r="L72" t="s">
        <v>249</v>
      </c>
      <c r="M72" t="s">
        <v>277</v>
      </c>
      <c r="N72" t="s">
        <v>280</v>
      </c>
      <c r="O72" t="s">
        <v>5214</v>
      </c>
      <c r="P72">
        <v>2025</v>
      </c>
      <c r="Q72">
        <v>5800</v>
      </c>
      <c r="R72" t="s">
        <v>5215</v>
      </c>
      <c r="S72" t="s">
        <v>282</v>
      </c>
      <c r="T72" t="s">
        <v>5158</v>
      </c>
      <c r="U72" t="s">
        <v>5216</v>
      </c>
      <c r="V72" t="s">
        <v>5160</v>
      </c>
      <c r="W72">
        <v>20990000</v>
      </c>
      <c r="X72" t="s">
        <v>5161</v>
      </c>
      <c r="Y72">
        <v>253</v>
      </c>
      <c r="Z72" t="s">
        <v>27</v>
      </c>
      <c r="AA72" t="s">
        <v>5205</v>
      </c>
      <c r="AB72" t="s">
        <v>5163</v>
      </c>
      <c r="AC72" t="s">
        <v>5217</v>
      </c>
      <c r="AD72" t="s">
        <v>5213</v>
      </c>
      <c r="AE72" t="s">
        <v>5218</v>
      </c>
      <c r="AF72" t="s">
        <v>5909</v>
      </c>
      <c r="AG72">
        <v>1</v>
      </c>
      <c r="AH72" t="s">
        <v>5909</v>
      </c>
      <c r="AI72" t="s">
        <v>5974</v>
      </c>
      <c r="AJ72" t="s">
        <v>3961</v>
      </c>
      <c r="AK72">
        <v>1</v>
      </c>
      <c r="AL72">
        <v>0</v>
      </c>
      <c r="AM72" t="s">
        <v>3961</v>
      </c>
      <c r="AN72">
        <v>0</v>
      </c>
      <c r="AO72">
        <v>27929100</v>
      </c>
      <c r="AP72">
        <v>918614</v>
      </c>
      <c r="AQ72">
        <v>0</v>
      </c>
      <c r="AR72">
        <v>28847714</v>
      </c>
      <c r="AS72">
        <v>20990000</v>
      </c>
      <c r="AT72">
        <v>-7857714</v>
      </c>
      <c r="AU72">
        <v>-3744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8644</v>
      </c>
      <c r="J73" t="s">
        <v>3961</v>
      </c>
      <c r="K73" t="s">
        <v>8645</v>
      </c>
      <c r="L73" t="s">
        <v>88</v>
      </c>
      <c r="M73" t="s">
        <v>138</v>
      </c>
      <c r="N73" t="s">
        <v>142</v>
      </c>
      <c r="O73" t="s">
        <v>8646</v>
      </c>
      <c r="P73">
        <v>2025</v>
      </c>
      <c r="Q73">
        <v>14300</v>
      </c>
      <c r="R73" t="s">
        <v>8647</v>
      </c>
      <c r="S73" t="s">
        <v>422</v>
      </c>
      <c r="T73" t="s">
        <v>5158</v>
      </c>
      <c r="U73" t="s">
        <v>8648</v>
      </c>
      <c r="V73" t="s">
        <v>5160</v>
      </c>
      <c r="W73">
        <v>18490000</v>
      </c>
      <c r="X73" t="s">
        <v>5161</v>
      </c>
      <c r="Y73">
        <v>2</v>
      </c>
      <c r="Z73" t="s">
        <v>16</v>
      </c>
      <c r="AA73" t="s">
        <v>5162</v>
      </c>
      <c r="AB73" t="s">
        <v>5469</v>
      </c>
      <c r="AC73" t="s">
        <v>8649</v>
      </c>
      <c r="AD73" t="s">
        <v>8645</v>
      </c>
      <c r="AE73" t="s">
        <v>8650</v>
      </c>
      <c r="AF73" t="s">
        <v>8651</v>
      </c>
      <c r="AG73">
        <v>1</v>
      </c>
      <c r="AH73" t="s">
        <v>8651</v>
      </c>
      <c r="AI73" t="s">
        <v>8652</v>
      </c>
      <c r="AJ73" t="s">
        <v>3961</v>
      </c>
      <c r="AK73">
        <v>2</v>
      </c>
      <c r="AL73">
        <v>0</v>
      </c>
      <c r="AM73" t="s">
        <v>3961</v>
      </c>
      <c r="AN73">
        <v>0</v>
      </c>
      <c r="AO73">
        <v>16000000</v>
      </c>
      <c r="AP73">
        <v>0</v>
      </c>
      <c r="AQ73">
        <v>0</v>
      </c>
      <c r="AR73">
        <v>16000000</v>
      </c>
      <c r="AS73">
        <v>18490000</v>
      </c>
      <c r="AT73">
        <v>2490000</v>
      </c>
      <c r="AU73">
        <v>1347</v>
      </c>
    </row>
    <row r="74" spans="1:47" ht="13.5" customHeight="1" x14ac:dyDescent="0.3">
      <c r="A74" t="s">
        <v>5155</v>
      </c>
      <c r="B74" t="s">
        <v>5179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5933</v>
      </c>
      <c r="J74" t="s">
        <v>3961</v>
      </c>
      <c r="K74" t="s">
        <v>5643</v>
      </c>
      <c r="L74" t="s">
        <v>70</v>
      </c>
      <c r="M74" t="s">
        <v>4147</v>
      </c>
      <c r="N74" t="s">
        <v>73</v>
      </c>
      <c r="O74" t="s">
        <v>5644</v>
      </c>
      <c r="P74">
        <v>2023</v>
      </c>
      <c r="Q74">
        <v>31487</v>
      </c>
      <c r="R74" t="s">
        <v>5645</v>
      </c>
      <c r="S74" t="s">
        <v>74</v>
      </c>
      <c r="T74" t="s">
        <v>5158</v>
      </c>
      <c r="U74" t="s">
        <v>5646</v>
      </c>
      <c r="V74" t="s">
        <v>5160</v>
      </c>
      <c r="W74">
        <v>8990000</v>
      </c>
      <c r="X74" t="s">
        <v>5161</v>
      </c>
      <c r="Y74">
        <v>43</v>
      </c>
      <c r="Z74" t="s">
        <v>21</v>
      </c>
      <c r="AA74" t="s">
        <v>5184</v>
      </c>
      <c r="AB74" t="s">
        <v>5262</v>
      </c>
      <c r="AC74" t="s">
        <v>5647</v>
      </c>
      <c r="AD74" t="s">
        <v>5643</v>
      </c>
      <c r="AE74" t="s">
        <v>5648</v>
      </c>
      <c r="AF74" t="s">
        <v>5697</v>
      </c>
      <c r="AG74">
        <v>1</v>
      </c>
      <c r="AH74" t="s">
        <v>5697</v>
      </c>
      <c r="AI74" t="s">
        <v>5934</v>
      </c>
      <c r="AJ74" t="s">
        <v>3961</v>
      </c>
      <c r="AK74">
        <v>3</v>
      </c>
      <c r="AL74">
        <v>0</v>
      </c>
      <c r="AM74" t="s">
        <v>3961</v>
      </c>
      <c r="AN74">
        <v>0</v>
      </c>
      <c r="AO74">
        <v>7300000</v>
      </c>
      <c r="AP74">
        <v>238740</v>
      </c>
      <c r="AQ74">
        <v>0</v>
      </c>
      <c r="AR74">
        <v>7538740</v>
      </c>
      <c r="AS74">
        <v>8990000</v>
      </c>
      <c r="AT74">
        <v>1451260</v>
      </c>
      <c r="AU74">
        <v>1614</v>
      </c>
    </row>
    <row r="75" spans="1:47" ht="13.5" customHeight="1" x14ac:dyDescent="0.3">
      <c r="A75" t="s">
        <v>5155</v>
      </c>
      <c r="B75" t="s">
        <v>5156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5900</v>
      </c>
      <c r="J75" t="s">
        <v>3961</v>
      </c>
      <c r="K75" t="s">
        <v>5413</v>
      </c>
      <c r="L75" t="s">
        <v>88</v>
      </c>
      <c r="M75" t="s">
        <v>95</v>
      </c>
      <c r="N75" t="s">
        <v>98</v>
      </c>
      <c r="O75" t="s">
        <v>5414</v>
      </c>
      <c r="P75">
        <v>2020</v>
      </c>
      <c r="Q75">
        <v>55000</v>
      </c>
      <c r="R75" t="s">
        <v>5415</v>
      </c>
      <c r="S75" t="s">
        <v>99</v>
      </c>
      <c r="T75" t="s">
        <v>5158</v>
      </c>
      <c r="U75" t="s">
        <v>5167</v>
      </c>
      <c r="V75" t="s">
        <v>5160</v>
      </c>
      <c r="W75">
        <v>18490000</v>
      </c>
      <c r="X75" t="s">
        <v>5161</v>
      </c>
      <c r="Y75">
        <v>1186</v>
      </c>
      <c r="Z75" t="s">
        <v>41</v>
      </c>
      <c r="AA75" t="s">
        <v>5162</v>
      </c>
      <c r="AB75" t="s">
        <v>5416</v>
      </c>
      <c r="AC75" t="s">
        <v>5417</v>
      </c>
      <c r="AD75" t="s">
        <v>5413</v>
      </c>
      <c r="AE75" t="s">
        <v>5418</v>
      </c>
      <c r="AF75" t="s">
        <v>5901</v>
      </c>
      <c r="AG75">
        <v>1</v>
      </c>
      <c r="AH75" t="s">
        <v>5901</v>
      </c>
      <c r="AI75" t="s">
        <v>5902</v>
      </c>
      <c r="AJ75" t="s">
        <v>3961</v>
      </c>
      <c r="AK75">
        <v>0</v>
      </c>
      <c r="AL75">
        <v>0</v>
      </c>
      <c r="AM75" t="s">
        <v>3961</v>
      </c>
      <c r="AN75">
        <v>0</v>
      </c>
      <c r="AO75">
        <v>18000000</v>
      </c>
      <c r="AP75">
        <v>673380</v>
      </c>
      <c r="AQ75">
        <v>0</v>
      </c>
      <c r="AR75">
        <v>18673380</v>
      </c>
      <c r="AS75">
        <v>18490000</v>
      </c>
      <c r="AT75">
        <v>-183380</v>
      </c>
      <c r="AU75">
        <v>-99</v>
      </c>
    </row>
    <row r="76" spans="1:47" ht="13.5" customHeight="1" x14ac:dyDescent="0.3">
      <c r="A76" t="s">
        <v>5155</v>
      </c>
      <c r="B76" t="s">
        <v>5156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5785</v>
      </c>
      <c r="J76" t="s">
        <v>3961</v>
      </c>
      <c r="K76" t="s">
        <v>5786</v>
      </c>
      <c r="L76" t="s">
        <v>152</v>
      </c>
      <c r="M76" t="s">
        <v>158</v>
      </c>
      <c r="N76" t="s">
        <v>5787</v>
      </c>
      <c r="O76" t="s">
        <v>5788</v>
      </c>
      <c r="P76">
        <v>2023</v>
      </c>
      <c r="Q76">
        <v>32387</v>
      </c>
      <c r="R76" t="s">
        <v>5789</v>
      </c>
      <c r="S76" t="s">
        <v>5790</v>
      </c>
      <c r="T76" t="s">
        <v>5158</v>
      </c>
      <c r="U76" t="s">
        <v>5791</v>
      </c>
      <c r="V76" t="s">
        <v>5160</v>
      </c>
      <c r="W76">
        <v>11390000</v>
      </c>
      <c r="X76" t="s">
        <v>5161</v>
      </c>
      <c r="Y76">
        <v>16</v>
      </c>
      <c r="Z76" t="s">
        <v>16</v>
      </c>
      <c r="AA76" t="s">
        <v>5162</v>
      </c>
      <c r="AB76" t="s">
        <v>5792</v>
      </c>
      <c r="AC76" t="s">
        <v>5793</v>
      </c>
      <c r="AD76" t="s">
        <v>5794</v>
      </c>
      <c r="AE76" t="s">
        <v>5795</v>
      </c>
      <c r="AF76" t="s">
        <v>5796</v>
      </c>
      <c r="AG76">
        <v>1</v>
      </c>
      <c r="AH76" t="s">
        <v>5796</v>
      </c>
      <c r="AI76" t="s">
        <v>5797</v>
      </c>
      <c r="AJ76" t="s">
        <v>3961</v>
      </c>
      <c r="AK76">
        <v>1</v>
      </c>
      <c r="AL76">
        <v>0</v>
      </c>
      <c r="AM76" t="s">
        <v>3961</v>
      </c>
      <c r="AN76">
        <v>0</v>
      </c>
      <c r="AO76">
        <v>9300000</v>
      </c>
      <c r="AP76">
        <v>268740</v>
      </c>
      <c r="AQ76">
        <v>0</v>
      </c>
      <c r="AR76">
        <v>9568740</v>
      </c>
      <c r="AS76">
        <v>11390000</v>
      </c>
      <c r="AT76">
        <v>1821260</v>
      </c>
      <c r="AU76">
        <v>1599</v>
      </c>
    </row>
    <row r="77" spans="1:47" ht="13.5" customHeight="1" x14ac:dyDescent="0.3">
      <c r="A77" t="s">
        <v>5155</v>
      </c>
      <c r="B77" t="s">
        <v>5179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5938</v>
      </c>
      <c r="J77" t="s">
        <v>3961</v>
      </c>
      <c r="K77" t="s">
        <v>5392</v>
      </c>
      <c r="L77" t="s">
        <v>287</v>
      </c>
      <c r="M77" t="s">
        <v>295</v>
      </c>
      <c r="N77" t="s">
        <v>296</v>
      </c>
      <c r="O77" t="s">
        <v>5393</v>
      </c>
      <c r="P77">
        <v>2025</v>
      </c>
      <c r="Q77">
        <v>7500</v>
      </c>
      <c r="R77" t="s">
        <v>5394</v>
      </c>
      <c r="S77" t="s">
        <v>297</v>
      </c>
      <c r="T77" t="s">
        <v>5158</v>
      </c>
      <c r="U77" t="s">
        <v>5395</v>
      </c>
      <c r="V77" t="s">
        <v>5160</v>
      </c>
      <c r="W77">
        <v>27490000</v>
      </c>
      <c r="X77" t="s">
        <v>5161</v>
      </c>
      <c r="Y77">
        <v>30</v>
      </c>
      <c r="Z77" t="s">
        <v>27</v>
      </c>
      <c r="AA77" t="s">
        <v>5184</v>
      </c>
      <c r="AB77" t="s">
        <v>3961</v>
      </c>
      <c r="AC77" t="s">
        <v>5939</v>
      </c>
      <c r="AD77" t="s">
        <v>5392</v>
      </c>
      <c r="AE77" t="s">
        <v>5396</v>
      </c>
      <c r="AF77" t="s">
        <v>5799</v>
      </c>
      <c r="AG77">
        <v>1</v>
      </c>
      <c r="AH77" t="s">
        <v>5799</v>
      </c>
      <c r="AI77" t="s">
        <v>5940</v>
      </c>
      <c r="AJ77" t="s">
        <v>3961</v>
      </c>
      <c r="AK77">
        <v>1</v>
      </c>
      <c r="AL77">
        <v>0</v>
      </c>
      <c r="AM77" t="s">
        <v>3961</v>
      </c>
      <c r="AN77">
        <v>0</v>
      </c>
      <c r="AO77">
        <v>22120000</v>
      </c>
      <c r="AP77">
        <v>461040</v>
      </c>
      <c r="AQ77">
        <v>0</v>
      </c>
      <c r="AR77">
        <v>22581040</v>
      </c>
      <c r="AS77">
        <v>27490000</v>
      </c>
      <c r="AT77">
        <v>4908960</v>
      </c>
      <c r="AU77">
        <v>1786</v>
      </c>
    </row>
    <row r="78" spans="1:47" ht="13.5" customHeight="1" x14ac:dyDescent="0.3">
      <c r="A78" t="s">
        <v>5155</v>
      </c>
      <c r="B78" t="s">
        <v>5179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8257</v>
      </c>
      <c r="J78" t="s">
        <v>3961</v>
      </c>
      <c r="K78" t="s">
        <v>8258</v>
      </c>
      <c r="L78" t="s">
        <v>29</v>
      </c>
      <c r="M78" t="s">
        <v>2509</v>
      </c>
      <c r="N78" t="s">
        <v>4042</v>
      </c>
      <c r="O78" t="s">
        <v>8259</v>
      </c>
      <c r="P78">
        <v>2023</v>
      </c>
      <c r="Q78">
        <v>54200</v>
      </c>
      <c r="R78" t="s">
        <v>8260</v>
      </c>
      <c r="S78" t="s">
        <v>6052</v>
      </c>
      <c r="T78" t="s">
        <v>5158</v>
      </c>
      <c r="U78" t="s">
        <v>5343</v>
      </c>
      <c r="V78" t="s">
        <v>5160</v>
      </c>
      <c r="W78">
        <v>8490000</v>
      </c>
      <c r="X78" t="s">
        <v>5161</v>
      </c>
      <c r="Y78">
        <v>13</v>
      </c>
      <c r="Z78" t="s">
        <v>16</v>
      </c>
      <c r="AA78" t="s">
        <v>5184</v>
      </c>
      <c r="AB78" t="s">
        <v>8261</v>
      </c>
      <c r="AC78" t="s">
        <v>8262</v>
      </c>
      <c r="AD78" t="s">
        <v>8258</v>
      </c>
      <c r="AE78" t="s">
        <v>8263</v>
      </c>
      <c r="AF78" t="s">
        <v>8214</v>
      </c>
      <c r="AG78">
        <v>1</v>
      </c>
      <c r="AH78" t="s">
        <v>8214</v>
      </c>
      <c r="AI78" t="s">
        <v>8264</v>
      </c>
      <c r="AJ78" t="s">
        <v>8256</v>
      </c>
      <c r="AK78">
        <v>1</v>
      </c>
      <c r="AL78">
        <v>0</v>
      </c>
      <c r="AM78" t="s">
        <v>3961</v>
      </c>
      <c r="AN78">
        <v>0</v>
      </c>
      <c r="AO78">
        <v>7100000</v>
      </c>
      <c r="AP78">
        <v>235740</v>
      </c>
      <c r="AQ78">
        <v>0</v>
      </c>
      <c r="AR78">
        <v>7335740</v>
      </c>
      <c r="AS78">
        <v>8490000</v>
      </c>
      <c r="AT78">
        <v>1154260</v>
      </c>
      <c r="AU78">
        <v>136</v>
      </c>
    </row>
    <row r="79" spans="1:47" ht="13.5" customHeight="1" x14ac:dyDescent="0.3">
      <c r="A79" t="s">
        <v>5155</v>
      </c>
      <c r="B79" t="s">
        <v>5204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5893</v>
      </c>
      <c r="J79" t="s">
        <v>3961</v>
      </c>
      <c r="K79" t="s">
        <v>5595</v>
      </c>
      <c r="L79" t="s">
        <v>88</v>
      </c>
      <c r="M79" t="s">
        <v>138</v>
      </c>
      <c r="N79" t="s">
        <v>139</v>
      </c>
      <c r="O79" t="s">
        <v>5532</v>
      </c>
      <c r="P79">
        <v>2022</v>
      </c>
      <c r="Q79">
        <v>25200</v>
      </c>
      <c r="R79" t="s">
        <v>5596</v>
      </c>
      <c r="S79" t="s">
        <v>141</v>
      </c>
      <c r="T79" t="s">
        <v>5158</v>
      </c>
      <c r="U79" t="s">
        <v>5316</v>
      </c>
      <c r="V79" t="s">
        <v>5160</v>
      </c>
      <c r="W79">
        <v>10490000</v>
      </c>
      <c r="X79" t="s">
        <v>5161</v>
      </c>
      <c r="Y79">
        <v>409</v>
      </c>
      <c r="Z79" t="s">
        <v>41</v>
      </c>
      <c r="AA79" t="s">
        <v>5205</v>
      </c>
      <c r="AB79" t="s">
        <v>5194</v>
      </c>
      <c r="AC79" t="s">
        <v>5597</v>
      </c>
      <c r="AD79" t="s">
        <v>5595</v>
      </c>
      <c r="AE79" t="s">
        <v>5598</v>
      </c>
      <c r="AF79" t="s">
        <v>5894</v>
      </c>
      <c r="AG79">
        <v>1</v>
      </c>
      <c r="AH79" t="s">
        <v>5894</v>
      </c>
      <c r="AI79" t="s">
        <v>5895</v>
      </c>
      <c r="AJ79" t="s">
        <v>5896</v>
      </c>
      <c r="AK79">
        <v>1</v>
      </c>
      <c r="AL79">
        <v>0</v>
      </c>
      <c r="AM79" t="s">
        <v>3961</v>
      </c>
      <c r="AN79">
        <v>1</v>
      </c>
      <c r="AO79">
        <v>10300000</v>
      </c>
      <c r="AP79">
        <v>280530</v>
      </c>
      <c r="AQ79">
        <v>0</v>
      </c>
      <c r="AR79">
        <v>10580530</v>
      </c>
      <c r="AS79">
        <v>10490000</v>
      </c>
      <c r="AT79">
        <v>-90530</v>
      </c>
      <c r="AU79">
        <v>-86</v>
      </c>
    </row>
    <row r="80" spans="1:47" ht="13.5" customHeight="1" x14ac:dyDescent="0.3">
      <c r="A80" t="s">
        <v>5155</v>
      </c>
      <c r="B80" t="s">
        <v>5156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5849</v>
      </c>
      <c r="J80" t="s">
        <v>3961</v>
      </c>
      <c r="K80" t="s">
        <v>5622</v>
      </c>
      <c r="L80" t="s">
        <v>249</v>
      </c>
      <c r="M80" t="s">
        <v>4804</v>
      </c>
      <c r="N80" t="s">
        <v>266</v>
      </c>
      <c r="O80" t="s">
        <v>5318</v>
      </c>
      <c r="P80">
        <v>2023</v>
      </c>
      <c r="Q80">
        <v>25000</v>
      </c>
      <c r="R80" t="s">
        <v>5623</v>
      </c>
      <c r="S80" t="s">
        <v>267</v>
      </c>
      <c r="T80" t="s">
        <v>5158</v>
      </c>
      <c r="U80" t="s">
        <v>5183</v>
      </c>
      <c r="V80" t="s">
        <v>5160</v>
      </c>
      <c r="W80">
        <v>16990000</v>
      </c>
      <c r="X80" t="s">
        <v>5161</v>
      </c>
      <c r="Y80">
        <v>195</v>
      </c>
      <c r="Z80" t="s">
        <v>27</v>
      </c>
      <c r="AA80" t="s">
        <v>5162</v>
      </c>
      <c r="AB80" t="s">
        <v>5209</v>
      </c>
      <c r="AC80" t="s">
        <v>5624</v>
      </c>
      <c r="AD80" t="s">
        <v>5622</v>
      </c>
      <c r="AE80" t="s">
        <v>5625</v>
      </c>
      <c r="AF80" t="s">
        <v>5850</v>
      </c>
      <c r="AG80">
        <v>1</v>
      </c>
      <c r="AH80" t="s">
        <v>5851</v>
      </c>
      <c r="AI80" t="s">
        <v>5851</v>
      </c>
      <c r="AJ80" t="s">
        <v>5766</v>
      </c>
      <c r="AK80">
        <v>3</v>
      </c>
      <c r="AL80">
        <v>0</v>
      </c>
      <c r="AM80" t="s">
        <v>3961</v>
      </c>
      <c r="AN80">
        <v>0</v>
      </c>
      <c r="AO80">
        <v>16000000</v>
      </c>
      <c r="AP80">
        <v>366030</v>
      </c>
      <c r="AQ80">
        <v>0</v>
      </c>
      <c r="AR80">
        <v>16366030</v>
      </c>
      <c r="AS80">
        <v>16990000</v>
      </c>
      <c r="AT80">
        <v>623970</v>
      </c>
      <c r="AU80">
        <v>367</v>
      </c>
    </row>
    <row r="81" spans="1:47" ht="13.5" customHeight="1" x14ac:dyDescent="0.3">
      <c r="A81" t="s">
        <v>5155</v>
      </c>
      <c r="B81" t="s">
        <v>8653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8654</v>
      </c>
      <c r="J81" t="s">
        <v>3961</v>
      </c>
      <c r="K81" t="s">
        <v>8655</v>
      </c>
      <c r="L81" t="s">
        <v>29</v>
      </c>
      <c r="M81" t="s">
        <v>2560</v>
      </c>
      <c r="N81" t="s">
        <v>8656</v>
      </c>
      <c r="O81" t="s">
        <v>8657</v>
      </c>
      <c r="P81">
        <v>2025</v>
      </c>
      <c r="Q81">
        <v>38173</v>
      </c>
      <c r="R81" t="s">
        <v>8658</v>
      </c>
      <c r="S81" t="s">
        <v>3493</v>
      </c>
      <c r="T81" t="s">
        <v>5158</v>
      </c>
      <c r="U81" t="s">
        <v>8659</v>
      </c>
      <c r="V81" t="s">
        <v>5160</v>
      </c>
      <c r="W81">
        <v>8590000</v>
      </c>
      <c r="X81" t="s">
        <v>5161</v>
      </c>
      <c r="Y81">
        <v>2</v>
      </c>
      <c r="Z81" t="s">
        <v>16</v>
      </c>
      <c r="AA81" t="s">
        <v>8653</v>
      </c>
      <c r="AB81" t="s">
        <v>8235</v>
      </c>
      <c r="AC81" t="s">
        <v>8660</v>
      </c>
      <c r="AD81" t="s">
        <v>8655</v>
      </c>
      <c r="AE81" t="s">
        <v>8661</v>
      </c>
      <c r="AF81" t="s">
        <v>8651</v>
      </c>
      <c r="AG81">
        <v>1</v>
      </c>
      <c r="AH81" t="s">
        <v>8651</v>
      </c>
      <c r="AI81" t="s">
        <v>8662</v>
      </c>
      <c r="AJ81" t="s">
        <v>3961</v>
      </c>
      <c r="AK81">
        <v>1</v>
      </c>
      <c r="AL81">
        <v>0</v>
      </c>
      <c r="AM81" t="s">
        <v>3961</v>
      </c>
      <c r="AN81">
        <v>0</v>
      </c>
      <c r="AO81">
        <v>7000000</v>
      </c>
      <c r="AP81">
        <v>0</v>
      </c>
      <c r="AQ81">
        <v>0</v>
      </c>
      <c r="AR81">
        <v>7000000</v>
      </c>
      <c r="AS81">
        <v>8590000</v>
      </c>
      <c r="AT81">
        <v>1590000</v>
      </c>
      <c r="AU81">
        <v>1851</v>
      </c>
    </row>
    <row r="82" spans="1:47" ht="13.5" customHeight="1" x14ac:dyDescent="0.3">
      <c r="A82" t="s">
        <v>5155</v>
      </c>
      <c r="B82" t="s">
        <v>8663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8664</v>
      </c>
      <c r="J82" t="s">
        <v>3961</v>
      </c>
      <c r="K82" t="s">
        <v>8665</v>
      </c>
      <c r="L82" t="s">
        <v>194</v>
      </c>
      <c r="M82" t="s">
        <v>196</v>
      </c>
      <c r="N82" t="s">
        <v>197</v>
      </c>
      <c r="O82" t="s">
        <v>8666</v>
      </c>
      <c r="P82">
        <v>2014</v>
      </c>
      <c r="Q82">
        <v>50000</v>
      </c>
      <c r="R82" t="s">
        <v>8667</v>
      </c>
      <c r="S82" t="s">
        <v>8668</v>
      </c>
      <c r="T82" t="s">
        <v>5158</v>
      </c>
      <c r="U82" t="s">
        <v>8669</v>
      </c>
      <c r="V82" t="s">
        <v>5160</v>
      </c>
      <c r="W82">
        <v>4390000</v>
      </c>
      <c r="X82" t="s">
        <v>5161</v>
      </c>
      <c r="Y82">
        <v>2859</v>
      </c>
      <c r="Z82" t="s">
        <v>8670</v>
      </c>
      <c r="AA82" t="s">
        <v>8671</v>
      </c>
      <c r="AB82" t="s">
        <v>3961</v>
      </c>
      <c r="AC82" t="s">
        <v>8672</v>
      </c>
      <c r="AD82" t="s">
        <v>8665</v>
      </c>
      <c r="AE82" t="s">
        <v>8673</v>
      </c>
      <c r="AF82" t="s">
        <v>8674</v>
      </c>
      <c r="AG82">
        <v>0</v>
      </c>
      <c r="AH82" t="s">
        <v>3961</v>
      </c>
      <c r="AI82" t="s">
        <v>3961</v>
      </c>
      <c r="AJ82" t="s">
        <v>3961</v>
      </c>
      <c r="AK82">
        <v>0</v>
      </c>
      <c r="AL82">
        <v>0</v>
      </c>
      <c r="AM82" t="s">
        <v>3961</v>
      </c>
      <c r="AN82">
        <v>1</v>
      </c>
      <c r="AO82">
        <v>0</v>
      </c>
      <c r="AP82">
        <v>1812732</v>
      </c>
      <c r="AQ82">
        <v>0</v>
      </c>
      <c r="AR82">
        <v>1812732</v>
      </c>
      <c r="AS82">
        <v>4390000</v>
      </c>
      <c r="AT82">
        <v>2577268</v>
      </c>
      <c r="AU82">
        <v>5871</v>
      </c>
    </row>
    <row r="83" spans="1:47" ht="13.5" customHeight="1" x14ac:dyDescent="0.3">
      <c r="A83" t="s">
        <v>5155</v>
      </c>
      <c r="B83" t="s">
        <v>5179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6020</v>
      </c>
      <c r="J83" t="s">
        <v>3961</v>
      </c>
      <c r="K83" t="s">
        <v>5672</v>
      </c>
      <c r="L83" t="s">
        <v>249</v>
      </c>
      <c r="M83" t="s">
        <v>4804</v>
      </c>
      <c r="N83" t="s">
        <v>262</v>
      </c>
      <c r="O83" t="s">
        <v>5157</v>
      </c>
      <c r="P83">
        <v>2023</v>
      </c>
      <c r="Q83">
        <v>45360</v>
      </c>
      <c r="R83" t="s">
        <v>5673</v>
      </c>
      <c r="S83" t="s">
        <v>263</v>
      </c>
      <c r="T83" t="s">
        <v>5158</v>
      </c>
      <c r="U83" t="s">
        <v>5175</v>
      </c>
      <c r="V83" t="s">
        <v>5160</v>
      </c>
      <c r="W83">
        <v>13990000</v>
      </c>
      <c r="X83" t="s">
        <v>5161</v>
      </c>
      <c r="Y83">
        <v>255</v>
      </c>
      <c r="Z83" t="s">
        <v>27</v>
      </c>
      <c r="AA83" t="s">
        <v>5184</v>
      </c>
      <c r="AB83" t="s">
        <v>5674</v>
      </c>
      <c r="AC83" t="s">
        <v>5675</v>
      </c>
      <c r="AD83" t="s">
        <v>5672</v>
      </c>
      <c r="AE83" t="s">
        <v>5676</v>
      </c>
      <c r="AF83" t="s">
        <v>6021</v>
      </c>
      <c r="AG83">
        <v>1</v>
      </c>
      <c r="AH83" t="s">
        <v>6022</v>
      </c>
      <c r="AI83" t="s">
        <v>6022</v>
      </c>
      <c r="AJ83" t="s">
        <v>5925</v>
      </c>
      <c r="AK83">
        <v>1</v>
      </c>
      <c r="AL83">
        <v>0</v>
      </c>
      <c r="AM83" t="s">
        <v>3961</v>
      </c>
      <c r="AN83">
        <v>0</v>
      </c>
      <c r="AO83">
        <v>12100000</v>
      </c>
      <c r="AP83">
        <v>307530</v>
      </c>
      <c r="AQ83">
        <v>0</v>
      </c>
      <c r="AR83">
        <v>12407530</v>
      </c>
      <c r="AS83">
        <v>13990000</v>
      </c>
      <c r="AT83">
        <v>1582470</v>
      </c>
      <c r="AU83">
        <v>1131</v>
      </c>
    </row>
    <row r="84" spans="1:47" ht="13.5" customHeight="1" x14ac:dyDescent="0.3">
      <c r="A84" t="s">
        <v>5155</v>
      </c>
      <c r="B84" t="s">
        <v>5156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8311</v>
      </c>
      <c r="J84" t="s">
        <v>3961</v>
      </c>
      <c r="K84" t="s">
        <v>8312</v>
      </c>
      <c r="L84" t="s">
        <v>188</v>
      </c>
      <c r="M84" t="s">
        <v>189</v>
      </c>
      <c r="N84" t="s">
        <v>8313</v>
      </c>
      <c r="O84" t="s">
        <v>8314</v>
      </c>
      <c r="P84">
        <v>2025</v>
      </c>
      <c r="Q84">
        <v>7500</v>
      </c>
      <c r="R84" t="s">
        <v>8315</v>
      </c>
      <c r="S84" t="s">
        <v>190</v>
      </c>
      <c r="T84" t="s">
        <v>5158</v>
      </c>
      <c r="U84" t="s">
        <v>8316</v>
      </c>
      <c r="V84" t="s">
        <v>5160</v>
      </c>
      <c r="W84">
        <v>21960000</v>
      </c>
      <c r="X84" t="s">
        <v>5161</v>
      </c>
      <c r="Y84">
        <v>283</v>
      </c>
      <c r="Z84" t="s">
        <v>27</v>
      </c>
      <c r="AA84" t="s">
        <v>5162</v>
      </c>
      <c r="AB84" t="s">
        <v>5194</v>
      </c>
      <c r="AC84" t="s">
        <v>8317</v>
      </c>
      <c r="AD84" t="s">
        <v>8312</v>
      </c>
      <c r="AE84" t="s">
        <v>8318</v>
      </c>
      <c r="AF84" t="s">
        <v>5906</v>
      </c>
      <c r="AG84">
        <v>1</v>
      </c>
      <c r="AH84" t="s">
        <v>5906</v>
      </c>
      <c r="AI84" t="s">
        <v>8319</v>
      </c>
      <c r="AJ84" t="s">
        <v>3961</v>
      </c>
      <c r="AK84">
        <v>1</v>
      </c>
      <c r="AL84">
        <v>0</v>
      </c>
      <c r="AM84" t="s">
        <v>3961</v>
      </c>
      <c r="AN84">
        <v>0</v>
      </c>
      <c r="AO84">
        <v>21500000</v>
      </c>
      <c r="AP84">
        <v>836161</v>
      </c>
      <c r="AQ84">
        <v>0</v>
      </c>
      <c r="AR84">
        <v>22336161</v>
      </c>
      <c r="AS84">
        <v>21960000</v>
      </c>
      <c r="AT84">
        <v>-376161</v>
      </c>
      <c r="AU84">
        <v>-171</v>
      </c>
    </row>
    <row r="85" spans="1:47" ht="13.5" customHeight="1" x14ac:dyDescent="0.3">
      <c r="A85" t="s">
        <v>5155</v>
      </c>
      <c r="B85" t="s">
        <v>5188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5770</v>
      </c>
      <c r="J85" t="s">
        <v>3961</v>
      </c>
      <c r="K85" t="s">
        <v>5478</v>
      </c>
      <c r="L85" t="s">
        <v>194</v>
      </c>
      <c r="M85" t="s">
        <v>204</v>
      </c>
      <c r="N85" t="s">
        <v>205</v>
      </c>
      <c r="O85" t="s">
        <v>5479</v>
      </c>
      <c r="P85">
        <v>2024</v>
      </c>
      <c r="Q85">
        <v>37000</v>
      </c>
      <c r="R85" t="s">
        <v>5480</v>
      </c>
      <c r="S85" t="s">
        <v>206</v>
      </c>
      <c r="T85" t="s">
        <v>5158</v>
      </c>
      <c r="U85" t="s">
        <v>5481</v>
      </c>
      <c r="V85" t="s">
        <v>5160</v>
      </c>
      <c r="W85">
        <v>33490000</v>
      </c>
      <c r="X85" t="s">
        <v>5161</v>
      </c>
      <c r="Y85">
        <v>141</v>
      </c>
      <c r="Z85" t="s">
        <v>27</v>
      </c>
      <c r="AA85" t="s">
        <v>5193</v>
      </c>
      <c r="AB85" t="s">
        <v>5168</v>
      </c>
      <c r="AC85" t="s">
        <v>5482</v>
      </c>
      <c r="AD85" t="s">
        <v>5478</v>
      </c>
      <c r="AE85" t="s">
        <v>5483</v>
      </c>
      <c r="AF85" t="s">
        <v>5771</v>
      </c>
      <c r="AG85">
        <v>1</v>
      </c>
      <c r="AH85" t="s">
        <v>5771</v>
      </c>
      <c r="AI85" t="s">
        <v>5772</v>
      </c>
      <c r="AJ85" t="s">
        <v>3961</v>
      </c>
      <c r="AK85">
        <v>1</v>
      </c>
      <c r="AL85">
        <v>0</v>
      </c>
      <c r="AM85" t="s">
        <v>3961</v>
      </c>
      <c r="AN85">
        <v>0</v>
      </c>
      <c r="AO85">
        <v>28000000</v>
      </c>
      <c r="AP85">
        <v>1142194</v>
      </c>
      <c r="AQ85">
        <v>0</v>
      </c>
      <c r="AR85">
        <v>29142194</v>
      </c>
      <c r="AS85">
        <v>33490000</v>
      </c>
      <c r="AT85">
        <v>4347806</v>
      </c>
      <c r="AU85">
        <v>1298</v>
      </c>
    </row>
    <row r="86" spans="1:47" ht="13.5" customHeight="1" x14ac:dyDescent="0.3">
      <c r="A86" t="s">
        <v>5155</v>
      </c>
      <c r="B86" t="s">
        <v>5156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5920</v>
      </c>
      <c r="J86" t="s">
        <v>3961</v>
      </c>
      <c r="K86" t="s">
        <v>5317</v>
      </c>
      <c r="L86" t="s">
        <v>249</v>
      </c>
      <c r="M86" t="s">
        <v>4804</v>
      </c>
      <c r="N86" t="s">
        <v>266</v>
      </c>
      <c r="O86" t="s">
        <v>5318</v>
      </c>
      <c r="P86">
        <v>2023</v>
      </c>
      <c r="Q86">
        <v>63000</v>
      </c>
      <c r="R86" t="s">
        <v>5319</v>
      </c>
      <c r="S86" t="s">
        <v>269</v>
      </c>
      <c r="T86" t="s">
        <v>5158</v>
      </c>
      <c r="U86" t="s">
        <v>5175</v>
      </c>
      <c r="V86" t="s">
        <v>5160</v>
      </c>
      <c r="W86">
        <v>16490000</v>
      </c>
      <c r="X86" t="s">
        <v>5161</v>
      </c>
      <c r="Y86">
        <v>67</v>
      </c>
      <c r="Z86" t="s">
        <v>16</v>
      </c>
      <c r="AA86" t="s">
        <v>5162</v>
      </c>
      <c r="AB86" t="s">
        <v>5163</v>
      </c>
      <c r="AC86" t="s">
        <v>5320</v>
      </c>
      <c r="AD86" t="s">
        <v>5317</v>
      </c>
      <c r="AE86" t="s">
        <v>5321</v>
      </c>
      <c r="AF86" t="s">
        <v>5708</v>
      </c>
      <c r="AG86">
        <v>1</v>
      </c>
      <c r="AH86" t="s">
        <v>5708</v>
      </c>
      <c r="AI86" t="s">
        <v>5921</v>
      </c>
      <c r="AJ86" t="s">
        <v>5766</v>
      </c>
      <c r="AK86">
        <v>1</v>
      </c>
      <c r="AL86">
        <v>0</v>
      </c>
      <c r="AM86" t="s">
        <v>3961</v>
      </c>
      <c r="AN86">
        <v>0</v>
      </c>
      <c r="AO86">
        <v>14000000</v>
      </c>
      <c r="AP86">
        <v>339240</v>
      </c>
      <c r="AQ86">
        <v>0</v>
      </c>
      <c r="AR86">
        <v>14339240</v>
      </c>
      <c r="AS86">
        <v>16490000</v>
      </c>
      <c r="AT86">
        <v>2150760</v>
      </c>
      <c r="AU86">
        <v>1304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5780</v>
      </c>
      <c r="J87" t="s">
        <v>3961</v>
      </c>
      <c r="K87" t="s">
        <v>5438</v>
      </c>
      <c r="L87" t="s">
        <v>287</v>
      </c>
      <c r="M87" t="s">
        <v>288</v>
      </c>
      <c r="N87" t="s">
        <v>291</v>
      </c>
      <c r="O87" t="s">
        <v>5439</v>
      </c>
      <c r="P87">
        <v>2022</v>
      </c>
      <c r="Q87">
        <v>72237</v>
      </c>
      <c r="R87" t="s">
        <v>5440</v>
      </c>
      <c r="S87" t="s">
        <v>292</v>
      </c>
      <c r="T87" t="s">
        <v>5158</v>
      </c>
      <c r="U87" t="s">
        <v>5441</v>
      </c>
      <c r="V87" t="s">
        <v>5160</v>
      </c>
      <c r="W87">
        <v>35990000</v>
      </c>
      <c r="X87" t="s">
        <v>5161</v>
      </c>
      <c r="Y87">
        <v>114</v>
      </c>
      <c r="Z87" t="s">
        <v>27</v>
      </c>
      <c r="AA87" t="s">
        <v>5162</v>
      </c>
      <c r="AB87" t="s">
        <v>3961</v>
      </c>
      <c r="AC87" t="s">
        <v>5442</v>
      </c>
      <c r="AD87" t="s">
        <v>5443</v>
      </c>
      <c r="AE87" t="s">
        <v>5444</v>
      </c>
      <c r="AF87" t="s">
        <v>5781</v>
      </c>
      <c r="AG87">
        <v>1</v>
      </c>
      <c r="AH87" t="s">
        <v>5781</v>
      </c>
      <c r="AI87" t="s">
        <v>5782</v>
      </c>
      <c r="AJ87" t="s">
        <v>3961</v>
      </c>
      <c r="AK87">
        <v>0</v>
      </c>
      <c r="AL87">
        <v>0</v>
      </c>
      <c r="AM87" t="s">
        <v>3961</v>
      </c>
      <c r="AN87">
        <v>0</v>
      </c>
      <c r="AO87">
        <v>30400000</v>
      </c>
      <c r="AP87">
        <v>582030</v>
      </c>
      <c r="AQ87">
        <v>0</v>
      </c>
      <c r="AR87">
        <v>30982030</v>
      </c>
      <c r="AS87">
        <v>35990000</v>
      </c>
      <c r="AT87">
        <v>5007970</v>
      </c>
      <c r="AU87">
        <v>1391</v>
      </c>
    </row>
    <row r="88" spans="1:47" ht="13.5" customHeight="1" x14ac:dyDescent="0.3">
      <c r="A88" t="s">
        <v>5155</v>
      </c>
      <c r="B88" t="s">
        <v>5188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5947</v>
      </c>
      <c r="J88" t="s">
        <v>3961</v>
      </c>
      <c r="K88" t="s">
        <v>5409</v>
      </c>
      <c r="L88" t="s">
        <v>249</v>
      </c>
      <c r="M88" t="s">
        <v>4840</v>
      </c>
      <c r="N88" t="s">
        <v>270</v>
      </c>
      <c r="O88" t="s">
        <v>5173</v>
      </c>
      <c r="P88">
        <v>2023</v>
      </c>
      <c r="Q88">
        <v>66999</v>
      </c>
      <c r="R88" t="s">
        <v>5410</v>
      </c>
      <c r="S88" t="s">
        <v>272</v>
      </c>
      <c r="T88" t="s">
        <v>5158</v>
      </c>
      <c r="U88" t="s">
        <v>5175</v>
      </c>
      <c r="V88" t="s">
        <v>5160</v>
      </c>
      <c r="W88">
        <v>22690000</v>
      </c>
      <c r="X88" t="s">
        <v>5161</v>
      </c>
      <c r="Y88">
        <v>211</v>
      </c>
      <c r="Z88" t="s">
        <v>27</v>
      </c>
      <c r="AA88" t="s">
        <v>5193</v>
      </c>
      <c r="AB88" t="s">
        <v>5163</v>
      </c>
      <c r="AC88" t="s">
        <v>5411</v>
      </c>
      <c r="AD88" t="s">
        <v>5409</v>
      </c>
      <c r="AE88" t="s">
        <v>5412</v>
      </c>
      <c r="AF88" t="s">
        <v>5948</v>
      </c>
      <c r="AG88">
        <v>1</v>
      </c>
      <c r="AH88" t="s">
        <v>8297</v>
      </c>
      <c r="AI88" t="s">
        <v>8297</v>
      </c>
      <c r="AJ88" t="s">
        <v>5766</v>
      </c>
      <c r="AK88">
        <v>1</v>
      </c>
      <c r="AL88">
        <v>0</v>
      </c>
      <c r="AM88" t="s">
        <v>3961</v>
      </c>
      <c r="AN88">
        <v>0</v>
      </c>
      <c r="AO88">
        <v>19800000</v>
      </c>
      <c r="AP88">
        <v>423030</v>
      </c>
      <c r="AQ88">
        <v>0</v>
      </c>
      <c r="AR88">
        <v>20223030</v>
      </c>
      <c r="AS88">
        <v>22690000</v>
      </c>
      <c r="AT88">
        <v>2466970</v>
      </c>
      <c r="AU88">
        <v>1087</v>
      </c>
    </row>
    <row r="89" spans="1:47" ht="13.5" customHeight="1" x14ac:dyDescent="0.3">
      <c r="A89" t="s">
        <v>5155</v>
      </c>
      <c r="B89" t="s">
        <v>5156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6009</v>
      </c>
      <c r="J89" t="s">
        <v>3961</v>
      </c>
      <c r="K89" t="s">
        <v>6010</v>
      </c>
      <c r="L89" t="s">
        <v>322</v>
      </c>
      <c r="M89" t="s">
        <v>3878</v>
      </c>
      <c r="N89" t="s">
        <v>5091</v>
      </c>
      <c r="O89" t="s">
        <v>6011</v>
      </c>
      <c r="P89">
        <v>2023</v>
      </c>
      <c r="Q89">
        <v>41520</v>
      </c>
      <c r="R89" t="s">
        <v>6012</v>
      </c>
      <c r="S89" t="s">
        <v>336</v>
      </c>
      <c r="T89" t="s">
        <v>5158</v>
      </c>
      <c r="U89" t="s">
        <v>6013</v>
      </c>
      <c r="V89" t="s">
        <v>5160</v>
      </c>
      <c r="W89">
        <v>15190000</v>
      </c>
      <c r="X89" t="s">
        <v>5161</v>
      </c>
      <c r="Y89">
        <v>25</v>
      </c>
      <c r="Z89" t="s">
        <v>21</v>
      </c>
      <c r="AA89" t="s">
        <v>5162</v>
      </c>
      <c r="AB89" t="s">
        <v>5209</v>
      </c>
      <c r="AC89" t="s">
        <v>6014</v>
      </c>
      <c r="AD89" t="s">
        <v>6010</v>
      </c>
      <c r="AE89" t="s">
        <v>6015</v>
      </c>
      <c r="AF89" t="s">
        <v>5718</v>
      </c>
      <c r="AG89">
        <v>1</v>
      </c>
      <c r="AH89" t="s">
        <v>5718</v>
      </c>
      <c r="AI89" t="s">
        <v>6016</v>
      </c>
      <c r="AJ89" t="s">
        <v>3961</v>
      </c>
      <c r="AK89">
        <v>1</v>
      </c>
      <c r="AL89">
        <v>0</v>
      </c>
      <c r="AM89" t="s">
        <v>3961</v>
      </c>
      <c r="AN89">
        <v>0</v>
      </c>
      <c r="AO89">
        <v>12900000</v>
      </c>
      <c r="AP89">
        <v>322740</v>
      </c>
      <c r="AQ89">
        <v>0</v>
      </c>
      <c r="AR89">
        <v>13222740</v>
      </c>
      <c r="AS89">
        <v>15190000</v>
      </c>
      <c r="AT89">
        <v>1967260</v>
      </c>
      <c r="AU89">
        <v>1295</v>
      </c>
    </row>
    <row r="90" spans="1:47" ht="13.5" customHeight="1" x14ac:dyDescent="0.3">
      <c r="A90" t="s">
        <v>5155</v>
      </c>
      <c r="B90" t="s">
        <v>5204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5865</v>
      </c>
      <c r="J90" t="s">
        <v>3961</v>
      </c>
      <c r="K90" t="s">
        <v>5537</v>
      </c>
      <c r="L90" t="s">
        <v>46</v>
      </c>
      <c r="M90" t="s">
        <v>47</v>
      </c>
      <c r="N90" t="s">
        <v>48</v>
      </c>
      <c r="O90" t="s">
        <v>5538</v>
      </c>
      <c r="P90">
        <v>2017</v>
      </c>
      <c r="Q90">
        <v>75000</v>
      </c>
      <c r="R90" t="s">
        <v>5539</v>
      </c>
      <c r="S90" t="s">
        <v>49</v>
      </c>
      <c r="T90" t="s">
        <v>5158</v>
      </c>
      <c r="U90" t="s">
        <v>5297</v>
      </c>
      <c r="V90" t="s">
        <v>5160</v>
      </c>
      <c r="W90">
        <v>9590000</v>
      </c>
      <c r="X90" t="s">
        <v>5161</v>
      </c>
      <c r="Y90">
        <v>289</v>
      </c>
      <c r="Z90" t="s">
        <v>41</v>
      </c>
      <c r="AA90" t="s">
        <v>5205</v>
      </c>
      <c r="AB90" t="s">
        <v>3961</v>
      </c>
      <c r="AC90" t="s">
        <v>5540</v>
      </c>
      <c r="AD90" t="s">
        <v>5537</v>
      </c>
      <c r="AE90" t="s">
        <v>5541</v>
      </c>
      <c r="AF90" t="s">
        <v>5866</v>
      </c>
      <c r="AG90">
        <v>1</v>
      </c>
      <c r="AH90" t="s">
        <v>5867</v>
      </c>
      <c r="AI90" t="s">
        <v>5867</v>
      </c>
      <c r="AJ90" t="s">
        <v>5868</v>
      </c>
      <c r="AK90">
        <v>1</v>
      </c>
      <c r="AL90">
        <v>0</v>
      </c>
      <c r="AM90" t="s">
        <v>3961</v>
      </c>
      <c r="AN90">
        <v>0</v>
      </c>
      <c r="AO90">
        <v>7300000</v>
      </c>
      <c r="AP90">
        <v>235530</v>
      </c>
      <c r="AQ90">
        <v>0</v>
      </c>
      <c r="AR90">
        <v>7535530</v>
      </c>
      <c r="AS90">
        <v>9590000</v>
      </c>
      <c r="AT90">
        <v>2054470</v>
      </c>
      <c r="AU90">
        <v>2142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5971</v>
      </c>
      <c r="J91" t="s">
        <v>3961</v>
      </c>
      <c r="K91" t="s">
        <v>5222</v>
      </c>
      <c r="L91" t="s">
        <v>215</v>
      </c>
      <c r="M91" t="s">
        <v>219</v>
      </c>
      <c r="N91" t="s">
        <v>220</v>
      </c>
      <c r="O91" t="s">
        <v>5223</v>
      </c>
      <c r="P91">
        <v>2025</v>
      </c>
      <c r="Q91">
        <v>19678</v>
      </c>
      <c r="R91" t="s">
        <v>5224</v>
      </c>
      <c r="S91" t="s">
        <v>221</v>
      </c>
      <c r="T91" t="s">
        <v>5158</v>
      </c>
      <c r="U91" t="s">
        <v>5225</v>
      </c>
      <c r="V91" t="s">
        <v>5160</v>
      </c>
      <c r="W91">
        <v>36990000</v>
      </c>
      <c r="X91" t="s">
        <v>5161</v>
      </c>
      <c r="Y91">
        <v>252</v>
      </c>
      <c r="Z91" t="s">
        <v>27</v>
      </c>
      <c r="AA91" t="s">
        <v>5162</v>
      </c>
      <c r="AB91" t="s">
        <v>5226</v>
      </c>
      <c r="AC91" t="s">
        <v>5227</v>
      </c>
      <c r="AD91" t="s">
        <v>5228</v>
      </c>
      <c r="AE91" t="s">
        <v>5229</v>
      </c>
      <c r="AF91" t="s">
        <v>5805</v>
      </c>
      <c r="AG91">
        <v>1</v>
      </c>
      <c r="AH91" t="s">
        <v>5972</v>
      </c>
      <c r="AI91" t="s">
        <v>5972</v>
      </c>
      <c r="AJ91" t="s">
        <v>3961</v>
      </c>
      <c r="AK91">
        <v>1</v>
      </c>
      <c r="AL91">
        <v>0</v>
      </c>
      <c r="AM91" t="s">
        <v>3961</v>
      </c>
      <c r="AN91">
        <v>0</v>
      </c>
      <c r="AO91">
        <v>38000000</v>
      </c>
      <c r="AP91">
        <v>1283058</v>
      </c>
      <c r="AQ91">
        <v>0</v>
      </c>
      <c r="AR91">
        <v>39283058</v>
      </c>
      <c r="AS91">
        <v>36990000</v>
      </c>
      <c r="AT91">
        <v>-2293058</v>
      </c>
      <c r="AU91">
        <v>-62</v>
      </c>
    </row>
    <row r="92" spans="1:47" ht="13.5" customHeight="1" x14ac:dyDescent="0.3">
      <c r="A92" t="s">
        <v>5155</v>
      </c>
      <c r="B92" t="s">
        <v>5156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5931</v>
      </c>
      <c r="J92" t="s">
        <v>3961</v>
      </c>
      <c r="K92" t="s">
        <v>5599</v>
      </c>
      <c r="L92" t="s">
        <v>70</v>
      </c>
      <c r="M92" t="s">
        <v>4147</v>
      </c>
      <c r="N92" t="s">
        <v>75</v>
      </c>
      <c r="O92" t="s">
        <v>5600</v>
      </c>
      <c r="P92">
        <v>2023</v>
      </c>
      <c r="Q92">
        <v>75442</v>
      </c>
      <c r="R92" t="s">
        <v>5601</v>
      </c>
      <c r="S92" t="s">
        <v>76</v>
      </c>
      <c r="T92" t="s">
        <v>5158</v>
      </c>
      <c r="U92" t="s">
        <v>5200</v>
      </c>
      <c r="V92" t="s">
        <v>5160</v>
      </c>
      <c r="W92">
        <v>8890000</v>
      </c>
      <c r="X92" t="s">
        <v>5161</v>
      </c>
      <c r="Y92">
        <v>44</v>
      </c>
      <c r="Z92" t="s">
        <v>21</v>
      </c>
      <c r="AA92" t="s">
        <v>5162</v>
      </c>
      <c r="AB92" t="s">
        <v>5602</v>
      </c>
      <c r="AC92" t="s">
        <v>5603</v>
      </c>
      <c r="AD92" t="s">
        <v>5599</v>
      </c>
      <c r="AE92" t="s">
        <v>5604</v>
      </c>
      <c r="AF92" t="s">
        <v>5855</v>
      </c>
      <c r="AG92">
        <v>1</v>
      </c>
      <c r="AH92" t="s">
        <v>5855</v>
      </c>
      <c r="AI92" t="s">
        <v>5932</v>
      </c>
      <c r="AJ92" t="s">
        <v>3961</v>
      </c>
      <c r="AK92">
        <v>1</v>
      </c>
      <c r="AL92">
        <v>0</v>
      </c>
      <c r="AM92" t="s">
        <v>3961</v>
      </c>
      <c r="AN92">
        <v>0</v>
      </c>
      <c r="AO92">
        <v>6900000</v>
      </c>
      <c r="AP92">
        <v>232740</v>
      </c>
      <c r="AQ92">
        <v>0</v>
      </c>
      <c r="AR92">
        <v>7132740</v>
      </c>
      <c r="AS92">
        <v>8890000</v>
      </c>
      <c r="AT92">
        <v>1757260</v>
      </c>
      <c r="AU92">
        <v>1977</v>
      </c>
    </row>
    <row r="93" spans="1:47" ht="13.5" customHeight="1" x14ac:dyDescent="0.3">
      <c r="A93" t="s">
        <v>5155</v>
      </c>
      <c r="B93" t="s">
        <v>5156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5905</v>
      </c>
      <c r="J93" t="s">
        <v>3961</v>
      </c>
      <c r="K93" t="s">
        <v>5197</v>
      </c>
      <c r="L93" t="s">
        <v>161</v>
      </c>
      <c r="M93" t="s">
        <v>171</v>
      </c>
      <c r="N93" t="s">
        <v>172</v>
      </c>
      <c r="O93" t="s">
        <v>5198</v>
      </c>
      <c r="P93">
        <v>2022</v>
      </c>
      <c r="Q93">
        <v>28000</v>
      </c>
      <c r="R93" t="s">
        <v>5199</v>
      </c>
      <c r="S93" t="s">
        <v>173</v>
      </c>
      <c r="T93" t="s">
        <v>5158</v>
      </c>
      <c r="U93" t="s">
        <v>5200</v>
      </c>
      <c r="V93" t="s">
        <v>5160</v>
      </c>
      <c r="W93">
        <v>21500000</v>
      </c>
      <c r="X93" t="s">
        <v>5161</v>
      </c>
      <c r="Y93">
        <v>283</v>
      </c>
      <c r="Z93" t="s">
        <v>27</v>
      </c>
      <c r="AA93" t="s">
        <v>5162</v>
      </c>
      <c r="AB93" t="s">
        <v>5201</v>
      </c>
      <c r="AC93" t="s">
        <v>5202</v>
      </c>
      <c r="AD93" t="s">
        <v>5197</v>
      </c>
      <c r="AE93" t="s">
        <v>5203</v>
      </c>
      <c r="AF93" t="s">
        <v>5906</v>
      </c>
      <c r="AG93">
        <v>1</v>
      </c>
      <c r="AH93" t="s">
        <v>5906</v>
      </c>
      <c r="AI93" t="s">
        <v>5907</v>
      </c>
      <c r="AJ93" t="s">
        <v>5698</v>
      </c>
      <c r="AK93">
        <v>1</v>
      </c>
      <c r="AL93">
        <v>0</v>
      </c>
      <c r="AM93" t="s">
        <v>3961</v>
      </c>
      <c r="AN93">
        <v>0</v>
      </c>
      <c r="AO93">
        <v>20000000</v>
      </c>
      <c r="AP93">
        <v>426030</v>
      </c>
      <c r="AQ93">
        <v>0</v>
      </c>
      <c r="AR93">
        <v>20426030</v>
      </c>
      <c r="AS93">
        <v>21500000</v>
      </c>
      <c r="AT93">
        <v>1073970</v>
      </c>
      <c r="AU93">
        <v>5</v>
      </c>
    </row>
    <row r="94" spans="1:47" ht="13.5" customHeight="1" x14ac:dyDescent="0.3">
      <c r="A94" t="s">
        <v>5155</v>
      </c>
      <c r="B94" t="s">
        <v>5188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5975</v>
      </c>
      <c r="J94" t="s">
        <v>3961</v>
      </c>
      <c r="K94" t="s">
        <v>5584</v>
      </c>
      <c r="L94" t="s">
        <v>249</v>
      </c>
      <c r="M94" t="s">
        <v>277</v>
      </c>
      <c r="N94" t="s">
        <v>278</v>
      </c>
      <c r="O94" t="s">
        <v>5585</v>
      </c>
      <c r="P94">
        <v>2023</v>
      </c>
      <c r="Q94">
        <v>67000</v>
      </c>
      <c r="R94" t="s">
        <v>5586</v>
      </c>
      <c r="S94" t="s">
        <v>279</v>
      </c>
      <c r="T94" t="s">
        <v>5158</v>
      </c>
      <c r="U94" t="s">
        <v>5200</v>
      </c>
      <c r="V94" t="s">
        <v>5160</v>
      </c>
      <c r="W94">
        <v>13750000</v>
      </c>
      <c r="X94" t="s">
        <v>5161</v>
      </c>
      <c r="Y94">
        <v>288</v>
      </c>
      <c r="Z94" t="s">
        <v>34</v>
      </c>
      <c r="AA94" t="s">
        <v>5193</v>
      </c>
      <c r="AB94" t="s">
        <v>5587</v>
      </c>
      <c r="AC94" t="s">
        <v>5588</v>
      </c>
      <c r="AD94" t="s">
        <v>5584</v>
      </c>
      <c r="AE94" t="s">
        <v>5589</v>
      </c>
      <c r="AF94" t="s">
        <v>5976</v>
      </c>
      <c r="AG94">
        <v>1</v>
      </c>
      <c r="AH94" t="s">
        <v>5976</v>
      </c>
      <c r="AI94" t="s">
        <v>5977</v>
      </c>
      <c r="AJ94" t="s">
        <v>3961</v>
      </c>
      <c r="AK94">
        <v>1</v>
      </c>
      <c r="AL94">
        <v>0</v>
      </c>
      <c r="AM94" t="s">
        <v>3961</v>
      </c>
      <c r="AN94">
        <v>0</v>
      </c>
      <c r="AO94">
        <v>14000000</v>
      </c>
      <c r="AP94">
        <v>336030</v>
      </c>
      <c r="AQ94">
        <v>0</v>
      </c>
      <c r="AR94">
        <v>14336030</v>
      </c>
      <c r="AS94">
        <v>13750000</v>
      </c>
      <c r="AT94">
        <v>-586030</v>
      </c>
      <c r="AU94">
        <v>-426</v>
      </c>
    </row>
    <row r="95" spans="1:47" ht="13.5" customHeight="1" x14ac:dyDescent="0.3">
      <c r="A95" t="s">
        <v>5155</v>
      </c>
      <c r="B95" t="s">
        <v>5156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5721</v>
      </c>
      <c r="J95" t="s">
        <v>3961</v>
      </c>
      <c r="K95" t="s">
        <v>5328</v>
      </c>
      <c r="L95" t="s">
        <v>18</v>
      </c>
      <c r="M95" t="s">
        <v>19</v>
      </c>
      <c r="N95" t="s">
        <v>20</v>
      </c>
      <c r="O95" t="s">
        <v>5329</v>
      </c>
      <c r="P95">
        <v>2025</v>
      </c>
      <c r="Q95">
        <v>20000</v>
      </c>
      <c r="R95" t="s">
        <v>5330</v>
      </c>
      <c r="S95" t="s">
        <v>23</v>
      </c>
      <c r="T95" t="s">
        <v>5158</v>
      </c>
      <c r="U95" t="s">
        <v>5200</v>
      </c>
      <c r="V95" t="s">
        <v>5160</v>
      </c>
      <c r="W95">
        <v>36990000</v>
      </c>
      <c r="X95" t="s">
        <v>5161</v>
      </c>
      <c r="Y95">
        <v>67</v>
      </c>
      <c r="Z95" t="s">
        <v>21</v>
      </c>
      <c r="AA95" t="s">
        <v>5162</v>
      </c>
      <c r="AB95" t="s">
        <v>5331</v>
      </c>
      <c r="AC95" t="s">
        <v>5332</v>
      </c>
      <c r="AD95" t="s">
        <v>5328</v>
      </c>
      <c r="AE95" t="s">
        <v>5171</v>
      </c>
      <c r="AF95" t="s">
        <v>5708</v>
      </c>
      <c r="AG95">
        <v>1</v>
      </c>
      <c r="AH95" t="s">
        <v>5708</v>
      </c>
      <c r="AI95" t="s">
        <v>5722</v>
      </c>
      <c r="AJ95" t="s">
        <v>3961</v>
      </c>
      <c r="AK95">
        <v>1</v>
      </c>
      <c r="AL95">
        <v>0</v>
      </c>
      <c r="AM95" t="s">
        <v>3961</v>
      </c>
      <c r="AN95">
        <v>0</v>
      </c>
      <c r="AO95">
        <v>31627180</v>
      </c>
      <c r="AP95">
        <v>603648</v>
      </c>
      <c r="AQ95">
        <v>0</v>
      </c>
      <c r="AR95">
        <v>32230828</v>
      </c>
      <c r="AS95">
        <v>36990000</v>
      </c>
      <c r="AT95">
        <v>4759172</v>
      </c>
      <c r="AU95">
        <v>1287</v>
      </c>
    </row>
    <row r="96" spans="1:47" ht="13.5" customHeight="1" x14ac:dyDescent="0.3">
      <c r="A96" t="s">
        <v>5155</v>
      </c>
      <c r="B96" t="s">
        <v>5156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5954</v>
      </c>
      <c r="J96" t="s">
        <v>3961</v>
      </c>
      <c r="K96" t="s">
        <v>5955</v>
      </c>
      <c r="L96" t="s">
        <v>2546</v>
      </c>
      <c r="M96" t="s">
        <v>4632</v>
      </c>
      <c r="N96" t="s">
        <v>4633</v>
      </c>
      <c r="O96" t="s">
        <v>5956</v>
      </c>
      <c r="P96">
        <v>2024</v>
      </c>
      <c r="Q96">
        <v>18000</v>
      </c>
      <c r="R96" t="s">
        <v>5957</v>
      </c>
      <c r="S96" t="s">
        <v>3938</v>
      </c>
      <c r="T96" t="s">
        <v>5158</v>
      </c>
      <c r="U96" t="s">
        <v>5375</v>
      </c>
      <c r="V96" t="s">
        <v>5160</v>
      </c>
      <c r="W96">
        <v>9990000</v>
      </c>
      <c r="X96" t="s">
        <v>5161</v>
      </c>
      <c r="Y96">
        <v>18</v>
      </c>
      <c r="Z96" t="s">
        <v>16</v>
      </c>
      <c r="AA96" t="s">
        <v>5162</v>
      </c>
      <c r="AB96" t="s">
        <v>5958</v>
      </c>
      <c r="AC96" t="s">
        <v>5959</v>
      </c>
      <c r="AD96" t="s">
        <v>5960</v>
      </c>
      <c r="AE96" t="s">
        <v>5961</v>
      </c>
      <c r="AF96" t="s">
        <v>5731</v>
      </c>
      <c r="AG96">
        <v>1</v>
      </c>
      <c r="AH96" t="s">
        <v>5731</v>
      </c>
      <c r="AI96" t="s">
        <v>5962</v>
      </c>
      <c r="AJ96" t="s">
        <v>3961</v>
      </c>
      <c r="AK96">
        <v>1</v>
      </c>
      <c r="AL96">
        <v>0</v>
      </c>
      <c r="AM96" t="s">
        <v>3961</v>
      </c>
      <c r="AN96">
        <v>0</v>
      </c>
      <c r="AO96">
        <v>7800000</v>
      </c>
      <c r="AP96">
        <v>246240</v>
      </c>
      <c r="AQ96">
        <v>0</v>
      </c>
      <c r="AR96">
        <v>8046240</v>
      </c>
      <c r="AS96">
        <v>9990000</v>
      </c>
      <c r="AT96">
        <v>1943760</v>
      </c>
      <c r="AU96">
        <v>1946</v>
      </c>
    </row>
    <row r="97" spans="1:47" ht="13.5" customHeight="1" x14ac:dyDescent="0.3">
      <c r="A97" t="s">
        <v>5155</v>
      </c>
      <c r="B97" t="s">
        <v>5156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5801</v>
      </c>
      <c r="J97" t="s">
        <v>3961</v>
      </c>
      <c r="K97" t="s">
        <v>5372</v>
      </c>
      <c r="L97" t="s">
        <v>18</v>
      </c>
      <c r="M97" t="s">
        <v>25</v>
      </c>
      <c r="N97" t="s">
        <v>26</v>
      </c>
      <c r="O97" t="s">
        <v>5373</v>
      </c>
      <c r="P97">
        <v>2024</v>
      </c>
      <c r="Q97">
        <v>30000</v>
      </c>
      <c r="R97" t="s">
        <v>5374</v>
      </c>
      <c r="S97" t="s">
        <v>28</v>
      </c>
      <c r="T97" t="s">
        <v>5158</v>
      </c>
      <c r="U97" t="s">
        <v>5375</v>
      </c>
      <c r="V97" t="s">
        <v>5160</v>
      </c>
      <c r="W97">
        <v>20990000</v>
      </c>
      <c r="X97" t="s">
        <v>5161</v>
      </c>
      <c r="Y97">
        <v>155</v>
      </c>
      <c r="Z97" t="s">
        <v>27</v>
      </c>
      <c r="AA97" t="s">
        <v>5162</v>
      </c>
      <c r="AB97" t="s">
        <v>5376</v>
      </c>
      <c r="AC97" t="s">
        <v>5377</v>
      </c>
      <c r="AD97" t="s">
        <v>5372</v>
      </c>
      <c r="AE97" t="s">
        <v>5378</v>
      </c>
      <c r="AF97" t="s">
        <v>5802</v>
      </c>
      <c r="AG97">
        <v>1</v>
      </c>
      <c r="AH97" t="s">
        <v>5802</v>
      </c>
      <c r="AI97" t="s">
        <v>5803</v>
      </c>
      <c r="AJ97" t="s">
        <v>3961</v>
      </c>
      <c r="AK97">
        <v>1</v>
      </c>
      <c r="AL97">
        <v>0</v>
      </c>
      <c r="AM97" t="s">
        <v>3961</v>
      </c>
      <c r="AN97">
        <v>0</v>
      </c>
      <c r="AO97">
        <v>20000000</v>
      </c>
      <c r="AP97">
        <v>524003</v>
      </c>
      <c r="AQ97">
        <v>0</v>
      </c>
      <c r="AR97">
        <v>20524003</v>
      </c>
      <c r="AS97">
        <v>20990000</v>
      </c>
      <c r="AT97">
        <v>465997</v>
      </c>
      <c r="AU97">
        <v>222</v>
      </c>
    </row>
    <row r="98" spans="1:47" ht="13.5" customHeight="1" x14ac:dyDescent="0.3">
      <c r="A98" t="s">
        <v>5155</v>
      </c>
      <c r="B98" t="s">
        <v>5156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5733</v>
      </c>
      <c r="J98" t="s">
        <v>3961</v>
      </c>
      <c r="K98" t="s">
        <v>5301</v>
      </c>
      <c r="L98" t="s">
        <v>88</v>
      </c>
      <c r="M98" t="s">
        <v>113</v>
      </c>
      <c r="N98" t="s">
        <v>116</v>
      </c>
      <c r="O98" t="s">
        <v>5302</v>
      </c>
      <c r="P98">
        <v>2021</v>
      </c>
      <c r="Q98">
        <v>47500</v>
      </c>
      <c r="R98" t="s">
        <v>5303</v>
      </c>
      <c r="S98" t="s">
        <v>117</v>
      </c>
      <c r="T98" t="s">
        <v>5158</v>
      </c>
      <c r="U98" t="s">
        <v>5304</v>
      </c>
      <c r="V98" t="s">
        <v>5160</v>
      </c>
      <c r="W98">
        <v>31990000</v>
      </c>
      <c r="X98" t="s">
        <v>5161</v>
      </c>
      <c r="Y98">
        <v>67</v>
      </c>
      <c r="Z98" t="s">
        <v>41</v>
      </c>
      <c r="AA98" t="s">
        <v>5162</v>
      </c>
      <c r="AB98" t="s">
        <v>5305</v>
      </c>
      <c r="AC98" t="s">
        <v>5306</v>
      </c>
      <c r="AD98" t="s">
        <v>5301</v>
      </c>
      <c r="AE98" t="s">
        <v>5307</v>
      </c>
      <c r="AF98" t="s">
        <v>5708</v>
      </c>
      <c r="AG98">
        <v>1</v>
      </c>
      <c r="AH98" t="s">
        <v>5708</v>
      </c>
      <c r="AI98" t="s">
        <v>5734</v>
      </c>
      <c r="AJ98" t="s">
        <v>5735</v>
      </c>
      <c r="AK98">
        <v>1</v>
      </c>
      <c r="AL98">
        <v>0</v>
      </c>
      <c r="AM98" t="s">
        <v>3961</v>
      </c>
      <c r="AN98">
        <v>0</v>
      </c>
      <c r="AO98">
        <v>20000000</v>
      </c>
      <c r="AP98">
        <v>429240</v>
      </c>
      <c r="AQ98">
        <v>0</v>
      </c>
      <c r="AR98">
        <v>20429240</v>
      </c>
      <c r="AS98">
        <v>31990000</v>
      </c>
      <c r="AT98">
        <v>11560760</v>
      </c>
      <c r="AU98">
        <v>3614</v>
      </c>
    </row>
    <row r="99" spans="1:47" ht="13.5" customHeight="1" x14ac:dyDescent="0.3">
      <c r="A99" t="s">
        <v>5155</v>
      </c>
      <c r="B99" t="s">
        <v>5156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5798</v>
      </c>
      <c r="J99" t="s">
        <v>3961</v>
      </c>
      <c r="K99" t="s">
        <v>5397</v>
      </c>
      <c r="L99" t="s">
        <v>84</v>
      </c>
      <c r="M99" t="s">
        <v>85</v>
      </c>
      <c r="N99" t="s">
        <v>86</v>
      </c>
      <c r="O99" t="s">
        <v>5398</v>
      </c>
      <c r="P99">
        <v>2024</v>
      </c>
      <c r="Q99">
        <v>43000</v>
      </c>
      <c r="R99" t="s">
        <v>5399</v>
      </c>
      <c r="S99" t="s">
        <v>87</v>
      </c>
      <c r="T99" t="s">
        <v>5158</v>
      </c>
      <c r="U99" t="s">
        <v>5400</v>
      </c>
      <c r="V99" t="s">
        <v>5160</v>
      </c>
      <c r="W99">
        <v>13790000</v>
      </c>
      <c r="X99" t="s">
        <v>5161</v>
      </c>
      <c r="Y99">
        <v>30</v>
      </c>
      <c r="Z99" t="s">
        <v>16</v>
      </c>
      <c r="AA99" t="s">
        <v>5162</v>
      </c>
      <c r="AB99" t="s">
        <v>8567</v>
      </c>
      <c r="AC99" t="s">
        <v>5401</v>
      </c>
      <c r="AD99" t="s">
        <v>5397</v>
      </c>
      <c r="AE99" t="s">
        <v>5402</v>
      </c>
      <c r="AF99" t="s">
        <v>5799</v>
      </c>
      <c r="AG99">
        <v>1</v>
      </c>
      <c r="AH99" t="s">
        <v>5799</v>
      </c>
      <c r="AI99" t="s">
        <v>5800</v>
      </c>
      <c r="AJ99" t="s">
        <v>3961</v>
      </c>
      <c r="AK99">
        <v>1</v>
      </c>
      <c r="AL99">
        <v>0</v>
      </c>
      <c r="AM99" t="s">
        <v>3961</v>
      </c>
      <c r="AN99">
        <v>0</v>
      </c>
      <c r="AO99">
        <v>11300000</v>
      </c>
      <c r="AP99">
        <v>298740</v>
      </c>
      <c r="AQ99">
        <v>0</v>
      </c>
      <c r="AR99">
        <v>11598740</v>
      </c>
      <c r="AS99">
        <v>13790000</v>
      </c>
      <c r="AT99">
        <v>2191260</v>
      </c>
      <c r="AU99">
        <v>1589</v>
      </c>
    </row>
    <row r="100" spans="1:47" ht="13.5" customHeight="1" x14ac:dyDescent="0.3">
      <c r="A100" t="s">
        <v>5155</v>
      </c>
      <c r="B100" t="s">
        <v>5188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5963</v>
      </c>
      <c r="J100" t="s">
        <v>3961</v>
      </c>
      <c r="K100" t="s">
        <v>5276</v>
      </c>
      <c r="L100" t="s">
        <v>46</v>
      </c>
      <c r="M100" t="s">
        <v>59</v>
      </c>
      <c r="N100" t="s">
        <v>60</v>
      </c>
      <c r="O100" t="s">
        <v>5277</v>
      </c>
      <c r="P100">
        <v>2022</v>
      </c>
      <c r="Q100">
        <v>33420</v>
      </c>
      <c r="R100" t="s">
        <v>5278</v>
      </c>
      <c r="S100" t="s">
        <v>61</v>
      </c>
      <c r="T100" t="s">
        <v>5158</v>
      </c>
      <c r="U100" t="s">
        <v>5167</v>
      </c>
      <c r="V100" t="s">
        <v>5160</v>
      </c>
      <c r="W100">
        <v>11690000</v>
      </c>
      <c r="X100" t="s">
        <v>5161</v>
      </c>
      <c r="Y100">
        <v>372</v>
      </c>
      <c r="Z100" t="s">
        <v>27</v>
      </c>
      <c r="AA100" t="s">
        <v>5193</v>
      </c>
      <c r="AB100" t="s">
        <v>3961</v>
      </c>
      <c r="AC100" t="s">
        <v>5279</v>
      </c>
      <c r="AD100" t="s">
        <v>5276</v>
      </c>
      <c r="AE100" t="s">
        <v>5280</v>
      </c>
      <c r="AF100" t="s">
        <v>5964</v>
      </c>
      <c r="AG100">
        <v>1</v>
      </c>
      <c r="AH100" t="s">
        <v>5965</v>
      </c>
      <c r="AI100" t="s">
        <v>5965</v>
      </c>
      <c r="AJ100" t="s">
        <v>3961</v>
      </c>
      <c r="AK100">
        <v>1</v>
      </c>
      <c r="AL100">
        <v>0</v>
      </c>
      <c r="AM100" t="s">
        <v>3961</v>
      </c>
      <c r="AN100">
        <v>0</v>
      </c>
      <c r="AO100">
        <v>9300000</v>
      </c>
      <c r="AP100">
        <v>436959</v>
      </c>
      <c r="AQ100">
        <v>0</v>
      </c>
      <c r="AR100">
        <v>9736959</v>
      </c>
      <c r="AS100">
        <v>11690000</v>
      </c>
      <c r="AT100">
        <v>1953041</v>
      </c>
      <c r="AU100">
        <v>1671</v>
      </c>
    </row>
    <row r="101" spans="1:47" ht="13.5" customHeight="1" x14ac:dyDescent="0.3">
      <c r="A101" t="s">
        <v>5155</v>
      </c>
      <c r="B101" t="s">
        <v>5204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6017</v>
      </c>
      <c r="J101" t="s">
        <v>3961</v>
      </c>
      <c r="K101" t="s">
        <v>5524</v>
      </c>
      <c r="L101" t="s">
        <v>228</v>
      </c>
      <c r="M101" t="s">
        <v>239</v>
      </c>
      <c r="N101" t="s">
        <v>240</v>
      </c>
      <c r="O101" t="s">
        <v>5525</v>
      </c>
      <c r="P101">
        <v>2021</v>
      </c>
      <c r="Q101">
        <v>85390</v>
      </c>
      <c r="R101" t="s">
        <v>5526</v>
      </c>
      <c r="S101" t="s">
        <v>241</v>
      </c>
      <c r="T101" t="s">
        <v>5158</v>
      </c>
      <c r="U101" t="s">
        <v>5527</v>
      </c>
      <c r="V101" t="s">
        <v>5160</v>
      </c>
      <c r="W101">
        <v>9790000</v>
      </c>
      <c r="X101" t="s">
        <v>5161</v>
      </c>
      <c r="Y101">
        <v>322</v>
      </c>
      <c r="Z101" t="s">
        <v>41</v>
      </c>
      <c r="AA101" t="s">
        <v>5205</v>
      </c>
      <c r="AB101" t="s">
        <v>5528</v>
      </c>
      <c r="AC101" t="s">
        <v>5529</v>
      </c>
      <c r="AD101" t="s">
        <v>5524</v>
      </c>
      <c r="AE101" t="s">
        <v>5530</v>
      </c>
      <c r="AF101" t="s">
        <v>6018</v>
      </c>
      <c r="AG101">
        <v>1</v>
      </c>
      <c r="AH101" t="s">
        <v>6019</v>
      </c>
      <c r="AI101" t="s">
        <v>6019</v>
      </c>
      <c r="AJ101" t="s">
        <v>5868</v>
      </c>
      <c r="AK101">
        <v>1</v>
      </c>
      <c r="AL101">
        <v>0</v>
      </c>
      <c r="AM101" t="s">
        <v>3961</v>
      </c>
      <c r="AN101">
        <v>0</v>
      </c>
      <c r="AO101">
        <v>7700000</v>
      </c>
      <c r="AP101">
        <v>241530</v>
      </c>
      <c r="AQ101">
        <v>0</v>
      </c>
      <c r="AR101">
        <v>7941530</v>
      </c>
      <c r="AS101">
        <v>9790000</v>
      </c>
      <c r="AT101">
        <v>1848470</v>
      </c>
      <c r="AU101">
        <v>1888</v>
      </c>
    </row>
    <row r="102" spans="1:47" ht="13.5" customHeight="1" x14ac:dyDescent="0.3">
      <c r="A102" t="s">
        <v>5155</v>
      </c>
      <c r="B102" t="s">
        <v>5156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8265</v>
      </c>
      <c r="J102" t="s">
        <v>3961</v>
      </c>
      <c r="K102" t="s">
        <v>8266</v>
      </c>
      <c r="L102" t="s">
        <v>2621</v>
      </c>
      <c r="M102" t="s">
        <v>3435</v>
      </c>
      <c r="N102" t="s">
        <v>3966</v>
      </c>
      <c r="O102" t="s">
        <v>8267</v>
      </c>
      <c r="P102">
        <v>2022</v>
      </c>
      <c r="Q102">
        <v>31000</v>
      </c>
      <c r="R102" t="s">
        <v>8268</v>
      </c>
      <c r="S102" t="s">
        <v>3913</v>
      </c>
      <c r="T102" t="s">
        <v>5158</v>
      </c>
      <c r="U102" t="s">
        <v>8269</v>
      </c>
      <c r="V102" t="s">
        <v>5160</v>
      </c>
      <c r="W102">
        <v>24990000</v>
      </c>
      <c r="X102" t="s">
        <v>5161</v>
      </c>
      <c r="Y102">
        <v>8</v>
      </c>
      <c r="Z102" t="s">
        <v>16</v>
      </c>
      <c r="AA102" t="s">
        <v>5162</v>
      </c>
      <c r="AB102" t="s">
        <v>8270</v>
      </c>
      <c r="AC102" t="s">
        <v>8271</v>
      </c>
      <c r="AD102" t="s">
        <v>8272</v>
      </c>
      <c r="AE102" t="s">
        <v>8273</v>
      </c>
      <c r="AF102" t="s">
        <v>8274</v>
      </c>
      <c r="AG102">
        <v>1</v>
      </c>
      <c r="AH102" t="s">
        <v>8274</v>
      </c>
      <c r="AI102" t="s">
        <v>8275</v>
      </c>
      <c r="AJ102" t="s">
        <v>3961</v>
      </c>
      <c r="AK102">
        <v>3</v>
      </c>
      <c r="AL102">
        <v>0</v>
      </c>
      <c r="AM102" t="s">
        <v>3961</v>
      </c>
      <c r="AN102">
        <v>0</v>
      </c>
      <c r="AO102">
        <v>21000000</v>
      </c>
      <c r="AP102">
        <v>444240</v>
      </c>
      <c r="AQ102">
        <v>0</v>
      </c>
      <c r="AR102">
        <v>21444240</v>
      </c>
      <c r="AS102">
        <v>24990000</v>
      </c>
      <c r="AT102">
        <v>3545760</v>
      </c>
      <c r="AU102">
        <v>1419</v>
      </c>
    </row>
    <row r="103" spans="1:47" ht="13.5" customHeight="1" x14ac:dyDescent="0.3">
      <c r="A103" t="s">
        <v>5155</v>
      </c>
      <c r="B103" t="s">
        <v>5188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5914</v>
      </c>
      <c r="J103" t="s">
        <v>3961</v>
      </c>
      <c r="K103" t="s">
        <v>5659</v>
      </c>
      <c r="L103" t="s">
        <v>298</v>
      </c>
      <c r="M103" t="s">
        <v>298</v>
      </c>
      <c r="N103" t="s">
        <v>299</v>
      </c>
      <c r="O103" t="s">
        <v>5660</v>
      </c>
      <c r="P103">
        <v>2019</v>
      </c>
      <c r="Q103">
        <v>95000</v>
      </c>
      <c r="R103" t="s">
        <v>5661</v>
      </c>
      <c r="S103" t="s">
        <v>300</v>
      </c>
      <c r="T103" t="s">
        <v>5158</v>
      </c>
      <c r="U103" t="s">
        <v>5662</v>
      </c>
      <c r="V103" t="s">
        <v>5160</v>
      </c>
      <c r="W103">
        <v>7690000</v>
      </c>
      <c r="X103" t="s">
        <v>5161</v>
      </c>
      <c r="Y103">
        <v>43</v>
      </c>
      <c r="Z103" t="s">
        <v>41</v>
      </c>
      <c r="AA103" t="s">
        <v>5193</v>
      </c>
      <c r="AB103" t="s">
        <v>5663</v>
      </c>
      <c r="AC103" t="s">
        <v>5664</v>
      </c>
      <c r="AD103" t="s">
        <v>5659</v>
      </c>
      <c r="AE103" t="s">
        <v>5665</v>
      </c>
      <c r="AF103" t="s">
        <v>5697</v>
      </c>
      <c r="AG103">
        <v>1</v>
      </c>
      <c r="AH103" t="s">
        <v>5697</v>
      </c>
      <c r="AI103" t="s">
        <v>5915</v>
      </c>
      <c r="AJ103" t="s">
        <v>5757</v>
      </c>
      <c r="AK103">
        <v>1</v>
      </c>
      <c r="AL103">
        <v>0</v>
      </c>
      <c r="AM103" t="s">
        <v>3961</v>
      </c>
      <c r="AN103">
        <v>0</v>
      </c>
      <c r="AO103">
        <v>5800000</v>
      </c>
      <c r="AP103">
        <v>216240</v>
      </c>
      <c r="AQ103">
        <v>0</v>
      </c>
      <c r="AR103">
        <v>6016240</v>
      </c>
      <c r="AS103">
        <v>7690000</v>
      </c>
      <c r="AT103">
        <v>1673760</v>
      </c>
      <c r="AU103">
        <v>2177</v>
      </c>
    </row>
    <row r="104" spans="1:47" ht="13.5" customHeight="1" x14ac:dyDescent="0.3">
      <c r="A104" t="s">
        <v>5155</v>
      </c>
      <c r="B104" t="s">
        <v>5156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5928</v>
      </c>
      <c r="J104" t="s">
        <v>3961</v>
      </c>
      <c r="K104" t="s">
        <v>5571</v>
      </c>
      <c r="L104" t="s">
        <v>329</v>
      </c>
      <c r="M104" t="s">
        <v>330</v>
      </c>
      <c r="N104" t="s">
        <v>332</v>
      </c>
      <c r="O104" t="s">
        <v>5572</v>
      </c>
      <c r="P104">
        <v>2022</v>
      </c>
      <c r="Q104">
        <v>58000</v>
      </c>
      <c r="R104" t="s">
        <v>5573</v>
      </c>
      <c r="S104" t="s">
        <v>333</v>
      </c>
      <c r="T104" t="s">
        <v>5158</v>
      </c>
      <c r="U104" t="s">
        <v>5233</v>
      </c>
      <c r="V104" t="s">
        <v>5160</v>
      </c>
      <c r="W104">
        <v>11290000</v>
      </c>
      <c r="X104" t="s">
        <v>5161</v>
      </c>
      <c r="Y104">
        <v>45</v>
      </c>
      <c r="Z104" t="s">
        <v>27</v>
      </c>
      <c r="AA104" t="s">
        <v>5162</v>
      </c>
      <c r="AB104" t="s">
        <v>5574</v>
      </c>
      <c r="AC104" t="s">
        <v>5575</v>
      </c>
      <c r="AD104" t="s">
        <v>5576</v>
      </c>
      <c r="AE104" t="s">
        <v>5577</v>
      </c>
      <c r="AF104" t="s">
        <v>5826</v>
      </c>
      <c r="AG104">
        <v>1</v>
      </c>
      <c r="AH104" t="s">
        <v>5826</v>
      </c>
      <c r="AI104" t="s">
        <v>5929</v>
      </c>
      <c r="AJ104" t="s">
        <v>3961</v>
      </c>
      <c r="AK104">
        <v>1</v>
      </c>
      <c r="AL104">
        <v>0</v>
      </c>
      <c r="AM104" t="s">
        <v>3961</v>
      </c>
      <c r="AN104">
        <v>0</v>
      </c>
      <c r="AO104">
        <v>8900000</v>
      </c>
      <c r="AP104">
        <v>262740</v>
      </c>
      <c r="AQ104">
        <v>0</v>
      </c>
      <c r="AR104">
        <v>9162740</v>
      </c>
      <c r="AS104">
        <v>11290000</v>
      </c>
      <c r="AT104">
        <v>2127260</v>
      </c>
      <c r="AU104">
        <v>1884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6042</v>
      </c>
      <c r="J105" t="s">
        <v>3961</v>
      </c>
      <c r="K105" t="s">
        <v>5638</v>
      </c>
      <c r="L105" t="s">
        <v>161</v>
      </c>
      <c r="M105" t="s">
        <v>161</v>
      </c>
      <c r="N105" t="s">
        <v>162</v>
      </c>
      <c r="O105" t="s">
        <v>5639</v>
      </c>
      <c r="P105">
        <v>2025</v>
      </c>
      <c r="Q105">
        <v>7193</v>
      </c>
      <c r="R105" t="s">
        <v>5640</v>
      </c>
      <c r="S105" t="s">
        <v>163</v>
      </c>
      <c r="T105" t="s">
        <v>5158</v>
      </c>
      <c r="U105" t="s">
        <v>5343</v>
      </c>
      <c r="V105" t="s">
        <v>5160</v>
      </c>
      <c r="W105">
        <v>12890000</v>
      </c>
      <c r="X105" t="s">
        <v>5161</v>
      </c>
      <c r="Y105">
        <v>43</v>
      </c>
      <c r="Z105" t="s">
        <v>21</v>
      </c>
      <c r="AA105" t="s">
        <v>5193</v>
      </c>
      <c r="AB105" t="s">
        <v>5163</v>
      </c>
      <c r="AC105" t="s">
        <v>5641</v>
      </c>
      <c r="AD105" t="s">
        <v>5638</v>
      </c>
      <c r="AE105" t="s">
        <v>5642</v>
      </c>
      <c r="AF105" t="s">
        <v>5697</v>
      </c>
      <c r="AG105">
        <v>1</v>
      </c>
      <c r="AH105" t="s">
        <v>5697</v>
      </c>
      <c r="AI105" t="s">
        <v>6043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10350000</v>
      </c>
      <c r="AP105">
        <v>284490</v>
      </c>
      <c r="AQ105">
        <v>0</v>
      </c>
      <c r="AR105">
        <v>10634490</v>
      </c>
      <c r="AS105">
        <v>12890000</v>
      </c>
      <c r="AT105">
        <v>2255510</v>
      </c>
      <c r="AU105">
        <v>175</v>
      </c>
    </row>
    <row r="106" spans="1:47" ht="13.5" customHeight="1" x14ac:dyDescent="0.3">
      <c r="A106" t="s">
        <v>5155</v>
      </c>
      <c r="B106" t="s">
        <v>5188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5758</v>
      </c>
      <c r="J106" t="s">
        <v>3961</v>
      </c>
      <c r="K106" t="s">
        <v>5385</v>
      </c>
      <c r="L106" t="s">
        <v>174</v>
      </c>
      <c r="M106" t="s">
        <v>178</v>
      </c>
      <c r="N106" t="s">
        <v>179</v>
      </c>
      <c r="O106" t="s">
        <v>5386</v>
      </c>
      <c r="P106">
        <v>2023</v>
      </c>
      <c r="Q106">
        <v>40695</v>
      </c>
      <c r="R106" t="s">
        <v>5387</v>
      </c>
      <c r="S106" t="s">
        <v>180</v>
      </c>
      <c r="T106" t="s">
        <v>5158</v>
      </c>
      <c r="U106" t="s">
        <v>5388</v>
      </c>
      <c r="V106" t="s">
        <v>5160</v>
      </c>
      <c r="W106">
        <v>12790000</v>
      </c>
      <c r="X106" t="s">
        <v>5161</v>
      </c>
      <c r="Y106">
        <v>273</v>
      </c>
      <c r="Z106" t="s">
        <v>41</v>
      </c>
      <c r="AA106" t="s">
        <v>5193</v>
      </c>
      <c r="AB106" t="s">
        <v>3961</v>
      </c>
      <c r="AC106" t="s">
        <v>5389</v>
      </c>
      <c r="AD106" t="s">
        <v>5390</v>
      </c>
      <c r="AE106" t="s">
        <v>5391</v>
      </c>
      <c r="AF106" t="s">
        <v>5759</v>
      </c>
      <c r="AG106">
        <v>1</v>
      </c>
      <c r="AH106" t="s">
        <v>5759</v>
      </c>
      <c r="AI106" t="s">
        <v>5760</v>
      </c>
      <c r="AJ106" t="s">
        <v>3961</v>
      </c>
      <c r="AK106">
        <v>3</v>
      </c>
      <c r="AL106">
        <v>0</v>
      </c>
      <c r="AM106" t="s">
        <v>3961</v>
      </c>
      <c r="AN106">
        <v>0</v>
      </c>
      <c r="AO106">
        <v>10600000</v>
      </c>
      <c r="AP106">
        <v>285030</v>
      </c>
      <c r="AQ106">
        <v>0</v>
      </c>
      <c r="AR106">
        <v>10885030</v>
      </c>
      <c r="AS106">
        <v>12790000</v>
      </c>
      <c r="AT106">
        <v>1904970</v>
      </c>
      <c r="AU106">
        <v>1489</v>
      </c>
    </row>
    <row r="107" spans="1:47" ht="13.5" customHeight="1" x14ac:dyDescent="0.3">
      <c r="A107" t="s">
        <v>5155</v>
      </c>
      <c r="B107" t="s">
        <v>5156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5918</v>
      </c>
      <c r="J107" t="s">
        <v>3961</v>
      </c>
      <c r="K107" t="s">
        <v>5308</v>
      </c>
      <c r="L107" t="s">
        <v>181</v>
      </c>
      <c r="M107" t="s">
        <v>4436</v>
      </c>
      <c r="N107" t="s">
        <v>184</v>
      </c>
      <c r="O107" t="s">
        <v>5309</v>
      </c>
      <c r="P107">
        <v>2026</v>
      </c>
      <c r="Q107">
        <v>6400</v>
      </c>
      <c r="R107" t="s">
        <v>5310</v>
      </c>
      <c r="S107" t="s">
        <v>186</v>
      </c>
      <c r="T107" t="s">
        <v>5158</v>
      </c>
      <c r="U107" t="s">
        <v>5311</v>
      </c>
      <c r="V107" t="s">
        <v>5160</v>
      </c>
      <c r="W107">
        <v>16490000</v>
      </c>
      <c r="X107" t="s">
        <v>5161</v>
      </c>
      <c r="Y107">
        <v>67</v>
      </c>
      <c r="Z107" t="s">
        <v>27</v>
      </c>
      <c r="AA107" t="s">
        <v>5162</v>
      </c>
      <c r="AB107" t="s">
        <v>5312</v>
      </c>
      <c r="AC107" t="s">
        <v>5313</v>
      </c>
      <c r="AD107" t="s">
        <v>5314</v>
      </c>
      <c r="AE107" t="s">
        <v>5315</v>
      </c>
      <c r="AF107" t="s">
        <v>5708</v>
      </c>
      <c r="AG107">
        <v>1</v>
      </c>
      <c r="AH107" t="s">
        <v>5708</v>
      </c>
      <c r="AI107" t="s">
        <v>5919</v>
      </c>
      <c r="AJ107" t="s">
        <v>3961</v>
      </c>
      <c r="AK107">
        <v>1</v>
      </c>
      <c r="AL107">
        <v>0</v>
      </c>
      <c r="AM107" t="s">
        <v>3961</v>
      </c>
      <c r="AN107">
        <v>0</v>
      </c>
      <c r="AO107">
        <v>14500000</v>
      </c>
      <c r="AP107">
        <v>346740</v>
      </c>
      <c r="AQ107">
        <v>0</v>
      </c>
      <c r="AR107">
        <v>14846740</v>
      </c>
      <c r="AS107">
        <v>16490000</v>
      </c>
      <c r="AT107">
        <v>1643260</v>
      </c>
      <c r="AU107">
        <v>997</v>
      </c>
    </row>
    <row r="108" spans="1:47" ht="13.5" customHeight="1" x14ac:dyDescent="0.3">
      <c r="A108" t="s">
        <v>5155</v>
      </c>
      <c r="B108" t="s">
        <v>5188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5996</v>
      </c>
      <c r="J108" t="s">
        <v>3961</v>
      </c>
      <c r="K108" t="s">
        <v>5419</v>
      </c>
      <c r="L108" t="s">
        <v>301</v>
      </c>
      <c r="M108" t="s">
        <v>302</v>
      </c>
      <c r="N108" t="s">
        <v>303</v>
      </c>
      <c r="O108" t="s">
        <v>5420</v>
      </c>
      <c r="P108">
        <v>2021</v>
      </c>
      <c r="Q108">
        <v>75000</v>
      </c>
      <c r="R108" t="s">
        <v>5421</v>
      </c>
      <c r="S108" t="s">
        <v>304</v>
      </c>
      <c r="T108" t="s">
        <v>5158</v>
      </c>
      <c r="U108" t="s">
        <v>5200</v>
      </c>
      <c r="V108" t="s">
        <v>5160</v>
      </c>
      <c r="W108">
        <v>12990000</v>
      </c>
      <c r="X108" t="s">
        <v>5161</v>
      </c>
      <c r="Y108">
        <v>332</v>
      </c>
      <c r="Z108" t="s">
        <v>41</v>
      </c>
      <c r="AA108" t="s">
        <v>5193</v>
      </c>
      <c r="AB108" t="s">
        <v>5422</v>
      </c>
      <c r="AC108" t="s">
        <v>5997</v>
      </c>
      <c r="AD108" t="s">
        <v>5419</v>
      </c>
      <c r="AE108" t="s">
        <v>5423</v>
      </c>
      <c r="AF108" t="s">
        <v>5998</v>
      </c>
      <c r="AG108">
        <v>1</v>
      </c>
      <c r="AH108" t="s">
        <v>5998</v>
      </c>
      <c r="AI108" t="s">
        <v>5999</v>
      </c>
      <c r="AJ108" t="s">
        <v>5697</v>
      </c>
      <c r="AK108">
        <v>2</v>
      </c>
      <c r="AL108">
        <v>0</v>
      </c>
      <c r="AM108" t="s">
        <v>3961</v>
      </c>
      <c r="AN108">
        <v>0</v>
      </c>
      <c r="AO108">
        <v>11000000</v>
      </c>
      <c r="AP108">
        <v>443877</v>
      </c>
      <c r="AQ108">
        <v>0</v>
      </c>
      <c r="AR108">
        <v>11443877</v>
      </c>
      <c r="AS108">
        <v>12990000</v>
      </c>
      <c r="AT108">
        <v>1546123</v>
      </c>
      <c r="AU108">
        <v>119</v>
      </c>
    </row>
    <row r="109" spans="1:47" ht="13.5" customHeight="1" x14ac:dyDescent="0.3">
      <c r="A109" t="s">
        <v>5155</v>
      </c>
      <c r="B109" t="s">
        <v>5156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6028</v>
      </c>
      <c r="J109" t="s">
        <v>3961</v>
      </c>
      <c r="K109" t="s">
        <v>5666</v>
      </c>
      <c r="L109" t="s">
        <v>228</v>
      </c>
      <c r="M109" t="s">
        <v>231</v>
      </c>
      <c r="N109" t="s">
        <v>232</v>
      </c>
      <c r="O109" t="s">
        <v>5591</v>
      </c>
      <c r="P109">
        <v>2023</v>
      </c>
      <c r="Q109">
        <v>45836</v>
      </c>
      <c r="R109" t="s">
        <v>5667</v>
      </c>
      <c r="S109" t="s">
        <v>235</v>
      </c>
      <c r="T109" t="s">
        <v>5158</v>
      </c>
      <c r="U109" t="s">
        <v>5167</v>
      </c>
      <c r="V109" t="s">
        <v>5160</v>
      </c>
      <c r="W109">
        <v>17290000</v>
      </c>
      <c r="X109" t="s">
        <v>5161</v>
      </c>
      <c r="Y109">
        <v>378</v>
      </c>
      <c r="Z109" t="s">
        <v>27</v>
      </c>
      <c r="AA109" t="s">
        <v>5162</v>
      </c>
      <c r="AB109" t="s">
        <v>5668</v>
      </c>
      <c r="AC109" t="s">
        <v>5669</v>
      </c>
      <c r="AD109" t="s">
        <v>5670</v>
      </c>
      <c r="AE109" t="s">
        <v>5671</v>
      </c>
      <c r="AF109" t="s">
        <v>6029</v>
      </c>
      <c r="AG109">
        <v>1</v>
      </c>
      <c r="AH109" t="s">
        <v>6029</v>
      </c>
      <c r="AI109" t="s">
        <v>6030</v>
      </c>
      <c r="AJ109" t="s">
        <v>3961</v>
      </c>
      <c r="AK109">
        <v>1</v>
      </c>
      <c r="AL109">
        <v>0</v>
      </c>
      <c r="AM109" t="s">
        <v>3961</v>
      </c>
      <c r="AN109">
        <v>0</v>
      </c>
      <c r="AO109">
        <v>17500000</v>
      </c>
      <c r="AP109">
        <v>598467</v>
      </c>
      <c r="AQ109">
        <v>0</v>
      </c>
      <c r="AR109">
        <v>18098467</v>
      </c>
      <c r="AS109">
        <v>17290000</v>
      </c>
      <c r="AT109">
        <v>-808467</v>
      </c>
      <c r="AU109">
        <v>-468</v>
      </c>
    </row>
    <row r="110" spans="1:47" ht="13.5" customHeight="1" x14ac:dyDescent="0.3">
      <c r="A110" t="s">
        <v>5155</v>
      </c>
      <c r="B110" t="s">
        <v>5156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5968</v>
      </c>
      <c r="J110" t="s">
        <v>3961</v>
      </c>
      <c r="K110" t="s">
        <v>5677</v>
      </c>
      <c r="L110" t="s">
        <v>88</v>
      </c>
      <c r="M110" t="s">
        <v>113</v>
      </c>
      <c r="N110" t="s">
        <v>118</v>
      </c>
      <c r="O110" t="s">
        <v>5678</v>
      </c>
      <c r="P110">
        <v>2020</v>
      </c>
      <c r="Q110">
        <v>97261</v>
      </c>
      <c r="R110" t="s">
        <v>5679</v>
      </c>
      <c r="S110" t="s">
        <v>121</v>
      </c>
      <c r="T110" t="s">
        <v>5158</v>
      </c>
      <c r="U110" t="s">
        <v>5517</v>
      </c>
      <c r="V110" t="s">
        <v>5160</v>
      </c>
      <c r="W110">
        <v>45990000</v>
      </c>
      <c r="X110" t="s">
        <v>5161</v>
      </c>
      <c r="Y110">
        <v>225</v>
      </c>
      <c r="Z110" t="s">
        <v>120</v>
      </c>
      <c r="AA110" t="s">
        <v>5162</v>
      </c>
      <c r="AB110" t="s">
        <v>5680</v>
      </c>
      <c r="AC110" t="s">
        <v>5681</v>
      </c>
      <c r="AD110" t="s">
        <v>5677</v>
      </c>
      <c r="AE110" t="s">
        <v>5682</v>
      </c>
      <c r="AF110" t="s">
        <v>5969</v>
      </c>
      <c r="AG110">
        <v>1</v>
      </c>
      <c r="AH110" t="s">
        <v>5970</v>
      </c>
      <c r="AI110" t="s">
        <v>5970</v>
      </c>
      <c r="AJ110" t="s">
        <v>5697</v>
      </c>
      <c r="AK110">
        <v>1</v>
      </c>
      <c r="AL110">
        <v>0</v>
      </c>
      <c r="AM110" t="s">
        <v>3961</v>
      </c>
      <c r="AN110">
        <v>0</v>
      </c>
      <c r="AO110">
        <v>34200000</v>
      </c>
      <c r="AP110">
        <v>639030</v>
      </c>
      <c r="AQ110">
        <v>0</v>
      </c>
      <c r="AR110">
        <v>34839030</v>
      </c>
      <c r="AS110">
        <v>45990000</v>
      </c>
      <c r="AT110">
        <v>11150970</v>
      </c>
      <c r="AU110">
        <v>2425</v>
      </c>
    </row>
    <row r="111" spans="1:47" ht="13.5" customHeight="1" x14ac:dyDescent="0.3">
      <c r="A111" t="s">
        <v>5155</v>
      </c>
      <c r="B111" t="s">
        <v>5156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5763</v>
      </c>
      <c r="J111" t="s">
        <v>3961</v>
      </c>
      <c r="K111" t="s">
        <v>5507</v>
      </c>
      <c r="L111" t="s">
        <v>287</v>
      </c>
      <c r="M111" t="s">
        <v>288</v>
      </c>
      <c r="N111" t="s">
        <v>289</v>
      </c>
      <c r="O111" t="s">
        <v>5508</v>
      </c>
      <c r="P111">
        <v>2023</v>
      </c>
      <c r="Q111">
        <v>33892</v>
      </c>
      <c r="R111" t="s">
        <v>5509</v>
      </c>
      <c r="S111" t="s">
        <v>290</v>
      </c>
      <c r="T111" t="s">
        <v>5158</v>
      </c>
      <c r="U111" t="s">
        <v>5200</v>
      </c>
      <c r="V111" t="s">
        <v>5160</v>
      </c>
      <c r="W111">
        <v>29490000</v>
      </c>
      <c r="X111" t="s">
        <v>5161</v>
      </c>
      <c r="Y111">
        <v>171</v>
      </c>
      <c r="Z111" t="s">
        <v>27</v>
      </c>
      <c r="AA111" t="s">
        <v>5162</v>
      </c>
      <c r="AB111" t="s">
        <v>5194</v>
      </c>
      <c r="AC111" t="s">
        <v>5510</v>
      </c>
      <c r="AD111" t="s">
        <v>5507</v>
      </c>
      <c r="AE111" t="s">
        <v>5511</v>
      </c>
      <c r="AF111" t="s">
        <v>5764</v>
      </c>
      <c r="AG111">
        <v>1</v>
      </c>
      <c r="AH111" t="s">
        <v>5764</v>
      </c>
      <c r="AI111" t="s">
        <v>5765</v>
      </c>
      <c r="AJ111" t="s">
        <v>5766</v>
      </c>
      <c r="AK111">
        <v>1</v>
      </c>
      <c r="AL111">
        <v>0</v>
      </c>
      <c r="AM111" t="s">
        <v>3961</v>
      </c>
      <c r="AN111">
        <v>0</v>
      </c>
      <c r="AO111">
        <v>26200000</v>
      </c>
      <c r="AP111">
        <v>519030</v>
      </c>
      <c r="AQ111">
        <v>0</v>
      </c>
      <c r="AR111">
        <v>26719030</v>
      </c>
      <c r="AS111">
        <v>29490000</v>
      </c>
      <c r="AT111">
        <v>2770970</v>
      </c>
      <c r="AU111">
        <v>94</v>
      </c>
    </row>
    <row r="112" spans="1:47" ht="13.5" customHeight="1" x14ac:dyDescent="0.3">
      <c r="A112" t="s">
        <v>5155</v>
      </c>
      <c r="B112" t="s">
        <v>5204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5807</v>
      </c>
      <c r="J112" t="s">
        <v>3961</v>
      </c>
      <c r="K112" t="s">
        <v>5266</v>
      </c>
      <c r="L112" t="s">
        <v>249</v>
      </c>
      <c r="M112" t="s">
        <v>4840</v>
      </c>
      <c r="N112" t="s">
        <v>274</v>
      </c>
      <c r="O112" t="s">
        <v>5267</v>
      </c>
      <c r="P112">
        <v>2023</v>
      </c>
      <c r="Q112">
        <v>76000</v>
      </c>
      <c r="R112" t="s">
        <v>5268</v>
      </c>
      <c r="S112" t="s">
        <v>275</v>
      </c>
      <c r="T112" t="s">
        <v>5158</v>
      </c>
      <c r="U112" t="s">
        <v>5159</v>
      </c>
      <c r="V112" t="s">
        <v>5160</v>
      </c>
      <c r="W112">
        <v>19290000</v>
      </c>
      <c r="X112" t="s">
        <v>5161</v>
      </c>
      <c r="Y112">
        <v>127</v>
      </c>
      <c r="Z112" t="s">
        <v>21</v>
      </c>
      <c r="AA112" t="s">
        <v>5205</v>
      </c>
      <c r="AB112" t="s">
        <v>5163</v>
      </c>
      <c r="AC112" t="s">
        <v>5269</v>
      </c>
      <c r="AD112" t="s">
        <v>5266</v>
      </c>
      <c r="AE112" t="s">
        <v>5270</v>
      </c>
      <c r="AF112" t="s">
        <v>5808</v>
      </c>
      <c r="AG112">
        <v>1</v>
      </c>
      <c r="AH112" t="s">
        <v>5808</v>
      </c>
      <c r="AI112" t="s">
        <v>5809</v>
      </c>
      <c r="AJ112" t="s">
        <v>5810</v>
      </c>
      <c r="AK112">
        <v>1</v>
      </c>
      <c r="AL112">
        <v>0</v>
      </c>
      <c r="AM112" t="s">
        <v>3961</v>
      </c>
      <c r="AN112">
        <v>0</v>
      </c>
      <c r="AO112">
        <v>16500000</v>
      </c>
      <c r="AP112">
        <v>373530</v>
      </c>
      <c r="AQ112">
        <v>0</v>
      </c>
      <c r="AR112">
        <v>16873530</v>
      </c>
      <c r="AS112">
        <v>19290000</v>
      </c>
      <c r="AT112">
        <v>2416470</v>
      </c>
      <c r="AU112">
        <v>1253</v>
      </c>
    </row>
    <row r="113" spans="1:47" ht="13.5" customHeight="1" x14ac:dyDescent="0.3">
      <c r="A113" t="s">
        <v>5155</v>
      </c>
      <c r="B113" t="s">
        <v>5204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5903</v>
      </c>
      <c r="J113" t="s">
        <v>3961</v>
      </c>
      <c r="K113" t="s">
        <v>5546</v>
      </c>
      <c r="L113" t="s">
        <v>88</v>
      </c>
      <c r="M113" t="s">
        <v>108</v>
      </c>
      <c r="N113" t="s">
        <v>111</v>
      </c>
      <c r="O113" t="s">
        <v>5547</v>
      </c>
      <c r="P113">
        <v>2020</v>
      </c>
      <c r="Q113">
        <v>84600</v>
      </c>
      <c r="R113" t="s">
        <v>5548</v>
      </c>
      <c r="S113" t="s">
        <v>112</v>
      </c>
      <c r="T113" t="s">
        <v>5158</v>
      </c>
      <c r="U113" t="s">
        <v>5549</v>
      </c>
      <c r="V113" t="s">
        <v>5160</v>
      </c>
      <c r="W113">
        <v>22990000</v>
      </c>
      <c r="X113" t="s">
        <v>5161</v>
      </c>
      <c r="Y113">
        <v>104</v>
      </c>
      <c r="Z113" t="s">
        <v>41</v>
      </c>
      <c r="AA113" t="s">
        <v>5205</v>
      </c>
      <c r="AB113" t="s">
        <v>3961</v>
      </c>
      <c r="AC113" t="s">
        <v>5550</v>
      </c>
      <c r="AD113" t="s">
        <v>5546</v>
      </c>
      <c r="AE113" t="s">
        <v>5551</v>
      </c>
      <c r="AF113" t="s">
        <v>5705</v>
      </c>
      <c r="AG113">
        <v>1</v>
      </c>
      <c r="AH113" t="s">
        <v>5705</v>
      </c>
      <c r="AI113" t="s">
        <v>5904</v>
      </c>
      <c r="AJ113" t="s">
        <v>3961</v>
      </c>
      <c r="AK113">
        <v>0</v>
      </c>
      <c r="AL113">
        <v>0</v>
      </c>
      <c r="AM113" t="s">
        <v>3961</v>
      </c>
      <c r="AN113">
        <v>0</v>
      </c>
      <c r="AO113">
        <v>17000000</v>
      </c>
      <c r="AP113">
        <v>381030</v>
      </c>
      <c r="AQ113">
        <v>0</v>
      </c>
      <c r="AR113">
        <v>17381030</v>
      </c>
      <c r="AS113">
        <v>22990000</v>
      </c>
      <c r="AT113">
        <v>5608970</v>
      </c>
      <c r="AU113">
        <v>244</v>
      </c>
    </row>
    <row r="114" spans="1:47" ht="13.5" customHeight="1" x14ac:dyDescent="0.3">
      <c r="A114" t="s">
        <v>5155</v>
      </c>
      <c r="B114" t="s">
        <v>5188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5740</v>
      </c>
      <c r="J114" t="s">
        <v>3961</v>
      </c>
      <c r="K114" t="s">
        <v>5294</v>
      </c>
      <c r="L114" t="s">
        <v>310</v>
      </c>
      <c r="M114" t="s">
        <v>311</v>
      </c>
      <c r="N114" t="s">
        <v>312</v>
      </c>
      <c r="O114" t="s">
        <v>5295</v>
      </c>
      <c r="P114">
        <v>2019</v>
      </c>
      <c r="Q114">
        <v>63000</v>
      </c>
      <c r="R114" t="s">
        <v>5296</v>
      </c>
      <c r="S114" t="s">
        <v>313</v>
      </c>
      <c r="T114" t="s">
        <v>5158</v>
      </c>
      <c r="U114" t="s">
        <v>5297</v>
      </c>
      <c r="V114" t="s">
        <v>5160</v>
      </c>
      <c r="W114">
        <v>11990000</v>
      </c>
      <c r="X114" t="s">
        <v>5161</v>
      </c>
      <c r="Y114">
        <v>67</v>
      </c>
      <c r="Z114" t="s">
        <v>27</v>
      </c>
      <c r="AA114" t="s">
        <v>5193</v>
      </c>
      <c r="AB114" t="s">
        <v>5298</v>
      </c>
      <c r="AC114" t="s">
        <v>5299</v>
      </c>
      <c r="AD114" t="s">
        <v>5294</v>
      </c>
      <c r="AE114" t="s">
        <v>5300</v>
      </c>
      <c r="AF114" t="s">
        <v>5708</v>
      </c>
      <c r="AG114">
        <v>1</v>
      </c>
      <c r="AH114" t="s">
        <v>5708</v>
      </c>
      <c r="AI114" t="s">
        <v>5741</v>
      </c>
      <c r="AJ114" t="s">
        <v>3961</v>
      </c>
      <c r="AK114">
        <v>1</v>
      </c>
      <c r="AL114">
        <v>0</v>
      </c>
      <c r="AM114" t="s">
        <v>3961</v>
      </c>
      <c r="AN114">
        <v>0</v>
      </c>
      <c r="AO114">
        <v>9100000</v>
      </c>
      <c r="AP114">
        <v>265740</v>
      </c>
      <c r="AQ114">
        <v>0</v>
      </c>
      <c r="AR114">
        <v>9365740</v>
      </c>
      <c r="AS114">
        <v>11990000</v>
      </c>
      <c r="AT114">
        <v>2624260</v>
      </c>
      <c r="AU114">
        <v>2189</v>
      </c>
    </row>
    <row r="115" spans="1:47" ht="13.5" customHeight="1" x14ac:dyDescent="0.3">
      <c r="A115" t="s">
        <v>5155</v>
      </c>
      <c r="B115" t="s">
        <v>5156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5986</v>
      </c>
      <c r="J115" t="s">
        <v>3961</v>
      </c>
      <c r="K115" t="s">
        <v>5172</v>
      </c>
      <c r="L115" t="s">
        <v>249</v>
      </c>
      <c r="M115" t="s">
        <v>4840</v>
      </c>
      <c r="N115" t="s">
        <v>270</v>
      </c>
      <c r="O115" t="s">
        <v>5173</v>
      </c>
      <c r="P115">
        <v>2025</v>
      </c>
      <c r="Q115">
        <v>20000</v>
      </c>
      <c r="R115" t="s">
        <v>5174</v>
      </c>
      <c r="S115" t="s">
        <v>273</v>
      </c>
      <c r="T115" t="s">
        <v>5158</v>
      </c>
      <c r="U115" t="s">
        <v>5175</v>
      </c>
      <c r="V115" t="s">
        <v>5160</v>
      </c>
      <c r="W115">
        <v>26990000</v>
      </c>
      <c r="X115" t="s">
        <v>5161</v>
      </c>
      <c r="Y115">
        <v>72</v>
      </c>
      <c r="Z115" t="s">
        <v>27</v>
      </c>
      <c r="AA115" t="s">
        <v>5162</v>
      </c>
      <c r="AB115" t="s">
        <v>5176</v>
      </c>
      <c r="AC115" t="s">
        <v>5177</v>
      </c>
      <c r="AD115" t="s">
        <v>5172</v>
      </c>
      <c r="AE115" t="s">
        <v>5178</v>
      </c>
      <c r="AF115" t="s">
        <v>5777</v>
      </c>
      <c r="AG115">
        <v>1</v>
      </c>
      <c r="AH115" t="s">
        <v>5777</v>
      </c>
      <c r="AI115" t="s">
        <v>5987</v>
      </c>
      <c r="AJ115" t="s">
        <v>3961</v>
      </c>
      <c r="AK115">
        <v>1</v>
      </c>
      <c r="AL115">
        <v>0</v>
      </c>
      <c r="AM115" t="s">
        <v>3961</v>
      </c>
      <c r="AN115">
        <v>0</v>
      </c>
      <c r="AO115">
        <v>23500000</v>
      </c>
      <c r="AP115">
        <v>481740</v>
      </c>
      <c r="AQ115">
        <v>0</v>
      </c>
      <c r="AR115">
        <v>23981740</v>
      </c>
      <c r="AS115">
        <v>26990000</v>
      </c>
      <c r="AT115">
        <v>3008260</v>
      </c>
      <c r="AU115">
        <v>1115</v>
      </c>
    </row>
    <row r="116" spans="1:47" ht="13.5" customHeight="1" x14ac:dyDescent="0.3">
      <c r="A116" t="s">
        <v>5155</v>
      </c>
      <c r="B116" t="s">
        <v>5188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5897</v>
      </c>
      <c r="J116" t="s">
        <v>3961</v>
      </c>
      <c r="K116" t="s">
        <v>5489</v>
      </c>
      <c r="L116" t="s">
        <v>29</v>
      </c>
      <c r="M116" t="s">
        <v>32</v>
      </c>
      <c r="N116" t="s">
        <v>33</v>
      </c>
      <c r="O116" t="s">
        <v>5490</v>
      </c>
      <c r="P116">
        <v>2021</v>
      </c>
      <c r="Q116">
        <v>40095</v>
      </c>
      <c r="R116" t="s">
        <v>5491</v>
      </c>
      <c r="S116" t="s">
        <v>35</v>
      </c>
      <c r="T116" t="s">
        <v>5158</v>
      </c>
      <c r="U116" t="s">
        <v>5492</v>
      </c>
      <c r="V116" t="s">
        <v>5160</v>
      </c>
      <c r="W116">
        <v>8190000</v>
      </c>
      <c r="X116" t="s">
        <v>5161</v>
      </c>
      <c r="Y116">
        <v>233</v>
      </c>
      <c r="Z116" t="s">
        <v>34</v>
      </c>
      <c r="AA116" t="s">
        <v>5193</v>
      </c>
      <c r="AB116" t="s">
        <v>5493</v>
      </c>
      <c r="AC116" t="s">
        <v>5494</v>
      </c>
      <c r="AD116" t="s">
        <v>5489</v>
      </c>
      <c r="AE116" t="s">
        <v>5495</v>
      </c>
      <c r="AF116" t="s">
        <v>5898</v>
      </c>
      <c r="AG116">
        <v>1</v>
      </c>
      <c r="AH116" t="s">
        <v>5898</v>
      </c>
      <c r="AI116" t="s">
        <v>5899</v>
      </c>
      <c r="AJ116" t="s">
        <v>5697</v>
      </c>
      <c r="AK116">
        <v>1</v>
      </c>
      <c r="AL116">
        <v>0</v>
      </c>
      <c r="AM116" t="s">
        <v>3961</v>
      </c>
      <c r="AN116">
        <v>0</v>
      </c>
      <c r="AO116">
        <v>6200000</v>
      </c>
      <c r="AP116">
        <v>219030</v>
      </c>
      <c r="AQ116">
        <v>0</v>
      </c>
      <c r="AR116">
        <v>6419030</v>
      </c>
      <c r="AS116">
        <v>8190000</v>
      </c>
      <c r="AT116">
        <v>1770970</v>
      </c>
      <c r="AU116">
        <v>2162</v>
      </c>
    </row>
    <row r="117" spans="1:47" ht="13.5" customHeight="1" x14ac:dyDescent="0.3">
      <c r="A117" t="s">
        <v>5155</v>
      </c>
      <c r="B117" t="s">
        <v>5179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5861</v>
      </c>
      <c r="J117" t="s">
        <v>3961</v>
      </c>
      <c r="K117" t="s">
        <v>5496</v>
      </c>
      <c r="L117" t="s">
        <v>88</v>
      </c>
      <c r="M117" t="s">
        <v>126</v>
      </c>
      <c r="N117" t="s">
        <v>129</v>
      </c>
      <c r="O117" t="s">
        <v>5497</v>
      </c>
      <c r="P117">
        <v>2023</v>
      </c>
      <c r="Q117">
        <v>114000</v>
      </c>
      <c r="R117" t="s">
        <v>5498</v>
      </c>
      <c r="S117" t="s">
        <v>130</v>
      </c>
      <c r="T117" t="s">
        <v>5158</v>
      </c>
      <c r="U117" t="s">
        <v>5499</v>
      </c>
      <c r="V117" t="s">
        <v>5160</v>
      </c>
      <c r="W117">
        <v>30290000</v>
      </c>
      <c r="X117" t="s">
        <v>5161</v>
      </c>
      <c r="Y117">
        <v>109</v>
      </c>
      <c r="Z117" t="s">
        <v>27</v>
      </c>
      <c r="AA117" t="s">
        <v>5184</v>
      </c>
      <c r="AB117" t="s">
        <v>3961</v>
      </c>
      <c r="AC117" t="s">
        <v>5500</v>
      </c>
      <c r="AD117" t="s">
        <v>5496</v>
      </c>
      <c r="AE117" t="s">
        <v>5501</v>
      </c>
      <c r="AF117" t="s">
        <v>5862</v>
      </c>
      <c r="AG117">
        <v>24</v>
      </c>
      <c r="AH117" t="s">
        <v>5863</v>
      </c>
      <c r="AI117" t="s">
        <v>5864</v>
      </c>
      <c r="AJ117" t="s">
        <v>3961</v>
      </c>
      <c r="AK117">
        <v>0</v>
      </c>
      <c r="AL117">
        <v>0</v>
      </c>
      <c r="AM117" t="s">
        <v>3961</v>
      </c>
      <c r="AN117">
        <v>0</v>
      </c>
      <c r="AO117">
        <v>26500000</v>
      </c>
      <c r="AP117">
        <v>523530</v>
      </c>
      <c r="AQ117">
        <v>0</v>
      </c>
      <c r="AR117">
        <v>27023530</v>
      </c>
      <c r="AS117">
        <v>30290000</v>
      </c>
      <c r="AT117">
        <v>3266470</v>
      </c>
      <c r="AU117">
        <v>1078</v>
      </c>
    </row>
    <row r="118" spans="1:47" ht="13.5" customHeight="1" x14ac:dyDescent="0.3">
      <c r="A118" t="s">
        <v>5155</v>
      </c>
      <c r="B118" t="s">
        <v>5188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5949</v>
      </c>
      <c r="J118" t="s">
        <v>3961</v>
      </c>
      <c r="K118" t="s">
        <v>5691</v>
      </c>
      <c r="L118" t="s">
        <v>212</v>
      </c>
      <c r="M118" t="s">
        <v>212</v>
      </c>
      <c r="N118" t="s">
        <v>213</v>
      </c>
      <c r="O118" t="s">
        <v>5692</v>
      </c>
      <c r="P118">
        <v>2022</v>
      </c>
      <c r="Q118">
        <v>0</v>
      </c>
      <c r="R118" t="s">
        <v>5693</v>
      </c>
      <c r="S118" t="s">
        <v>214</v>
      </c>
      <c r="T118" t="s">
        <v>5158</v>
      </c>
      <c r="U118" t="s">
        <v>5200</v>
      </c>
      <c r="V118" t="s">
        <v>5160</v>
      </c>
      <c r="W118">
        <v>6390000</v>
      </c>
      <c r="X118" t="s">
        <v>5161</v>
      </c>
      <c r="Y118">
        <v>164</v>
      </c>
      <c r="Z118" t="s">
        <v>41</v>
      </c>
      <c r="AA118" t="s">
        <v>5193</v>
      </c>
      <c r="AB118" t="s">
        <v>5694</v>
      </c>
      <c r="AC118" t="s">
        <v>5695</v>
      </c>
      <c r="AD118" t="s">
        <v>5691</v>
      </c>
      <c r="AE118" t="s">
        <v>5696</v>
      </c>
      <c r="AF118" t="s">
        <v>5950</v>
      </c>
      <c r="AG118">
        <v>1</v>
      </c>
      <c r="AH118" t="s">
        <v>5950</v>
      </c>
      <c r="AI118" t="s">
        <v>5951</v>
      </c>
      <c r="AJ118" t="s">
        <v>3961</v>
      </c>
      <c r="AK118">
        <v>0</v>
      </c>
      <c r="AL118">
        <v>0</v>
      </c>
      <c r="AM118" t="s">
        <v>3961</v>
      </c>
      <c r="AN118">
        <v>0</v>
      </c>
      <c r="AO118">
        <v>8137896</v>
      </c>
      <c r="AP118">
        <v>248098</v>
      </c>
      <c r="AQ118">
        <v>0</v>
      </c>
      <c r="AR118">
        <v>8385994</v>
      </c>
      <c r="AS118">
        <v>6390000</v>
      </c>
      <c r="AT118">
        <v>-1995994</v>
      </c>
      <c r="AU118">
        <v>-3124</v>
      </c>
    </row>
    <row r="119" spans="1:47" ht="13.5" customHeight="1" x14ac:dyDescent="0.3">
      <c r="A119" t="s">
        <v>5155</v>
      </c>
      <c r="B119" t="s">
        <v>5179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5837</v>
      </c>
      <c r="J119" t="s">
        <v>3961</v>
      </c>
      <c r="K119" t="s">
        <v>5281</v>
      </c>
      <c r="L119" t="s">
        <v>88</v>
      </c>
      <c r="M119" t="s">
        <v>113</v>
      </c>
      <c r="N119" t="s">
        <v>114</v>
      </c>
      <c r="O119" t="s">
        <v>5282</v>
      </c>
      <c r="P119">
        <v>2021</v>
      </c>
      <c r="Q119">
        <v>111255</v>
      </c>
      <c r="R119" t="s">
        <v>5283</v>
      </c>
      <c r="S119" t="s">
        <v>115</v>
      </c>
      <c r="T119" t="s">
        <v>5158</v>
      </c>
      <c r="U119" t="s">
        <v>5284</v>
      </c>
      <c r="V119" t="s">
        <v>5160</v>
      </c>
      <c r="W119">
        <v>27190000</v>
      </c>
      <c r="X119" t="s">
        <v>5161</v>
      </c>
      <c r="Y119">
        <v>189</v>
      </c>
      <c r="Z119" t="s">
        <v>27</v>
      </c>
      <c r="AA119" t="s">
        <v>5184</v>
      </c>
      <c r="AB119" t="s">
        <v>5285</v>
      </c>
      <c r="AC119" t="s">
        <v>5286</v>
      </c>
      <c r="AD119" t="s">
        <v>5281</v>
      </c>
      <c r="AE119" t="s">
        <v>5287</v>
      </c>
      <c r="AF119" t="s">
        <v>5838</v>
      </c>
      <c r="AG119">
        <v>1</v>
      </c>
      <c r="AH119" t="s">
        <v>5838</v>
      </c>
      <c r="AI119" t="s">
        <v>5839</v>
      </c>
      <c r="AJ119" t="s">
        <v>3961</v>
      </c>
      <c r="AK119">
        <v>2</v>
      </c>
      <c r="AL119">
        <v>0</v>
      </c>
      <c r="AM119" t="s">
        <v>3961</v>
      </c>
      <c r="AN119">
        <v>0</v>
      </c>
      <c r="AO119">
        <v>24000000</v>
      </c>
      <c r="AP119">
        <v>486030</v>
      </c>
      <c r="AQ119">
        <v>0</v>
      </c>
      <c r="AR119">
        <v>24486030</v>
      </c>
      <c r="AS119">
        <v>27190000</v>
      </c>
      <c r="AT119">
        <v>2703970</v>
      </c>
      <c r="AU119">
        <v>994</v>
      </c>
    </row>
    <row r="120" spans="1:47" ht="13.5" customHeight="1" x14ac:dyDescent="0.3">
      <c r="A120" t="s">
        <v>5155</v>
      </c>
      <c r="B120" t="s">
        <v>8663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8597</v>
      </c>
      <c r="J120" t="s">
        <v>3961</v>
      </c>
      <c r="K120" t="s">
        <v>8675</v>
      </c>
      <c r="L120" t="s">
        <v>194</v>
      </c>
      <c r="M120" t="s">
        <v>195</v>
      </c>
      <c r="N120" t="s">
        <v>8676</v>
      </c>
      <c r="O120" t="s">
        <v>8677</v>
      </c>
      <c r="P120">
        <v>2016</v>
      </c>
      <c r="Q120">
        <v>0</v>
      </c>
      <c r="R120" t="s">
        <v>8678</v>
      </c>
      <c r="S120" t="s">
        <v>8679</v>
      </c>
      <c r="T120" t="s">
        <v>5158</v>
      </c>
      <c r="U120" t="s">
        <v>5219</v>
      </c>
      <c r="V120" t="s">
        <v>8602</v>
      </c>
      <c r="W120">
        <v>14800000</v>
      </c>
      <c r="X120" t="s">
        <v>5161</v>
      </c>
      <c r="Y120">
        <v>3868</v>
      </c>
      <c r="Z120" t="s">
        <v>8670</v>
      </c>
      <c r="AA120" t="s">
        <v>8671</v>
      </c>
      <c r="AB120" t="s">
        <v>3961</v>
      </c>
      <c r="AC120" t="s">
        <v>8680</v>
      </c>
      <c r="AD120" t="s">
        <v>8675</v>
      </c>
      <c r="AE120" t="s">
        <v>8681</v>
      </c>
      <c r="AF120" t="s">
        <v>8682</v>
      </c>
      <c r="AG120">
        <v>23832</v>
      </c>
      <c r="AH120" t="s">
        <v>8683</v>
      </c>
      <c r="AI120" t="s">
        <v>8684</v>
      </c>
      <c r="AJ120" t="s">
        <v>8682</v>
      </c>
      <c r="AK120">
        <v>0</v>
      </c>
      <c r="AL120">
        <v>0</v>
      </c>
      <c r="AM120" t="s">
        <v>3961</v>
      </c>
      <c r="AN120">
        <v>0</v>
      </c>
      <c r="AO120">
        <v>323597</v>
      </c>
      <c r="AP120">
        <v>3165631</v>
      </c>
      <c r="AQ120">
        <v>0</v>
      </c>
      <c r="AR120">
        <v>3489228</v>
      </c>
      <c r="AS120">
        <v>14800000</v>
      </c>
      <c r="AT120">
        <v>11310772</v>
      </c>
      <c r="AU120">
        <v>7642</v>
      </c>
    </row>
    <row r="121" spans="1:47" ht="13.5" customHeight="1" x14ac:dyDescent="0.3">
      <c r="A121" t="s">
        <v>5155</v>
      </c>
      <c r="B121" t="s">
        <v>5188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8685</v>
      </c>
      <c r="J121" t="s">
        <v>3961</v>
      </c>
      <c r="K121" t="s">
        <v>8686</v>
      </c>
      <c r="L121" t="s">
        <v>228</v>
      </c>
      <c r="M121" t="s">
        <v>229</v>
      </c>
      <c r="N121" t="s">
        <v>8687</v>
      </c>
      <c r="O121" t="s">
        <v>8688</v>
      </c>
      <c r="P121">
        <v>2015</v>
      </c>
      <c r="Q121">
        <v>96083</v>
      </c>
      <c r="R121" t="s">
        <v>8689</v>
      </c>
      <c r="S121" t="s">
        <v>230</v>
      </c>
      <c r="T121" t="s">
        <v>5158</v>
      </c>
      <c r="U121" t="s">
        <v>5221</v>
      </c>
      <c r="V121" t="s">
        <v>5160</v>
      </c>
      <c r="W121">
        <v>9890000</v>
      </c>
      <c r="X121" t="s">
        <v>5161</v>
      </c>
      <c r="Y121">
        <v>81</v>
      </c>
      <c r="Z121" t="s">
        <v>27</v>
      </c>
      <c r="AA121" t="s">
        <v>5193</v>
      </c>
      <c r="AB121" t="s">
        <v>3961</v>
      </c>
      <c r="AC121" t="s">
        <v>8690</v>
      </c>
      <c r="AD121" t="s">
        <v>8691</v>
      </c>
      <c r="AE121" t="s">
        <v>8692</v>
      </c>
      <c r="AF121" t="s">
        <v>8693</v>
      </c>
      <c r="AG121">
        <v>1</v>
      </c>
      <c r="AH121" t="s">
        <v>8694</v>
      </c>
      <c r="AI121" t="s">
        <v>8695</v>
      </c>
      <c r="AJ121" t="s">
        <v>3961</v>
      </c>
      <c r="AK121">
        <v>0</v>
      </c>
      <c r="AL121">
        <v>0</v>
      </c>
      <c r="AM121" t="s">
        <v>3961</v>
      </c>
      <c r="AN121">
        <v>0</v>
      </c>
      <c r="AO121">
        <v>9300000</v>
      </c>
      <c r="AP121">
        <v>1603570</v>
      </c>
      <c r="AQ121">
        <v>0</v>
      </c>
      <c r="AR121">
        <v>10903570</v>
      </c>
      <c r="AS121">
        <v>9890000</v>
      </c>
      <c r="AT121">
        <v>-1013570</v>
      </c>
      <c r="AU121">
        <v>-1025</v>
      </c>
    </row>
    <row r="122" spans="1:47" ht="13.5" customHeight="1" x14ac:dyDescent="0.3">
      <c r="A122" t="s">
        <v>5155</v>
      </c>
      <c r="B122" t="s">
        <v>5212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6000</v>
      </c>
      <c r="J122" t="s">
        <v>3961</v>
      </c>
      <c r="K122" t="s">
        <v>5649</v>
      </c>
      <c r="L122" t="s">
        <v>29</v>
      </c>
      <c r="M122" t="s">
        <v>36</v>
      </c>
      <c r="N122" t="s">
        <v>37</v>
      </c>
      <c r="O122" t="s">
        <v>5650</v>
      </c>
      <c r="P122">
        <v>2026</v>
      </c>
      <c r="Q122">
        <v>22255</v>
      </c>
      <c r="R122" t="s">
        <v>5651</v>
      </c>
      <c r="S122" t="s">
        <v>38</v>
      </c>
      <c r="T122" t="s">
        <v>5158</v>
      </c>
      <c r="U122" t="s">
        <v>5652</v>
      </c>
      <c r="V122" t="s">
        <v>5160</v>
      </c>
      <c r="W122">
        <v>11690000</v>
      </c>
      <c r="X122" t="s">
        <v>5161</v>
      </c>
      <c r="Y122">
        <v>43</v>
      </c>
      <c r="Z122" t="s">
        <v>27</v>
      </c>
      <c r="AA122" t="s">
        <v>5205</v>
      </c>
      <c r="AB122" t="s">
        <v>3961</v>
      </c>
      <c r="AC122" t="s">
        <v>5653</v>
      </c>
      <c r="AD122" t="s">
        <v>5649</v>
      </c>
      <c r="AE122" t="s">
        <v>5251</v>
      </c>
      <c r="AF122" t="s">
        <v>5697</v>
      </c>
      <c r="AG122">
        <v>1</v>
      </c>
      <c r="AH122" t="s">
        <v>5697</v>
      </c>
      <c r="AI122" t="s">
        <v>6001</v>
      </c>
      <c r="AJ122" t="s">
        <v>3961</v>
      </c>
      <c r="AK122">
        <v>1</v>
      </c>
      <c r="AL122">
        <v>0</v>
      </c>
      <c r="AM122" t="s">
        <v>3961</v>
      </c>
      <c r="AN122">
        <v>0</v>
      </c>
      <c r="AO122">
        <v>10000000</v>
      </c>
      <c r="AP122">
        <v>279240</v>
      </c>
      <c r="AQ122">
        <v>0</v>
      </c>
      <c r="AR122">
        <v>10279240</v>
      </c>
      <c r="AS122">
        <v>11690000</v>
      </c>
      <c r="AT122">
        <v>1410760</v>
      </c>
      <c r="AU122">
        <v>1207</v>
      </c>
    </row>
    <row r="123" spans="1:47" ht="13.5" customHeight="1" x14ac:dyDescent="0.3">
      <c r="A123" t="s">
        <v>5155</v>
      </c>
      <c r="B123" t="s">
        <v>5156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5880</v>
      </c>
      <c r="J123" t="s">
        <v>3961</v>
      </c>
      <c r="K123" t="s">
        <v>5558</v>
      </c>
      <c r="L123" t="s">
        <v>322</v>
      </c>
      <c r="M123" t="s">
        <v>326</v>
      </c>
      <c r="N123" t="s">
        <v>327</v>
      </c>
      <c r="O123" t="s">
        <v>5559</v>
      </c>
      <c r="P123">
        <v>2024</v>
      </c>
      <c r="Q123">
        <v>31107</v>
      </c>
      <c r="R123" t="s">
        <v>5560</v>
      </c>
      <c r="S123" t="s">
        <v>328</v>
      </c>
      <c r="T123" t="s">
        <v>5158</v>
      </c>
      <c r="U123" t="s">
        <v>5561</v>
      </c>
      <c r="V123" t="s">
        <v>5160</v>
      </c>
      <c r="W123">
        <v>11590000</v>
      </c>
      <c r="X123" t="s">
        <v>5161</v>
      </c>
      <c r="Y123">
        <v>45</v>
      </c>
      <c r="Z123" t="s">
        <v>21</v>
      </c>
      <c r="AA123" t="s">
        <v>5162</v>
      </c>
      <c r="AB123" t="s">
        <v>5562</v>
      </c>
      <c r="AC123" t="s">
        <v>5563</v>
      </c>
      <c r="AD123" t="s">
        <v>5564</v>
      </c>
      <c r="AE123" t="s">
        <v>5565</v>
      </c>
      <c r="AF123" t="s">
        <v>5826</v>
      </c>
      <c r="AG123">
        <v>1</v>
      </c>
      <c r="AH123" t="s">
        <v>5826</v>
      </c>
      <c r="AI123" t="s">
        <v>5881</v>
      </c>
      <c r="AJ123" t="s">
        <v>3961</v>
      </c>
      <c r="AK123">
        <v>1</v>
      </c>
      <c r="AL123">
        <v>0</v>
      </c>
      <c r="AM123" t="s">
        <v>3961</v>
      </c>
      <c r="AN123">
        <v>0</v>
      </c>
      <c r="AO123">
        <v>9600000</v>
      </c>
      <c r="AP123">
        <v>273240</v>
      </c>
      <c r="AQ123">
        <v>0</v>
      </c>
      <c r="AR123">
        <v>9873240</v>
      </c>
      <c r="AS123">
        <v>11590000</v>
      </c>
      <c r="AT123">
        <v>1716760</v>
      </c>
      <c r="AU123">
        <v>1481</v>
      </c>
    </row>
    <row r="124" spans="1:47" ht="13.5" customHeight="1" x14ac:dyDescent="0.3">
      <c r="A124" t="s">
        <v>5155</v>
      </c>
      <c r="B124" t="s">
        <v>5188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8329</v>
      </c>
      <c r="J124" t="s">
        <v>3961</v>
      </c>
      <c r="K124" t="s">
        <v>8330</v>
      </c>
      <c r="L124" t="s">
        <v>317</v>
      </c>
      <c r="M124" t="s">
        <v>3649</v>
      </c>
      <c r="N124" t="s">
        <v>8331</v>
      </c>
      <c r="O124" t="s">
        <v>8332</v>
      </c>
      <c r="P124">
        <v>2025</v>
      </c>
      <c r="Q124">
        <v>4950</v>
      </c>
      <c r="R124" t="s">
        <v>8333</v>
      </c>
      <c r="S124" t="s">
        <v>3765</v>
      </c>
      <c r="T124" t="s">
        <v>5158</v>
      </c>
      <c r="U124" t="s">
        <v>8334</v>
      </c>
      <c r="V124" t="s">
        <v>5160</v>
      </c>
      <c r="W124">
        <v>25890000</v>
      </c>
      <c r="X124" t="s">
        <v>5161</v>
      </c>
      <c r="Y124">
        <v>9</v>
      </c>
      <c r="Z124" t="s">
        <v>27</v>
      </c>
      <c r="AA124" t="s">
        <v>5193</v>
      </c>
      <c r="AB124" t="s">
        <v>5376</v>
      </c>
      <c r="AC124" t="s">
        <v>8335</v>
      </c>
      <c r="AD124" t="s">
        <v>8330</v>
      </c>
      <c r="AE124" t="s">
        <v>8336</v>
      </c>
      <c r="AF124" t="s">
        <v>8295</v>
      </c>
      <c r="AG124">
        <v>1</v>
      </c>
      <c r="AH124" t="s">
        <v>8295</v>
      </c>
      <c r="AI124" t="s">
        <v>8337</v>
      </c>
      <c r="AJ124" t="s">
        <v>3961</v>
      </c>
      <c r="AK124">
        <v>1</v>
      </c>
      <c r="AL124">
        <v>0</v>
      </c>
      <c r="AM124" t="s">
        <v>3961</v>
      </c>
      <c r="AN124">
        <v>0</v>
      </c>
      <c r="AO124">
        <v>21000000</v>
      </c>
      <c r="AP124">
        <v>444240</v>
      </c>
      <c r="AQ124">
        <v>0</v>
      </c>
      <c r="AR124">
        <v>21444240</v>
      </c>
      <c r="AS124">
        <v>25890000</v>
      </c>
      <c r="AT124">
        <v>4445760</v>
      </c>
      <c r="AU124">
        <v>1717</v>
      </c>
    </row>
    <row r="125" spans="1:47" ht="13.5" customHeight="1" x14ac:dyDescent="0.3">
      <c r="A125" t="s">
        <v>5155</v>
      </c>
      <c r="B125" t="s">
        <v>5212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5882</v>
      </c>
      <c r="J125" t="s">
        <v>3961</v>
      </c>
      <c r="K125" t="s">
        <v>5431</v>
      </c>
      <c r="L125" t="s">
        <v>174</v>
      </c>
      <c r="M125" t="s">
        <v>175</v>
      </c>
      <c r="N125" t="s">
        <v>176</v>
      </c>
      <c r="O125" t="s">
        <v>5432</v>
      </c>
      <c r="P125">
        <v>2024</v>
      </c>
      <c r="Q125">
        <v>8249</v>
      </c>
      <c r="R125" t="s">
        <v>5433</v>
      </c>
      <c r="S125" t="s">
        <v>177</v>
      </c>
      <c r="T125" t="s">
        <v>5158</v>
      </c>
      <c r="U125" t="s">
        <v>5375</v>
      </c>
      <c r="V125" t="s">
        <v>5160</v>
      </c>
      <c r="W125">
        <v>10490000</v>
      </c>
      <c r="X125" t="s">
        <v>5161</v>
      </c>
      <c r="Y125">
        <v>27</v>
      </c>
      <c r="Z125" t="s">
        <v>27</v>
      </c>
      <c r="AA125" t="s">
        <v>5205</v>
      </c>
      <c r="AB125" t="s">
        <v>5376</v>
      </c>
      <c r="AC125" t="s">
        <v>5434</v>
      </c>
      <c r="AD125" t="s">
        <v>5435</v>
      </c>
      <c r="AE125" t="s">
        <v>5436</v>
      </c>
      <c r="AF125" t="s">
        <v>5720</v>
      </c>
      <c r="AG125">
        <v>1</v>
      </c>
      <c r="AH125" t="s">
        <v>5720</v>
      </c>
      <c r="AI125" t="s">
        <v>5883</v>
      </c>
      <c r="AJ125" t="s">
        <v>3961</v>
      </c>
      <c r="AK125">
        <v>1</v>
      </c>
      <c r="AL125">
        <v>0</v>
      </c>
      <c r="AM125" t="s">
        <v>3961</v>
      </c>
      <c r="AN125">
        <v>0</v>
      </c>
      <c r="AO125">
        <v>8500000</v>
      </c>
      <c r="AP125">
        <v>256740</v>
      </c>
      <c r="AQ125">
        <v>0</v>
      </c>
      <c r="AR125">
        <v>8756740</v>
      </c>
      <c r="AS125">
        <v>10490000</v>
      </c>
      <c r="AT125">
        <v>1733260</v>
      </c>
      <c r="AU125">
        <v>1652</v>
      </c>
    </row>
    <row r="126" spans="1:47" ht="13.5" customHeight="1" x14ac:dyDescent="0.3">
      <c r="A126" t="s">
        <v>5155</v>
      </c>
      <c r="B126" t="s">
        <v>5188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6023</v>
      </c>
      <c r="J126" t="s">
        <v>3961</v>
      </c>
      <c r="K126" t="s">
        <v>5189</v>
      </c>
      <c r="L126" t="s">
        <v>301</v>
      </c>
      <c r="M126" t="s">
        <v>307</v>
      </c>
      <c r="N126" t="s">
        <v>308</v>
      </c>
      <c r="O126" t="s">
        <v>5190</v>
      </c>
      <c r="P126">
        <v>2024</v>
      </c>
      <c r="Q126">
        <v>35150</v>
      </c>
      <c r="R126" t="s">
        <v>5191</v>
      </c>
      <c r="S126" t="s">
        <v>309</v>
      </c>
      <c r="T126" t="s">
        <v>5158</v>
      </c>
      <c r="U126" t="s">
        <v>5192</v>
      </c>
      <c r="V126" t="s">
        <v>5160</v>
      </c>
      <c r="W126">
        <v>18690000</v>
      </c>
      <c r="X126" t="s">
        <v>5161</v>
      </c>
      <c r="Y126">
        <v>161</v>
      </c>
      <c r="Z126" t="s">
        <v>27</v>
      </c>
      <c r="AA126" t="s">
        <v>5193</v>
      </c>
      <c r="AB126" t="s">
        <v>5194</v>
      </c>
      <c r="AC126" t="s">
        <v>6024</v>
      </c>
      <c r="AD126" t="s">
        <v>5189</v>
      </c>
      <c r="AE126" t="s">
        <v>5195</v>
      </c>
      <c r="AF126" t="s">
        <v>5755</v>
      </c>
      <c r="AG126">
        <v>1</v>
      </c>
      <c r="AH126" t="s">
        <v>5755</v>
      </c>
      <c r="AI126" t="s">
        <v>6025</v>
      </c>
      <c r="AJ126" t="s">
        <v>3961</v>
      </c>
      <c r="AK126">
        <v>1</v>
      </c>
      <c r="AL126">
        <v>0</v>
      </c>
      <c r="AM126" t="s">
        <v>3961</v>
      </c>
      <c r="AN126">
        <v>0</v>
      </c>
      <c r="AO126">
        <v>16400000</v>
      </c>
      <c r="AP126">
        <v>372030</v>
      </c>
      <c r="AQ126">
        <v>0</v>
      </c>
      <c r="AR126">
        <v>16772030</v>
      </c>
      <c r="AS126">
        <v>18690000</v>
      </c>
      <c r="AT126">
        <v>1917970</v>
      </c>
      <c r="AU126">
        <v>1026</v>
      </c>
    </row>
    <row r="127" spans="1:47" ht="13.5" customHeight="1" x14ac:dyDescent="0.3">
      <c r="A127" t="s">
        <v>5155</v>
      </c>
      <c r="B127" t="s">
        <v>5156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5776</v>
      </c>
      <c r="J127" t="s">
        <v>3961</v>
      </c>
      <c r="K127" t="s">
        <v>5164</v>
      </c>
      <c r="L127" t="s">
        <v>46</v>
      </c>
      <c r="M127" t="s">
        <v>56</v>
      </c>
      <c r="N127" t="s">
        <v>57</v>
      </c>
      <c r="O127" t="s">
        <v>5165</v>
      </c>
      <c r="P127">
        <v>2020</v>
      </c>
      <c r="Q127">
        <v>85300</v>
      </c>
      <c r="R127" t="s">
        <v>5166</v>
      </c>
      <c r="S127" t="s">
        <v>58</v>
      </c>
      <c r="T127" t="s">
        <v>5158</v>
      </c>
      <c r="U127" t="s">
        <v>5167</v>
      </c>
      <c r="V127" t="s">
        <v>5160</v>
      </c>
      <c r="W127">
        <v>28990000</v>
      </c>
      <c r="X127" t="s">
        <v>5161</v>
      </c>
      <c r="Y127">
        <v>72</v>
      </c>
      <c r="Z127" t="s">
        <v>27</v>
      </c>
      <c r="AA127" t="s">
        <v>5162</v>
      </c>
      <c r="AB127" t="s">
        <v>5168</v>
      </c>
      <c r="AC127" t="s">
        <v>5169</v>
      </c>
      <c r="AD127" t="s">
        <v>5164</v>
      </c>
      <c r="AE127" t="s">
        <v>5170</v>
      </c>
      <c r="AF127" t="s">
        <v>5777</v>
      </c>
      <c r="AG127">
        <v>1</v>
      </c>
      <c r="AH127" t="s">
        <v>5777</v>
      </c>
      <c r="AI127" t="s">
        <v>5778</v>
      </c>
      <c r="AJ127" t="s">
        <v>5779</v>
      </c>
      <c r="AK127">
        <v>3</v>
      </c>
      <c r="AL127">
        <v>0</v>
      </c>
      <c r="AM127" t="s">
        <v>3961</v>
      </c>
      <c r="AN127">
        <v>0</v>
      </c>
      <c r="AO127">
        <v>24500000</v>
      </c>
      <c r="AP127">
        <v>496740</v>
      </c>
      <c r="AQ127">
        <v>0</v>
      </c>
      <c r="AR127">
        <v>24996740</v>
      </c>
      <c r="AS127">
        <v>28990000</v>
      </c>
      <c r="AT127">
        <v>3993260</v>
      </c>
      <c r="AU127">
        <v>1377</v>
      </c>
    </row>
    <row r="128" spans="1:47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1" xr:uid="{00000000-0001-0000-0400-000000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2026-06-12T14:04:48Z</dcterms:modified>
</cp:coreProperties>
</file>